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/>
  <mc:AlternateContent xmlns:mc="http://schemas.openxmlformats.org/markup-compatibility/2006">
    <mc:Choice Requires="x15">
      <x15ac:absPath xmlns:x15ac="http://schemas.microsoft.com/office/spreadsheetml/2010/11/ac" url="C:\Users\dell\Desktop\LY019-39已整理（小梅）最终版\"/>
    </mc:Choice>
  </mc:AlternateContent>
  <xr:revisionPtr revIDLastSave="0" documentId="13_ncr:1_{CA94114F-2283-4E03-A775-5146126A0E73}" xr6:coauthVersionLast="44" xr6:coauthVersionMax="44" xr10:uidLastSave="{00000000-0000-0000-0000-000000000000}"/>
  <bookViews>
    <workbookView xWindow="-120" yWindow="-120" windowWidth="21840" windowHeight="13140" tabRatio="949" xr2:uid="{00000000-000D-0000-FFFF-FFFF00000000}"/>
  </bookViews>
  <sheets>
    <sheet name="1.10170307c04" sheetId="1" r:id="rId1"/>
    <sheet name="2.10460314c04" sheetId="2" r:id="rId2"/>
    <sheet name="3.10610101c04" sheetId="3" r:id="rId3"/>
    <sheet name="4.10620101c04" sheetId="4" r:id="rId4"/>
    <sheet name="5.10710101c04" sheetId="5" r:id="rId5"/>
    <sheet name="6.10700101c04" sheetId="6" r:id="rId6"/>
    <sheet name="7.10780103c04" sheetId="7" r:id="rId7"/>
    <sheet name="8.10170331c04" sheetId="8" r:id="rId8"/>
    <sheet name="9.10170328c04" sheetId="9" r:id="rId9"/>
    <sheet name="10.10690101c04" sheetId="10" r:id="rId10"/>
    <sheet name="11.10680101c04" sheetId="11" r:id="rId11"/>
    <sheet name="12.10450321c04" sheetId="12" r:id="rId12"/>
    <sheet name="13.10880101c04" sheetId="13" r:id="rId13"/>
    <sheet name="14.10590101c04" sheetId="14" r:id="rId14"/>
    <sheet name="15.10600101c04" sheetId="15" r:id="rId15"/>
    <sheet name="16.10600104c04" sheetId="16" r:id="rId16"/>
    <sheet name="17.10910113c04" sheetId="17" r:id="rId17"/>
    <sheet name="18.10910103c04" sheetId="18" r:id="rId18"/>
    <sheet name="19.10730101c04" sheetId="19" r:id="rId19"/>
    <sheet name="20.10720101c04" sheetId="20" r:id="rId20"/>
    <sheet name="21.10720103c04" sheetId="21" r:id="rId21"/>
    <sheet name="22.10570328c04" sheetId="22" r:id="rId22"/>
    <sheet name="23.10570312c04" sheetId="23" r:id="rId23"/>
    <sheet name="24.10170302c04" sheetId="24" r:id="rId24"/>
    <sheet name="25.10460302c04" sheetId="25" r:id="rId25"/>
    <sheet name="26.10630109c04" sheetId="26" r:id="rId26"/>
    <sheet name="27.10630101c04" sheetId="27" r:id="rId27"/>
    <sheet name="28.10630105c04" sheetId="28" r:id="rId28"/>
    <sheet name="29.10650105c04" sheetId="29" r:id="rId29"/>
    <sheet name="30.10630113c04" sheetId="30" r:id="rId30"/>
    <sheet name="31.10630112c04" sheetId="31" r:id="rId31"/>
    <sheet name="32.10630103c04" sheetId="32" r:id="rId32"/>
    <sheet name="33.10760103c04" sheetId="33" r:id="rId33"/>
    <sheet name="34.10760106c04" sheetId="34" r:id="rId34"/>
    <sheet name="35.10540318c04" sheetId="35" r:id="rId35"/>
    <sheet name="36.10810174c04" sheetId="36" r:id="rId36"/>
    <sheet name="37.10560304c04" sheetId="37" r:id="rId37"/>
    <sheet name="38.10660108c04" sheetId="38" r:id="rId38"/>
    <sheet name="39.10670102c04" sheetId="39" r:id="rId39"/>
    <sheet name="40.10790104c04" sheetId="40" r:id="rId40"/>
    <sheet name="41.10660101c04" sheetId="41" r:id="rId41"/>
    <sheet name="42.10670101c04" sheetId="42" r:id="rId42"/>
    <sheet name="43.10630115c04" sheetId="44" r:id="rId43"/>
    <sheet name="44.10171004c04" sheetId="45" r:id="rId44"/>
    <sheet name="45.10670801c04" sheetId="43" r:id="rId45"/>
    <sheet name="46.10810134c04" sheetId="46" r:id="rId46"/>
    <sheet name="47.10670420c04" sheetId="47" r:id="rId47"/>
    <sheet name="48.10710402c04" sheetId="48" r:id="rId48"/>
    <sheet name="49.10700402c04" sheetId="49" r:id="rId49"/>
    <sheet name="50.10620401c04" sheetId="50" r:id="rId50"/>
    <sheet name="51.10170414c04" sheetId="51" r:id="rId51"/>
    <sheet name="52.10460406c04" sheetId="52" r:id="rId52"/>
    <sheet name="53.10690402c04" sheetId="53" r:id="rId53"/>
    <sheet name="54.10680402c04" sheetId="54" r:id="rId54"/>
    <sheet name="55.10880401c04" sheetId="55" r:id="rId55"/>
    <sheet name="56.10600401c04" sheetId="56" r:id="rId56"/>
    <sheet name="57.10720401c04" sheetId="57" r:id="rId57"/>
    <sheet name="58.10170402c04" sheetId="58" r:id="rId58"/>
    <sheet name="59.10630502c04" sheetId="59" r:id="rId59"/>
    <sheet name="60.10630501c04" sheetId="60" r:id="rId60"/>
    <sheet name="61.10760412c04" sheetId="61" r:id="rId61"/>
    <sheet name="62.10650531c04" sheetId="62" r:id="rId62"/>
    <sheet name="63.10690501c04" sheetId="63" r:id="rId63"/>
    <sheet name="64.10680501c04" sheetId="64" r:id="rId64"/>
  </sheets>
  <definedNames>
    <definedName name="_xlnm._FilterDatabase" localSheetId="0" hidden="1">'1.10170307c04'!$A$2:$K$155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3" i="64" l="1"/>
  <c r="D3" i="63" l="1"/>
  <c r="D3" i="62" l="1"/>
  <c r="D3" i="61" l="1"/>
  <c r="D3" i="60" l="1"/>
  <c r="D3" i="59" l="1"/>
  <c r="D3" i="58" l="1"/>
  <c r="D3" i="57" l="1"/>
  <c r="D3" i="56" l="1"/>
  <c r="D3" i="55" l="1"/>
  <c r="D3" i="54" l="1"/>
  <c r="D3" i="53" l="1"/>
  <c r="D3" i="52" l="1"/>
  <c r="D3" i="51" l="1"/>
  <c r="D3" i="50" l="1"/>
  <c r="D3" i="49" l="1"/>
  <c r="D3" i="48" l="1"/>
  <c r="D3" i="47" l="1"/>
  <c r="D3" i="43" l="1"/>
  <c r="D3" i="45" l="1"/>
  <c r="D3" i="42" l="1"/>
  <c r="D3" i="41" l="1"/>
  <c r="D3" i="40" l="1"/>
  <c r="D3" i="39" l="1"/>
  <c r="D3" i="38" l="1"/>
  <c r="D3" i="37" l="1"/>
  <c r="D3" i="35" l="1"/>
  <c r="D3" i="34" l="1"/>
  <c r="D3" i="33" l="1"/>
  <c r="D3" i="32" l="1"/>
  <c r="D3" i="31" l="1"/>
  <c r="D3" i="30" l="1"/>
  <c r="D3" i="29" l="1"/>
  <c r="D3" i="28" l="1"/>
  <c r="D3" i="27" l="1"/>
  <c r="D3" i="26" l="1"/>
  <c r="D3" i="25" l="1"/>
  <c r="D3" i="24" l="1"/>
  <c r="D3" i="23" l="1"/>
  <c r="D3" i="22" l="1"/>
  <c r="D3" i="21" l="1"/>
  <c r="D3" i="20"/>
  <c r="D3" i="19"/>
  <c r="D3" i="18"/>
  <c r="D3" i="17"/>
  <c r="D3" i="16"/>
  <c r="D3" i="15"/>
  <c r="D3" i="14"/>
  <c r="D3" i="13"/>
  <c r="D3" i="12"/>
  <c r="D3" i="11"/>
  <c r="D3" i="10"/>
  <c r="D3" i="9"/>
  <c r="D3" i="8"/>
  <c r="D3" i="7"/>
  <c r="D3" i="6"/>
  <c r="D3" i="5"/>
  <c r="D3" i="4"/>
  <c r="D3" i="3"/>
  <c r="D3" i="2"/>
  <c r="D3" i="1"/>
</calcChain>
</file>

<file path=xl/sharedStrings.xml><?xml version="1.0" encoding="utf-8"?>
<sst xmlns="http://schemas.openxmlformats.org/spreadsheetml/2006/main" count="63108" uniqueCount="2002">
  <si>
    <t>元件品号</t>
  </si>
  <si>
    <t>品    名</t>
  </si>
  <si>
    <t>规    格</t>
  </si>
  <si>
    <t>单位</t>
  </si>
  <si>
    <t>组成用量</t>
  </si>
  <si>
    <t>工艺</t>
  </si>
  <si>
    <t>工艺名称</t>
  </si>
  <si>
    <t>供应商简称</t>
  </si>
  <si>
    <t>美国网布</t>
  </si>
  <si>
    <t>W09-01黑色/72"</t>
  </si>
  <si>
    <t>码</t>
  </si>
  <si>
    <t>裁床座垫</t>
  </si>
  <si>
    <t>Matrex</t>
  </si>
  <si>
    <t>裁床背垫</t>
  </si>
  <si>
    <t>PVC垫片</t>
  </si>
  <si>
    <t>￠13.2*20*1</t>
  </si>
  <si>
    <t>PC</t>
  </si>
  <si>
    <t>底盘组立</t>
  </si>
  <si>
    <t>保友</t>
  </si>
  <si>
    <t>￠10.2*23*0.8/透明</t>
  </si>
  <si>
    <t>￠10.2*23*0.5/透明</t>
  </si>
  <si>
    <t>背调高基座</t>
  </si>
  <si>
    <t>ENJOY</t>
  </si>
  <si>
    <t>背垫组立</t>
  </si>
  <si>
    <t>定位弹片</t>
  </si>
  <si>
    <t>SN-501/本色(座深/椅背)</t>
  </si>
  <si>
    <t>座垫组立</t>
  </si>
  <si>
    <t>旋转机构下铁片</t>
  </si>
  <si>
    <t>Ergohoman/黑色</t>
  </si>
  <si>
    <t>扶手组立</t>
  </si>
  <si>
    <t>隔板</t>
  </si>
  <si>
    <t>C=C/500*340/需压痕:125+125+125+125/EJ/CT</t>
  </si>
  <si>
    <t>成品包装</t>
  </si>
  <si>
    <t>博大纸品</t>
  </si>
  <si>
    <t>C=C/390*340/需压痕:125+70+125+70/EJ-LAM</t>
  </si>
  <si>
    <t>纸箱</t>
  </si>
  <si>
    <t>K=A/660*530*650/侧开/EJ/CM8502(外径尺寸)</t>
  </si>
  <si>
    <t>A=A/605*515*285/上开/需切口/EJ/EH/CT(外径尺寸)</t>
  </si>
  <si>
    <t>杯头内六角</t>
  </si>
  <si>
    <t>1/4*3/8牙长/头8 束尾/耐落</t>
  </si>
  <si>
    <t>川洋五金</t>
  </si>
  <si>
    <t>插销</t>
  </si>
  <si>
    <t>￠4*19/煲黑/实心</t>
  </si>
  <si>
    <t>￠3*8.0/煲黑/实心</t>
  </si>
  <si>
    <t>￠3.0*13.5/煲黑</t>
  </si>
  <si>
    <t>沉头十字</t>
  </si>
  <si>
    <t>M5*9总长/头7.8/煲黑+耐落</t>
  </si>
  <si>
    <t>M5*8总长/头9/煲黑+耐落</t>
  </si>
  <si>
    <t>M5*13总长/头7.5/煲黑+耐落</t>
  </si>
  <si>
    <t>1/4*3/8总长/头11/煲黑+耐落</t>
  </si>
  <si>
    <t>沉头十字自攻</t>
  </si>
  <si>
    <t>4*19总长/头7.5/煲黑</t>
  </si>
  <si>
    <t>4*15总长/头6.5/煲黑</t>
  </si>
  <si>
    <t>5*17总长/头6.5/电着黑</t>
  </si>
  <si>
    <t>3.6*8.5总长/头6.5/煲黑</t>
  </si>
  <si>
    <t>弹簧垫片</t>
  </si>
  <si>
    <t>￠6.5*10.5*1.5/镀锌</t>
  </si>
  <si>
    <t>垫片</t>
  </si>
  <si>
    <t>4.5*16*1.5/黑色</t>
  </si>
  <si>
    <t>6.5*14*1.5/煲黑</t>
  </si>
  <si>
    <t>螺母</t>
  </si>
  <si>
    <t>1/4牙防滑/黑色</t>
  </si>
  <si>
    <t>M10*15*4.8/白锌/反牙</t>
  </si>
  <si>
    <t>M10*15*4.8/五彩/正牙</t>
  </si>
  <si>
    <t>M3牙/六角螺母/白锌</t>
  </si>
  <si>
    <t>M8*13*6/黑色</t>
  </si>
  <si>
    <t>内外六角</t>
  </si>
  <si>
    <t>M8*176总长/牙长7/头14/孔5/电泳+耐落</t>
  </si>
  <si>
    <t>M8*130.5总长/牙长8/头14/煲黑+耐落</t>
  </si>
  <si>
    <t>平头内六角</t>
  </si>
  <si>
    <t>1/4*1牙长/头12.5厚6/孔5/镀白锌+耐落</t>
  </si>
  <si>
    <t>1/4*3/4牙长/头11.6/煲黑+耐落</t>
  </si>
  <si>
    <t>1/4*3/8牙长/头12.5/煲黑+耐落</t>
  </si>
  <si>
    <t>1/4*19/32牙长/头11厚3/煲黑+耐落</t>
  </si>
  <si>
    <t>M12*47.7总长/牙长11/头17/SCM435/镀锌/正牙</t>
  </si>
  <si>
    <t>M12*47.7总长/牙长11/头17/SCM435/五彩/反牙</t>
  </si>
  <si>
    <t>1/4*23/32总长/牙长9.5/头12.5/煲黑+耐落</t>
  </si>
  <si>
    <t>平圆头十字</t>
  </si>
  <si>
    <t>M3*15.5牙长/头6.5/煲黑+耐落</t>
  </si>
  <si>
    <t>伞头十字自攻</t>
  </si>
  <si>
    <t>5.5*26总长/台阶3mm/头8.8/电着黑</t>
  </si>
  <si>
    <t>吸塑盒</t>
  </si>
  <si>
    <t>EJ-LAM（M5全黑扳手/T型）/EJ-EBW-AP1</t>
  </si>
  <si>
    <t>圆头十字</t>
  </si>
  <si>
    <t>M5*22牙长/头9.8厚3.4/煲黑+耐落(卡弹簧垫片和平垫片)</t>
  </si>
  <si>
    <t>M4*16.6牙长/头9.8 头厚3.4/煲黑+耐落</t>
  </si>
  <si>
    <t>弹簧螺杆</t>
  </si>
  <si>
    <t>M10*131mm/黑色+耐落/CM9601</t>
  </si>
  <si>
    <t>东钰五金</t>
  </si>
  <si>
    <t>弹簧旋转垫片</t>
  </si>
  <si>
    <t>CM9601/黑色</t>
  </si>
  <si>
    <t>底盘弹簧</t>
  </si>
  <si>
    <t>CM9601/￠8.5*45*78.5</t>
  </si>
  <si>
    <t>底盘上座</t>
  </si>
  <si>
    <t>SN-501/黑色</t>
  </si>
  <si>
    <t>卡挚L铁</t>
  </si>
  <si>
    <t>SN-501/需经过特殊处理/镀锌</t>
  </si>
  <si>
    <t>卡挚板上座内铁片</t>
  </si>
  <si>
    <t>M10*9.2</t>
  </si>
  <si>
    <t>座支撑座加强条</t>
  </si>
  <si>
    <t>CM9501/217*24.5*2.5/钢/黑色</t>
  </si>
  <si>
    <t>背L铁防摇泡棉</t>
  </si>
  <si>
    <t>CM9502/70*70*11mm/成型泡棉(75°-80°)</t>
  </si>
  <si>
    <t>冠立海棉</t>
  </si>
  <si>
    <t>座前垫高棉</t>
  </si>
  <si>
    <t>CM9501/成型泡棉/黑色</t>
  </si>
  <si>
    <t>粘贴座垫</t>
  </si>
  <si>
    <t>汽泡袋</t>
  </si>
  <si>
    <t>750*600*0.8（需钻透气孔）</t>
  </si>
  <si>
    <t>豪嘉</t>
  </si>
  <si>
    <t>800*800*0.8（需钻透气孔）</t>
  </si>
  <si>
    <t>珍珠棉袋</t>
  </si>
  <si>
    <t>635*365*1.5（需钻透气孔）</t>
  </si>
  <si>
    <t>背调高基座弹簧</t>
  </si>
  <si>
    <t>￠4.9*25.2*0.5/镀锌</t>
  </si>
  <si>
    <t>煌程五金</t>
  </si>
  <si>
    <t>弹簧(塔弹)</t>
  </si>
  <si>
    <t>CM9501-1/￠1*17*27/电着黑</t>
  </si>
  <si>
    <t>扶手按钮内弹簧</t>
  </si>
  <si>
    <t>ENJOY/￠1.2*19.4*19.5/黑色</t>
  </si>
  <si>
    <t>滑座弹簧</t>
  </si>
  <si>
    <t>0.5*5.8/黑色/SN-501</t>
  </si>
  <si>
    <t>卡块弹簧</t>
  </si>
  <si>
    <t>SN-501/￠1*10*11/黑色</t>
  </si>
  <si>
    <t>伸缩杆内弹簧</t>
  </si>
  <si>
    <t>SN-501/￠1*11*28/黑色</t>
  </si>
  <si>
    <t>伸缩杆外弹簧</t>
  </si>
  <si>
    <t>SN-501/￠1*15.5*30/黑色</t>
  </si>
  <si>
    <t>头枕调高弹块弹簧</t>
  </si>
  <si>
    <t>CM9501￠0.8*4.8*6.5/五彩</t>
  </si>
  <si>
    <t>滑动槽控制座卡座</t>
  </si>
  <si>
    <t>CM9501/长67.5MM/铝合金/本色</t>
  </si>
  <si>
    <t>惠和</t>
  </si>
  <si>
    <t>A=A/500*130/CT/EH/EJ/EHS/EJS</t>
  </si>
  <si>
    <t>佳义纸品</t>
  </si>
  <si>
    <t>C=C/180*180/NF(2010)/EHP(2010)/EJ/EH</t>
  </si>
  <si>
    <t>馒头</t>
  </si>
  <si>
    <t>ERGOUHMAN/ENJOY/PU/黑色（D136B）</t>
  </si>
  <si>
    <t>杰富星(原辰彦)</t>
  </si>
  <si>
    <t>ERGOUHMAN/ENJOY/PU/黑色（D136A）</t>
  </si>
  <si>
    <t>背拉绳</t>
  </si>
  <si>
    <t>ENJOY/总长1930MM/内长1840MM/本色</t>
  </si>
  <si>
    <t>车缝背垫</t>
  </si>
  <si>
    <t>杰连</t>
  </si>
  <si>
    <t>拉绳六角塑胶套</t>
  </si>
  <si>
    <t>CF9618/PVC/黑色</t>
  </si>
  <si>
    <t>座拉绳</t>
  </si>
  <si>
    <t>SN-501/总长1930MM/内长1770MM/本色</t>
  </si>
  <si>
    <t>车缝座垫</t>
  </si>
  <si>
    <t>用户说明书</t>
  </si>
  <si>
    <t>20.5*14CM/彩色/英文/ENJOY 黑头</t>
  </si>
  <si>
    <t>精丽印刷</t>
  </si>
  <si>
    <t>背调高机构内滑片</t>
  </si>
  <si>
    <t>CF935/铁/镀锌</t>
  </si>
  <si>
    <t>靖沛五金</t>
  </si>
  <si>
    <t>弹性调整螺杆外管</t>
  </si>
  <si>
    <t>SN-501/￠14*16*176/黑色</t>
  </si>
  <si>
    <t>扶手内管</t>
  </si>
  <si>
    <t>ENJOY/电镀</t>
  </si>
  <si>
    <t>扶手转接头内铁片</t>
  </si>
  <si>
    <t>Ergohoman/0.8mm厚/镀锌</t>
  </si>
  <si>
    <t>滑块上基座</t>
  </si>
  <si>
    <t>铁</t>
  </si>
  <si>
    <t>背调高基座滑块上盖</t>
  </si>
  <si>
    <t>CF935/尼龙/黑色</t>
  </si>
  <si>
    <t>玖友公司</t>
  </si>
  <si>
    <t>弹簧旋转钮后盖-1</t>
  </si>
  <si>
    <t>SN-501/PP(ABS)/黑色/需雕刻</t>
  </si>
  <si>
    <t>扶手旋转机构内弹珠</t>
  </si>
  <si>
    <t>5#/镀锌</t>
  </si>
  <si>
    <t>嵘技达五金</t>
  </si>
  <si>
    <t>背内框后盖</t>
  </si>
  <si>
    <t>ENJOY/PP/黑色</t>
  </si>
  <si>
    <t>润通日用</t>
  </si>
  <si>
    <t>背内框前盖</t>
  </si>
  <si>
    <t>底盘上胶壳</t>
  </si>
  <si>
    <t>ERGOUHMAN/PP/黑色</t>
  </si>
  <si>
    <t>底盘下胶壳</t>
  </si>
  <si>
    <t>右滑块</t>
  </si>
  <si>
    <t>CM9501/尼龙(POM)/白色</t>
  </si>
  <si>
    <t>左滑块</t>
  </si>
  <si>
    <t>座内框</t>
  </si>
  <si>
    <t>ERGOHUMAN/PP-XY-2006料/黑色</t>
  </si>
  <si>
    <t>中管气压棒</t>
  </si>
  <si>
    <t>205束80/黑平光/三级/壁厚2.5MM/100S/400N/B2-100-440205CBB</t>
  </si>
  <si>
    <t>三弘精密</t>
  </si>
  <si>
    <t>后仰锁定拉绳</t>
  </si>
  <si>
    <t>双和</t>
  </si>
  <si>
    <t>气压棒拉绳</t>
  </si>
  <si>
    <t>座深调整拉绳</t>
  </si>
  <si>
    <t>背连接杆</t>
  </si>
  <si>
    <t>SN-501/铝合金/抛光</t>
  </si>
  <si>
    <t>腾辉隆五金</t>
  </si>
  <si>
    <t>扶手支撑座</t>
  </si>
  <si>
    <t>Ergohuman/铝合金/抛光/左</t>
  </si>
  <si>
    <t>Ergohuman/铝合金/抛光/右</t>
  </si>
  <si>
    <t>背下支撑纸托</t>
  </si>
  <si>
    <t>210*170*120mm/CM8502-4</t>
  </si>
  <si>
    <t>旺峰包装</t>
  </si>
  <si>
    <t>C=C/610*550/需压痕:50+135+120+120+135+50/EJ/EH/CT</t>
  </si>
  <si>
    <t>外箱支撑纸托</t>
  </si>
  <si>
    <t>100*100*45mm/CM8502-3</t>
  </si>
  <si>
    <t>C3C/60*60*310/上开(印刷气压棒)(外径尺寸)</t>
  </si>
  <si>
    <t>C3C/80*80*350/上开(印刷滑轮)(外径尺寸)</t>
  </si>
  <si>
    <t>滑轮装配</t>
  </si>
  <si>
    <t>座右支撑纸托</t>
  </si>
  <si>
    <t>495*270*48mm/CM8502-1</t>
  </si>
  <si>
    <t>座左支撑纸托</t>
  </si>
  <si>
    <t>495*270*48mm/CM8502-2</t>
  </si>
  <si>
    <t>椅脚</t>
  </si>
  <si>
    <t>LY340/尼龙加纤/含纤35%/黑色</t>
  </si>
  <si>
    <t>小脚印</t>
  </si>
  <si>
    <t>背连接杆后孔塑胶套</t>
  </si>
  <si>
    <t>SN-501/粉末冶金/本色</t>
  </si>
  <si>
    <t>鑫洹粉沫冶金</t>
  </si>
  <si>
    <t>背连接杆前孔塑胶套</t>
  </si>
  <si>
    <t>底座下盖圈套</t>
  </si>
  <si>
    <t>滑动轴承</t>
  </si>
  <si>
    <t>SN-501/￠3.2*7*3/粉末冶金</t>
  </si>
  <si>
    <t>底盘下座</t>
  </si>
  <si>
    <t>501/铝合金/本色</t>
  </si>
  <si>
    <t>耀友五金</t>
  </si>
  <si>
    <t>座支撑架</t>
  </si>
  <si>
    <t>ERGOUHMAN/铝合金/烤银色</t>
  </si>
  <si>
    <t>L铁注塑</t>
  </si>
  <si>
    <t>ENJOY/尼龙加纤/含纤5%/黑色（四孔）</t>
  </si>
  <si>
    <t>中山分公司</t>
  </si>
  <si>
    <t>背内框</t>
  </si>
  <si>
    <t>ENJOY/尼龙/黑色</t>
  </si>
  <si>
    <t>背内框标志盖</t>
  </si>
  <si>
    <t>ENJOY/尼龙/丝印</t>
  </si>
  <si>
    <t>背调高齿条</t>
  </si>
  <si>
    <t>Enjoy/PP/黑色</t>
  </si>
  <si>
    <t>背外框</t>
  </si>
  <si>
    <t>ENJOY/铨友ES-3009/PP/黑色</t>
  </si>
  <si>
    <t>弹簧旋转钮</t>
  </si>
  <si>
    <t>SN-501/尼龙加纤/含纤20%/黑色</t>
  </si>
  <si>
    <t>滑动卡块</t>
  </si>
  <si>
    <t>SN-501/尼龙加纤新料/含纤25%/黑色</t>
  </si>
  <si>
    <t>滑轮</t>
  </si>
  <si>
    <t>TP-2360C/中间电镀</t>
  </si>
  <si>
    <t>气压棒控制转动座-1</t>
  </si>
  <si>
    <t>CM9501/尼龙加纤25%（新料）/需雕刻</t>
  </si>
  <si>
    <t>椅背调整控制转动座-1</t>
  </si>
  <si>
    <t>座深调整控制转动座-1</t>
  </si>
  <si>
    <t>座外框</t>
  </si>
  <si>
    <t>Ergohuman/尼龙加纤/含纤23%/黑色</t>
  </si>
  <si>
    <t>弹性调整螺杆</t>
  </si>
  <si>
    <t>SN-501/M10*297/本色</t>
  </si>
  <si>
    <t>中山庆乙</t>
  </si>
  <si>
    <t>1/4*1牙长/头12.5/煲黑+耐落</t>
  </si>
  <si>
    <t>1/4*19/32牙长/头12.5 /煲黑+耐落</t>
  </si>
  <si>
    <t>背内框标志盖下盖</t>
  </si>
  <si>
    <t>ENJOY/PA/黑色</t>
  </si>
  <si>
    <t>仲肯公司</t>
  </si>
  <si>
    <t>背调高机构滑块</t>
  </si>
  <si>
    <t>CF935/尼龙加纤/含纤30%/黑色</t>
  </si>
  <si>
    <t>导管固定管</t>
  </si>
  <si>
    <t>SN-501/尼龙/黑色</t>
  </si>
  <si>
    <t>底盘上座右滑动条</t>
  </si>
  <si>
    <t>底盘上座左滑动条</t>
  </si>
  <si>
    <t>底盘下盖胶垫</t>
  </si>
  <si>
    <t>SN-501/￠13*5/PP/黑色</t>
  </si>
  <si>
    <t>扶手按钮</t>
  </si>
  <si>
    <t>ENJOY/铨友ES-1340-S/黑色</t>
  </si>
  <si>
    <t>扶手按钮盖</t>
  </si>
  <si>
    <t>ENJOY/尼龙加纤/含纤25%/黑色</t>
  </si>
  <si>
    <t>扶手馒头主体</t>
  </si>
  <si>
    <t>ENJOY/尼龙加纤/含纤23%/黑色</t>
  </si>
  <si>
    <t>扶手外壳</t>
  </si>
  <si>
    <t>Enjoy/尼龙加纤/含纤23%/黑色</t>
  </si>
  <si>
    <t>扶手转接头</t>
  </si>
  <si>
    <t>Ergohuman/尼龙加纤/含纤25%/黑色</t>
  </si>
  <si>
    <t>滑块下基座</t>
  </si>
  <si>
    <t>尼龙/黑色</t>
  </si>
  <si>
    <t>卡挚板上座内滑轮</t>
  </si>
  <si>
    <t>伸缩螺杆</t>
  </si>
  <si>
    <t>旋转机构上盖</t>
  </si>
  <si>
    <t>ERGOUHMAN/ENJOY/尼龙加纤/含纤23%/黑色</t>
  </si>
  <si>
    <t>转动座上盖片</t>
  </si>
  <si>
    <t>Ergohuman/尼龙新料/黑色</t>
  </si>
  <si>
    <t>转动座下基座</t>
  </si>
  <si>
    <t>尼龙/黑色/Ergohuman</t>
  </si>
  <si>
    <t>0102</t>
  </si>
  <si>
    <t>0105</t>
  </si>
  <si>
    <t>0202</t>
  </si>
  <si>
    <t>0202</t>
    <phoneticPr fontId="2" type="noConversion"/>
  </si>
  <si>
    <t>0205</t>
  </si>
  <si>
    <t>0205</t>
    <phoneticPr fontId="2" type="noConversion"/>
  </si>
  <si>
    <t>0302</t>
  </si>
  <si>
    <t>0302</t>
    <phoneticPr fontId="2" type="noConversion"/>
  </si>
  <si>
    <t>0304</t>
  </si>
  <si>
    <t>0304</t>
    <phoneticPr fontId="2" type="noConversion"/>
  </si>
  <si>
    <t>0305</t>
  </si>
  <si>
    <t>0305</t>
    <phoneticPr fontId="2" type="noConversion"/>
  </si>
  <si>
    <t>0306</t>
  </si>
  <si>
    <t>0306</t>
    <phoneticPr fontId="2" type="noConversion"/>
  </si>
  <si>
    <t>0310</t>
  </si>
  <si>
    <t>0310</t>
    <phoneticPr fontId="2" type="noConversion"/>
  </si>
  <si>
    <t>0504</t>
  </si>
  <si>
    <t>0504</t>
    <phoneticPr fontId="2" type="noConversion"/>
  </si>
  <si>
    <t>0801</t>
  </si>
  <si>
    <t>0801</t>
    <phoneticPr fontId="2" type="noConversion"/>
  </si>
  <si>
    <t>0101</t>
  </si>
  <si>
    <t>裁床头枕</t>
  </si>
  <si>
    <t>1200*700*0.8（需钻透气孔）</t>
  </si>
  <si>
    <t>安科</t>
  </si>
  <si>
    <t>Ergohuman/电镀</t>
  </si>
  <si>
    <t>C=C/300*250/CM9001/CM9002/IOO/CM9802/NF/NF(2010)/EHP/EJ</t>
  </si>
  <si>
    <t>K=A/780*665*535/上开/EJS/CM9502/CM9102(外径尺寸)</t>
  </si>
  <si>
    <t>A=A/505*285*170/上开/需钻孔/EJ/EH(外径尺寸)</t>
  </si>
  <si>
    <t>A=A/605*505*285/上开/需切口/CM9502(外径尺寸)</t>
  </si>
  <si>
    <t>M5*16.5总长/头9/煲黑+耐落</t>
  </si>
  <si>
    <t>M5*8总长/头7.8/电着黑+耐落</t>
  </si>
  <si>
    <t>4*18总长/头7.8/电着黑</t>
  </si>
  <si>
    <t>4*10总长/头6.5/无尖/电着黑</t>
  </si>
  <si>
    <t>4*8总长/头6.5/电着黑</t>
  </si>
  <si>
    <t>0301</t>
  </si>
  <si>
    <t>头枕组立</t>
  </si>
  <si>
    <t>5*13总长/头6.5/电着黑</t>
  </si>
  <si>
    <t>M6防滑/M6防松尼帽/黑色</t>
  </si>
  <si>
    <t>M6*37总长/牙长7/头11.6/煲黑+耐落</t>
  </si>
  <si>
    <t>1/4*15/32牙长/头12.5/煲黑+耐落</t>
  </si>
  <si>
    <t>M5*22牙长/头7.8/煲黑+耐落</t>
  </si>
  <si>
    <t>M5*13.2牙长/头7.8/煲黑+耐落</t>
  </si>
  <si>
    <t>M5*18牙长/头7.8 头厚2.8/煲黑+耐落</t>
  </si>
  <si>
    <t>头枕支撑纸托</t>
  </si>
  <si>
    <t>290*150*110mm/CM9102-4</t>
  </si>
  <si>
    <t>扶手旋转定位块弹簧</t>
  </si>
  <si>
    <t>CM8801/弹簧钢/￠1.2*6.4*13/间距1.5/镀锌</t>
  </si>
  <si>
    <t>CM9501￠0.8*4.8*7/镀锌</t>
  </si>
  <si>
    <t>头枕旋转机构弹簧</t>
  </si>
  <si>
    <t>CM9501/￠1.2*10.2*13.2/黑色</t>
  </si>
  <si>
    <t>头枕拉绳</t>
  </si>
  <si>
    <t>ERGOHUMAN/总长1150MM/内长940MM/本色</t>
  </si>
  <si>
    <t>0201</t>
  </si>
  <si>
    <t>车缝头枕</t>
  </si>
  <si>
    <t>扶手调高机构</t>
  </si>
  <si>
    <t>CM9101</t>
  </si>
  <si>
    <t>弹簧固定块</t>
  </si>
  <si>
    <t>CM9101/尼龙加纤/含纤10%/黑色</t>
  </si>
  <si>
    <t>扶手滑动挡块</t>
  </si>
  <si>
    <t>扶手滑动卡块</t>
  </si>
  <si>
    <t>CM9101/尼龙加纤/含纤25%/本色</t>
  </si>
  <si>
    <t>滑动块</t>
  </si>
  <si>
    <t>CM9101/尼龙(POM)/黑色</t>
  </si>
  <si>
    <t>馒头左右滑动固定块橡胶</t>
  </si>
  <si>
    <t>CM8801/PU/黑色</t>
  </si>
  <si>
    <t>头枕内框</t>
  </si>
  <si>
    <t>Ergohuman/耐冲PP/黑色</t>
  </si>
  <si>
    <t>205束80/电镀/三级/壁厚2.5MM/100S/400N/B2-100-440205CCB</t>
  </si>
  <si>
    <t>320*240*100mm/CL9502</t>
  </si>
  <si>
    <t>B=B/300*300/EJ/EH/EJS/EHS/CGM8003</t>
  </si>
  <si>
    <t>350*150*110mm/CM9502</t>
  </si>
  <si>
    <t>扶手旋转定位块</t>
  </si>
  <si>
    <t>CM8801/粉末冶金/本色</t>
  </si>
  <si>
    <t>扶手旋转块</t>
  </si>
  <si>
    <t>CM9601/粉末冶金/本色</t>
  </si>
  <si>
    <t>固定滑动块</t>
  </si>
  <si>
    <t>CM9101/粉末冶金/本色</t>
  </si>
  <si>
    <t>头枕旋转公齿轮</t>
  </si>
  <si>
    <t>Ergohuman/粉末冶金/必须要泡油/本色/新模</t>
  </si>
  <si>
    <t>头枕旋转母齿轮</t>
  </si>
  <si>
    <t>CM9101/铝合金/抛光/右</t>
  </si>
  <si>
    <t>CM9101/铝合金/抛光/左</t>
  </si>
  <si>
    <t>铝合金/AL-L340/抛光</t>
  </si>
  <si>
    <t>珍珠棉管</t>
  </si>
  <si>
    <t>100*67mm/内径53/壁厚7mm/圆形封口/包在椅脚上</t>
  </si>
  <si>
    <t>270*67mm/内径53/壁厚7mm/圆形封口/包在椅脚上</t>
  </si>
  <si>
    <t>CM9101/PU/黑色/右</t>
  </si>
  <si>
    <t>优瑞</t>
  </si>
  <si>
    <t>CM9101/PU/黑色/左</t>
  </si>
  <si>
    <t>头枕插条</t>
  </si>
  <si>
    <t>头枕插条固定盖</t>
  </si>
  <si>
    <t>Enjoy/尼龙/丝印</t>
  </si>
  <si>
    <t>头枕插条基座</t>
  </si>
  <si>
    <t>Enjoy/尼龙/黑色</t>
  </si>
  <si>
    <t>头枕调高弹块</t>
  </si>
  <si>
    <t>ENJOY/尼龙(POM)/白色</t>
  </si>
  <si>
    <t>头枕调高弹块阻挡座</t>
  </si>
  <si>
    <t>扶手机构压块</t>
  </si>
  <si>
    <t>CM9101/尼龙加纤(含纤25%)/黑色/左</t>
  </si>
  <si>
    <t>CM9101/尼龙加纤(含纤25%)/黑色/右</t>
  </si>
  <si>
    <t>扶手前后滑动块</t>
  </si>
  <si>
    <t>CM9601/尼龙加纤/含纤23%/黑色</t>
  </si>
  <si>
    <t>扶手前后滑动下基座</t>
  </si>
  <si>
    <t>Ergohuman/铨友ES-1010/黑色/右/无按钮孔</t>
  </si>
  <si>
    <t>Ergohuman/铨友ES-1010/黑色/左/无按钮孔</t>
  </si>
  <si>
    <t>头枕外框</t>
  </si>
  <si>
    <t>Ergohuman/尼龙加纤新料/含纤25%/黑色/新模</t>
  </si>
  <si>
    <t>3010301002a</t>
    <phoneticPr fontId="2" type="noConversion"/>
  </si>
  <si>
    <t>IOO/NF/SK/泡棉</t>
  </si>
  <si>
    <t>23-1/2"*15-1/2"*1/4"/D226/灰色/60±5°</t>
  </si>
  <si>
    <t>宝龙海绵</t>
  </si>
  <si>
    <t>操作把手转动座弹片</t>
  </si>
  <si>
    <t>CM9001/弹簧钢/黑色</t>
  </si>
  <si>
    <t>弹性调整滑块</t>
  </si>
  <si>
    <t>CF9618/黑色</t>
  </si>
  <si>
    <t>CF9618/钢/黑色</t>
  </si>
  <si>
    <t>扶手调高弹片</t>
  </si>
  <si>
    <t>CM8801/弹簧钢/黑色</t>
  </si>
  <si>
    <t>后仰弹簧固定铁片</t>
  </si>
  <si>
    <t>CF9618/电着黑</t>
  </si>
  <si>
    <t>后仰锁定固定铁片</t>
  </si>
  <si>
    <t>CF9618/钢/黑色/需热处理/最新</t>
  </si>
  <si>
    <t>后仰锁定基座固定块</t>
  </si>
  <si>
    <t>CF9618/38*8*3/钢/镀锌</t>
  </si>
  <si>
    <t>后仰下压顶块下基座</t>
  </si>
  <si>
    <t>CF9618/钢/38*13*3/镀锌</t>
  </si>
  <si>
    <t>K=A/680*580*650/上开/EJE(外径尺寸)</t>
  </si>
  <si>
    <t>A=A/330*290*135/上开/需钻孔/EH(2010)/EJE/IOO(外径尺寸)</t>
  </si>
  <si>
    <t>P头十字</t>
  </si>
  <si>
    <t>4*10总长/头6.5/牙长4/钢牙/镀锌</t>
  </si>
  <si>
    <t>4*10总长/头6.5/钢牙/镀锌</t>
  </si>
  <si>
    <t>￠3.2*26/钢/镀锌/开口插销</t>
  </si>
  <si>
    <t>￠3.2*18.5/钢/镀锌/开口插销</t>
  </si>
  <si>
    <t>￠3.2*28/镀锌</t>
  </si>
  <si>
    <t>￠4*29/镀锌</t>
  </si>
  <si>
    <t>M5*20总长/头9/煲黑+耐落</t>
  </si>
  <si>
    <t>M5*18总长/头8.5/电着黑+耐落</t>
  </si>
  <si>
    <t>5*13总长/头7/煲黑</t>
  </si>
  <si>
    <t>5*18总长/头7.5/电着黑</t>
  </si>
  <si>
    <t>5*10总长/头7.8/镀锌</t>
  </si>
  <si>
    <t>4*12总长/头6.5/镀锌</t>
  </si>
  <si>
    <t>4*15总长/头6.5/镀锌</t>
  </si>
  <si>
    <t>3.6*8.5总长/头6.5/镀锌</t>
  </si>
  <si>
    <t>￠8.3*12.5*2/镀锌</t>
  </si>
  <si>
    <t>3/8"*9/32"防松螺母/镀锌/正牙</t>
  </si>
  <si>
    <t>3/8"*9/32"防松螺母/五彩/反牙</t>
  </si>
  <si>
    <t>1/4*3/4牙长/头12.5/镀锌+耐落</t>
  </si>
  <si>
    <t>1/4*1/2牙长/头11.5/镀锌+耐落</t>
  </si>
  <si>
    <t>M10*22.5总长/牙长12/头17/SCM435/镀锌+耐落</t>
  </si>
  <si>
    <t>M5*22.2总长/牙长13.5/头10/镀锌+耐落</t>
  </si>
  <si>
    <t>M8*23.1总长/牙长11/头16/10B21/镀锌+耐落</t>
  </si>
  <si>
    <t>M8*25牙长/头12.5厚4/孔5/SCM435/镀锌+耐落</t>
  </si>
  <si>
    <t>M8*25.5总长/牙长12/头20/SCM435/镀锌+耐落</t>
  </si>
  <si>
    <t>M8*26.6总长/牙长6.5/头14.9/SCM435/电着黑+耐落</t>
  </si>
  <si>
    <t>M5*12牙长/头7.8/镀锌+耐落</t>
  </si>
  <si>
    <t>M5*12牙长/头7.8/电着黑+耐落</t>
  </si>
  <si>
    <t>气压棒扳动杆内轴</t>
  </si>
  <si>
    <t>CF9618/￠5.8*31/钢/镀锌</t>
  </si>
  <si>
    <t>伞头十字大扁头</t>
  </si>
  <si>
    <t>1/4*1/2牙长/头15/镀锌+防滑耐落</t>
  </si>
  <si>
    <t>4*7总长/头6.5 /钢牙/镀锌</t>
  </si>
  <si>
    <t>4*12总长/头8/镀锌</t>
  </si>
  <si>
    <t>4*10总长/头8.8/镀锌</t>
  </si>
  <si>
    <t>5*10总长/头8.8/镀锌</t>
  </si>
  <si>
    <t>CM9002黑色框/全黑扳手/EJ-2010-EBW-AP1</t>
  </si>
  <si>
    <t>CM9807</t>
  </si>
  <si>
    <t>座右垫高棉</t>
  </si>
  <si>
    <t>CM9807-1/黑色/60±5°</t>
  </si>
  <si>
    <t>座左垫高棉</t>
  </si>
  <si>
    <t>440*360*1.5（需钻透气孔）</t>
  </si>
  <si>
    <t>后仰锁定基座弹簧</t>
  </si>
  <si>
    <t>CF9618/￠1*8.5*21/黑色</t>
  </si>
  <si>
    <t>后仰下压顶块弹簧</t>
  </si>
  <si>
    <t>CF9618/￠0.6*8*12/黑色</t>
  </si>
  <si>
    <t>CM8801/￠0.8*6.4*45.6/弹簧钢/黑色</t>
  </si>
  <si>
    <t>后仰锁定上基座</t>
  </si>
  <si>
    <t>CM8004/PU/黑色</t>
  </si>
  <si>
    <t>CM9807/总长2120MM/内长1820MM/本色</t>
  </si>
  <si>
    <t>L标</t>
  </si>
  <si>
    <t>直径为25MM/黑色/布</t>
  </si>
  <si>
    <t>R标</t>
  </si>
  <si>
    <t>直径为25MM/红色/布</t>
  </si>
  <si>
    <t>CM8002/英文</t>
  </si>
  <si>
    <t>弹性调整螺杆垫片</t>
  </si>
  <si>
    <t>CM8801/￠10.5*20*0.5/镀锌</t>
  </si>
  <si>
    <t>背连接杆固定螺丝塑胶套</t>
  </si>
  <si>
    <t>CM8801/尼龙(POM90新料)/黑色</t>
  </si>
  <si>
    <t>背连接杆小盖</t>
  </si>
  <si>
    <t>CM8801/PP/黑色（需标记）/右</t>
  </si>
  <si>
    <t>CM8801/PP/黑色（需标记）/左</t>
  </si>
  <si>
    <t>单杆操作把手橡胶塞</t>
  </si>
  <si>
    <t>CM9001/尼龙(TPR)(50°)/黑色</t>
  </si>
  <si>
    <t>弹力调整母齿轮定位垫圈-1</t>
  </si>
  <si>
    <t>CF9618/尼龙(POM)/黑色</t>
  </si>
  <si>
    <t>座深卡块</t>
  </si>
  <si>
    <t>CM9001/尼龙加纤新料/含纤25%/黑色</t>
  </si>
  <si>
    <t>座深卡块基座</t>
  </si>
  <si>
    <t>座支撑架前螺杆套-1</t>
  </si>
  <si>
    <t>经编布</t>
  </si>
  <si>
    <t>A24337黑色/A级/60"</t>
  </si>
  <si>
    <t>骐崴布业</t>
  </si>
  <si>
    <t>操作把手小盖</t>
  </si>
  <si>
    <t>CM9001/PP+尼龙(TPR)/黑色</t>
  </si>
  <si>
    <t>扶手旋转基座上盖片</t>
  </si>
  <si>
    <t>CM8801/PP/黑色</t>
  </si>
  <si>
    <t>扶手支撑架防摇块</t>
  </si>
  <si>
    <t>CM8801/尼龙(POM)/黑色</t>
  </si>
  <si>
    <t>馒头滑动橡胶块</t>
  </si>
  <si>
    <t>CM9807/PP/黑色</t>
  </si>
  <si>
    <t>后仰弹簧</t>
  </si>
  <si>
    <t>CF9618/￠6.5*39.5*112/弹簧钢</t>
  </si>
  <si>
    <t>上精工</t>
  </si>
  <si>
    <t>CM9001/黑色</t>
  </si>
  <si>
    <t>背连接杆连动块</t>
  </si>
  <si>
    <t>CM9001/铝合金/抛光</t>
  </si>
  <si>
    <t>底盘铝座</t>
  </si>
  <si>
    <t>CF9618/铝合金/黑色喷粉（不钻说明书盒孔）</t>
  </si>
  <si>
    <t>扶手支撑架</t>
  </si>
  <si>
    <t>CM8801/铝合金/抛光/左</t>
  </si>
  <si>
    <t>CM8801/铝合金/抛光/右</t>
  </si>
  <si>
    <t>630*230*116mm/EJ2010-1</t>
  </si>
  <si>
    <t>蜂窝纸</t>
  </si>
  <si>
    <t>85*60*120/长方体/纱管纸</t>
  </si>
  <si>
    <t>300*110*90mm/CM9807</t>
  </si>
  <si>
    <t>140*69mm/内径53/壁厚8mm/圆形封口/CM8801</t>
  </si>
  <si>
    <t>K=A/630*530*255/上开/倒浪/需切口/EH(2010)/EJ(2010)(外径尺寸)</t>
  </si>
  <si>
    <t>514*230*91mm/右/EJ2010-3</t>
  </si>
  <si>
    <t>514*230*91mm/左/EJ2010-4</t>
  </si>
  <si>
    <t>底盘右支撑架</t>
  </si>
  <si>
    <t>CM8801/尼龙加纤（含纤25﹪）/黑色</t>
  </si>
  <si>
    <t>底盘左支撑架</t>
  </si>
  <si>
    <t>背连接杆螺杆套</t>
  </si>
  <si>
    <t>弹性调整母齿轮</t>
  </si>
  <si>
    <t>CF9618/粉末冶金/本色（需热处理）</t>
  </si>
  <si>
    <t>扶手调高定位块</t>
  </si>
  <si>
    <t>扶手旋转固定块</t>
  </si>
  <si>
    <t>座支撑架后螺杆套</t>
  </si>
  <si>
    <t>座支撑架前螺杆套</t>
  </si>
  <si>
    <t>CM9001-2/铝合金/抛光/留电脑板孔</t>
  </si>
  <si>
    <t>PVC袋</t>
  </si>
  <si>
    <t>9*9.3CM</t>
  </si>
  <si>
    <t>一为纸品制造</t>
  </si>
  <si>
    <t>贴纸</t>
  </si>
  <si>
    <t>CM8003/黑色/座支撑架后螺杆套固定螺丝贴纸/16.5*0.3MM</t>
  </si>
  <si>
    <t>操作把手上盖</t>
  </si>
  <si>
    <t>CM9001/尼龙新料/黑色</t>
  </si>
  <si>
    <t>操作把手下盖</t>
  </si>
  <si>
    <t>CM9001/尼龙加纤/含纤25%/黑色</t>
  </si>
  <si>
    <t>操作把手转动座+操作把手(一体)</t>
  </si>
  <si>
    <t>CM9001抛光操作把手/CM9001黑色操作把转动座(含铆钉)</t>
  </si>
  <si>
    <t>弹性调整螺杆调节固定块</t>
  </si>
  <si>
    <t>CF9618/尼龙加纤(含纤25%)/黑色</t>
  </si>
  <si>
    <t>底盘弹力调整把手小盖</t>
  </si>
  <si>
    <t>CM8801/尼龙加纤(含纤25%)/黑色</t>
  </si>
  <si>
    <t>底盘弹力调整把手旋钮</t>
  </si>
  <si>
    <t>CF9618/PP/黑色</t>
  </si>
  <si>
    <t>底盘左支撑架小盖</t>
  </si>
  <si>
    <t>CM8801/尼龙加纤/含纤25%/黑色</t>
  </si>
  <si>
    <t>CM8801/尼龙/黑色</t>
  </si>
  <si>
    <t>CM8801/尼龙加纤(含纤25%)/黑色/左</t>
  </si>
  <si>
    <t>CM8801/尼龙加纤(含纤25%)/黑色/右</t>
  </si>
  <si>
    <t>CM9601/聚甲醛/白色</t>
  </si>
  <si>
    <t>TP-2860U/尼龙+PU/全黑</t>
  </si>
  <si>
    <t>馒头前后滑动下基座</t>
  </si>
  <si>
    <t>腰垫</t>
  </si>
  <si>
    <t>ENJOY/PVC/硬度90°/黑色</t>
  </si>
  <si>
    <t>座深卡块基座小盖</t>
  </si>
  <si>
    <t>CM8003/尼龙加纤新料/含纤25%/黑色/单杆</t>
  </si>
  <si>
    <t>￠4.5*28.5/镀锌</t>
  </si>
  <si>
    <t>弹性调整轴承</t>
  </si>
  <si>
    <t>CF9618/钢/镀锌</t>
  </si>
  <si>
    <t>后仰控制螺杆</t>
  </si>
  <si>
    <t>CF9618/正反牙/钢/黑色/热处理</t>
  </si>
  <si>
    <t>3/8*1-11/32总长/牙长14.5/头13/杆长17/反牙/孔5/中碳钢/五彩+耐</t>
  </si>
  <si>
    <t>3/8*1-11/32总长/牙长14.5/头13/杆长17/正牙/孔5/中碳钢/镀锌+耐</t>
  </si>
  <si>
    <t>弹力调整螺杆套固定块</t>
  </si>
  <si>
    <t>底盘弹力调整把手+调整旋钮(一体)</t>
  </si>
  <si>
    <t>CM8801/尼龙加纤(含纤25%)/黑色(白色丝印)/黑色旋钮/黑色插销</t>
  </si>
  <si>
    <t>底盘弹力调整固定螺杆</t>
  </si>
  <si>
    <t>底盘铝座右塑胶盖</t>
  </si>
  <si>
    <t>CF9618/尼龙加纤/含纤25﹪/黑色</t>
  </si>
  <si>
    <t>底盘铝座左塑胶盖</t>
  </si>
  <si>
    <t>扶手按钮基座</t>
  </si>
  <si>
    <t>CM8801/尼龙加纤(含纤25%)/灰色</t>
  </si>
  <si>
    <t>扶手调高固定座</t>
  </si>
  <si>
    <t>CM8801/尼龙加纤(含纤25%)/灰色/左</t>
  </si>
  <si>
    <t>CM8801/尼龙加纤(含纤25%)/灰色/右</t>
  </si>
  <si>
    <t>扶手旋转基座</t>
  </si>
  <si>
    <t>后仰弹簧固定座</t>
  </si>
  <si>
    <t>CF9618/尼龙加纤/含纤25%/黑色/左</t>
  </si>
  <si>
    <t>CF9618/尼龙加纤/含纤25%/黑色/右</t>
  </si>
  <si>
    <t>后仰弹力调节固定块</t>
  </si>
  <si>
    <t>CF9618/尼龙加纤(含纤23%)/黑色</t>
  </si>
  <si>
    <t>后仰拉绳固定块</t>
  </si>
  <si>
    <t>后仰锁定弹块</t>
  </si>
  <si>
    <t>后仰锁定下基座</t>
  </si>
  <si>
    <t>后仰锁定下压顶块</t>
  </si>
  <si>
    <t>后仰下压顶块上基座</t>
  </si>
  <si>
    <t>CF9618/尼龙加纤/含纤27%/黑色</t>
  </si>
  <si>
    <t>馒头前后滑动上基座</t>
  </si>
  <si>
    <t>馒头左右滑动固定块</t>
  </si>
  <si>
    <t>气压棒拉绳固定块</t>
  </si>
  <si>
    <t>香菇头</t>
  </si>
  <si>
    <t>CM8801/尼龙加纤(含纤25%)/透明/实心</t>
  </si>
  <si>
    <t>CM9807/尼龙加纤/含纤23%/黑色</t>
  </si>
  <si>
    <t>弹性调整公齿轮螺杆+公齿轮（一体）</t>
  </si>
  <si>
    <t>CM8801/钢/黑色（打好弹性调整公齿轮）</t>
  </si>
  <si>
    <t>众成（鑫辰）</t>
  </si>
  <si>
    <t>CM9002/英文</t>
  </si>
  <si>
    <t>弹性调整公齿轮螺杆+公齿轮（一体）</t>
    <phoneticPr fontId="2" type="noConversion"/>
  </si>
  <si>
    <t>背上支撑纸托</t>
  </si>
  <si>
    <t>630*230*141mm/EJ2010-2</t>
  </si>
  <si>
    <t>K=A/810*580*650/上开/CM9002/EJ(2010)(外径尺寸)</t>
  </si>
  <si>
    <t>KG</t>
    <phoneticPr fontId="2" type="noConversion"/>
  </si>
  <si>
    <t>K=A/660*535*665/上开/CM8102(外径尺寸)</t>
  </si>
  <si>
    <t>A=A/660*230*420/地盖/CM9101/9102(外径尺寸)</t>
  </si>
  <si>
    <t>5*13总长/头7/镀锌</t>
  </si>
  <si>
    <t>支撑纸托</t>
  </si>
  <si>
    <t>403*300*115mm/CM9102-1</t>
  </si>
  <si>
    <t>403*300*116mm/CM9102-2</t>
  </si>
  <si>
    <t>A=A/520*520*300/上开/需切口/CM9101(外径尺寸)</t>
  </si>
  <si>
    <t>CM8102/英文</t>
  </si>
  <si>
    <t>CM9102/尼龙(POM)/黑色</t>
  </si>
  <si>
    <t>CM9101/黑色</t>
  </si>
  <si>
    <t>CM9102/PU/黑色/右</t>
  </si>
  <si>
    <t>CM9102/PU/黑色/左</t>
  </si>
  <si>
    <t>CM9101操作把手+丝印/CM9001黑色操作把转动座(含铆钉)</t>
  </si>
  <si>
    <t>TP-2860/尼龙/全黑</t>
  </si>
  <si>
    <t>调整把手基座塑胶盖</t>
  </si>
  <si>
    <t>SN-501/尼龙/银色</t>
  </si>
  <si>
    <t>CM9101/尼龙加纤/含纤25%/黑色/新模</t>
  </si>
  <si>
    <t>1.EJ-LAM耐龙脚(10170307c04)</t>
    <phoneticPr fontId="2" type="noConversion"/>
  </si>
  <si>
    <t>2.EJ-HAM（CM9101扶手）-10460314c04</t>
    <phoneticPr fontId="2" type="noConversion"/>
  </si>
  <si>
    <t>3.EJE-LAM（10610101c04）</t>
    <phoneticPr fontId="2" type="noConversion"/>
  </si>
  <si>
    <t>4.EJE-HAM(10620101c04)</t>
    <phoneticPr fontId="2" type="noConversion"/>
  </si>
  <si>
    <t>5.EJS-LAM(10710101c04)</t>
    <phoneticPr fontId="2" type="noConversion"/>
  </si>
  <si>
    <t>A=A/520*505*300/上开/需切口/EJS/CM9101-2(外径尺寸)</t>
  </si>
  <si>
    <t>CM9102/英文</t>
  </si>
  <si>
    <t>270*236*85mm/CM9801-6</t>
  </si>
  <si>
    <t>410*200*90mm/CM9101-1</t>
  </si>
  <si>
    <t>6.EJS-HAM(10700101c04)</t>
    <phoneticPr fontId="2" type="noConversion"/>
  </si>
  <si>
    <t>C3C/320*200/EJB/IOOB</t>
  </si>
  <si>
    <t>K=A/1175*650/需切口/CM9105</t>
  </si>
  <si>
    <t>K=A/744(+0,-2)*580*650/上开/EHB(外径尺寸)</t>
  </si>
  <si>
    <t>M5*9总长/头7.5/电着黑+耐落</t>
  </si>
  <si>
    <t>5*20总长/头8.8/煲黑</t>
  </si>
  <si>
    <t>5*10总长/头7.8/电着黑</t>
  </si>
  <si>
    <t>￠8.5*19*1.5/黑色</t>
  </si>
  <si>
    <t>M8*15牙长/头16/M5孔/SCM435/电着黑+防滑+耐落</t>
  </si>
  <si>
    <t>伞头十字小扁头</t>
  </si>
  <si>
    <t>M5*4.5牙长/头8.8/煲黑+耐落</t>
  </si>
  <si>
    <t>5*10总长/头7.5/镀锌</t>
  </si>
  <si>
    <t>CM9104/CM9105/(M5全黑扳手/T型)/EJB/IOOB-EBW-AP1</t>
  </si>
  <si>
    <t>底盘</t>
  </si>
  <si>
    <t>SL-5588-LC-3/三档</t>
  </si>
  <si>
    <t>635*365*0.8（需钻透气孔）</t>
  </si>
  <si>
    <t>A=A/520*520*270/上开/需切口/CM9104(外径尺寸)</t>
  </si>
  <si>
    <t>扶手固定铁片</t>
  </si>
  <si>
    <t>CM9104</t>
  </si>
  <si>
    <t>CM9105-1/钢+尼龙加纤/含纤5%/黑色(新模)</t>
  </si>
  <si>
    <t>CM9104-1/总长344.7mm/黑色</t>
  </si>
  <si>
    <t>201*80*210/长方体/纱管纸</t>
  </si>
  <si>
    <t>A=A/440*300*200/上开/需切口/CMF91702（外径尺寸）</t>
  </si>
  <si>
    <t>CM8105/粉末冶金/本色</t>
  </si>
  <si>
    <t>CM8105-1/EJB-WB/英文</t>
  </si>
  <si>
    <t>CM9104/PU/黑色</t>
  </si>
  <si>
    <t>底盘大胶壳</t>
  </si>
  <si>
    <t>CM9104-1/PP/黑色</t>
  </si>
  <si>
    <t>底盘小胶壳</t>
  </si>
  <si>
    <t>CM8601-1/尼龙/黑色</t>
  </si>
  <si>
    <t>CM8601-1/PP/黑色</t>
  </si>
  <si>
    <t>CM9105/尼龙/黑色/左</t>
  </si>
  <si>
    <t>CM9105/尼龙/黑色/右</t>
  </si>
  <si>
    <t>CM8601-1/尼龙/黑色/左</t>
  </si>
  <si>
    <t>CM8601-1/尼龙/黑色/右</t>
  </si>
  <si>
    <t>CM9104/尼龙加纤(含纤25%)/黑色</t>
  </si>
  <si>
    <t>座支撑架小盖</t>
  </si>
  <si>
    <t>CM9104/PP/黑色/左</t>
  </si>
  <si>
    <t>CM9104/PP/黑色/右</t>
  </si>
  <si>
    <t>7.EJB-WB-LAM(10780103c04)</t>
    <phoneticPr fontId="2" type="noConversion"/>
  </si>
  <si>
    <t>背L铁</t>
  </si>
  <si>
    <t>金卓B02/黑色/带升降</t>
  </si>
  <si>
    <t>馒头固定铁片</t>
  </si>
  <si>
    <t>AE101/电着黑</t>
  </si>
  <si>
    <t>K=A/725*530*650/上开/EJ(外径尺寸)</t>
  </si>
  <si>
    <t>CT-LAM螺丝包1</t>
  </si>
  <si>
    <t>CT系列/EJ-A02系列(背L铁螺丝)</t>
  </si>
  <si>
    <t>CT-LAM螺丝包2</t>
  </si>
  <si>
    <t>CT系列(扶手螺丝)</t>
  </si>
  <si>
    <t>CT-LAM螺丝包3</t>
  </si>
  <si>
    <t>M5*28*80/全黑/包塑胶扳手</t>
  </si>
  <si>
    <t>4*19总长/头6.5/电着黑</t>
  </si>
  <si>
    <t>1/4*3/8牙长/头10.6/煲黑+耐落</t>
  </si>
  <si>
    <t>1/4*1牙长/头11/镀锌+耐落</t>
  </si>
  <si>
    <t>SN-6835(需调角度)</t>
  </si>
  <si>
    <t>AE101/左</t>
  </si>
  <si>
    <t>AE101/右</t>
  </si>
  <si>
    <t>组立图</t>
  </si>
  <si>
    <t>A4/黑白/英文/CT-LAM</t>
  </si>
  <si>
    <t>背钢板塑胶壳</t>
  </si>
  <si>
    <t>PP/黑色/SN6835-4</t>
  </si>
  <si>
    <t>保利龙</t>
  </si>
  <si>
    <t>15公斤/200*150*80/长方体/CT-LAM</t>
  </si>
  <si>
    <t>15公斤/170*100*80/长方体/CT</t>
  </si>
  <si>
    <t>15公斤/500*265*40/长方体/右/CT</t>
  </si>
  <si>
    <t>15公斤/500*265*40/长方体/左/CT</t>
  </si>
  <si>
    <t>C3/250*180/VP/VPX/5504-2/3/4/5/EJ/CT/CNM8003</t>
  </si>
  <si>
    <t>ERGOUHMAN/铝合金/烤银色/需钻孔</t>
  </si>
  <si>
    <t>8.EJ-A02 (10170331c04)</t>
    <phoneticPr fontId="2" type="noConversion"/>
  </si>
  <si>
    <t>C=C/560*630/需压痕/CT/EHS</t>
  </si>
  <si>
    <t>K=A/850*530*650/上开/EJ(外径尺寸)</t>
  </si>
  <si>
    <t>A=A/425*285*200/上开/需钻孔/EJ(外径尺寸)</t>
  </si>
  <si>
    <t>A4/黑白/英文/CT-HAM</t>
  </si>
  <si>
    <t>15公斤/345*180*110/需切口/CT</t>
  </si>
  <si>
    <t>9.EJ-B02 (10170328c04)</t>
    <phoneticPr fontId="2" type="noConversion"/>
  </si>
  <si>
    <t>K=A/660*550*665/上开/CM8101(外径尺寸)</t>
  </si>
  <si>
    <t>￠2.2*35.8/煲黑/实心</t>
  </si>
  <si>
    <t>￠3.2*32.5/煲黑/开口</t>
  </si>
  <si>
    <t>M5*12总长/头7.5/电着黑+耐落</t>
  </si>
  <si>
    <t>0303</t>
  </si>
  <si>
    <t>腰垫组立</t>
  </si>
  <si>
    <t>M6*77.5总长/牙长8/头10.6/煲黑+耐落</t>
  </si>
  <si>
    <t>1/4*5/8牙长/头12.5/煲黑+耐落</t>
  </si>
  <si>
    <t>M6*38总长/牙长8/头11.6/电着黑+红色耐落</t>
  </si>
  <si>
    <t>EH-HAM/LAM(M5丝印扳手/T型)/EH-EBW-SP1/EHG-EBW-SP1</t>
  </si>
  <si>
    <t>腰垫高泡棉</t>
  </si>
  <si>
    <t>0503</t>
  </si>
  <si>
    <t>粘贴腰垫</t>
  </si>
  <si>
    <t>背调高把手弹簧</t>
  </si>
  <si>
    <t>￠0.7*4.7*7/黑色</t>
  </si>
  <si>
    <t>A=A/520*535*300/上开/需切口/CM9101-3(外径尺寸)</t>
  </si>
  <si>
    <t>ERGOUHMAN总长1600MM/内长1500MM/本色</t>
  </si>
  <si>
    <t>腰拉绳</t>
  </si>
  <si>
    <t>ERGOUHMAN/总长1330MM/内长1180MM/本色</t>
  </si>
  <si>
    <t>0204</t>
  </si>
  <si>
    <t>车缝腰垫</t>
  </si>
  <si>
    <t>CM8101/英文</t>
  </si>
  <si>
    <t>弹簧固定座内盖</t>
  </si>
  <si>
    <t>ERGOUHMAN/尼龙/黑色</t>
  </si>
  <si>
    <t>弹簧塑胶杆+弹簧固定座组立成品</t>
  </si>
  <si>
    <t>CM9501/尼龙加纤/含纤25%/黑色/Ergohuman/尼龙/黑色</t>
  </si>
  <si>
    <t>ERGOHUMAN/PP/黑色</t>
  </si>
  <si>
    <t>腰内框</t>
  </si>
  <si>
    <t>ERGOUHMAN/PP-XY-2006料/黑色</t>
  </si>
  <si>
    <t>背调高把手</t>
  </si>
  <si>
    <t>Ergohuman/锌合金/电镀</t>
  </si>
  <si>
    <t>背支撑架</t>
  </si>
  <si>
    <t>Ergohuman/铝合金/抛光/孔16mm</t>
  </si>
  <si>
    <t>背后横把手</t>
  </si>
  <si>
    <t>Ergohuman/尼龙/黑色</t>
  </si>
  <si>
    <t>TP-2365U/全黑</t>
  </si>
  <si>
    <t>ERGOUHMAN/尼龙加纤/含纤25%/黑色/新模</t>
  </si>
  <si>
    <t>背与腰连接机构</t>
  </si>
  <si>
    <t>CM9501/尼龙新料/黑色</t>
  </si>
  <si>
    <t>腰外框</t>
  </si>
  <si>
    <t>ERGOUHMAN/尼龙加纤/含纤23%/黑色</t>
  </si>
  <si>
    <t>腰与背连接机构</t>
  </si>
  <si>
    <t>CM9501/尼龙/黑色</t>
  </si>
  <si>
    <t>10.EHS-LAM(10690101c04)</t>
    <phoneticPr fontId="2" type="noConversion"/>
  </si>
  <si>
    <t>A=A/815*230*420/地盖/CM9101(外径尺寸)</t>
  </si>
  <si>
    <t>410*200*140mm/CM9102-3</t>
  </si>
  <si>
    <t>CM9101/英文</t>
  </si>
  <si>
    <t>K=A/752.5*570/需切口/CM9101</t>
  </si>
  <si>
    <t>K=A/825*535*665/上开/CM9101(外径尺寸)</t>
  </si>
  <si>
    <t>Ergohuman/高头枕/尼龙加纤/含纤25%/黑色</t>
  </si>
  <si>
    <t>头枕支撑座加横把手</t>
  </si>
  <si>
    <t>11.EHS-HAM(10680101c04)</t>
    <phoneticPr fontId="2" type="noConversion"/>
  </si>
  <si>
    <t>C=C/530*150/需压痕:75+75/CM9802/EJ/EH</t>
  </si>
  <si>
    <t>K=A/830*535*670/侧开/CM9501(外径尺寸)</t>
  </si>
  <si>
    <t>A=A/805*365*420/地盖/CM9501(外径尺寸)</t>
  </si>
  <si>
    <t>A=A/410*285*210/上开/需钻孔/EJ/EH/CT/CTG(外径尺寸)</t>
  </si>
  <si>
    <t>20.5*14CM/彩色/英文/EROHUMAN 红头</t>
  </si>
  <si>
    <t>12.EH-HAM-CM91010扶手 (10450321c04)</t>
    <phoneticPr fontId="2" type="noConversion"/>
  </si>
  <si>
    <t>A=A/400*200/GN/EHS</t>
  </si>
  <si>
    <t>K=A/1040*860/需切口/CM81503</t>
  </si>
  <si>
    <t>5*13总长/头7.8/无尖/电着黑</t>
  </si>
  <si>
    <t>EHB-HAM/LAM(M5丝印扳手/T型)/EHB-EBW-SP1</t>
  </si>
  <si>
    <t>SL-5588-LC-7/四档</t>
  </si>
  <si>
    <t>205束60/电镀/三级/壁厚2.5MM/100S/400N/B2-100-440207CCA</t>
  </si>
  <si>
    <t>180*150*110/长方体/纱管纸</t>
  </si>
  <si>
    <t>CM9501-1/铝合金/抛光/螺丝孔16mm</t>
  </si>
  <si>
    <t>CM81503/EHB-WB/英文</t>
  </si>
  <si>
    <t>滑座挡块</t>
  </si>
  <si>
    <t>CM81503/PP(ABS)/黑色</t>
  </si>
  <si>
    <t>托盘上盖</t>
  </si>
  <si>
    <t>铝合金/CM8003/抛光</t>
  </si>
  <si>
    <t>珠诚</t>
  </si>
  <si>
    <t>13.EHB-WB-LAM(10880101c04)</t>
    <phoneticPr fontId="2" type="noConversion"/>
  </si>
  <si>
    <t>K=A/346*260/需切口/CM8502</t>
  </si>
  <si>
    <t>K=A/1066*620/需切口/CM8001</t>
  </si>
  <si>
    <t>C=C/620*460/EJ/EJG</t>
  </si>
  <si>
    <t>K=A/680*580*660/上开/CM8001/EH(2010)(外径尺寸)</t>
  </si>
  <si>
    <t>A=A/665*370*400/地盖/EH(2010)(外径尺寸)</t>
  </si>
  <si>
    <t>A=A/630*545*255/上开/需切口/EH(2010)(外径尺寸)</t>
  </si>
  <si>
    <t>CM9001/丝印扳手/EH-2010-EBW-SP1</t>
  </si>
  <si>
    <t>CM9002/PU/黑色/左</t>
  </si>
  <si>
    <t>CM9002/PU/黑色/右</t>
  </si>
  <si>
    <t>CM8001/英文</t>
  </si>
  <si>
    <t>CM9001/尼龙加纤(含纤25%)/黑色/左</t>
  </si>
  <si>
    <t>CM9001/尼龙加纤(含纤25%)/黑色/右</t>
  </si>
  <si>
    <t>14.EH-2010-B-LAM(10590101c04)</t>
    <phoneticPr fontId="2" type="noConversion"/>
  </si>
  <si>
    <t>K=A/806*720/需切口/CM9001</t>
  </si>
  <si>
    <t>K=A/866*815/需切口/CM9807-2</t>
  </si>
  <si>
    <t>K=A/825*580*650/上开/EH(2010)(外径尺寸)</t>
  </si>
  <si>
    <t>M6*77.5总长/牙长8/头10.6/电着黑+耐落</t>
  </si>
  <si>
    <t>CM9001/英文</t>
  </si>
  <si>
    <t>630*246*143mm/CM9001</t>
  </si>
  <si>
    <t>100*100*140/长方体/纱管纸</t>
  </si>
  <si>
    <t>210*100*200/有切口/纱管纸</t>
  </si>
  <si>
    <t>15.EH-2010-B-HAM(10600101c04)</t>
    <phoneticPr fontId="2" type="noConversion"/>
  </si>
  <si>
    <t>￠5.8*50/钢/镀锌/实心</t>
  </si>
  <si>
    <t>0901</t>
  </si>
  <si>
    <t>脚踏组立</t>
  </si>
  <si>
    <t>￠3.2*7总长/钢/本色/开口</t>
  </si>
  <si>
    <t>5*23总长/头7/电着黑</t>
  </si>
  <si>
    <t>5*15总长/头6.5/电着黑</t>
  </si>
  <si>
    <t>M6*54.5/牙长5/头11.5/镀锌+耐落</t>
  </si>
  <si>
    <t>6*28总长/头8.8/电着黑</t>
  </si>
  <si>
    <t>珍珠棉</t>
  </si>
  <si>
    <t>220*60*35mm/长方体/CM9807/40kg级高密度珍珠棉</t>
  </si>
  <si>
    <t>脚踏锁定机构弹簧</t>
  </si>
  <si>
    <t>￠0.4*2.2*10/黑色</t>
  </si>
  <si>
    <t>弹弓钢珠无头螺丝</t>
  </si>
  <si>
    <t>M8*17</t>
  </si>
  <si>
    <t>佳帆</t>
  </si>
  <si>
    <t>脚踏说明书</t>
  </si>
  <si>
    <t>CM9807-1/英文/EHPE/EH-2010/EHP</t>
  </si>
  <si>
    <t>警告标</t>
  </si>
  <si>
    <t>躺舒宝/英文</t>
  </si>
  <si>
    <t>脚踏锁定机构弹簧顶块</t>
  </si>
  <si>
    <t>CM9807-1/钢/本色</t>
  </si>
  <si>
    <t>脚踏内框（网/左）</t>
  </si>
  <si>
    <t>CM9801/尼龙/黑色</t>
  </si>
  <si>
    <t>脚踏主支撑架卡块</t>
  </si>
  <si>
    <t>CM9807-1/尼龙/黑色</t>
  </si>
  <si>
    <t>脚踏主固定块</t>
  </si>
  <si>
    <t>CM9807-1/铝合金/黑色喷粉</t>
  </si>
  <si>
    <t>脚踏主支撑架</t>
  </si>
  <si>
    <t>CM9807-1/铝合金/抛光/左</t>
  </si>
  <si>
    <t>CM9807-1/铝合金/抛光/右</t>
  </si>
  <si>
    <t>脚踏主旋转卡档</t>
  </si>
  <si>
    <t>CM9807-1/粉末冶金/本色</t>
  </si>
  <si>
    <t>卡档插销固定块</t>
  </si>
  <si>
    <t>CM9807-1/粉末冶金/本色/热处理</t>
  </si>
  <si>
    <t>脚踏内框（网/右）</t>
  </si>
  <si>
    <t>脚踏外框（网）</t>
  </si>
  <si>
    <t>CM9801/尼龙加纤/含纤30%/黑色</t>
  </si>
  <si>
    <t>脚踏主把手</t>
  </si>
  <si>
    <t>CM9807-1/尼龙加纤(含纤25%)+铁/黑色/左</t>
  </si>
  <si>
    <t>CM9807-1/尼龙加纤(含纤25%)+铁/黑色/右</t>
  </si>
  <si>
    <t>脚踏主护套</t>
  </si>
  <si>
    <t>CM9807-1/尼龙(POM/瑜进M90)/黑色/左</t>
  </si>
  <si>
    <t>CM9807-1/尼龙(POM/瑜进M90)/黑色/右</t>
  </si>
  <si>
    <t>16.EH-2010-B-HAM+LM(10600104c04)</t>
    <phoneticPr fontId="2" type="noConversion"/>
  </si>
  <si>
    <t>1500*750*0.8（需钻透气孔）</t>
  </si>
  <si>
    <t>背电池盒导电片</t>
  </si>
  <si>
    <t>CM81701/铜片/本色</t>
  </si>
  <si>
    <t>背连接杆加固铁片</t>
  </si>
  <si>
    <t>CM81601/45#钢/热处理40°/电着黑/右</t>
  </si>
  <si>
    <t>CM81601/45#钢/热处理40°/电着黑/左</t>
  </si>
  <si>
    <t>玻纤条</t>
  </si>
  <si>
    <t>CM81601/环氧树脂玻纤布/本色</t>
  </si>
  <si>
    <t>后仰弹力调节固定铁片</t>
  </si>
  <si>
    <t>CM81601/A3冷轧板/电着黑</t>
  </si>
  <si>
    <t>后仰弹片钢棒固定铁片</t>
  </si>
  <si>
    <t>后仰锁定块</t>
  </si>
  <si>
    <t>CM81601/粉末冶金+45#钢+A3冷轧板+45#锰钢/热处理40°/喷粉+煲黑</t>
  </si>
  <si>
    <t>后仰旋转固定铁片</t>
  </si>
  <si>
    <t>头枕调高滑动块盖</t>
  </si>
  <si>
    <t>CM91701/热轧板/电着黑</t>
  </si>
  <si>
    <t>A=A/1446*1035/需切口/CM81601</t>
  </si>
  <si>
    <t>K=A/770*650*660/上开/CM81601</t>
  </si>
  <si>
    <t>A=A/665*120*640/上开/CM81601</t>
  </si>
  <si>
    <t>￠3.2*20/钢/电着黑/开口插销</t>
  </si>
  <si>
    <t>M5*22总长/头7.5/电着黑+耐落</t>
  </si>
  <si>
    <t>M5*10总长/头6.5/电着黑+耐落</t>
  </si>
  <si>
    <t>M5*12总长/头7.5/镀锌+耐落</t>
  </si>
  <si>
    <t>M5*13总长/头6.5/镀锌+耐落</t>
  </si>
  <si>
    <t>4*15总长/头7.8/煲黑</t>
  </si>
  <si>
    <t>3.6*15总长/头6.5/煲黑</t>
  </si>
  <si>
    <t>4*10总长/头6.5/电着黑</t>
  </si>
  <si>
    <t>4*12总长/头6.5/电着黑</t>
  </si>
  <si>
    <t>5*11总长/头7.8/无尖/镀锌</t>
  </si>
  <si>
    <t>底盘与背支撑架连接杆</t>
  </si>
  <si>
    <t>CM81601/10B21/总长245*头18/热处理/电着黑</t>
  </si>
  <si>
    <t>￠5.6*18*1.5/镀锌/CM8801</t>
  </si>
  <si>
    <t>M8*30总长/牙长21.5/头12.5/束尾5/冲孔5/镀锌+耐落</t>
  </si>
  <si>
    <t>M8*23.5总长/牙长20/头11.5/冲孔5/镀锌+耐落</t>
  </si>
  <si>
    <t>M5*37总长/牙长9/头8.5/厚3.5/杆径5.8/孔4.1/1022/电着黑+耐落</t>
  </si>
  <si>
    <t>1/4*7/8总长/牙长6/头15.8/电着黑+耐落</t>
  </si>
  <si>
    <t>CM81601/(M4全黑扳手/T型)/PS-CBW-AP1</t>
  </si>
  <si>
    <t>圆柱销</t>
  </si>
  <si>
    <t>￠4*23.5/镀锌/10B21/实心</t>
  </si>
  <si>
    <t>座与底盘连接杆</t>
  </si>
  <si>
    <t>CM81601/10B21/总长222*头18/热处理/电着黑</t>
  </si>
  <si>
    <t>头枕泡棉</t>
  </si>
  <si>
    <t>CM91701/成型泡棉40°±5°/黑色</t>
  </si>
  <si>
    <t>腰下支撑片泡棉</t>
  </si>
  <si>
    <t>CM81701/成型泡棉/黑色/55±5°</t>
  </si>
  <si>
    <t>PE胶袋</t>
  </si>
  <si>
    <t>635*365*0.025（需钻透气孔）</t>
  </si>
  <si>
    <t>背弹力调整卡齿弹簧</t>
  </si>
  <si>
    <t>￠0.5*5*12/弹簧钢/镀锌</t>
  </si>
  <si>
    <t>背弹力支撑条缓冲弹簧</t>
  </si>
  <si>
    <t>￠1.8*14.8*50/弹簧钢/电着黑</t>
  </si>
  <si>
    <t>弹簧</t>
  </si>
  <si>
    <t>￠1*12*42/电着黑</t>
  </si>
  <si>
    <t>气压棒扳动杆弹簧</t>
  </si>
  <si>
    <t>SN-501/￠1*12*27/黑色</t>
  </si>
  <si>
    <t>座外框弹簧</t>
  </si>
  <si>
    <t>￠1.2*8.5*20/弹簧钢/电着黑</t>
  </si>
  <si>
    <t>A=A/635*200/需压痕100+100/CM81601</t>
  </si>
  <si>
    <t>A=A/880*346/需切口/CM91701</t>
  </si>
  <si>
    <t>A=A/880*406/需切口/CM81601</t>
  </si>
  <si>
    <t>A=A/795*695/需切口/CM91701/右</t>
  </si>
  <si>
    <t>A=A/795*695/需切口/CM91701/左</t>
  </si>
  <si>
    <t>A=A/360*290*120/上开/CM81601</t>
  </si>
  <si>
    <t>背弹力调整定点盖</t>
  </si>
  <si>
    <t>CM81701/PP(ABS)/碳钢黑</t>
  </si>
  <si>
    <t>背弹力调整限位固定块</t>
  </si>
  <si>
    <t>CM81701/尼龙加纤25%/黑色/右</t>
  </si>
  <si>
    <t>CM81701/尼龙加纤25%/黑色/左</t>
  </si>
  <si>
    <t>背弹力调整限位块</t>
  </si>
  <si>
    <t>CM81701/尼龙加纤25%/黑色</t>
  </si>
  <si>
    <t>背弹力支撑条弹簧固定块</t>
  </si>
  <si>
    <t>CM81701/PP/碳钢黑</t>
  </si>
  <si>
    <t>背弹力支撑条弹簧活动块</t>
  </si>
  <si>
    <t>背弹力支撑条固定块</t>
  </si>
  <si>
    <t>背电池盒上盖</t>
  </si>
  <si>
    <t>CM81701/PP(ABS)碳钢黑</t>
  </si>
  <si>
    <t>背电路板上盖</t>
  </si>
  <si>
    <t>玻纤条防磨垫</t>
  </si>
  <si>
    <t>CM81601/TPEE/黑色</t>
  </si>
  <si>
    <t>CM81601/尼龙加纤25%/碳钢黑</t>
  </si>
  <si>
    <t>弹力调整把手</t>
  </si>
  <si>
    <t>CM81601/尼龙加纤25%/碳钢黑/丝印</t>
  </si>
  <si>
    <t>电池盒</t>
  </si>
  <si>
    <t>扶手下基座</t>
  </si>
  <si>
    <t>CM81601/尼龙加纤25%/碳钢黑/右</t>
  </si>
  <si>
    <t>CM81601/尼龙加纤25%/碳钢黑/左</t>
  </si>
  <si>
    <t>头枕角度调整橡胶垫</t>
  </si>
  <si>
    <t>CF9606/PVC/硬度75°/黑色</t>
  </si>
  <si>
    <t>网布卡槽TPE</t>
  </si>
  <si>
    <t>CM81601/尼龙(TPE)/400*15*2.6mm/黑色</t>
  </si>
  <si>
    <t>座电池盒固定块</t>
  </si>
  <si>
    <t>座电池盒上盖</t>
  </si>
  <si>
    <t>座电路板下盖</t>
  </si>
  <si>
    <t>座前支撑架缓冲胶垫</t>
  </si>
  <si>
    <t>座外框防夹手软胶块</t>
  </si>
  <si>
    <t>CM81601/TPEE/90±5°/碳钢黑</t>
  </si>
  <si>
    <t>205束55/黑平光/三级/壁厚2.5MM/100S/400N/B2-100-440203CBA</t>
  </si>
  <si>
    <t>扶手调高扭簧</t>
  </si>
  <si>
    <t>CF81401/￠0.8*5.8*11/左旋/弹簧钢/镀锌</t>
  </si>
  <si>
    <t>CF81401/￠0.8*5.8*11/右旋/弹簧钢/镀黑锌</t>
  </si>
  <si>
    <t>2*6总长/头3.5/镀黑锌</t>
  </si>
  <si>
    <t>尚贤五金</t>
  </si>
  <si>
    <t>后仰拉绳+后仰锁定铁片+后仰锁定内弹簧</t>
  </si>
  <si>
    <t>CM81601/可折弯/黑色</t>
  </si>
  <si>
    <t>CM81601/可折弯/黑色（含扳动杆)</t>
  </si>
  <si>
    <t>纸托</t>
  </si>
  <si>
    <t>CM81601/牛卡纸/638*311*128mm/右</t>
  </si>
  <si>
    <t>CM81601/牛卡纸/638*311*128mm/左</t>
  </si>
  <si>
    <t>背电路板+压力传感器</t>
  </si>
  <si>
    <t>CM81701/48*24MM（含压力传感器+1张流水号贴纸+1张二维码贴纸）</t>
  </si>
  <si>
    <t>沃特威</t>
  </si>
  <si>
    <t>座电路板+压力传感器</t>
  </si>
  <si>
    <t>CM81701/40*20MM（含压力传感器+2张流水号贴纸+1张二维码贴纸）</t>
  </si>
  <si>
    <t>底盘粉末</t>
  </si>
  <si>
    <t>CM81601/粉末冶金/本色</t>
  </si>
  <si>
    <t>脚踏卡块</t>
  </si>
  <si>
    <t>CRM91201/粉末冶金/本色</t>
  </si>
  <si>
    <t>头枕旋转定位销内粉末</t>
  </si>
  <si>
    <t>CM9003-1/粉末冶金/本色</t>
  </si>
  <si>
    <t>头枕支撑架固定座内粉末</t>
  </si>
  <si>
    <t>背连接杆-1</t>
  </si>
  <si>
    <t>CM81701/铝合金/抛光/右</t>
  </si>
  <si>
    <t>CM81701/铝合金/抛光/左</t>
  </si>
  <si>
    <t>CM81601/铝合金/抛光</t>
  </si>
  <si>
    <t>扶手升降机构</t>
  </si>
  <si>
    <t>CM81601/铝合金/抛光/右</t>
  </si>
  <si>
    <t>CM81601/铝合金/抛光/左</t>
  </si>
  <si>
    <t>￠12*0.3/PVC/碳钢黑</t>
  </si>
  <si>
    <t>￠17*0.3/PVC/碳钢黑</t>
  </si>
  <si>
    <t>￠7.5*0.3/PVC/碳钢黑</t>
  </si>
  <si>
    <t>碳钢黑/￠6.5*0.3</t>
  </si>
  <si>
    <t>CM81107/黑色/底座支撑盖固定螺丝贴纸/￠6.5*0.3</t>
  </si>
  <si>
    <t>CM9801/碳钢黑/头枕旋转定位螺杆贴纸/1.5CM</t>
  </si>
  <si>
    <t>￠16.5*0.35MM/3M双面胶</t>
  </si>
  <si>
    <t>CM81601/碳钢黑/座外框贴纸/￠18.8*0.3</t>
  </si>
  <si>
    <t>颐达布</t>
  </si>
  <si>
    <t>黑色/Y2690-10/59"</t>
  </si>
  <si>
    <t>颐达纺织</t>
  </si>
  <si>
    <t>背垫条1-2号</t>
  </si>
  <si>
    <t>CM81701/PU15°±5°/黑色</t>
  </si>
  <si>
    <t>背垫条2号（配传感器）</t>
  </si>
  <si>
    <t>背垫条5号</t>
  </si>
  <si>
    <t>背垫条6号</t>
  </si>
  <si>
    <t>背垫条6号-1（配传感器）</t>
  </si>
  <si>
    <t>背垫条7号</t>
  </si>
  <si>
    <t>背上泡棉</t>
  </si>
  <si>
    <t>CM81701/PU10±5°/黑色</t>
  </si>
  <si>
    <t>扶手馒头</t>
  </si>
  <si>
    <t>CM81601/尼龙加纤5%+PU/30±5°/碳钢黑/右</t>
  </si>
  <si>
    <t>CM81601/尼龙加纤5%+PU/30±5°/碳钢黑/左</t>
  </si>
  <si>
    <t>座深调整块-1包泡棉</t>
  </si>
  <si>
    <t>CM81601/成型泡棉/50±5°/黑色</t>
  </si>
  <si>
    <t>背弹力调整把手-APP</t>
  </si>
  <si>
    <t>CM81701/尼龙加纤25%+背电池盒导电线/碳钢黑</t>
  </si>
  <si>
    <t>背弹力调整盖</t>
  </si>
  <si>
    <t>CM81701/尼龙加纤25%/碳钢黑/右/新模</t>
  </si>
  <si>
    <t>CM81701/尼龙加纤25%/碳钢黑/左</t>
  </si>
  <si>
    <t>背弹力调整卡齿</t>
  </si>
  <si>
    <t>CM81701/尼龙加纤25%新料/黑色</t>
  </si>
  <si>
    <t>背弹力支撑条-1</t>
  </si>
  <si>
    <t>CM81701/PP新料/碳钢黑</t>
  </si>
  <si>
    <t>背电池盒固定块</t>
  </si>
  <si>
    <t>背垫软胶2号</t>
  </si>
  <si>
    <t>CM81701/PVC 55°±5°/PD2945透明蓝</t>
  </si>
  <si>
    <t>背垫软胶3号</t>
  </si>
  <si>
    <t>背垫软胶5号</t>
  </si>
  <si>
    <t>背垫软胶5号-1</t>
  </si>
  <si>
    <t>背垫条-1</t>
  </si>
  <si>
    <t>背垫条-2</t>
  </si>
  <si>
    <t>CM81701/PP/碳钢黑/新模</t>
  </si>
  <si>
    <t>背垫条-3</t>
  </si>
  <si>
    <t>背上薄片</t>
  </si>
  <si>
    <t>CM81701/PP+尼龙(TPR)/黑色</t>
  </si>
  <si>
    <t>背上网布卡槽TPE</t>
  </si>
  <si>
    <t>CM81701/尼龙(TPE)/400*15*2.6MM/需切口/黑色</t>
  </si>
  <si>
    <t>CM81701/尼龙加纤25%/碳钢黑</t>
  </si>
  <si>
    <t>背左右网布卡槽TPE</t>
  </si>
  <si>
    <t>CM81701/尼龙(TPE)/190*15*2.6MM/黑色</t>
  </si>
  <si>
    <t>玻纤条弹力调整块-1</t>
  </si>
  <si>
    <t>CM81601/尼龙(POM)/本色</t>
  </si>
  <si>
    <t>玻纤条弹力调整块-2</t>
  </si>
  <si>
    <t>玻纤条固定块</t>
  </si>
  <si>
    <t>CM9001/尼龙新料碳钢黑</t>
  </si>
  <si>
    <t>操作把手转动座+单杆把手(一体)</t>
  </si>
  <si>
    <t>CM81601碳钢黑单杆把手/CM9001碳钢黑操作把手转动座(含铆钉)</t>
  </si>
  <si>
    <t>底盘前挡片</t>
  </si>
  <si>
    <t>底盘与背支撑架连接杆防摇套</t>
  </si>
  <si>
    <t>CM81601/尼龙(POM)/黑色</t>
  </si>
  <si>
    <t>底盘与背支撑架连接杆固定块</t>
  </si>
  <si>
    <t>CM81601/尼龙(POM)/碳钢黑</t>
  </si>
  <si>
    <t>CM81601/尼龙加纤25%/黑色</t>
  </si>
  <si>
    <t>扶手调高固定滑动</t>
  </si>
  <si>
    <t>扶手调高固定滑动卡块</t>
  </si>
  <si>
    <t>扶手调高基座</t>
  </si>
  <si>
    <t>CM81601/ES1125尼龙加纤25%/黑色/右</t>
  </si>
  <si>
    <t>CM81601/ES1125尼龙加纤25%/黑色/左</t>
  </si>
  <si>
    <t>后仰弹力调节钢棒螺套</t>
  </si>
  <si>
    <t>CM81601/尼龙(POM)/黑色/表面抛镜面</t>
  </si>
  <si>
    <t>后仰旋转六角钢棒固定套</t>
  </si>
  <si>
    <t>后仰旋转圆套</t>
  </si>
  <si>
    <t>CM81601/TPEE/85°±5°/黑色/表面抛镜面</t>
  </si>
  <si>
    <t>头枕内板</t>
  </si>
  <si>
    <t>CM91701/PP打钉料/黑色/右</t>
  </si>
  <si>
    <t>CM91701/PP打钉料/黑色/左</t>
  </si>
  <si>
    <t>头枕调高固定块</t>
  </si>
  <si>
    <t>CM91701/尼龙(POM)/黑色</t>
  </si>
  <si>
    <t>头枕调高滑动块</t>
  </si>
  <si>
    <t>CM91701/尼龙加纤/含纤25%/碳钢黑</t>
  </si>
  <si>
    <t>头枕外板</t>
  </si>
  <si>
    <t>CM91701/增韧PP/碳钢黑</t>
  </si>
  <si>
    <t>头枕外板滑动定位块</t>
  </si>
  <si>
    <t>头枕旋转按钮</t>
  </si>
  <si>
    <t>CM9003-1/PP(ABS)/碳钢黑</t>
  </si>
  <si>
    <t>头枕旋转定位块</t>
  </si>
  <si>
    <t>CM91701/尼龙加纤25%/碳钢黑</t>
  </si>
  <si>
    <t>头枕旋转定位销</t>
  </si>
  <si>
    <t>CM9003-1/尼龙(POM)/本色</t>
  </si>
  <si>
    <t>头枕旋转小盖</t>
  </si>
  <si>
    <t>头枕支架</t>
  </si>
  <si>
    <t>网布胶条</t>
  </si>
  <si>
    <t>CM81701/尼龙/225*10MM/黑色</t>
  </si>
  <si>
    <t>CM81601/尼龙(TPE)/450*15*2.6mm/需切口/黑色</t>
  </si>
  <si>
    <t>腰下支撑片</t>
  </si>
  <si>
    <t>CM81701/增韧PP/黑色</t>
  </si>
  <si>
    <t>腰下支撑片固定块</t>
  </si>
  <si>
    <t>CM81601/尼龙6/碳钢黑</t>
  </si>
  <si>
    <t>腰下支撑片活动块</t>
  </si>
  <si>
    <t>座前支撑架</t>
  </si>
  <si>
    <t>CM81601/尼龙加纤25%/黑色/右</t>
  </si>
  <si>
    <t>CM81601/尼龙加纤25%/黑色/左</t>
  </si>
  <si>
    <t>座前支撑架垫块</t>
  </si>
  <si>
    <t>座深调整固定块</t>
  </si>
  <si>
    <t>玻纤条固定钢棒</t>
  </si>
  <si>
    <t>CM81601/1215环保铁/电着黑</t>
  </si>
  <si>
    <t>￠5*28*M8*牙长7/电着黑/实心/内六角</t>
  </si>
  <si>
    <t>后仰弹力调节钢棒</t>
  </si>
  <si>
    <t>17.A-PF-AC-HAM(10910113c04)</t>
    <phoneticPr fontId="2" type="noConversion"/>
  </si>
  <si>
    <t>CM81601/(M4全黑扳手/T型)/PS-EBW-AP1</t>
  </si>
  <si>
    <t>自封胶袋</t>
  </si>
  <si>
    <t>165*240*0.08/需打孔</t>
  </si>
  <si>
    <t>17.1*12.1CM/英文/PF</t>
  </si>
  <si>
    <t>背弹力调整把手</t>
  </si>
  <si>
    <t>CM81701/尼龙加纤25%/碳钢黑/新模</t>
  </si>
  <si>
    <t>背弹力支撑条</t>
  </si>
  <si>
    <t>18.PF-AC-HAM(10910103c04)</t>
    <phoneticPr fontId="2" type="noConversion"/>
  </si>
  <si>
    <t>K=A/720*580*650/侧开/EHP-R(外径尺寸)</t>
  </si>
  <si>
    <t>CM9807/抛光支撑架/(M4丝印扳手/T型)/EHP-EBW-SP1</t>
  </si>
  <si>
    <t>CM8103/英文</t>
  </si>
  <si>
    <t>背连接三角孔塑胶盖</t>
  </si>
  <si>
    <t>CM9806/尼龙(POM)/黑色/左</t>
  </si>
  <si>
    <t>CM9806/尼龙(POM)/黑色/右</t>
  </si>
  <si>
    <t>背连动块</t>
  </si>
  <si>
    <t>CM9103/铝合金/黑色</t>
  </si>
  <si>
    <t>铝合金/CM9601/抛光</t>
  </si>
  <si>
    <t>320*320*71mm/CM9807-1</t>
  </si>
  <si>
    <t>625*310*80mm/CM9807-2</t>
  </si>
  <si>
    <t>扶手纸托</t>
  </si>
  <si>
    <t>340*300*102.5mm/CM9807</t>
  </si>
  <si>
    <t>C3C/540*1250/EHP/EHP(2010)/CM9806/NF/NF(2010)</t>
  </si>
  <si>
    <t>椅脚支撑纸托</t>
  </si>
  <si>
    <t>320*195*131mm/CM9807-3</t>
  </si>
  <si>
    <t>TP-3865U/全黑</t>
  </si>
  <si>
    <t>CM9806/铝合金/抛光</t>
  </si>
  <si>
    <t>19.EHPE-AB-LAM(10730101c04)</t>
    <phoneticPr fontId="2" type="noConversion"/>
  </si>
  <si>
    <t>K=A/866*850/需切口/CM9807-2</t>
  </si>
  <si>
    <t>K=A/870*580*650/侧开/EHP-R/EHP(2010)(外径尺寸)</t>
  </si>
  <si>
    <t>CM9103/英文</t>
  </si>
  <si>
    <t>625*240*81mm/CM9807-6</t>
  </si>
  <si>
    <t>20.EHPE-AB-HAM(10720101c04)</t>
    <phoneticPr fontId="2" type="noConversion"/>
  </si>
  <si>
    <t>21.EHPE-AB-HAM+LM(10720103c04)</t>
    <phoneticPr fontId="2" type="noConversion"/>
  </si>
  <si>
    <t>60*20*0.3mm/透明</t>
  </si>
  <si>
    <t>座弹力调整滑块</t>
  </si>
  <si>
    <t>CM8801/钢/镀锌</t>
  </si>
  <si>
    <t>座角度调整螺杆</t>
  </si>
  <si>
    <t>M16反牙*66.3半牙（总长）/镀锌</t>
  </si>
  <si>
    <t>M4*12牙长/头6.5/电着黑+耐落</t>
  </si>
  <si>
    <t>￠3.2*4.5总长/钢/镀锌/开口</t>
  </si>
  <si>
    <t>1/4*5/8总长/头9/煲黑+耐落</t>
  </si>
  <si>
    <t>M5*9总长/头7/电着黑+耐落</t>
  </si>
  <si>
    <t>M5*6.3牙长/头7.8/镀锌+耐落</t>
  </si>
  <si>
    <t>CM8003/PU/黑色/右</t>
  </si>
  <si>
    <t>CM8003/PU/黑色/左</t>
  </si>
  <si>
    <t>铁垫片</t>
  </si>
  <si>
    <t>厚2.0/镀锌</t>
  </si>
  <si>
    <t>CM9807/尼龙加纤(含纤25%)/黑色/左</t>
  </si>
  <si>
    <t>CM9807/尼龙加纤(含纤25%)/黑色/右</t>
  </si>
  <si>
    <t>座弹力调整把手</t>
  </si>
  <si>
    <t>CF9618/铝合金/抛光（不钻说明书盒孔）</t>
  </si>
  <si>
    <t>CM8801/锌合金/电镀</t>
  </si>
  <si>
    <t>CM9807/铝合金/抛光/高</t>
  </si>
  <si>
    <t>座弹力调整固定座</t>
  </si>
  <si>
    <t>CM8801/铝合金/抛光</t>
  </si>
  <si>
    <t>头枕支撑座加横把手-1</t>
  </si>
  <si>
    <t>CM9807/铝合金/抛光/需钻孔</t>
  </si>
  <si>
    <t>产品信息标(普通)</t>
  </si>
  <si>
    <t>6.5*3.6CM/Ergohuman Plus</t>
  </si>
  <si>
    <t>8.5*8CM/彩色/英文/CM9807（2010版）</t>
  </si>
  <si>
    <t>头枕支撑架塑胶套</t>
  </si>
  <si>
    <t>CM9807/尼龙加纤/含纤30%/黑色</t>
  </si>
  <si>
    <t>22.EHPL-R-AB-HAM(10570328c04)</t>
    <phoneticPr fontId="2" type="noConversion"/>
  </si>
  <si>
    <t>CD光盘</t>
  </si>
  <si>
    <t>CM9807/英文</t>
  </si>
  <si>
    <t>23.EHPL-AB-HAM+LM(10570312c04)</t>
    <phoneticPr fontId="2" type="noConversion"/>
  </si>
  <si>
    <t>K=A/500*430/需切口/CT</t>
  </si>
  <si>
    <t>K=A/600*460/需切口/CT</t>
  </si>
  <si>
    <t>K=A/705*530*650/侧开/CT-LAM(外径尺寸)</t>
  </si>
  <si>
    <t>1/4*1牙长/头12.5/镀锌+耐落</t>
  </si>
  <si>
    <t>SN-89加三度/线径为8.2</t>
  </si>
  <si>
    <t>CT-HAM/SN-89/M8</t>
  </si>
  <si>
    <t>ENJOY/尼龙/全黑</t>
  </si>
  <si>
    <t>PP/黑色/SN-89</t>
  </si>
  <si>
    <t>24.CT-LAM(10170302c04)</t>
    <phoneticPr fontId="2" type="noConversion"/>
  </si>
  <si>
    <t>K=A/640*635/需切口/需压痕/CT</t>
  </si>
  <si>
    <t>K=A/830*530*650/侧开/CT-HAM(外径尺寸)</t>
  </si>
  <si>
    <t>200*90*90mm/需切口/CT/30kg级高密度珍珠棉</t>
  </si>
  <si>
    <t>25.CT-HAM(10460302c04)</t>
    <phoneticPr fontId="2" type="noConversion"/>
  </si>
  <si>
    <t>130*80*100mm/需切口/CM9003</t>
  </si>
  <si>
    <t>K=A/700*580*650/上开/IOO(外径尺寸)</t>
  </si>
  <si>
    <t>M5*18总长/头7/镀锌+耐落</t>
  </si>
  <si>
    <t>M5*18总长/头8.5/镀锌+耐落</t>
  </si>
  <si>
    <t>4*12总长/头7.8/电着黑</t>
  </si>
  <si>
    <t>4*25总长/头6.5/镀锌</t>
  </si>
  <si>
    <t>5*13总长/头7.8/镀锌</t>
  </si>
  <si>
    <t>5*18总长/头7.5/镀锌</t>
  </si>
  <si>
    <t>M8*18总长/牙长7/头14/孔5/SCM435/镀锌+耐落</t>
  </si>
  <si>
    <t>1/4*5/8牙长/头11/镀锌+耐落</t>
  </si>
  <si>
    <t>M8*26.6总长/牙长6.5/头14.9/SCM435/镀锌+耐落</t>
  </si>
  <si>
    <t>1/4*1/2总长/牙长5/头10/镀锌+耐落</t>
  </si>
  <si>
    <t>4*10总长/头7.5/钢牙/镀锌</t>
  </si>
  <si>
    <t>M5*8.2牙长/头7.8/镀锌+耐落</t>
  </si>
  <si>
    <t>5.5*26总长/台阶3mm/头8.8/镀锌</t>
  </si>
  <si>
    <t>CM8003-WA/全黑扳手/IOO-EBW-AP1</t>
  </si>
  <si>
    <t>座后垫高棉</t>
  </si>
  <si>
    <t>CM8003/成型泡棉/黑色</t>
  </si>
  <si>
    <t>960*750*0.8（需钻透气孔）</t>
  </si>
  <si>
    <t>K=A/630*510*270/上开/需切口/IOO(外径尺寸)</t>
  </si>
  <si>
    <t>CM8003/总长1730MM/内长1630MM</t>
  </si>
  <si>
    <t>CF9618/PVC/白色</t>
  </si>
  <si>
    <t>CM8003/总长1360MM/内长1260MM</t>
  </si>
  <si>
    <t>背L铁固定铁片</t>
  </si>
  <si>
    <t>CPM8808/钢/黑色</t>
  </si>
  <si>
    <t>背后弹片固定铁片</t>
  </si>
  <si>
    <t>CM8003/铁/黑色</t>
  </si>
  <si>
    <t>背腰连接块弹片</t>
  </si>
  <si>
    <t>CM8003/72*40.7mm/锰钢热处理</t>
  </si>
  <si>
    <t>背L铁左右防摇塑胶块</t>
  </si>
  <si>
    <t>尼龙/黑色/CF9606-1/左</t>
  </si>
  <si>
    <t>尼龙/黑色/CF9606-1/右</t>
  </si>
  <si>
    <t>背腰连接块</t>
  </si>
  <si>
    <t>CM8003/TPEE/75°/白色</t>
  </si>
  <si>
    <t>CM8003/尼龙加纤(含纤25%)/白色</t>
  </si>
  <si>
    <t>背支撑架小盖</t>
  </si>
  <si>
    <t>CPM8808/尼龙/白色/丝印 IOO</t>
  </si>
  <si>
    <t>CM9001/尼龙新料/白色</t>
  </si>
  <si>
    <t>CM9001/尼龙加纤/含纤25%/白色</t>
  </si>
  <si>
    <t>CM9001/尼龙加纤新料/含纤25%/白色</t>
  </si>
  <si>
    <t>CM8003/尼龙加纤新料/含纤25%/白色/单杆</t>
  </si>
  <si>
    <t>背后仰挡块</t>
  </si>
  <si>
    <t>CPM8808/尼龙(TPR)(40°)/半透明</t>
  </si>
  <si>
    <t>CPM8808/尼龙(TPR)(40°)/黑色</t>
  </si>
  <si>
    <t>CM8801/PP/白色</t>
  </si>
  <si>
    <t>CM8003/PP/黑色</t>
  </si>
  <si>
    <t>CM9001/白色</t>
  </si>
  <si>
    <t>CM9001/铝合金/抛光/座深加长1寸</t>
  </si>
  <si>
    <t>背上支撑纸托-1</t>
  </si>
  <si>
    <t>156*112*150mm/CM9003-2</t>
  </si>
  <si>
    <t>326*260*141mm/CM9003-1</t>
  </si>
  <si>
    <t>300*110*100mm/CM9807-1</t>
  </si>
  <si>
    <t>400*80*35mm/需切口/CM9003/30kg级高密度珍珠棉</t>
  </si>
  <si>
    <t>495*240*103mm/CM9003-5</t>
  </si>
  <si>
    <t>495*240*103mm/CM9003-4</t>
  </si>
  <si>
    <t>CM8801/白色/背支撑架固定螺丝贴纸/1.4cm</t>
  </si>
  <si>
    <t>CM8003/白色/背后弹片贴纸</t>
  </si>
  <si>
    <t>CM8801/黑色/圆形/头背内框贴纸/布</t>
  </si>
  <si>
    <t>CM8003/白色/座支撑架后螺杆套固定螺丝贴纸/16.5*0.3MM</t>
  </si>
  <si>
    <t>CM8003/英文</t>
  </si>
  <si>
    <t>L铁注塑(高）</t>
  </si>
  <si>
    <t>CM8003/钢+尼龙加纤/含纤5%/白色</t>
  </si>
  <si>
    <t>背L铁防摇块</t>
  </si>
  <si>
    <t>CPM8808/PVC(35°)/灰色</t>
  </si>
  <si>
    <t>背后弹片-1</t>
  </si>
  <si>
    <t>CM8003/尼龙加纤新料/含纤25%/白色</t>
  </si>
  <si>
    <t>背支撑架后盖</t>
  </si>
  <si>
    <t>CPM8808/PA增韧/白色</t>
  </si>
  <si>
    <t>CM9001抛光操作把手/CM9001白色操作把转动座(含铆钉)</t>
  </si>
  <si>
    <t>CF9618/PP/白色</t>
  </si>
  <si>
    <t>CM8801/尼龙加纤(含纤25%)/白色</t>
  </si>
  <si>
    <t>CM8801/尼龙加纤/含纤25%/白色</t>
  </si>
  <si>
    <t>CM8801/尼龙加纤(含纤25%)/白色/左</t>
  </si>
  <si>
    <t>CM8801/尼龙加纤(含纤25%)/白色/右</t>
  </si>
  <si>
    <t>CM9807/尼龙加纤(含纤25%)/白色/右</t>
  </si>
  <si>
    <t>CM9807/尼龙加纤(含纤25%)/白色/左</t>
  </si>
  <si>
    <t>CM8801/尼龙加纤新料/含纤10%/椅背两角香菇头/灰色</t>
  </si>
  <si>
    <t>CL8801/尼龙加纤新料/含纤10%/椅背两角香菇头/透明</t>
  </si>
  <si>
    <t>CM8003/铨友ES-1010/黑色</t>
  </si>
  <si>
    <t>CM8003/尼龙加纤新料/含纤25%/黑色</t>
  </si>
  <si>
    <t>CM8003/尼龙加纤/含纤25%/白色</t>
  </si>
  <si>
    <t>CF9618/尼龙加纤/含纤25﹪/白色</t>
  </si>
  <si>
    <t>CM8003/斜面</t>
  </si>
  <si>
    <t>CM8003/尼龙加纤（含纤5%）/黑色</t>
  </si>
  <si>
    <t>26.IOO-WA-LAM(座深加长）10630109c04</t>
    <phoneticPr fontId="2" type="noConversion"/>
  </si>
  <si>
    <t>4*25总长/头6.5/煲黑</t>
  </si>
  <si>
    <t>￠8.3*12.5*2/电着黑</t>
  </si>
  <si>
    <t>M8*25牙长/头12.5厚4/孔5/SCM435/电着黑+耐落</t>
  </si>
  <si>
    <t>CM8003-BA/全黑扳手/IOO-EBW-AP2</t>
  </si>
  <si>
    <t>CM9001-2/铝合金/黑色喷粉/留电脑板孔</t>
  </si>
  <si>
    <t>CM9001/铝合金/黑色喷粉</t>
  </si>
  <si>
    <t>CM8801/铝合金/黑色喷粉/左</t>
  </si>
  <si>
    <t>CM8801/铝合金/黑色喷粉/右</t>
  </si>
  <si>
    <t>CM8801/黑色/背支撑架固定螺丝贴纸/1.4cm</t>
  </si>
  <si>
    <t>CM8003/黑色/背后弹片贴纸</t>
  </si>
  <si>
    <t>CM8003/钢+尼龙加纤/含纤5%/黑色</t>
  </si>
  <si>
    <t>CM8003/TPEE/75°/黑色</t>
  </si>
  <si>
    <t>CM8003/尼龙加纤(含纤25%)/黑色</t>
  </si>
  <si>
    <t>CPM8808/PP/黑色</t>
  </si>
  <si>
    <t>CPM8808/尼龙/黑色/丝印 IOO</t>
  </si>
  <si>
    <t>CM8003/尼龙加纤/含纤25%/黑色</t>
  </si>
  <si>
    <t>27.IOO-BA-LAM(10630101c04)</t>
    <phoneticPr fontId="2" type="noConversion"/>
  </si>
  <si>
    <t>IOO头枕螺丝包2</t>
  </si>
  <si>
    <t>白色框</t>
  </si>
  <si>
    <t>3.6*7.5总长/头6.5/无尖/镀锌</t>
  </si>
  <si>
    <t>CM9003/成型泡棉/黑色</t>
  </si>
  <si>
    <t>560*420*0.8（需钻透气孔）</t>
  </si>
  <si>
    <t>C=C/385*(60+80+120+55+145)/需压痕/需切口/IOO/EJ/VPX</t>
  </si>
  <si>
    <t>CM9003/总长850MM/内长750MM/本色</t>
  </si>
  <si>
    <t>CM9003/MD头枕/英文</t>
  </si>
  <si>
    <t>CM9003/尼龙/黑色</t>
  </si>
  <si>
    <t>头枕调高基座</t>
  </si>
  <si>
    <t>CM9003/尼龙加纤/含纤25%/白色</t>
  </si>
  <si>
    <t>头枕调高基座小盖</t>
  </si>
  <si>
    <t>头枕外框+支架</t>
  </si>
  <si>
    <t>CM9003/尼龙加纤新料/含纤15%/白色/高度降低2cm</t>
  </si>
  <si>
    <t>CM8801/尼龙加纤(含纤25%)/透明</t>
  </si>
  <si>
    <t>28.IOO-WA-MDHAM(10630105c04)</t>
    <phoneticPr fontId="2" type="noConversion"/>
  </si>
  <si>
    <t>5*23总长/头7/镀锌</t>
  </si>
  <si>
    <t>5*15总长/头6.5/镀锌</t>
  </si>
  <si>
    <t>6*28总长/头8.8/镀锌</t>
  </si>
  <si>
    <t>固定脚踏/中英文</t>
  </si>
  <si>
    <t>CM9801/尼龙加纤/含纤30%-35%/白色</t>
  </si>
  <si>
    <t>CM9003-1/铝合金/白色喷粉</t>
  </si>
  <si>
    <t>29.IOO-WA-MDHAM+LM(10650105c04)</t>
    <phoneticPr fontId="2" type="noConversion"/>
  </si>
  <si>
    <t>K=A/630*545*270/上开/需切口/IOONF(外径尺寸)</t>
  </si>
  <si>
    <t>5*9总长/头6.5/镀锌</t>
  </si>
  <si>
    <t>座后泡棉</t>
  </si>
  <si>
    <t>CM8801/成型泡棉</t>
  </si>
  <si>
    <t>CM8801/成型泡棉（新模）</t>
  </si>
  <si>
    <t>CM8801/2.15M</t>
  </si>
  <si>
    <t>“65”标</t>
  </si>
  <si>
    <t>B05客人/布/3″*1″</t>
  </si>
  <si>
    <t>法律标</t>
  </si>
  <si>
    <t>B05客户版/布</t>
  </si>
  <si>
    <t>防火标</t>
  </si>
  <si>
    <t>CM8003/英文/B05客人专用</t>
  </si>
  <si>
    <t>座外框螺丝小盖</t>
  </si>
  <si>
    <t>120*55*165/长方体/纱管纸</t>
  </si>
  <si>
    <t>505*255*50mm/CM9801-5</t>
  </si>
  <si>
    <t>505*255*50mm/CM9801-4</t>
  </si>
  <si>
    <t>30.IOO-WANF-LAM(座深加长）10630113c04</t>
    <phoneticPr fontId="2" type="noConversion"/>
  </si>
  <si>
    <t>5*9总长/头6.5/煲黑</t>
  </si>
  <si>
    <t>CM9001/铝合金/黑色喷粉/座深加长1寸</t>
  </si>
  <si>
    <t>31.IOO-BANF-LAM(座深加长）10630112c04</t>
    <phoneticPr fontId="2" type="noConversion"/>
  </si>
  <si>
    <t>IOO头枕螺丝包1</t>
  </si>
  <si>
    <t>黑色框</t>
  </si>
  <si>
    <t>3.6*7.5总长/头6.5/无尖/电着黑</t>
  </si>
  <si>
    <t>CM9003/尼龙加纤/含纤25%/黑色</t>
  </si>
  <si>
    <t>CM9003/尼龙加纤新料/含纤15%/黑色/高度降低2cm</t>
  </si>
  <si>
    <t>32.IOO-BA-MDHAM(10630103c04)</t>
    <phoneticPr fontId="2" type="noConversion"/>
  </si>
  <si>
    <t>K=A/906*585/需切口/CM9104</t>
  </si>
  <si>
    <t>K=A/730*490/需切口/CM9105</t>
  </si>
  <si>
    <t>K=A/750*580*650/上开/IOOB(外径尺寸)</t>
  </si>
  <si>
    <t>205束60/黑平光/三级/壁厚2.5MM/100S/400N/B2-100-440207CBA</t>
  </si>
  <si>
    <t>CM8601/340/尼龙加纤/含纤38%/黑色</t>
  </si>
  <si>
    <t>CM8104-1/IOOB-WB/英文</t>
  </si>
  <si>
    <t>CM9104-1/钢+尼龙加纤/含纤5%/黑色(新模)</t>
  </si>
  <si>
    <t>33.IOOB-WB-LAM(10760103c04)</t>
    <phoneticPr fontId="2" type="noConversion"/>
  </si>
  <si>
    <t>IOOB/6.35*17.78cm/白底红字/英文/B01客人</t>
  </si>
  <si>
    <t>美国标</t>
  </si>
  <si>
    <t>IOOB-WBNF-LAM/左：179*79mm/右：230*110mm/打钉/1460947/B01</t>
  </si>
  <si>
    <t>IOOB-WBNF-LAM/153*79mm/1460947/B01-RAYNOR/贴外箱</t>
  </si>
  <si>
    <t>CM8104-1/IOOB-WB/英文/B01-RAYNOR客人</t>
  </si>
  <si>
    <t>CM9104-2/钢+尼龙加纤/含纤5%/黑色(新模)</t>
  </si>
  <si>
    <t>CM8003-2/尼龙加纤/含纤35%/黑色</t>
  </si>
  <si>
    <t>PO标</t>
  </si>
  <si>
    <t>IOOB-WBNF-LAM/7*4cm/1460947/B01-RAYNOR客人</t>
  </si>
  <si>
    <t>吊卡</t>
  </si>
  <si>
    <t>IOOB-WBNF/英文/B01-RAYNOR客人</t>
  </si>
  <si>
    <t>感谢卡</t>
  </si>
  <si>
    <t>6"*4"/400g双铜纸/三边不留白/B01-RAYNOR客人</t>
  </si>
  <si>
    <t>夹链袋</t>
  </si>
  <si>
    <t>165*105mm/需打直径为3mm的圆孔</t>
  </si>
  <si>
    <t>34.IOOB-WBNF-LAM(-CM8003-2椅脚)10760106c04</t>
    <phoneticPr fontId="2" type="noConversion"/>
  </si>
  <si>
    <t>头枕固定铁片</t>
  </si>
  <si>
    <t>CM9801/黑色</t>
  </si>
  <si>
    <t>头枕调高固定铁片</t>
  </si>
  <si>
    <t>CM9801/灰色</t>
  </si>
  <si>
    <t>C3C/850*680/ENJOY-4/NF/NF(2010)</t>
  </si>
  <si>
    <t>K=A/880*555*650/侧开/NF/NF-2010(外径尺寸)</t>
  </si>
  <si>
    <t>M4*12牙长/头6.5/灰色+耐落</t>
  </si>
  <si>
    <t>M5*13总长/头6.5/灰色+耐落</t>
  </si>
  <si>
    <t>M5*10总长/头6.5/灰色+耐落</t>
  </si>
  <si>
    <t>M5*18总长/头8.5/灰色+耐落</t>
  </si>
  <si>
    <t>M5*9总长/头7/灰色+耐落</t>
  </si>
  <si>
    <t>M5*18总长/头6.5/镀锌+耐落</t>
  </si>
  <si>
    <t>5*11总长/头7.8/无尖/灰色</t>
  </si>
  <si>
    <t>5*18总长/头7.5/灰色</t>
  </si>
  <si>
    <t>5*10总长/头7.8/灰色</t>
  </si>
  <si>
    <t>4*10总长/头6.5/灰色</t>
  </si>
  <si>
    <t>5*9总长/头6.5/灰色</t>
  </si>
  <si>
    <t>M8*26.6总长/牙长6.5/头14.9/SCM435/灰色+耐落</t>
  </si>
  <si>
    <t>M5*20牙长/头7.8/镀锌+耐落</t>
  </si>
  <si>
    <t>M5*12牙长/头7.8/灰色+耐落</t>
  </si>
  <si>
    <t>5.5*26总长/台阶3mm/头8.8/灰色</t>
  </si>
  <si>
    <t>CM9807/抛光支撑架/(M4全黑扳手/T型)/EHP-EBW-AP1</t>
  </si>
  <si>
    <t>CM8801背外框腰枕主棉</t>
  </si>
  <si>
    <t>6"*4-1/4"*3/8"/D565/灰色</t>
  </si>
  <si>
    <t>CM8801背外框腰枕主棉垫高</t>
  </si>
  <si>
    <t>6"*2-1/8"*3/8"/D565/灰色</t>
  </si>
  <si>
    <t>A=A/630*530*275/上开/需钻孔/NF/NF(2010)/CM9806(外径尺寸)</t>
  </si>
  <si>
    <t>CM8801/总长2250MM/内长2150MM/本色</t>
  </si>
  <si>
    <t>CF9618/PVC/灰色</t>
  </si>
  <si>
    <t>CM9801/总长955.5MM/内长855.5MM/本色</t>
  </si>
  <si>
    <t>CM8801/PP/灰色（需标记）/右</t>
  </si>
  <si>
    <t>CM8801/PP/灰色（需标记）/左</t>
  </si>
  <si>
    <t>CM9806/尼龙(POM)/灰色/左</t>
  </si>
  <si>
    <t>CM9806/尼龙(POM)/灰色/右</t>
  </si>
  <si>
    <t>背支撑架连接块</t>
  </si>
  <si>
    <t>CM8801-2/TPEE/灰色/左/五彩铁片/硬度86-90°</t>
  </si>
  <si>
    <t>CM8801-2/TPEE/灰色/右/五彩铁片/硬度86-90°</t>
  </si>
  <si>
    <t>CM9001/尼龙新料/灰色</t>
  </si>
  <si>
    <t>CM9001/尼龙加纤/含纤25%/灰色</t>
  </si>
  <si>
    <t>CM8801/尼龙加纤（含纤25﹪）/灰色</t>
  </si>
  <si>
    <t>CM8801/尼龙加纤/含纤25%/灰色</t>
  </si>
  <si>
    <t>CM9807/尼龙加纤(含纤25%)/灰色/左</t>
  </si>
  <si>
    <t>CM9807/尼龙加纤(含纤25%)/灰色/右</t>
  </si>
  <si>
    <t>头枕调高滑块</t>
  </si>
  <si>
    <t>CF9606/尼龙新料/灰色</t>
  </si>
  <si>
    <t>头枕贴胶</t>
  </si>
  <si>
    <t>CM9801/PP(ABS)/灰色/背胶/烫金</t>
  </si>
  <si>
    <t>CM9801/尼龙加纤/含纤25%/灰色</t>
  </si>
  <si>
    <t>CM9001/尼龙加纤新料/含纤25%/灰色</t>
  </si>
  <si>
    <t>CM9001/PP+尼龙(TPR)/灰色</t>
  </si>
  <si>
    <t>CM8801/PP/灰色</t>
  </si>
  <si>
    <t>腰内板</t>
  </si>
  <si>
    <t>CM8801/尼龙(TPR)/灰色</t>
  </si>
  <si>
    <t>CM9001/灰色</t>
  </si>
  <si>
    <t>CF9618/铝合金/抛光（底部钻说明书盒螺孔）</t>
  </si>
  <si>
    <t>头枕支撑架</t>
  </si>
  <si>
    <t>CM9801-2/铝合金/抛光</t>
  </si>
  <si>
    <t>300*150*140mm/CM9801-1</t>
  </si>
  <si>
    <t>560*430*80mm/CM9801-2</t>
  </si>
  <si>
    <t>CM8801-2/铝合金/抛光-1</t>
  </si>
  <si>
    <t>CM8801-2/铝合金/抛光-2</t>
  </si>
  <si>
    <t>小/nefil系列</t>
  </si>
  <si>
    <t>6.5*3.6CM/Nefil</t>
  </si>
  <si>
    <t>CM8801/灰色/圆形/头背内框贴纸/布</t>
  </si>
  <si>
    <t>CM8801/灰色/背支撑架固定螺丝贴纸/1.4cm</t>
  </si>
  <si>
    <t>CM8801/灰色/腰内板贴纸/5.5MM</t>
  </si>
  <si>
    <t>CM9801/灰色/头枕旋转定位螺杆贴纸/1.5cm</t>
  </si>
  <si>
    <t>8.5*8CM/彩色/英文/NF-HAM（2010版）</t>
  </si>
  <si>
    <t>CM8003/PU/灰色/左</t>
  </si>
  <si>
    <t>CM8003/PU/灰色/右</t>
  </si>
  <si>
    <t>CM9001抛光操作把手/CM9001灰色操作把转动座(含铆钉)</t>
  </si>
  <si>
    <t>CF9618/PP/灰色</t>
  </si>
  <si>
    <t>说明书盒</t>
  </si>
  <si>
    <t>CM8801/PS/透明</t>
  </si>
  <si>
    <t>说明书盒上盖</t>
  </si>
  <si>
    <t>说明书盒下盖</t>
  </si>
  <si>
    <t>CM9801/尼龙/灰色</t>
  </si>
  <si>
    <t>CM8801/尼龙/灰色</t>
  </si>
  <si>
    <t>CM8801/尼龙加纤(含纤25%)/灰色(黑色丝印)/灰色旋钮/灰色插销</t>
  </si>
  <si>
    <t>CF9618/尼龙加纤/含纤25﹪/灰色</t>
  </si>
  <si>
    <t>腰内板固定块</t>
  </si>
  <si>
    <t>35.NFL-AG-HAM(10540318c04)</t>
    <phoneticPr fontId="2" type="noConversion"/>
  </si>
  <si>
    <t>130*95*80mm/需切口/CM81107</t>
  </si>
  <si>
    <t>扶手调高固定条</t>
  </si>
  <si>
    <t>CM81107/钢/电着黑</t>
  </si>
  <si>
    <t>气压棒把手固定铁片</t>
  </si>
  <si>
    <t>CM81107/钢/镀锌</t>
  </si>
  <si>
    <t>K=A/730*670*505/需切口/CM81107(外径尺寸)</t>
  </si>
  <si>
    <t>C3C/80*80*310/上开(印刷气压棒)(外径尺寸)</t>
  </si>
  <si>
    <t>￠3*25/镀锌/实心</t>
  </si>
  <si>
    <t>M5*14总长/头9/镀锌+耐落</t>
  </si>
  <si>
    <t>M5*13总长/头7.5/镀锌+耐落</t>
  </si>
  <si>
    <t>4*8总长/头6.5/无尖/镀锌</t>
  </si>
  <si>
    <t>4*10总长/头6.5/镀锌</t>
  </si>
  <si>
    <t>￠20*5.2*1.5/电着黑</t>
  </si>
  <si>
    <t>M8*32总长/牙长10/头12.5厚4/SCM435/镀锌+耐落</t>
  </si>
  <si>
    <t>M8*37总长/牙长17/头13厚4/孔5/杆径8.8/SCM435/镀锌+耐落/正牙</t>
  </si>
  <si>
    <t>M8*37总长/牙长17/头13厚4/孔5/杆径8.8/SCM435/五彩+耐落/反牙</t>
  </si>
  <si>
    <t>M8*41.5总长/牙长38/头12.5/孔5/SCM435/电着黑+耐落</t>
  </si>
  <si>
    <t>M8*27总长/牙长11/头12.5厚4/孔5/SCM435/五彩+耐落/反牙</t>
  </si>
  <si>
    <t>M8*27总长/牙长11/头12.5厚4/孔5/SCM435/镀锌+耐落/正牙</t>
  </si>
  <si>
    <t>5*22总长/头8.8/电着黑</t>
  </si>
  <si>
    <t>5*15总长/头8.8/煲黑</t>
  </si>
  <si>
    <t>4*14总长/头8.8/煲黑</t>
  </si>
  <si>
    <t>5*20总长/头8.8/镀锌</t>
  </si>
  <si>
    <t>5.5*25总长/头8.8/镀锌</t>
  </si>
  <si>
    <t>5.5*31总长/头8.8/镀锌</t>
  </si>
  <si>
    <t>5*20总长/头8.8/电着黑</t>
  </si>
  <si>
    <t>3.5*12总长/头8.8/电着黑</t>
  </si>
  <si>
    <t>后仰档位卡块弹簧</t>
  </si>
  <si>
    <t>￠0.6*8*95/弹簧钢/黑色</t>
  </si>
  <si>
    <t>腰枕泡棉</t>
  </si>
  <si>
    <t>成型泡棉/CM81107/白色/45±5°</t>
  </si>
  <si>
    <t>CM81107/成型泡棉/黑色</t>
  </si>
  <si>
    <t>1100*950*0.8（需钻透气孔）</t>
  </si>
  <si>
    <t>出气按钮弹簧</t>
  </si>
  <si>
    <t>￠0.6*8*12/弹簧钢/间距3mm/镀锌</t>
  </si>
  <si>
    <t>扶手调高弹簧</t>
  </si>
  <si>
    <t>CM81107/弹簧钢/镀锌/右</t>
  </si>
  <si>
    <t>CM81107/弹簧钢/本色/左</t>
  </si>
  <si>
    <t>CM81107/弹簧钢/￠0.8*6*12/镀锌</t>
  </si>
  <si>
    <t>K=A/570*370/需切口/CM81107</t>
  </si>
  <si>
    <t>K=A/675*590/需切口/CM81107</t>
  </si>
  <si>
    <t>K=A/839*392/需切口/CM81107</t>
  </si>
  <si>
    <t>CM81107/SKTA/英文</t>
  </si>
  <si>
    <t>扶手内盖固定铁片</t>
  </si>
  <si>
    <t>CM81107-1/铁/镀锌</t>
  </si>
  <si>
    <t>后仰档位固定铁片</t>
  </si>
  <si>
    <t>CM81107/钢/黑色烤漆</t>
  </si>
  <si>
    <t>座外框滑动铁片-1</t>
  </si>
  <si>
    <t>CM81107/铁/电着黑</t>
  </si>
  <si>
    <t>扶手内盖</t>
  </si>
  <si>
    <t>CM81107-1/PP(ABS)/白色/左</t>
  </si>
  <si>
    <t>扶手下盖</t>
  </si>
  <si>
    <t>CM81107-1/PP(ABS)/白色/右</t>
  </si>
  <si>
    <t>扶手下护套</t>
  </si>
  <si>
    <t>CM81107-1/尼龙(POM)/本色</t>
  </si>
  <si>
    <t>后仰把手</t>
  </si>
  <si>
    <t>CM81107/尼龙加纤/含纤25%/白色/丝印</t>
  </si>
  <si>
    <t>后仰弹簧固定块</t>
  </si>
  <si>
    <t>CM81107/尼龙加纤/含纤25%/黑色</t>
  </si>
  <si>
    <t>后仰弹簧胶壳</t>
  </si>
  <si>
    <t>CM81107/PP(ABS)/白色/左</t>
  </si>
  <si>
    <t>滑座滚轮</t>
  </si>
  <si>
    <t>CM81107/尼龙(POM)/黑色</t>
  </si>
  <si>
    <t>拉绳固定块</t>
  </si>
  <si>
    <t>CM81107/尼龙加纤新料/含纤25%/黑色</t>
  </si>
  <si>
    <t>气囊出气按钮</t>
  </si>
  <si>
    <t>CM81107/尼龙/白色</t>
  </si>
  <si>
    <t>气囊进气按钮</t>
  </si>
  <si>
    <t>腰枕外板</t>
  </si>
  <si>
    <t>椅脚小盖</t>
  </si>
  <si>
    <t>CM81107/PP/黑色</t>
  </si>
  <si>
    <t>CM81107/PP/白色/左</t>
  </si>
  <si>
    <t>CM81107/PP/白色/右</t>
  </si>
  <si>
    <t>弹性布</t>
  </si>
  <si>
    <t>17-02黑色/防火/60"</t>
  </si>
  <si>
    <t>气压棒拉绳滑轮</t>
  </si>
  <si>
    <t>CM81107/￠(4.7*2.7)*25*100/弹簧钢/黑色</t>
  </si>
  <si>
    <t>CM81107/总长2070MM/内长1970MM/本色</t>
  </si>
  <si>
    <t>后仰拉绳</t>
  </si>
  <si>
    <t>CM81107/黑色(含后仰档位滑动块内、外弹簧)</t>
  </si>
  <si>
    <t>CM81107/黑色</t>
  </si>
  <si>
    <t>CM81107/总长2220MM/内长1920MM/本色</t>
  </si>
  <si>
    <t>CM81107/尼龙加纤/含纤35%/黑色</t>
  </si>
  <si>
    <t>后仰座滑动块-1</t>
  </si>
  <si>
    <t>CM81107/粉末冶金/电着黑/热处理</t>
  </si>
  <si>
    <t>CM81107-1/铝合金/白色/砂面粉/左</t>
  </si>
  <si>
    <t>CM81107-1/铝合金/白色/砂面粉/右</t>
  </si>
  <si>
    <t>CRM91201/白色/背与座连接螺杆贴纸/￠12*0.3</t>
  </si>
  <si>
    <t>CRM91201/白色/底座上胶壳固定螺丝贴纸/￠7.5*0.3</t>
  </si>
  <si>
    <t>CM81107/PU+尼龙加纤/含纤23%/黑色/右</t>
  </si>
  <si>
    <t>CM81107/PU+尼龙加纤/含纤23%/黑色/左</t>
  </si>
  <si>
    <t>CM81107/尼龙加纤/含纤5%/黑色</t>
  </si>
  <si>
    <t>CM81107/尼龙加纤/含纤25%/白色/丝印 skate</t>
  </si>
  <si>
    <t>底座</t>
  </si>
  <si>
    <t>CM81107/尼龙加纤/含纤25%/白色</t>
  </si>
  <si>
    <t>底座支撑盖</t>
  </si>
  <si>
    <t>CM81107/PP/白色</t>
  </si>
  <si>
    <t>扶手防摇套</t>
  </si>
  <si>
    <t>CM81107-1/尼龙(POM)/白色/左</t>
  </si>
  <si>
    <t>CM81107-1/尼龙(POM)/白色/右</t>
  </si>
  <si>
    <t>CM81107/尼龙加纤/含纤25%/白色/左</t>
  </si>
  <si>
    <t>CM81107/尼龙加纤/含纤25%/白色/右</t>
  </si>
  <si>
    <t>扶手调高机构小盖</t>
  </si>
  <si>
    <t>CM81107/尼龙/白色/左</t>
  </si>
  <si>
    <t>CM81107/尼龙/白色/右</t>
  </si>
  <si>
    <t>CM81107/PP(ABS)/白色/右</t>
  </si>
  <si>
    <t>后仰档位滑动块</t>
  </si>
  <si>
    <t>后仰档位卡块</t>
  </si>
  <si>
    <t>后仰缓冲胶垫</t>
  </si>
  <si>
    <t>CRM91201/尼龙(TPEE)/白色</t>
  </si>
  <si>
    <t>CM81107/尼龙/黑色</t>
  </si>
  <si>
    <t>拉绳固定块-1</t>
  </si>
  <si>
    <t>气囊出气按钮固定块</t>
  </si>
  <si>
    <t>气压棒把手</t>
  </si>
  <si>
    <t>腰枕内板</t>
  </si>
  <si>
    <t>￠6*17/镀锌</t>
  </si>
  <si>
    <t>扶手馒头下盖片</t>
  </si>
  <si>
    <t>CM81107/尼龙加纤/含纤25%/黑色/右</t>
  </si>
  <si>
    <t>CM81107/尼龙加纤/含纤25%/黑色/左</t>
  </si>
  <si>
    <t>扶手调高滑动卡块</t>
  </si>
  <si>
    <t>CM81107/尼龙加纤新料/含纤25%/本色</t>
  </si>
  <si>
    <t>后仰把手固定盖</t>
  </si>
  <si>
    <t>CRM91201/尼龙/黑色</t>
  </si>
  <si>
    <t>后仰锁定块弹簧定位杆</t>
  </si>
  <si>
    <t>气压棒扳动杆</t>
  </si>
  <si>
    <t>香菇头卡块</t>
  </si>
  <si>
    <t>腰枕压块</t>
  </si>
  <si>
    <t>气囊</t>
  </si>
  <si>
    <t>CM81107/棉布+尼龙(TPU)/黑色</t>
  </si>
  <si>
    <t>姿彩</t>
  </si>
  <si>
    <t>36.SKTA-WW-LAM(10810174c04)</t>
    <phoneticPr fontId="2" type="noConversion"/>
  </si>
  <si>
    <t>210*140*200/需切口/纱管纸</t>
  </si>
  <si>
    <t>K=A/848*394/需切口/CM9806</t>
  </si>
  <si>
    <t>K=A/686*660/需切口/CM9806</t>
  </si>
  <si>
    <t>K=A/835*580*650/侧开/EHP(2010)(外径尺寸)</t>
  </si>
  <si>
    <t>K=A/305*305*170/上开/需钻孔/CM9806-1(外径尺寸)</t>
  </si>
  <si>
    <t>￠2.2*35.8/灰色</t>
  </si>
  <si>
    <t>￠3.2*32.5/灰色/开口</t>
  </si>
  <si>
    <t>M5*12总长/头7.5/灰色+耐落</t>
  </si>
  <si>
    <t>5*17总长/头6.5/灰色</t>
  </si>
  <si>
    <t>3.6*8.5总长/头6.5/灰色</t>
  </si>
  <si>
    <t>5*23总长/头7/灰色</t>
  </si>
  <si>
    <t>5*15总长/头6.5/灰色</t>
  </si>
  <si>
    <t>4*8总长/头6.5/灰色</t>
  </si>
  <si>
    <t>5*13总长/头6.5/灰色</t>
  </si>
  <si>
    <t>￠6.5*10.5*1.5/黑色</t>
  </si>
  <si>
    <t>M6防滑/M6防松尼帽/灰色</t>
  </si>
  <si>
    <t>1/4*9/16牙长/头12.5/煲黑+耐落</t>
  </si>
  <si>
    <t>M6*77.5总长/牙长8/头10.6/灰色+耐落</t>
  </si>
  <si>
    <t>M6*38总长/牙长8/头11.6/灰色+红色耐落</t>
  </si>
  <si>
    <t>6*28总长/头8.8/灰色</t>
  </si>
  <si>
    <t>K=A/866*750/需压痕/需切口/CM9806</t>
  </si>
  <si>
    <t>K=A/755*590/需压痕/需切口/CM9806</t>
  </si>
  <si>
    <t>CM9806/尼龙/灰色</t>
  </si>
  <si>
    <t>弹簧塑胶杆</t>
  </si>
  <si>
    <t>CM9806/尼龙加纤/含纤25%/灰色</t>
  </si>
  <si>
    <t>CM9806/PP/灰色（需标记）/左</t>
  </si>
  <si>
    <t>CM9806/PP/灰色（需标记）/右</t>
  </si>
  <si>
    <t>弹簧固定座标志盖</t>
  </si>
  <si>
    <t>CM9806/PP/灰色</t>
  </si>
  <si>
    <t>CM8801/尼龙/白色</t>
  </si>
  <si>
    <t>CM9806/尼龙新料/灰色</t>
  </si>
  <si>
    <t>弹簧固定座上盖</t>
  </si>
  <si>
    <t>CM9806/耐冲PP/灰色</t>
  </si>
  <si>
    <t>CM9801-1/铝合金/灰色喷粉</t>
  </si>
  <si>
    <t>CM8801/铝合金/灰色喷粉</t>
  </si>
  <si>
    <t>CM9807/粉末冶金/本色/左</t>
  </si>
  <si>
    <t>CM9807/粉末冶金/本色/右</t>
  </si>
  <si>
    <t>亚梭客人专用</t>
  </si>
  <si>
    <t>CM9806/中文简体+繁体</t>
  </si>
  <si>
    <t>躺舒宝/中文繁体</t>
  </si>
  <si>
    <t>绿色标</t>
  </si>
  <si>
    <t>圆型/直径6CM</t>
  </si>
  <si>
    <t>8.5*8CM/彩色/中文繁体/CM9806(2010)</t>
  </si>
  <si>
    <t>CM9806/PU/灰色/右</t>
  </si>
  <si>
    <t>CM9806/PU/灰色/左</t>
  </si>
  <si>
    <t>CM9801/尼龙加纤/含纤30%-35%/灰色</t>
  </si>
  <si>
    <t>CM9807-1/尼龙加纤(含纤25%)+铁/灰色/左</t>
  </si>
  <si>
    <t>CM9807-1/尼龙加纤(含纤25%)+铁/灰色/右</t>
  </si>
  <si>
    <t>弹簧固定座</t>
  </si>
  <si>
    <t>CM9806/尼龙加纤（含纤25%）/灰色</t>
  </si>
  <si>
    <t>CM8801/尼龙加纤(含纤25%)/灰色(白色丝印)/白色旋钮/镀锌插销</t>
  </si>
  <si>
    <t>CM9806/尼龙加纤(含纤25%)/灰色/左</t>
  </si>
  <si>
    <t>CM9806/尼龙加纤(含纤25%)/灰色/右</t>
  </si>
  <si>
    <t>CM9806/低头枕/尼龙加纤(新料)（含纤25%）/灰色</t>
  </si>
  <si>
    <t>37.CM9806-1(2010)+LM(10560304c04)</t>
    <phoneticPr fontId="2" type="noConversion"/>
  </si>
  <si>
    <t>15公斤/650*110*70/长方体/BR</t>
  </si>
  <si>
    <t>15公斤/340*340*40/长方体/BR</t>
  </si>
  <si>
    <t>C=C/630*570/需切口/BR</t>
  </si>
  <si>
    <t>K=A/765*545*670/上开/BR(外径尺寸)</t>
  </si>
  <si>
    <t>A=A/550*530*315/上开/需切口（390*85mm）/BR(外径尺寸)</t>
  </si>
  <si>
    <t>4*10总长/头6.5/钢牙/煲黑</t>
  </si>
  <si>
    <t>5*15总长/头7.8/煲黑</t>
  </si>
  <si>
    <t>5*23总长/头7.5/电着黑</t>
  </si>
  <si>
    <t>￠5.2*12*1/黑色</t>
  </si>
  <si>
    <t>￠10.5*17.8*1.6/黑色</t>
  </si>
  <si>
    <t>M8*7/黑色</t>
  </si>
  <si>
    <t>M8*15.6*9.5/本色</t>
  </si>
  <si>
    <t>M8*17牙长/头16/M5孔/电着黑+防滑+耐落</t>
  </si>
  <si>
    <t>1/4*7/16牙长/头11.6/煲黑+耐落</t>
  </si>
  <si>
    <t>M8*17牙长/头12.5/SCM435/煲黑+耐落</t>
  </si>
  <si>
    <t>1/4*9/16牙长/头11.6/煲黑+耐落</t>
  </si>
  <si>
    <t>M8*15牙长/头12.5/SCM435/煲黑+耐落</t>
  </si>
  <si>
    <t>M8*71.7/马车螺杆/中碳钢/黑色</t>
  </si>
  <si>
    <t>M8*25牙长/头14.5/中碳钢/煲黑+耐落</t>
  </si>
  <si>
    <t>M5*14牙长/头7.8/煲黑+耐落</t>
  </si>
  <si>
    <t>5*16总长/头8.8/煲黑</t>
  </si>
  <si>
    <t>5*17总长/头8.8/煲黑</t>
  </si>
  <si>
    <t>5*19总长/头8.8/煲黑</t>
  </si>
  <si>
    <t>CM8601-1/中英文/BR-CBW-L2</t>
  </si>
  <si>
    <t>SN89-3A</t>
  </si>
  <si>
    <t>CM8601-1/35±5°</t>
  </si>
  <si>
    <t>组装图/金尊BS&amp;BG系列/中英文</t>
  </si>
  <si>
    <t>CM8601-1/钢/黑色</t>
  </si>
  <si>
    <t>挂衣架固定铁片-1</t>
  </si>
  <si>
    <t>CM9601/钢/黑色</t>
  </si>
  <si>
    <t>底盘把手橡胶垫</t>
  </si>
  <si>
    <t>CM8601-1/PVC/硬度80-90°</t>
  </si>
  <si>
    <t>滑动槽控制上盖</t>
  </si>
  <si>
    <t>CM9601/尼龙/黑色</t>
  </si>
  <si>
    <t>头枕角度调整盖</t>
  </si>
  <si>
    <t>CM9601/PP/黑色</t>
  </si>
  <si>
    <t>头枕调高机构上盖片</t>
  </si>
  <si>
    <t>CM9601/尼龙加纤/含纤25%/黑色</t>
  </si>
  <si>
    <t>头枕调高机构下盖片</t>
  </si>
  <si>
    <t>CM9601/尼龙新料/黑色</t>
  </si>
  <si>
    <t>背L铁上胶壳</t>
  </si>
  <si>
    <t>CM8601-1/黑色</t>
  </si>
  <si>
    <t>背L铁下胶壳</t>
  </si>
  <si>
    <t>后仰小盖</t>
  </si>
  <si>
    <t>气压棒小盖</t>
  </si>
  <si>
    <t>座深小盖</t>
  </si>
  <si>
    <t>CM8601/总长2200MM/内长1950MM/本色</t>
  </si>
  <si>
    <t>CM9601/总长1200MM/内长980MM/本色</t>
  </si>
  <si>
    <t>CM9601/总长2200MM/内长1850MM/本色</t>
  </si>
  <si>
    <t>15公斤/300*200*90/长方体/BR</t>
  </si>
  <si>
    <t>15公斤/400*140*180/需切口/BR</t>
  </si>
  <si>
    <t>Ergohuman/粉末冶金/必须要泡油/本色</t>
  </si>
  <si>
    <t>头枕转动垫块</t>
  </si>
  <si>
    <t>CM9601/12.6*10/粉末冶金/本色</t>
  </si>
  <si>
    <t>CM9601/铝合金/抛光</t>
  </si>
  <si>
    <t>CM9601/PA轮架料/黑色新模/配铝合金背支撑架/617-619mm</t>
  </si>
  <si>
    <t>CM9601/PP/黑色新模</t>
  </si>
  <si>
    <t>CM8601/尼龙/黑色/右</t>
  </si>
  <si>
    <t>CM8601/尼龙/黑色/左</t>
  </si>
  <si>
    <t>头枕内框-1</t>
  </si>
  <si>
    <t>CM9601/PP打钉料/黑色</t>
  </si>
  <si>
    <t>头枕外框-1</t>
  </si>
  <si>
    <t>CM9601/尼龙加纤（含纤25%)/黑色</t>
  </si>
  <si>
    <t>挂衣架</t>
  </si>
  <si>
    <t>CM9601/尼龙加纤/黑色</t>
  </si>
  <si>
    <t>CM8801/PA66新料+色粉/黑色</t>
  </si>
  <si>
    <t>CM8601-1/尼龙加纤/含纤25%/黑色</t>
  </si>
  <si>
    <t>38.金尊B02-S（铝合金背支撑架）10660108c04</t>
    <phoneticPr fontId="2" type="noConversion"/>
  </si>
  <si>
    <t>15公斤/310*200*80/需切口/BR</t>
  </si>
  <si>
    <t>15公斤/250*200*70/需切口/BR</t>
  </si>
  <si>
    <t>15公斤/560*120*60/长方体/BR</t>
  </si>
  <si>
    <t>15公斤/220*220*80/长方体/BR</t>
  </si>
  <si>
    <t>K=A/720*650*570/上开/BR(外径尺寸)</t>
  </si>
  <si>
    <t>SN-6835-2(NEW)</t>
  </si>
  <si>
    <t>120mm(内长112)*75mm/内径45/壁厚5mm/一端封口/CMF8502</t>
  </si>
  <si>
    <t>CM8801/尼龙加纤新料/含纤10%/椅背两角香菇头/黑色</t>
  </si>
  <si>
    <t>CM9601-1/尼龙加纤/含纤8%/黑色新模</t>
  </si>
  <si>
    <t>底盘把手后仰升降</t>
  </si>
  <si>
    <t>CM8601-1/丝印/黑</t>
  </si>
  <si>
    <t>39.金尊BS-LAM/B5(10670102c04)</t>
    <phoneticPr fontId="2" type="noConversion"/>
  </si>
  <si>
    <t>K=A/840*366/需切口/CM9105</t>
  </si>
  <si>
    <t>K=A/200*(100+200+100+200)/需压痕</t>
  </si>
  <si>
    <t>K=A/825*580*650/上开/BR(外径尺寸)</t>
  </si>
  <si>
    <t>滚轮内轴</t>
  </si>
  <si>
    <t>￠4*29.5/镀锌</t>
  </si>
  <si>
    <t>1/4*9/16牙长/头12.5/电着黑+耐落</t>
  </si>
  <si>
    <t>M3*16牙长/头6.5/煲黑+耐落</t>
  </si>
  <si>
    <t>M5*11总长/头7.8/煲黑+耐落</t>
  </si>
  <si>
    <t>5*10总长/头8.8/无尖/煲黑</t>
  </si>
  <si>
    <t>SL-5588-LC-3/四档</t>
  </si>
  <si>
    <t>0.6*41.5/黑色</t>
  </si>
  <si>
    <t>K=A/410*799/需切口/IOO</t>
  </si>
  <si>
    <t>CM9601/硬度35±5°</t>
  </si>
  <si>
    <t>CM9106-1/黑色</t>
  </si>
  <si>
    <t>金尊B-WB/中英文</t>
  </si>
  <si>
    <t>CM9106/钢/煲黑</t>
  </si>
  <si>
    <t>滑座槽座铁片</t>
  </si>
  <si>
    <t>CM9601/90*29.5*4/钢/黑色</t>
  </si>
  <si>
    <t>CM9106-1/钢+尼龙加纤/含纤5%/黑色(新模)</t>
  </si>
  <si>
    <t>座支撑架-1</t>
  </si>
  <si>
    <t>CM8601/尼龙加纤/含纤25%/黑色</t>
  </si>
  <si>
    <t>40.金尊B-WB-HAM(10790104c04)</t>
    <phoneticPr fontId="2" type="noConversion"/>
  </si>
  <si>
    <t>15公斤/540*275*40/需切口/BR</t>
  </si>
  <si>
    <t>15公斤/650*110*110/长方体/BR</t>
  </si>
  <si>
    <t>15公斤/400*175*100/需切口/BR</t>
  </si>
  <si>
    <t>15公斤/540*275*40/长方体/BR</t>
  </si>
  <si>
    <t>￠10*20*0.5/透明</t>
  </si>
  <si>
    <t>C=C/400*200/EJG-LAM/VP/ENJOY-3/7/EJBP</t>
  </si>
  <si>
    <t>A=A/520*265*125/上开/需切口/钻孔/BR(外径尺寸)</t>
  </si>
  <si>
    <t>A=A/620*560*300/上开/需切口/BR(外径尺寸)</t>
  </si>
  <si>
    <t>K=A/735*570*660/上开/BR(外径尺寸)</t>
  </si>
  <si>
    <t>￠4*40/黑色/实心</t>
  </si>
  <si>
    <t>￠4.3*25/头6/黑色/CF9618</t>
  </si>
  <si>
    <t>￠5.2*8*1.2/黑色</t>
  </si>
  <si>
    <t>1/4*1-1/4牙长/头12.5/镀锌+耐落</t>
  </si>
  <si>
    <t>M8*190总长(半长)/煲黑+耐落</t>
  </si>
  <si>
    <t>M12*56.3总长/牙长18/头18/反牙</t>
  </si>
  <si>
    <t>M12*56.3总长/牙长18/头18/正牙</t>
  </si>
  <si>
    <t>5*11总长/头9/煲黑</t>
  </si>
  <si>
    <t>5*25总长/头8.8/电着黑</t>
  </si>
  <si>
    <t>CM9601/中英文/BR-CBW-L1</t>
  </si>
  <si>
    <t>M5*19牙长/头9/煲黑</t>
  </si>
  <si>
    <t>SN-9601/黑色</t>
  </si>
  <si>
    <t>金尊E系列/中英文</t>
  </si>
  <si>
    <t>￠10*18*0.5</t>
  </si>
  <si>
    <t>CM9601/铁/电着黑</t>
  </si>
  <si>
    <t>背连接杆后盖</t>
  </si>
  <si>
    <t>气压棒控制转动座</t>
  </si>
  <si>
    <t>CM9601/尼龙/黑色/需丝印</t>
  </si>
  <si>
    <t>气压棒转动上盖片</t>
  </si>
  <si>
    <t>气压棒转动下基座</t>
  </si>
  <si>
    <t>椅背调整控制转动座</t>
  </si>
  <si>
    <t>椅背转动座上盖片</t>
  </si>
  <si>
    <t>椅背转动座下基座</t>
  </si>
  <si>
    <t>座深调整控制转动座</t>
  </si>
  <si>
    <t>座深转动上盖片</t>
  </si>
  <si>
    <t>座深转动下基座</t>
  </si>
  <si>
    <t>弹簧旋转钮螺杆盖</t>
  </si>
  <si>
    <t>CM9601/线长48mm/黑色</t>
  </si>
  <si>
    <t>背连接杆后孔螺套</t>
  </si>
  <si>
    <t>扶手旋转定位铝块</t>
  </si>
  <si>
    <t>CM9601/粉末冶金/哑光黑</t>
  </si>
  <si>
    <t>CM9601/M12/铝合金/抛光</t>
  </si>
  <si>
    <t>CM9601 M12/正反牙/铝合金/本色(新模)</t>
  </si>
  <si>
    <t>CM9601/铝合金/抛光/右</t>
  </si>
  <si>
    <t>CM9601/铝合金/抛光/左</t>
  </si>
  <si>
    <t>CM9601/铝合金/烤银漆</t>
  </si>
  <si>
    <t>CM9601/钢+尼龙加纤/含纤5%/黑色</t>
  </si>
  <si>
    <t>背连接杆前盖</t>
  </si>
  <si>
    <t>弹簧旋转钮后盖</t>
  </si>
  <si>
    <t>CM9601/PP/黑色/需丝印</t>
  </si>
  <si>
    <t>41.金尊E-HAM（10660101c04）</t>
    <phoneticPr fontId="2" type="noConversion"/>
  </si>
  <si>
    <t>15公斤/340*140*140/长方体/BR</t>
  </si>
  <si>
    <t>15公斤/340*120*100/长方体/BR</t>
  </si>
  <si>
    <t>15公斤/300*300*50/长方体/BR</t>
  </si>
  <si>
    <t>K=A/680*570*660/上开/BR(外径尺寸)</t>
  </si>
  <si>
    <t>42.金尊E-LAM（10670101c04）</t>
    <phoneticPr fontId="2" type="noConversion"/>
  </si>
  <si>
    <t>K=A/850*600*925/上开/CNM8003(外径尺寸)</t>
  </si>
  <si>
    <t>4*9总长/头6.5/钢牙/五彩</t>
  </si>
  <si>
    <t>4*8总长/头6.5/钢牙/镀锌</t>
  </si>
  <si>
    <t>9*22*2/黑色</t>
  </si>
  <si>
    <t>M8*52总长/牙长11/头15/孔5/SCM435/五彩+耐落/反牙</t>
  </si>
  <si>
    <t>M8*52总长/牙长11/头15/孔5/SCM435/镀锌+耐落/正牙</t>
  </si>
  <si>
    <t>5.5*22总长/头8.8/镀锌</t>
  </si>
  <si>
    <t>CGM8003-1/成型泡棉/黑色</t>
  </si>
  <si>
    <t>CGM8003/总长2020MM/内长1920MM/本色</t>
  </si>
  <si>
    <t>四脚架(加高)</t>
  </si>
  <si>
    <t>CNM8003/铁管+钢/白色/四轮/配管塞</t>
  </si>
  <si>
    <t>250*50mm/内径40/壁厚5mm/需切口</t>
  </si>
  <si>
    <t>CM9801/黑色/头枕旋转定位螺杆贴纸/1.5cm</t>
  </si>
  <si>
    <t>CM8801/白色/背支撑架连接块螺丝贴纸/8.6MM</t>
  </si>
  <si>
    <t>CGM8003/尼龙新料/黑色</t>
  </si>
  <si>
    <t>背外框上盖</t>
  </si>
  <si>
    <t>CGM8003/尼龙加纤新料/含纤10%/白色</t>
  </si>
  <si>
    <t>背外框下盖</t>
  </si>
  <si>
    <t>CGM8003-1/尼龙加纤新料/含纤15%/黑色/右/反牙</t>
  </si>
  <si>
    <t>CGM8003-1/尼龙加纤新料/含纤15%/黑色/左/正牙</t>
  </si>
  <si>
    <t>扶手支撑架小盖</t>
  </si>
  <si>
    <t>CGM8003/PP/白色</t>
  </si>
  <si>
    <t>管塞</t>
  </si>
  <si>
    <t>CGM8003/无螺牙/尼龙新料/黑色</t>
  </si>
  <si>
    <t>CGM8003/尼龙/白色</t>
  </si>
  <si>
    <t>CGM8003-1/PP/黑色</t>
  </si>
  <si>
    <t>CGM8003-1/尼龙加纤/含纤25%/白色</t>
  </si>
  <si>
    <t>43.LIIN-WW-HAB-LAM-485四轮(10630115c04)</t>
    <phoneticPr fontId="2" type="noConversion"/>
  </si>
  <si>
    <t>15公斤/200*590*20/长方体/EJG</t>
  </si>
  <si>
    <t>椅背固定块</t>
  </si>
  <si>
    <t>K=A/660*625*650/上开/EJG-2(外径尺寸)</t>
  </si>
  <si>
    <t>EJG-LAM-2螺丝包2</t>
  </si>
  <si>
    <t>普通/B01/B12(背L铁螺丝)</t>
  </si>
  <si>
    <t>1/4*1-3/8牙长/头12.5/镀锌+耐落</t>
  </si>
  <si>
    <t>1/4*1/2牙长/头12.5/煲黑+耐落</t>
  </si>
  <si>
    <t>5.5*31总长/头8.8/电着黑</t>
  </si>
  <si>
    <t>CM9501改版</t>
  </si>
  <si>
    <t>T帽</t>
  </si>
  <si>
    <t>1/4＂牙/镀锌</t>
  </si>
  <si>
    <t>304*80*8/98度/EJG-LAM-2/钢</t>
  </si>
  <si>
    <t>D192-2/黑色</t>
  </si>
  <si>
    <t>A4/黑白/英文/EJG-LAM-2</t>
  </si>
  <si>
    <t>工字架</t>
  </si>
  <si>
    <t>EJG-LAM-2/电镀</t>
  </si>
  <si>
    <t>EJG-LAM-2/耐寒PP/黑色</t>
  </si>
  <si>
    <t>CM9501-1/PP/黑色</t>
  </si>
  <si>
    <t>15公斤/580*50*130/长方体/EJG-LAL-2</t>
  </si>
  <si>
    <t>15公斤/615*70*170/长方体/EJG-LAL-2</t>
  </si>
  <si>
    <t>保利龙-1</t>
  </si>
  <si>
    <t>15公斤/580*170*80/长方体/EJG-LAL-2</t>
  </si>
  <si>
    <t>44.EJSG-LAM-2电镀(10171004c04）</t>
    <phoneticPr fontId="2" type="noConversion"/>
  </si>
  <si>
    <t>15公斤/650*200*50/长方体/BR</t>
  </si>
  <si>
    <t>15公斤/500*150*45/长方体/BR</t>
  </si>
  <si>
    <t>30*40厚5mm/4200mm/开口/BR</t>
  </si>
  <si>
    <t>访客托盘后支架</t>
  </si>
  <si>
    <t>8mm/烤黑漆</t>
  </si>
  <si>
    <t>访客托盘前支架</t>
  </si>
  <si>
    <t>K=A/680（+5，-0）*655*665/上开/BR(外径尺寸)</t>
  </si>
  <si>
    <t>M8*15牙长/头16/M5孔/煲黑+防滑+耐落</t>
  </si>
  <si>
    <t>M8*19牙长/头16/孔5/电着黑+防滑+耐落</t>
  </si>
  <si>
    <t>1/4*1-1/8牙长/头11/中碳钢/镀锌+耐落</t>
  </si>
  <si>
    <t>5.5*25总长/头8.8/电着黑</t>
  </si>
  <si>
    <t>CGM8601-3/中英文/BR-CBW-L4</t>
  </si>
  <si>
    <t>CM9601/背L铁泡棉</t>
  </si>
  <si>
    <t>300*150*25mm/D226/灰色/裁切泡棉/60±5°</t>
  </si>
  <si>
    <t>CGM8601-3/烤银漆</t>
  </si>
  <si>
    <t>CGM8601-3/左</t>
  </si>
  <si>
    <t>CGM8601-3/右</t>
  </si>
  <si>
    <t>组装图/金尊SG系列/中英文</t>
  </si>
  <si>
    <t>CGM8601-3/钢/黑色</t>
  </si>
  <si>
    <t>前脚垫</t>
  </si>
  <si>
    <t>CGM8601-3/尼龙/黑色</t>
  </si>
  <si>
    <t>后脚垫</t>
  </si>
  <si>
    <t>45.金尊SG-LAM电镀（10670801c04）</t>
    <phoneticPr fontId="2" type="noConversion"/>
  </si>
  <si>
    <t>无纺布</t>
  </si>
  <si>
    <t>黑色/85G/60"</t>
  </si>
  <si>
    <t>0100</t>
  </si>
  <si>
    <t>裁床</t>
  </si>
  <si>
    <t>支架支撑铁片</t>
  </si>
  <si>
    <t>CM81301/钢/电着黑</t>
  </si>
  <si>
    <t>100*90*120/长方体/纱管纸</t>
  </si>
  <si>
    <t>K=A/670*620*730/上开/CM81301(外径尺寸)</t>
  </si>
  <si>
    <t>4*12总长/头6.5/钢牙/镀锌</t>
  </si>
  <si>
    <t>0902</t>
  </si>
  <si>
    <t>电脑板组立</t>
  </si>
  <si>
    <t>M5*9总长/头7.8/电着黑+耐落</t>
  </si>
  <si>
    <t>1/4*1-1/16总长/牙长23/头9/中碳钢/电着黑+耐落</t>
  </si>
  <si>
    <t>1/4*15/32总长/头9/电着黑+耐落</t>
  </si>
  <si>
    <t>1/4*3/4牙长/头12.5/厚6/孔5/中碳钢/电着黑+防滑+耐落</t>
  </si>
  <si>
    <t>M8*41.5总长/牙长10/头12.5厚3.5/杆径8.4/孔5/SCM435/电着黑+耐</t>
  </si>
  <si>
    <t>1/4*3/4牙长/头11/电着黑+耐落</t>
  </si>
  <si>
    <t>M8*15牙长/头14厚5/孔5/SCM435/电着黑+防滑+耐落</t>
  </si>
  <si>
    <t>5.5*28总长/头8.8/电着黑</t>
  </si>
  <si>
    <t>5*15总长/头8.8/电着黑</t>
  </si>
  <si>
    <t>SKEP-EBW-L1/英文/黑色框带杯架</t>
  </si>
  <si>
    <t>成型泡棉/CM81301/白色/30±5°</t>
  </si>
  <si>
    <t>220*160*0.025</t>
  </si>
  <si>
    <t>0308</t>
  </si>
  <si>
    <t>螺丝包装</t>
  </si>
  <si>
    <t>扶手珍珠棉-1</t>
  </si>
  <si>
    <t>287*140*105mm/CM81301/左/30kg级高密度珍珠棉</t>
  </si>
  <si>
    <t>287*140*65mm/CM81301/右/30kg级高密度珍珠棉</t>
  </si>
  <si>
    <t>1500*1200*0.8（需钻透气孔）</t>
  </si>
  <si>
    <t>250*60*50mm/需切口/CM81301/30kg级高密度珍珠棉</t>
  </si>
  <si>
    <t>335*80*51mm/需切口/CM81301/40kg级高密度珍珠棉</t>
  </si>
  <si>
    <t>K=A/680*475/需压痕/需切口/CM81301</t>
  </si>
  <si>
    <t>K=A/715*475/需压痕/需切口/CM81301</t>
  </si>
  <si>
    <t>CM81301/PU/黑色/右</t>
  </si>
  <si>
    <t>CM81301/PU/黑色/左</t>
  </si>
  <si>
    <t>写字板托盘铁片</t>
  </si>
  <si>
    <t>右支架固定支架铁片</t>
  </si>
  <si>
    <t>CM81301/钢/热处理/电着黑</t>
  </si>
  <si>
    <t>底座圆形支架</t>
  </si>
  <si>
    <t>CM81301/尼龙加纤/含纤25%/黑色</t>
  </si>
  <si>
    <t>写字板旋转档块</t>
  </si>
  <si>
    <t>CM81301/尼龙(POM)/黑色</t>
  </si>
  <si>
    <t>写字板旋转垫片</t>
  </si>
  <si>
    <t>写字板旋转垫片-1</t>
  </si>
  <si>
    <t>写字板旋转护套</t>
  </si>
  <si>
    <t>写字板旋转护套-1</t>
  </si>
  <si>
    <t>CM81301/尼龙(POM50)/黑色</t>
  </si>
  <si>
    <t>写字板托盘</t>
  </si>
  <si>
    <t>CM81301/铝合金/黑色喷粉</t>
  </si>
  <si>
    <t>写字板支架</t>
  </si>
  <si>
    <t>底座纸托</t>
  </si>
  <si>
    <t>610*221.76*53mm/CM81301</t>
  </si>
  <si>
    <t>220*50*50mm/需切口/40kg级高密度珍珠棉</t>
  </si>
  <si>
    <t>右支架</t>
  </si>
  <si>
    <t>左支架</t>
  </si>
  <si>
    <t>CM81301/SKEP/英文</t>
  </si>
  <si>
    <t>杯架</t>
  </si>
  <si>
    <t>CM81301/尼龙加纤/含纤5%/黑色</t>
  </si>
  <si>
    <t>底座圆盘</t>
  </si>
  <si>
    <t>CM81301/PP(ABS)/黑色</t>
  </si>
  <si>
    <t>CGM8003/尼龙/黑色</t>
  </si>
  <si>
    <t>写字板上</t>
  </si>
  <si>
    <t>CM81301/PC/PP(ABS)/白色</t>
  </si>
  <si>
    <t>写字板下</t>
  </si>
  <si>
    <t>CM81301/尼龙/黑色</t>
  </si>
  <si>
    <t>支架内盖</t>
  </si>
  <si>
    <t>CM81301/PP(ABS)/黑色/右</t>
  </si>
  <si>
    <t>CM81301/PP(ABS)/黑色/左</t>
  </si>
  <si>
    <t>CM81301/PP/黑色</t>
  </si>
  <si>
    <t>46.SKEP-B-LAM-H-FS-ECS(10810134c04)</t>
    <phoneticPr fontId="2" type="noConversion"/>
  </si>
  <si>
    <t>座上泡棉</t>
  </si>
  <si>
    <t>CT/EH/EHP/EJ/IOO/NF/24"*20"*1/4"/D226/60±5°</t>
  </si>
  <si>
    <t>中纤板</t>
  </si>
  <si>
    <t>480*240*2.7</t>
  </si>
  <si>
    <t>A=A/605*515*315/上开/需切口/EJ/EH(外径尺寸)</t>
  </si>
  <si>
    <t>座泡棉</t>
  </si>
  <si>
    <t>CM9501-1/成型泡棉/白色/40±5°</t>
  </si>
  <si>
    <t>彩盒</t>
  </si>
  <si>
    <t>W=K/660*545*665/上开/EJ-LBM-F/OMX/SKU:24622428</t>
  </si>
  <si>
    <t>康柏雷</t>
  </si>
  <si>
    <t>4*3CM/日期＋PO号+客户品名/OMX/SKU:130313/24622428/布</t>
  </si>
  <si>
    <t>同熙印刷</t>
  </si>
  <si>
    <t>176*80mm/布/英文/打钉/OD/OMX/130313</t>
  </si>
  <si>
    <t>左：176*80mm/右：225*112mm/布/英文/左/打钉/OD/OMX</t>
  </si>
  <si>
    <t>188*80mm/布/英文/打钉/OD/OMX</t>
  </si>
  <si>
    <t>15公斤/200*90*90/需切口/EJ/EH/CT</t>
  </si>
  <si>
    <t>15公斤/500*295*40/需切口/右/EJ/EH</t>
  </si>
  <si>
    <t>15公斤/500*295*40/需切口/左/EJ/EH</t>
  </si>
  <si>
    <t>15公斤/500*180*40/长方体/EJ</t>
  </si>
  <si>
    <t>193*60*50/需切口/EJ/EH</t>
  </si>
  <si>
    <t>126*75mm/OD/OMX/贴纸箱</t>
  </si>
  <si>
    <t>提示标</t>
  </si>
  <si>
    <t>8*4CM/英文/黑色字体/B01版/布</t>
  </si>
  <si>
    <t>15.24*15.24CM/英文/OMX/EJ-LBM-F/SKU：24622428</t>
  </si>
  <si>
    <t>座内板</t>
  </si>
  <si>
    <t>CL9501-1/耐冲PP+25%PP新料/黑色</t>
  </si>
  <si>
    <t>47.EJ-LBM-F(10670420c04)</t>
    <phoneticPr fontId="2" type="noConversion"/>
  </si>
  <si>
    <t>K=A/504*405/需切口/CM9102</t>
  </si>
  <si>
    <t>K=A/680*555*665/上开/EJS(外径尺寸)</t>
  </si>
  <si>
    <t>A=A/605*520*320/上开/需切口/CM9101-1(外径尺寸)</t>
  </si>
  <si>
    <t>800*800*0.025（需钻透气孔）</t>
  </si>
  <si>
    <t>280*90*90mm/需切口/CM9101/30kg级高密度珍珠棉</t>
  </si>
  <si>
    <t>450*130*25mm</t>
  </si>
  <si>
    <t>48.EJS-LBM-F(10710402c04)</t>
    <phoneticPr fontId="2" type="noConversion"/>
  </si>
  <si>
    <t>49.EJS-HBM-F(10700402c04)</t>
    <phoneticPr fontId="2" type="noConversion"/>
  </si>
  <si>
    <t>CL9807座成型泡棉</t>
  </si>
  <si>
    <t>CL9807/PP/黑色</t>
  </si>
  <si>
    <t>50.EJE-HBM-F(10620401c04)</t>
    <phoneticPr fontId="2" type="noConversion"/>
  </si>
  <si>
    <t>0106</t>
  </si>
  <si>
    <t>裁床底布</t>
  </si>
  <si>
    <t>扶手铁片</t>
  </si>
  <si>
    <t>金卓A01-1(EJB)/左/电镀</t>
  </si>
  <si>
    <t>金卓A01-1(EJB)/右/电镀</t>
  </si>
  <si>
    <t>EJB-H/LBM-F/(M5扳手/L型)/英文/EJB-EBW-L2</t>
  </si>
  <si>
    <t>SN-8920B-1/后仰4档/前加铁圈</t>
  </si>
  <si>
    <t>座泡棉-1</t>
  </si>
  <si>
    <t>A01-1/成型泡棉/本色/带鸡蛋孔/42±5°</t>
  </si>
  <si>
    <t>四角钉</t>
  </si>
  <si>
    <t>1/4牙*16</t>
  </si>
  <si>
    <t>金卓A01-1(EJB)/95度/黑色</t>
  </si>
  <si>
    <t>金卓A01-1(EJB)/PU/黑色/55±5°</t>
  </si>
  <si>
    <t>A=A/720*680/EJBS</t>
  </si>
  <si>
    <t>C3C/500*330/IOO</t>
  </si>
  <si>
    <t>C=C/780*210/中间挖圆孔/EJB</t>
  </si>
  <si>
    <t>K=A/700*400*645(+10,-0)/上开/EJBS(外径尺寸)</t>
  </si>
  <si>
    <t>EJBS/无头/英文</t>
  </si>
  <si>
    <t>座木板</t>
  </si>
  <si>
    <t>442*483*12/PG-12模/金卓A01-1(EJB)</t>
  </si>
  <si>
    <t>长宏家具</t>
  </si>
  <si>
    <t>51.EJBS-LBM-F(10170414c04)</t>
    <phoneticPr fontId="2" type="noConversion"/>
  </si>
  <si>
    <t>K=A/750*420*645(+10,-0)/上开/EJB(外径尺寸)</t>
  </si>
  <si>
    <t>15公斤/320*260*150/需切口/EJBS</t>
  </si>
  <si>
    <t>EJBS/有头/英文</t>
  </si>
  <si>
    <t>52.EJBS-HBM-F(10460406c04)</t>
    <phoneticPr fontId="2" type="noConversion"/>
  </si>
  <si>
    <t>400*290*100mm/CM9101</t>
  </si>
  <si>
    <t>K=A/1164*695/需切口/CM9101</t>
  </si>
  <si>
    <t>K=A/680*555*665/上开/EHS(外径尺寸)</t>
  </si>
  <si>
    <t>53.EHS-LBM-F(10690402c04)</t>
    <phoneticPr fontId="2" type="noConversion"/>
  </si>
  <si>
    <t>K=A/1564*930/需切口/CM9101</t>
  </si>
  <si>
    <t>K=A/825*555*665/上开/EHS(外径尺寸)</t>
  </si>
  <si>
    <t>54.EHS-HBM-F(10680402c04)</t>
    <phoneticPr fontId="2" type="noConversion"/>
  </si>
  <si>
    <t>W=K/744(+0,-2)*580*650/上开/EHB-WB/Raynor/SKU:9518879</t>
  </si>
  <si>
    <t>4*3CM/日期＋PO号+客户品名/Raynor/SKU:9518879/黑色</t>
  </si>
  <si>
    <t>EHB-WB/194*80mm/成份标示/布/打钉/OD</t>
  </si>
  <si>
    <t>208*80mm/布/英文/布/打钉/OD</t>
  </si>
  <si>
    <t>EHB-WB/194*80mm/左/布/打钉/OD</t>
  </si>
  <si>
    <t>EHB-WB/256*80mm/Notice/右/布/打钉/OD</t>
  </si>
  <si>
    <t>EHB-WB/15.2*15.2CM/Raynor/B01/11款SKU号</t>
  </si>
  <si>
    <t>55.EHB-WB-LBM-F(10880401c04)</t>
    <phoneticPr fontId="2" type="noConversion"/>
  </si>
  <si>
    <t>56.EH-2010-B-HBM-F(10600401c04)</t>
    <phoneticPr fontId="2" type="noConversion"/>
  </si>
  <si>
    <t>57.EHPE-AB-HBM-F座网+布(10720401c04）</t>
    <phoneticPr fontId="2" type="noConversion"/>
  </si>
  <si>
    <t>K=A/609*470/需切口/需压痕/CT</t>
  </si>
  <si>
    <t>C=C/550*630/需压痕：100+130+70+160+90/EJ/EH/CT</t>
  </si>
  <si>
    <t>C=C/500*355需压痕/125+125+125+125/EJ/CT</t>
  </si>
  <si>
    <t>K=A/705*560*660/侧开</t>
  </si>
  <si>
    <t>58.CT-LBM-F(10170402c04)</t>
    <phoneticPr fontId="2" type="noConversion"/>
  </si>
  <si>
    <t>CMF8003座上贴合棉</t>
  </si>
  <si>
    <t>27-1/2"*26-1/2"*1/4"/D226/灰色/60±5°</t>
  </si>
  <si>
    <t>CMF8003/成型泡棉/45°</t>
  </si>
  <si>
    <t>CMF8003/耐冲PP/黑色</t>
  </si>
  <si>
    <t>59.IOO-BA-LBM-F(10630502c04)</t>
    <phoneticPr fontId="2" type="noConversion"/>
  </si>
  <si>
    <t>60.IOO-BA-MDHBM-F(10630501c04)</t>
    <phoneticPr fontId="2" type="noConversion"/>
  </si>
  <si>
    <t>CL8801成型泡棉</t>
  </si>
  <si>
    <t>IOOB/20"*20"*3/8"/D226/60±5°</t>
  </si>
  <si>
    <t>CL8801/PP/黑色</t>
  </si>
  <si>
    <t>61.IOOB-WBNF-LBM-F(10760412c04)</t>
    <phoneticPr fontId="2" type="noConversion"/>
  </si>
  <si>
    <t>铝合金/CM8003/抛光</t>
    <phoneticPr fontId="2" type="noConversion"/>
  </si>
  <si>
    <t>62.IOO-BA-MDHBM-F座深加长(10650531c04）</t>
    <phoneticPr fontId="2" type="noConversion"/>
  </si>
  <si>
    <t>3010206018</t>
  </si>
  <si>
    <t>进口面皮</t>
  </si>
  <si>
    <t>LE2095黑色</t>
  </si>
  <si>
    <t>才</t>
  </si>
  <si>
    <t>（之文)新望皮革</t>
  </si>
  <si>
    <t>63.EHS-LBM-L(10690501c04)</t>
    <phoneticPr fontId="2" type="noConversion"/>
  </si>
  <si>
    <t>64.EHS-HBM-L(10680501c04)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</si>
</sst>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0_ "/>
    <numFmt numFmtId="177" formatCode="0.00000_ "/>
  </numFmts>
  <fonts count="4" x14ac:knownFonts="1">
    <font>
      <sz val="11"/>
      <color theme="1"/>
      <name val="等线"/>
      <family val="2"/>
      <scheme val="minor"/>
    </font>
    <font>
      <b/>
      <sz val="11"/>
      <color theme="0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rgb="FFFF0000"/>
      <name val="等线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 shrinkToFit="1"/>
    </xf>
    <xf numFmtId="0" fontId="0" fillId="0" borderId="0" xfId="0" applyAlignment="1">
      <alignment vertical="center"/>
    </xf>
    <xf numFmtId="0" fontId="0" fillId="0" borderId="0" xfId="0" applyAlignment="1">
      <alignment vertical="center" shrinkToFit="1"/>
    </xf>
    <xf numFmtId="49" fontId="1" fillId="2" borderId="0" xfId="0" applyNumberFormat="1" applyFont="1" applyFill="1" applyAlignment="1">
      <alignment horizontal="center" vertical="center" wrapText="1"/>
    </xf>
    <xf numFmtId="49" fontId="0" fillId="0" borderId="0" xfId="0" applyNumberFormat="1" applyAlignment="1">
      <alignment vertical="center"/>
    </xf>
    <xf numFmtId="49" fontId="0" fillId="0" borderId="0" xfId="0" applyNumberFormat="1"/>
    <xf numFmtId="0" fontId="0" fillId="3" borderId="0" xfId="0" applyFill="1" applyAlignment="1">
      <alignment vertical="center"/>
    </xf>
    <xf numFmtId="0" fontId="0" fillId="3" borderId="0" xfId="0" applyFill="1" applyAlignment="1">
      <alignment vertical="center" shrinkToFit="1"/>
    </xf>
    <xf numFmtId="0" fontId="0" fillId="3" borderId="0" xfId="0" applyFill="1"/>
    <xf numFmtId="0" fontId="3" fillId="3" borderId="0" xfId="0" applyFont="1" applyFill="1" applyAlignment="1">
      <alignment vertical="center"/>
    </xf>
    <xf numFmtId="176" fontId="3" fillId="3" borderId="0" xfId="0" applyNumberFormat="1" applyFont="1" applyFill="1" applyAlignment="1">
      <alignment vertical="center"/>
    </xf>
    <xf numFmtId="176" fontId="0" fillId="3" borderId="0" xfId="0" applyNumberFormat="1" applyFill="1" applyAlignment="1">
      <alignment vertical="center"/>
    </xf>
    <xf numFmtId="177" fontId="3" fillId="3" borderId="0" xfId="0" applyNumberFormat="1" applyFont="1" applyFill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68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styles" Target="styles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5"/>
  <sheetViews>
    <sheetView tabSelected="1" workbookViewId="0">
      <selection activeCell="M21" sqref="M21"/>
    </sheetView>
  </sheetViews>
  <sheetFormatPr defaultRowHeight="14.25" x14ac:dyDescent="0.2"/>
  <cols>
    <col min="1" max="1" width="13.5" customWidth="1"/>
    <col min="3" max="3" width="19.75" customWidth="1"/>
    <col min="6" max="6" width="9" style="7"/>
  </cols>
  <sheetData>
    <row r="1" spans="1:8" x14ac:dyDescent="0.2">
      <c r="A1" t="s">
        <v>614</v>
      </c>
    </row>
    <row r="2" spans="1:8" ht="28.5" x14ac:dyDescent="0.2">
      <c r="A2" s="1" t="s">
        <v>0</v>
      </c>
      <c r="B2" s="2" t="s">
        <v>1</v>
      </c>
      <c r="C2" s="2" t="s">
        <v>2</v>
      </c>
      <c r="D2" s="1" t="s">
        <v>4</v>
      </c>
      <c r="E2" s="1" t="s">
        <v>3</v>
      </c>
      <c r="F2" s="5" t="s">
        <v>5</v>
      </c>
      <c r="G2" s="1" t="s">
        <v>6</v>
      </c>
      <c r="H2" s="1" t="s">
        <v>7</v>
      </c>
    </row>
    <row r="3" spans="1:8" s="10" customFormat="1" x14ac:dyDescent="0.2">
      <c r="A3" s="8" t="s">
        <v>390</v>
      </c>
      <c r="B3" s="9" t="s">
        <v>8</v>
      </c>
      <c r="C3" s="9" t="s">
        <v>9</v>
      </c>
      <c r="D3" s="12">
        <f>0.2273/0.94</f>
        <v>0.24180851063829789</v>
      </c>
      <c r="E3" s="8" t="s">
        <v>596</v>
      </c>
      <c r="F3" s="8" t="s">
        <v>283</v>
      </c>
      <c r="G3" s="8" t="s">
        <v>13</v>
      </c>
      <c r="H3" s="8" t="s">
        <v>12</v>
      </c>
    </row>
    <row r="4" spans="1:8" x14ac:dyDescent="0.2">
      <c r="A4" s="3">
        <v>3080503020</v>
      </c>
      <c r="B4" s="4" t="s">
        <v>14</v>
      </c>
      <c r="C4" s="4" t="s">
        <v>15</v>
      </c>
      <c r="D4" s="3">
        <v>2</v>
      </c>
      <c r="E4" s="3" t="s">
        <v>16</v>
      </c>
      <c r="F4" s="6" t="s">
        <v>296</v>
      </c>
      <c r="G4" s="3" t="s">
        <v>17</v>
      </c>
      <c r="H4" s="3" t="s">
        <v>18</v>
      </c>
    </row>
    <row r="5" spans="1:8" x14ac:dyDescent="0.2">
      <c r="A5" s="3">
        <v>3080503019</v>
      </c>
      <c r="B5" s="4" t="s">
        <v>14</v>
      </c>
      <c r="C5" s="4" t="s">
        <v>19</v>
      </c>
      <c r="D5" s="3">
        <v>4</v>
      </c>
      <c r="E5" s="3" t="s">
        <v>16</v>
      </c>
      <c r="F5" s="6" t="s">
        <v>296</v>
      </c>
      <c r="G5" s="3" t="s">
        <v>17</v>
      </c>
      <c r="H5" s="3" t="s">
        <v>18</v>
      </c>
    </row>
    <row r="6" spans="1:8" x14ac:dyDescent="0.2">
      <c r="A6" s="3">
        <v>3080503001</v>
      </c>
      <c r="B6" s="4" t="s">
        <v>14</v>
      </c>
      <c r="C6" s="4" t="s">
        <v>20</v>
      </c>
      <c r="D6" s="3">
        <v>4</v>
      </c>
      <c r="E6" s="3" t="s">
        <v>16</v>
      </c>
      <c r="F6" s="6" t="s">
        <v>296</v>
      </c>
      <c r="G6" s="3" t="s">
        <v>17</v>
      </c>
      <c r="H6" s="3" t="s">
        <v>18</v>
      </c>
    </row>
    <row r="7" spans="1:8" x14ac:dyDescent="0.2">
      <c r="A7" s="3">
        <v>3060503002</v>
      </c>
      <c r="B7" s="4" t="s">
        <v>21</v>
      </c>
      <c r="C7" s="4" t="s">
        <v>22</v>
      </c>
      <c r="D7" s="3">
        <v>1</v>
      </c>
      <c r="E7" s="3" t="s">
        <v>16</v>
      </c>
      <c r="F7" s="6" t="s">
        <v>290</v>
      </c>
      <c r="G7" s="3" t="s">
        <v>23</v>
      </c>
      <c r="H7" s="3" t="s">
        <v>18</v>
      </c>
    </row>
    <row r="8" spans="1:8" x14ac:dyDescent="0.2">
      <c r="A8" s="3">
        <v>3030215001</v>
      </c>
      <c r="B8" s="4" t="s">
        <v>24</v>
      </c>
      <c r="C8" s="4" t="s">
        <v>25</v>
      </c>
      <c r="D8" s="3">
        <v>2</v>
      </c>
      <c r="E8" s="3" t="s">
        <v>16</v>
      </c>
      <c r="F8" s="6" t="s">
        <v>292</v>
      </c>
      <c r="G8" s="3" t="s">
        <v>26</v>
      </c>
      <c r="H8" s="3" t="s">
        <v>18</v>
      </c>
    </row>
    <row r="9" spans="1:8" x14ac:dyDescent="0.2">
      <c r="A9" s="3">
        <v>3040208001</v>
      </c>
      <c r="B9" s="4" t="s">
        <v>27</v>
      </c>
      <c r="C9" s="4" t="s">
        <v>28</v>
      </c>
      <c r="D9" s="3">
        <v>2</v>
      </c>
      <c r="E9" s="3" t="s">
        <v>16</v>
      </c>
      <c r="F9" s="6" t="s">
        <v>294</v>
      </c>
      <c r="G9" s="3" t="s">
        <v>29</v>
      </c>
      <c r="H9" s="3" t="s">
        <v>18</v>
      </c>
    </row>
    <row r="10" spans="1:8" x14ac:dyDescent="0.2">
      <c r="A10" s="3">
        <v>404020029</v>
      </c>
      <c r="B10" s="4" t="s">
        <v>30</v>
      </c>
      <c r="C10" s="4" t="s">
        <v>31</v>
      </c>
      <c r="D10" s="3">
        <v>2</v>
      </c>
      <c r="E10" s="3" t="s">
        <v>16</v>
      </c>
      <c r="F10" s="6" t="s">
        <v>302</v>
      </c>
      <c r="G10" s="3" t="s">
        <v>32</v>
      </c>
      <c r="H10" s="3" t="s">
        <v>33</v>
      </c>
    </row>
    <row r="11" spans="1:8" x14ac:dyDescent="0.2">
      <c r="A11" s="3">
        <v>404020018</v>
      </c>
      <c r="B11" s="4" t="s">
        <v>30</v>
      </c>
      <c r="C11" s="4" t="s">
        <v>34</v>
      </c>
      <c r="D11" s="3">
        <v>1</v>
      </c>
      <c r="E11" s="3" t="s">
        <v>16</v>
      </c>
      <c r="F11" s="6" t="s">
        <v>302</v>
      </c>
      <c r="G11" s="3" t="s">
        <v>32</v>
      </c>
      <c r="H11" s="3" t="s">
        <v>33</v>
      </c>
    </row>
    <row r="12" spans="1:8" x14ac:dyDescent="0.2">
      <c r="A12" s="3">
        <v>404020029</v>
      </c>
      <c r="B12" s="4" t="s">
        <v>30</v>
      </c>
      <c r="C12" s="4" t="s">
        <v>31</v>
      </c>
      <c r="D12" s="3">
        <v>1</v>
      </c>
      <c r="E12" s="3" t="s">
        <v>16</v>
      </c>
      <c r="F12" s="6" t="s">
        <v>302</v>
      </c>
      <c r="G12" s="3" t="s">
        <v>32</v>
      </c>
      <c r="H12" s="3" t="s">
        <v>33</v>
      </c>
    </row>
    <row r="13" spans="1:8" x14ac:dyDescent="0.2">
      <c r="A13" s="3">
        <v>401020031</v>
      </c>
      <c r="B13" s="4" t="s">
        <v>35</v>
      </c>
      <c r="C13" s="4" t="s">
        <v>36</v>
      </c>
      <c r="D13" s="3">
        <v>1</v>
      </c>
      <c r="E13" s="3" t="s">
        <v>16</v>
      </c>
      <c r="F13" s="6" t="s">
        <v>302</v>
      </c>
      <c r="G13" s="3" t="s">
        <v>32</v>
      </c>
      <c r="H13" s="3" t="s">
        <v>33</v>
      </c>
    </row>
    <row r="14" spans="1:8" x14ac:dyDescent="0.2">
      <c r="A14" s="3">
        <v>401040028</v>
      </c>
      <c r="B14" s="4" t="s">
        <v>35</v>
      </c>
      <c r="C14" s="4" t="s">
        <v>37</v>
      </c>
      <c r="D14" s="3">
        <v>1</v>
      </c>
      <c r="E14" s="3" t="s">
        <v>16</v>
      </c>
      <c r="F14" s="6" t="s">
        <v>292</v>
      </c>
      <c r="G14" s="3" t="s">
        <v>26</v>
      </c>
      <c r="H14" s="3" t="s">
        <v>33</v>
      </c>
    </row>
    <row r="15" spans="1:8" x14ac:dyDescent="0.2">
      <c r="A15" s="3">
        <v>3080102003</v>
      </c>
      <c r="B15" s="4" t="s">
        <v>38</v>
      </c>
      <c r="C15" s="4" t="s">
        <v>39</v>
      </c>
      <c r="D15" s="3">
        <v>1</v>
      </c>
      <c r="E15" s="3" t="s">
        <v>16</v>
      </c>
      <c r="F15" s="6" t="s">
        <v>290</v>
      </c>
      <c r="G15" s="3" t="s">
        <v>23</v>
      </c>
      <c r="H15" s="3" t="s">
        <v>40</v>
      </c>
    </row>
    <row r="16" spans="1:8" x14ac:dyDescent="0.2">
      <c r="A16" s="3">
        <v>3080401012</v>
      </c>
      <c r="B16" s="4" t="s">
        <v>41</v>
      </c>
      <c r="C16" s="4" t="s">
        <v>42</v>
      </c>
      <c r="D16" s="3">
        <v>3</v>
      </c>
      <c r="E16" s="3" t="s">
        <v>16</v>
      </c>
      <c r="F16" s="6" t="s">
        <v>292</v>
      </c>
      <c r="G16" s="3" t="s">
        <v>26</v>
      </c>
      <c r="H16" s="3" t="s">
        <v>40</v>
      </c>
    </row>
    <row r="17" spans="1:8" x14ac:dyDescent="0.2">
      <c r="A17" s="3">
        <v>3080401005</v>
      </c>
      <c r="B17" s="4" t="s">
        <v>41</v>
      </c>
      <c r="C17" s="4" t="s">
        <v>43</v>
      </c>
      <c r="D17" s="3">
        <v>12</v>
      </c>
      <c r="E17" s="3" t="s">
        <v>16</v>
      </c>
      <c r="F17" s="6" t="s">
        <v>292</v>
      </c>
      <c r="G17" s="3" t="s">
        <v>26</v>
      </c>
      <c r="H17" s="3" t="s">
        <v>40</v>
      </c>
    </row>
    <row r="18" spans="1:8" x14ac:dyDescent="0.2">
      <c r="A18" s="3">
        <v>3080401006</v>
      </c>
      <c r="B18" s="4" t="s">
        <v>41</v>
      </c>
      <c r="C18" s="4" t="s">
        <v>44</v>
      </c>
      <c r="D18" s="3">
        <v>1</v>
      </c>
      <c r="E18" s="3" t="s">
        <v>16</v>
      </c>
      <c r="F18" s="6" t="s">
        <v>296</v>
      </c>
      <c r="G18" s="3" t="s">
        <v>17</v>
      </c>
      <c r="H18" s="3" t="s">
        <v>40</v>
      </c>
    </row>
    <row r="19" spans="1:8" x14ac:dyDescent="0.2">
      <c r="A19" s="3">
        <v>3080104020</v>
      </c>
      <c r="B19" s="4" t="s">
        <v>45</v>
      </c>
      <c r="C19" s="4" t="s">
        <v>46</v>
      </c>
      <c r="D19" s="3">
        <v>4</v>
      </c>
      <c r="E19" s="3" t="s">
        <v>16</v>
      </c>
      <c r="F19" s="6" t="s">
        <v>292</v>
      </c>
      <c r="G19" s="3" t="s">
        <v>26</v>
      </c>
      <c r="H19" s="3" t="s">
        <v>40</v>
      </c>
    </row>
    <row r="20" spans="1:8" x14ac:dyDescent="0.2">
      <c r="A20" s="3">
        <v>3080104019</v>
      </c>
      <c r="B20" s="4" t="s">
        <v>45</v>
      </c>
      <c r="C20" s="4" t="s">
        <v>47</v>
      </c>
      <c r="D20" s="3">
        <v>2</v>
      </c>
      <c r="E20" s="3" t="s">
        <v>16</v>
      </c>
      <c r="F20" s="6" t="s">
        <v>292</v>
      </c>
      <c r="G20" s="3" t="s">
        <v>26</v>
      </c>
      <c r="H20" s="3" t="s">
        <v>40</v>
      </c>
    </row>
    <row r="21" spans="1:8" x14ac:dyDescent="0.2">
      <c r="A21" s="3">
        <v>3080104010</v>
      </c>
      <c r="B21" s="4" t="s">
        <v>45</v>
      </c>
      <c r="C21" s="4" t="s">
        <v>48</v>
      </c>
      <c r="D21" s="3">
        <v>4</v>
      </c>
      <c r="E21" s="3" t="s">
        <v>16</v>
      </c>
      <c r="F21" s="6" t="s">
        <v>292</v>
      </c>
      <c r="G21" s="3" t="s">
        <v>26</v>
      </c>
      <c r="H21" s="3" t="s">
        <v>40</v>
      </c>
    </row>
    <row r="22" spans="1:8" x14ac:dyDescent="0.2">
      <c r="A22" s="3">
        <v>3080104050</v>
      </c>
      <c r="B22" s="4" t="s">
        <v>45</v>
      </c>
      <c r="C22" s="4" t="s">
        <v>49</v>
      </c>
      <c r="D22" s="3">
        <v>4</v>
      </c>
      <c r="E22" s="3" t="s">
        <v>16</v>
      </c>
      <c r="F22" s="6" t="s">
        <v>296</v>
      </c>
      <c r="G22" s="3" t="s">
        <v>17</v>
      </c>
      <c r="H22" s="3" t="s">
        <v>40</v>
      </c>
    </row>
    <row r="23" spans="1:8" x14ac:dyDescent="0.2">
      <c r="A23" s="3">
        <v>3080105013</v>
      </c>
      <c r="B23" s="4" t="s">
        <v>50</v>
      </c>
      <c r="C23" s="4" t="s">
        <v>51</v>
      </c>
      <c r="D23" s="3">
        <v>12</v>
      </c>
      <c r="E23" s="3" t="s">
        <v>16</v>
      </c>
      <c r="F23" s="6" t="s">
        <v>294</v>
      </c>
      <c r="G23" s="3" t="s">
        <v>29</v>
      </c>
      <c r="H23" s="3" t="s">
        <v>40</v>
      </c>
    </row>
    <row r="24" spans="1:8" x14ac:dyDescent="0.2">
      <c r="A24" s="3">
        <v>3080105007</v>
      </c>
      <c r="B24" s="4" t="s">
        <v>50</v>
      </c>
      <c r="C24" s="4" t="s">
        <v>52</v>
      </c>
      <c r="D24" s="3">
        <v>2</v>
      </c>
      <c r="E24" s="3" t="s">
        <v>16</v>
      </c>
      <c r="F24" s="6" t="s">
        <v>290</v>
      </c>
      <c r="G24" s="3" t="s">
        <v>23</v>
      </c>
      <c r="H24" s="3" t="s">
        <v>40</v>
      </c>
    </row>
    <row r="25" spans="1:8" x14ac:dyDescent="0.2">
      <c r="A25" s="3">
        <v>3080105007</v>
      </c>
      <c r="B25" s="4" t="s">
        <v>50</v>
      </c>
      <c r="C25" s="4" t="s">
        <v>52</v>
      </c>
      <c r="D25" s="3">
        <v>2</v>
      </c>
      <c r="E25" s="3" t="s">
        <v>16</v>
      </c>
      <c r="F25" s="6" t="s">
        <v>294</v>
      </c>
      <c r="G25" s="3" t="s">
        <v>29</v>
      </c>
      <c r="H25" s="3" t="s">
        <v>40</v>
      </c>
    </row>
    <row r="26" spans="1:8" x14ac:dyDescent="0.2">
      <c r="A26" s="3">
        <v>3080105114</v>
      </c>
      <c r="B26" s="4" t="s">
        <v>50</v>
      </c>
      <c r="C26" s="4" t="s">
        <v>53</v>
      </c>
      <c r="D26" s="3">
        <v>4</v>
      </c>
      <c r="E26" s="3" t="s">
        <v>16</v>
      </c>
      <c r="F26" s="6" t="s">
        <v>290</v>
      </c>
      <c r="G26" s="3" t="s">
        <v>23</v>
      </c>
      <c r="H26" s="3" t="s">
        <v>40</v>
      </c>
    </row>
    <row r="27" spans="1:8" x14ac:dyDescent="0.2">
      <c r="A27" s="3">
        <v>3080105114</v>
      </c>
      <c r="B27" s="4" t="s">
        <v>50</v>
      </c>
      <c r="C27" s="4" t="s">
        <v>53</v>
      </c>
      <c r="D27" s="3">
        <v>4</v>
      </c>
      <c r="E27" s="3" t="s">
        <v>16</v>
      </c>
      <c r="F27" s="6" t="s">
        <v>290</v>
      </c>
      <c r="G27" s="3" t="s">
        <v>23</v>
      </c>
      <c r="H27" s="3" t="s">
        <v>40</v>
      </c>
    </row>
    <row r="28" spans="1:8" x14ac:dyDescent="0.2">
      <c r="A28" s="3">
        <v>3080105007</v>
      </c>
      <c r="B28" s="4" t="s">
        <v>50</v>
      </c>
      <c r="C28" s="4" t="s">
        <v>52</v>
      </c>
      <c r="D28" s="3">
        <v>16</v>
      </c>
      <c r="E28" s="3" t="s">
        <v>16</v>
      </c>
      <c r="F28" s="6" t="s">
        <v>294</v>
      </c>
      <c r="G28" s="3" t="s">
        <v>29</v>
      </c>
      <c r="H28" s="3" t="s">
        <v>40</v>
      </c>
    </row>
    <row r="29" spans="1:8" x14ac:dyDescent="0.2">
      <c r="A29" s="3">
        <v>3080105004</v>
      </c>
      <c r="B29" s="4" t="s">
        <v>50</v>
      </c>
      <c r="C29" s="4" t="s">
        <v>54</v>
      </c>
      <c r="D29" s="3">
        <v>1</v>
      </c>
      <c r="E29" s="3" t="s">
        <v>16</v>
      </c>
      <c r="F29" s="6" t="s">
        <v>290</v>
      </c>
      <c r="G29" s="3" t="s">
        <v>23</v>
      </c>
      <c r="H29" s="3" t="s">
        <v>40</v>
      </c>
    </row>
    <row r="30" spans="1:8" x14ac:dyDescent="0.2">
      <c r="A30" s="3">
        <v>3080105007</v>
      </c>
      <c r="B30" s="4" t="s">
        <v>50</v>
      </c>
      <c r="C30" s="4" t="s">
        <v>52</v>
      </c>
      <c r="D30" s="3">
        <v>8</v>
      </c>
      <c r="E30" s="3" t="s">
        <v>16</v>
      </c>
      <c r="F30" s="6" t="s">
        <v>290</v>
      </c>
      <c r="G30" s="3" t="s">
        <v>23</v>
      </c>
      <c r="H30" s="3" t="s">
        <v>40</v>
      </c>
    </row>
    <row r="31" spans="1:8" x14ac:dyDescent="0.2">
      <c r="A31" s="3">
        <v>3080105013</v>
      </c>
      <c r="B31" s="4" t="s">
        <v>50</v>
      </c>
      <c r="C31" s="4" t="s">
        <v>51</v>
      </c>
      <c r="D31" s="3">
        <v>2</v>
      </c>
      <c r="E31" s="3" t="s">
        <v>16</v>
      </c>
      <c r="F31" s="6" t="s">
        <v>292</v>
      </c>
      <c r="G31" s="3" t="s">
        <v>26</v>
      </c>
      <c r="H31" s="3" t="s">
        <v>40</v>
      </c>
    </row>
    <row r="32" spans="1:8" x14ac:dyDescent="0.2">
      <c r="A32" s="3">
        <v>3080502002</v>
      </c>
      <c r="B32" s="4" t="s">
        <v>55</v>
      </c>
      <c r="C32" s="4" t="s">
        <v>56</v>
      </c>
      <c r="D32" s="3">
        <v>4</v>
      </c>
      <c r="E32" s="3" t="s">
        <v>16</v>
      </c>
      <c r="F32" s="6" t="s">
        <v>294</v>
      </c>
      <c r="G32" s="3" t="s">
        <v>29</v>
      </c>
      <c r="H32" s="3" t="s">
        <v>40</v>
      </c>
    </row>
    <row r="33" spans="1:8" x14ac:dyDescent="0.2">
      <c r="A33" s="3">
        <v>3080501013</v>
      </c>
      <c r="B33" s="4" t="s">
        <v>57</v>
      </c>
      <c r="C33" s="4" t="s">
        <v>58</v>
      </c>
      <c r="D33" s="3">
        <v>2</v>
      </c>
      <c r="E33" s="3" t="s">
        <v>16</v>
      </c>
      <c r="F33" s="6" t="s">
        <v>294</v>
      </c>
      <c r="G33" s="3" t="s">
        <v>29</v>
      </c>
      <c r="H33" s="3" t="s">
        <v>40</v>
      </c>
    </row>
    <row r="34" spans="1:8" x14ac:dyDescent="0.2">
      <c r="A34" s="3">
        <v>3080501016</v>
      </c>
      <c r="B34" s="4" t="s">
        <v>57</v>
      </c>
      <c r="C34" s="4" t="s">
        <v>59</v>
      </c>
      <c r="D34" s="3">
        <v>2</v>
      </c>
      <c r="E34" s="3" t="s">
        <v>16</v>
      </c>
      <c r="F34" s="6" t="s">
        <v>294</v>
      </c>
      <c r="G34" s="3" t="s">
        <v>29</v>
      </c>
      <c r="H34" s="3" t="s">
        <v>40</v>
      </c>
    </row>
    <row r="35" spans="1:8" x14ac:dyDescent="0.2">
      <c r="A35" s="3">
        <v>3080201004</v>
      </c>
      <c r="B35" s="4" t="s">
        <v>60</v>
      </c>
      <c r="C35" s="4" t="s">
        <v>61</v>
      </c>
      <c r="D35" s="3">
        <v>4</v>
      </c>
      <c r="E35" s="3" t="s">
        <v>16</v>
      </c>
      <c r="F35" s="6" t="s">
        <v>296</v>
      </c>
      <c r="G35" s="3" t="s">
        <v>17</v>
      </c>
      <c r="H35" s="3" t="s">
        <v>40</v>
      </c>
    </row>
    <row r="36" spans="1:8" x14ac:dyDescent="0.2">
      <c r="A36" s="3">
        <v>3080201007</v>
      </c>
      <c r="B36" s="4" t="s">
        <v>60</v>
      </c>
      <c r="C36" s="4" t="s">
        <v>62</v>
      </c>
      <c r="D36" s="3">
        <v>1</v>
      </c>
      <c r="E36" s="3" t="s">
        <v>16</v>
      </c>
      <c r="F36" s="6" t="s">
        <v>296</v>
      </c>
      <c r="G36" s="3" t="s">
        <v>17</v>
      </c>
      <c r="H36" s="3" t="s">
        <v>40</v>
      </c>
    </row>
    <row r="37" spans="1:8" x14ac:dyDescent="0.2">
      <c r="A37" s="3">
        <v>3080201008</v>
      </c>
      <c r="B37" s="4" t="s">
        <v>60</v>
      </c>
      <c r="C37" s="4" t="s">
        <v>63</v>
      </c>
      <c r="D37" s="3">
        <v>1</v>
      </c>
      <c r="E37" s="3" t="s">
        <v>16</v>
      </c>
      <c r="F37" s="6" t="s">
        <v>296</v>
      </c>
      <c r="G37" s="3" t="s">
        <v>17</v>
      </c>
      <c r="H37" s="3" t="s">
        <v>40</v>
      </c>
    </row>
    <row r="38" spans="1:8" x14ac:dyDescent="0.2">
      <c r="A38" s="3">
        <v>3080201010</v>
      </c>
      <c r="B38" s="4" t="s">
        <v>60</v>
      </c>
      <c r="C38" s="4" t="s">
        <v>64</v>
      </c>
      <c r="D38" s="3">
        <v>1</v>
      </c>
      <c r="E38" s="3" t="s">
        <v>16</v>
      </c>
      <c r="F38" s="6" t="s">
        <v>296</v>
      </c>
      <c r="G38" s="3" t="s">
        <v>17</v>
      </c>
      <c r="H38" s="3" t="s">
        <v>40</v>
      </c>
    </row>
    <row r="39" spans="1:8" x14ac:dyDescent="0.2">
      <c r="A39" s="3">
        <v>3080201015</v>
      </c>
      <c r="B39" s="4" t="s">
        <v>60</v>
      </c>
      <c r="C39" s="4" t="s">
        <v>65</v>
      </c>
      <c r="D39" s="3">
        <v>2</v>
      </c>
      <c r="E39" s="3" t="s">
        <v>16</v>
      </c>
      <c r="F39" s="6" t="s">
        <v>296</v>
      </c>
      <c r="G39" s="3" t="s">
        <v>17</v>
      </c>
      <c r="H39" s="3" t="s">
        <v>40</v>
      </c>
    </row>
    <row r="40" spans="1:8" x14ac:dyDescent="0.2">
      <c r="A40" s="3">
        <v>3080106009</v>
      </c>
      <c r="B40" s="4" t="s">
        <v>66</v>
      </c>
      <c r="C40" s="4" t="s">
        <v>67</v>
      </c>
      <c r="D40" s="3">
        <v>1</v>
      </c>
      <c r="E40" s="3" t="s">
        <v>16</v>
      </c>
      <c r="F40" s="6" t="s">
        <v>296</v>
      </c>
      <c r="G40" s="3" t="s">
        <v>17</v>
      </c>
      <c r="H40" s="3" t="s">
        <v>40</v>
      </c>
    </row>
    <row r="41" spans="1:8" x14ac:dyDescent="0.2">
      <c r="A41" s="3">
        <v>3080106007</v>
      </c>
      <c r="B41" s="4" t="s">
        <v>66</v>
      </c>
      <c r="C41" s="4" t="s">
        <v>68</v>
      </c>
      <c r="D41" s="3">
        <v>1</v>
      </c>
      <c r="E41" s="3" t="s">
        <v>16</v>
      </c>
      <c r="F41" s="6" t="s">
        <v>296</v>
      </c>
      <c r="G41" s="3" t="s">
        <v>17</v>
      </c>
      <c r="H41" s="3" t="s">
        <v>40</v>
      </c>
    </row>
    <row r="42" spans="1:8" x14ac:dyDescent="0.2">
      <c r="A42" s="3">
        <v>3080107130</v>
      </c>
      <c r="B42" s="4" t="s">
        <v>69</v>
      </c>
      <c r="C42" s="4" t="s">
        <v>70</v>
      </c>
      <c r="D42" s="3">
        <v>4</v>
      </c>
      <c r="E42" s="3" t="s">
        <v>16</v>
      </c>
      <c r="F42" s="6" t="s">
        <v>294</v>
      </c>
      <c r="G42" s="3" t="s">
        <v>29</v>
      </c>
      <c r="H42" s="3" t="s">
        <v>40</v>
      </c>
    </row>
    <row r="43" spans="1:8" x14ac:dyDescent="0.2">
      <c r="A43" s="3">
        <v>3080107031</v>
      </c>
      <c r="B43" s="4" t="s">
        <v>69</v>
      </c>
      <c r="C43" s="4" t="s">
        <v>71</v>
      </c>
      <c r="D43" s="3">
        <v>2</v>
      </c>
      <c r="E43" s="3" t="s">
        <v>16</v>
      </c>
      <c r="F43" s="6" t="s">
        <v>296</v>
      </c>
      <c r="G43" s="3" t="s">
        <v>17</v>
      </c>
      <c r="H43" s="3" t="s">
        <v>40</v>
      </c>
    </row>
    <row r="44" spans="1:8" x14ac:dyDescent="0.2">
      <c r="A44" s="3">
        <v>3080107038</v>
      </c>
      <c r="B44" s="4" t="s">
        <v>69</v>
      </c>
      <c r="C44" s="4" t="s">
        <v>72</v>
      </c>
      <c r="D44" s="3">
        <v>2</v>
      </c>
      <c r="E44" s="3" t="s">
        <v>16</v>
      </c>
      <c r="F44" s="6" t="s">
        <v>290</v>
      </c>
      <c r="G44" s="3" t="s">
        <v>23</v>
      </c>
      <c r="H44" s="3" t="s">
        <v>40</v>
      </c>
    </row>
    <row r="45" spans="1:8" x14ac:dyDescent="0.2">
      <c r="A45" s="3">
        <v>3080107015</v>
      </c>
      <c r="B45" s="4" t="s">
        <v>69</v>
      </c>
      <c r="C45" s="4" t="s">
        <v>73</v>
      </c>
      <c r="D45" s="3">
        <v>6</v>
      </c>
      <c r="E45" s="3" t="s">
        <v>16</v>
      </c>
      <c r="F45" s="6" t="s">
        <v>292</v>
      </c>
      <c r="G45" s="3" t="s">
        <v>26</v>
      </c>
      <c r="H45" s="3" t="s">
        <v>40</v>
      </c>
    </row>
    <row r="46" spans="1:8" x14ac:dyDescent="0.2">
      <c r="A46" s="3">
        <v>3080107120</v>
      </c>
      <c r="B46" s="4" t="s">
        <v>69</v>
      </c>
      <c r="C46" s="4" t="s">
        <v>74</v>
      </c>
      <c r="D46" s="3">
        <v>1</v>
      </c>
      <c r="E46" s="3" t="s">
        <v>16</v>
      </c>
      <c r="F46" s="6" t="s">
        <v>296</v>
      </c>
      <c r="G46" s="3" t="s">
        <v>17</v>
      </c>
      <c r="H46" s="3" t="s">
        <v>40</v>
      </c>
    </row>
    <row r="47" spans="1:8" x14ac:dyDescent="0.2">
      <c r="A47" s="3">
        <v>3080107121</v>
      </c>
      <c r="B47" s="4" t="s">
        <v>69</v>
      </c>
      <c r="C47" s="4" t="s">
        <v>75</v>
      </c>
      <c r="D47" s="3">
        <v>1</v>
      </c>
      <c r="E47" s="3" t="s">
        <v>16</v>
      </c>
      <c r="F47" s="6" t="s">
        <v>296</v>
      </c>
      <c r="G47" s="3" t="s">
        <v>17</v>
      </c>
      <c r="H47" s="3" t="s">
        <v>40</v>
      </c>
    </row>
    <row r="48" spans="1:8" x14ac:dyDescent="0.2">
      <c r="A48" s="3">
        <v>3080107031</v>
      </c>
      <c r="B48" s="4" t="s">
        <v>69</v>
      </c>
      <c r="C48" s="4" t="s">
        <v>71</v>
      </c>
      <c r="D48" s="3">
        <v>4</v>
      </c>
      <c r="E48" s="3" t="s">
        <v>16</v>
      </c>
      <c r="F48" s="6" t="s">
        <v>296</v>
      </c>
      <c r="G48" s="3" t="s">
        <v>17</v>
      </c>
      <c r="H48" s="3" t="s">
        <v>40</v>
      </c>
    </row>
    <row r="49" spans="1:8" x14ac:dyDescent="0.2">
      <c r="A49" s="3">
        <v>3080107043</v>
      </c>
      <c r="B49" s="4" t="s">
        <v>69</v>
      </c>
      <c r="C49" s="4" t="s">
        <v>76</v>
      </c>
      <c r="D49" s="3">
        <v>2</v>
      </c>
      <c r="E49" s="3" t="s">
        <v>16</v>
      </c>
      <c r="F49" s="6" t="s">
        <v>294</v>
      </c>
      <c r="G49" s="3" t="s">
        <v>29</v>
      </c>
      <c r="H49" s="3" t="s">
        <v>40</v>
      </c>
    </row>
    <row r="50" spans="1:8" x14ac:dyDescent="0.2">
      <c r="A50" s="3">
        <v>3080108003</v>
      </c>
      <c r="B50" s="4" t="s">
        <v>77</v>
      </c>
      <c r="C50" s="4" t="s">
        <v>78</v>
      </c>
      <c r="D50" s="3">
        <v>1</v>
      </c>
      <c r="E50" s="3" t="s">
        <v>16</v>
      </c>
      <c r="F50" s="6" t="s">
        <v>296</v>
      </c>
      <c r="G50" s="3" t="s">
        <v>17</v>
      </c>
      <c r="H50" s="3" t="s">
        <v>40</v>
      </c>
    </row>
    <row r="51" spans="1:8" x14ac:dyDescent="0.2">
      <c r="A51" s="3">
        <v>3080111087</v>
      </c>
      <c r="B51" s="4" t="s">
        <v>79</v>
      </c>
      <c r="C51" s="4" t="s">
        <v>80</v>
      </c>
      <c r="D51" s="3">
        <v>18</v>
      </c>
      <c r="E51" s="3" t="s">
        <v>16</v>
      </c>
      <c r="F51" s="6" t="s">
        <v>292</v>
      </c>
      <c r="G51" s="3" t="s">
        <v>26</v>
      </c>
      <c r="H51" s="3" t="s">
        <v>40</v>
      </c>
    </row>
    <row r="52" spans="1:8" x14ac:dyDescent="0.2">
      <c r="A52" s="3">
        <v>3080111087</v>
      </c>
      <c r="B52" s="4" t="s">
        <v>79</v>
      </c>
      <c r="C52" s="4" t="s">
        <v>80</v>
      </c>
      <c r="D52" s="3">
        <v>1</v>
      </c>
      <c r="E52" s="3" t="s">
        <v>16</v>
      </c>
      <c r="F52" s="6" t="s">
        <v>292</v>
      </c>
      <c r="G52" s="3" t="s">
        <v>26</v>
      </c>
      <c r="H52" s="3" t="s">
        <v>40</v>
      </c>
    </row>
    <row r="53" spans="1:8" x14ac:dyDescent="0.2">
      <c r="A53" s="3">
        <v>407030034</v>
      </c>
      <c r="B53" s="4" t="s">
        <v>81</v>
      </c>
      <c r="C53" s="4" t="s">
        <v>82</v>
      </c>
      <c r="D53" s="3">
        <v>1</v>
      </c>
      <c r="E53" s="3" t="s">
        <v>16</v>
      </c>
      <c r="F53" s="6" t="s">
        <v>302</v>
      </c>
      <c r="G53" s="3" t="s">
        <v>32</v>
      </c>
      <c r="H53" s="3" t="s">
        <v>40</v>
      </c>
    </row>
    <row r="54" spans="1:8" x14ac:dyDescent="0.2">
      <c r="A54" s="3">
        <v>3080112015</v>
      </c>
      <c r="B54" s="4" t="s">
        <v>83</v>
      </c>
      <c r="C54" s="4" t="s">
        <v>84</v>
      </c>
      <c r="D54" s="3">
        <v>6</v>
      </c>
      <c r="E54" s="3" t="s">
        <v>16</v>
      </c>
      <c r="F54" s="6" t="s">
        <v>292</v>
      </c>
      <c r="G54" s="3" t="s">
        <v>26</v>
      </c>
      <c r="H54" s="3" t="s">
        <v>40</v>
      </c>
    </row>
    <row r="55" spans="1:8" x14ac:dyDescent="0.2">
      <c r="A55" s="3">
        <v>3080112003</v>
      </c>
      <c r="B55" s="4" t="s">
        <v>83</v>
      </c>
      <c r="C55" s="4" t="s">
        <v>85</v>
      </c>
      <c r="D55" s="3">
        <v>1</v>
      </c>
      <c r="E55" s="3" t="s">
        <v>16</v>
      </c>
      <c r="F55" s="6" t="s">
        <v>296</v>
      </c>
      <c r="G55" s="3" t="s">
        <v>17</v>
      </c>
      <c r="H55" s="3" t="s">
        <v>40</v>
      </c>
    </row>
    <row r="56" spans="1:8" x14ac:dyDescent="0.2">
      <c r="A56" s="3">
        <v>3080307001</v>
      </c>
      <c r="B56" s="4" t="s">
        <v>86</v>
      </c>
      <c r="C56" s="4" t="s">
        <v>87</v>
      </c>
      <c r="D56" s="3">
        <v>1</v>
      </c>
      <c r="E56" s="3" t="s">
        <v>16</v>
      </c>
      <c r="F56" s="6" t="s">
        <v>296</v>
      </c>
      <c r="G56" s="3" t="s">
        <v>17</v>
      </c>
      <c r="H56" s="3" t="s">
        <v>88</v>
      </c>
    </row>
    <row r="57" spans="1:8" x14ac:dyDescent="0.2">
      <c r="A57" s="3">
        <v>3080506001</v>
      </c>
      <c r="B57" s="4" t="s">
        <v>89</v>
      </c>
      <c r="C57" s="4" t="s">
        <v>90</v>
      </c>
      <c r="D57" s="3">
        <v>1</v>
      </c>
      <c r="E57" s="3" t="s">
        <v>16</v>
      </c>
      <c r="F57" s="6" t="s">
        <v>296</v>
      </c>
      <c r="G57" s="3" t="s">
        <v>17</v>
      </c>
      <c r="H57" s="3" t="s">
        <v>88</v>
      </c>
    </row>
    <row r="58" spans="1:8" x14ac:dyDescent="0.2">
      <c r="A58" s="3">
        <v>3030204002</v>
      </c>
      <c r="B58" s="4" t="s">
        <v>91</v>
      </c>
      <c r="C58" s="4" t="s">
        <v>92</v>
      </c>
      <c r="D58" s="3">
        <v>1</v>
      </c>
      <c r="E58" s="3" t="s">
        <v>16</v>
      </c>
      <c r="F58" s="6" t="s">
        <v>296</v>
      </c>
      <c r="G58" s="3" t="s">
        <v>17</v>
      </c>
      <c r="H58" s="3" t="s">
        <v>88</v>
      </c>
    </row>
    <row r="59" spans="1:8" x14ac:dyDescent="0.2">
      <c r="A59" s="3">
        <v>3030205002</v>
      </c>
      <c r="B59" s="4" t="s">
        <v>93</v>
      </c>
      <c r="C59" s="4" t="s">
        <v>94</v>
      </c>
      <c r="D59" s="3">
        <v>1</v>
      </c>
      <c r="E59" s="3" t="s">
        <v>16</v>
      </c>
      <c r="F59" s="6" t="s">
        <v>296</v>
      </c>
      <c r="G59" s="3" t="s">
        <v>17</v>
      </c>
      <c r="H59" s="3" t="s">
        <v>88</v>
      </c>
    </row>
    <row r="60" spans="1:8" x14ac:dyDescent="0.2">
      <c r="A60" s="3">
        <v>3030208001</v>
      </c>
      <c r="B60" s="4" t="s">
        <v>95</v>
      </c>
      <c r="C60" s="4" t="s">
        <v>96</v>
      </c>
      <c r="D60" s="3">
        <v>1</v>
      </c>
      <c r="E60" s="3" t="s">
        <v>16</v>
      </c>
      <c r="F60" s="6" t="s">
        <v>296</v>
      </c>
      <c r="G60" s="3" t="s">
        <v>17</v>
      </c>
      <c r="H60" s="3" t="s">
        <v>88</v>
      </c>
    </row>
    <row r="61" spans="1:8" x14ac:dyDescent="0.2">
      <c r="A61" s="3">
        <v>3030202005</v>
      </c>
      <c r="B61" s="4" t="s">
        <v>97</v>
      </c>
      <c r="C61" s="4" t="s">
        <v>94</v>
      </c>
      <c r="D61" s="3">
        <v>1</v>
      </c>
      <c r="E61" s="3" t="s">
        <v>16</v>
      </c>
      <c r="F61" s="6" t="s">
        <v>296</v>
      </c>
      <c r="G61" s="3" t="s">
        <v>17</v>
      </c>
      <c r="H61" s="3" t="s">
        <v>88</v>
      </c>
    </row>
    <row r="62" spans="1:8" x14ac:dyDescent="0.2">
      <c r="A62" s="3">
        <v>3080201009</v>
      </c>
      <c r="B62" s="4" t="s">
        <v>60</v>
      </c>
      <c r="C62" s="4" t="s">
        <v>98</v>
      </c>
      <c r="D62" s="3">
        <v>1</v>
      </c>
      <c r="E62" s="3" t="s">
        <v>16</v>
      </c>
      <c r="F62" s="6" t="s">
        <v>296</v>
      </c>
      <c r="G62" s="3" t="s">
        <v>17</v>
      </c>
      <c r="H62" s="3" t="s">
        <v>88</v>
      </c>
    </row>
    <row r="63" spans="1:8" x14ac:dyDescent="0.2">
      <c r="A63" s="3">
        <v>3050205001</v>
      </c>
      <c r="B63" s="4" t="s">
        <v>99</v>
      </c>
      <c r="C63" s="4" t="s">
        <v>100</v>
      </c>
      <c r="D63" s="3">
        <v>2</v>
      </c>
      <c r="E63" s="3" t="s">
        <v>16</v>
      </c>
      <c r="F63" s="6" t="s">
        <v>292</v>
      </c>
      <c r="G63" s="3" t="s">
        <v>26</v>
      </c>
      <c r="H63" s="3" t="s">
        <v>88</v>
      </c>
    </row>
    <row r="64" spans="1:8" x14ac:dyDescent="0.2">
      <c r="A64" s="3">
        <v>3099991203</v>
      </c>
      <c r="B64" s="4" t="s">
        <v>101</v>
      </c>
      <c r="C64" s="4" t="s">
        <v>102</v>
      </c>
      <c r="D64" s="3">
        <v>1</v>
      </c>
      <c r="E64" s="3" t="s">
        <v>16</v>
      </c>
      <c r="F64" s="6" t="s">
        <v>290</v>
      </c>
      <c r="G64" s="3" t="s">
        <v>23</v>
      </c>
      <c r="H64" s="3" t="s">
        <v>103</v>
      </c>
    </row>
    <row r="65" spans="1:8" x14ac:dyDescent="0.2">
      <c r="A65" s="3">
        <v>3099990101</v>
      </c>
      <c r="B65" s="4" t="s">
        <v>104</v>
      </c>
      <c r="C65" s="4" t="s">
        <v>105</v>
      </c>
      <c r="D65" s="3">
        <v>1</v>
      </c>
      <c r="E65" s="3" t="s">
        <v>16</v>
      </c>
      <c r="F65" s="6" t="s">
        <v>300</v>
      </c>
      <c r="G65" s="3" t="s">
        <v>106</v>
      </c>
      <c r="H65" s="3" t="s">
        <v>103</v>
      </c>
    </row>
    <row r="66" spans="1:8" x14ac:dyDescent="0.2">
      <c r="A66" s="3">
        <v>402030029</v>
      </c>
      <c r="B66" s="4" t="s">
        <v>107</v>
      </c>
      <c r="C66" s="4" t="s">
        <v>108</v>
      </c>
      <c r="D66" s="3">
        <v>1</v>
      </c>
      <c r="E66" s="3" t="s">
        <v>16</v>
      </c>
      <c r="F66" s="6" t="s">
        <v>290</v>
      </c>
      <c r="G66" s="3" t="s">
        <v>23</v>
      </c>
      <c r="H66" s="3" t="s">
        <v>109</v>
      </c>
    </row>
    <row r="67" spans="1:8" x14ac:dyDescent="0.2">
      <c r="A67" s="3">
        <v>402030027</v>
      </c>
      <c r="B67" s="4" t="s">
        <v>107</v>
      </c>
      <c r="C67" s="4" t="s">
        <v>110</v>
      </c>
      <c r="D67" s="3">
        <v>1</v>
      </c>
      <c r="E67" s="3" t="s">
        <v>16</v>
      </c>
      <c r="F67" s="6" t="s">
        <v>292</v>
      </c>
      <c r="G67" s="3" t="s">
        <v>26</v>
      </c>
      <c r="H67" s="3" t="s">
        <v>109</v>
      </c>
    </row>
    <row r="68" spans="1:8" x14ac:dyDescent="0.2">
      <c r="A68" s="3">
        <v>402020006</v>
      </c>
      <c r="B68" s="4" t="s">
        <v>111</v>
      </c>
      <c r="C68" s="4" t="s">
        <v>112</v>
      </c>
      <c r="D68" s="3">
        <v>2</v>
      </c>
      <c r="E68" s="3" t="s">
        <v>16</v>
      </c>
      <c r="F68" s="6" t="s">
        <v>294</v>
      </c>
      <c r="G68" s="3" t="s">
        <v>29</v>
      </c>
      <c r="H68" s="3" t="s">
        <v>109</v>
      </c>
    </row>
    <row r="69" spans="1:8" x14ac:dyDescent="0.2">
      <c r="A69" s="3">
        <v>3060209002</v>
      </c>
      <c r="B69" s="4" t="s">
        <v>113</v>
      </c>
      <c r="C69" s="4" t="s">
        <v>114</v>
      </c>
      <c r="D69" s="3">
        <v>2</v>
      </c>
      <c r="E69" s="3" t="s">
        <v>16</v>
      </c>
      <c r="F69" s="6" t="s">
        <v>290</v>
      </c>
      <c r="G69" s="3" t="s">
        <v>23</v>
      </c>
      <c r="H69" s="3" t="s">
        <v>115</v>
      </c>
    </row>
    <row r="70" spans="1:8" x14ac:dyDescent="0.2">
      <c r="A70" s="3">
        <v>3030204032</v>
      </c>
      <c r="B70" s="4" t="s">
        <v>116</v>
      </c>
      <c r="C70" s="4" t="s">
        <v>117</v>
      </c>
      <c r="D70" s="3">
        <v>1</v>
      </c>
      <c r="E70" s="3" t="s">
        <v>16</v>
      </c>
      <c r="F70" s="6" t="s">
        <v>296</v>
      </c>
      <c r="G70" s="3" t="s">
        <v>17</v>
      </c>
      <c r="H70" s="3" t="s">
        <v>115</v>
      </c>
    </row>
    <row r="71" spans="1:8" x14ac:dyDescent="0.2">
      <c r="A71" s="3">
        <v>3040113002</v>
      </c>
      <c r="B71" s="4" t="s">
        <v>118</v>
      </c>
      <c r="C71" s="4" t="s">
        <v>119</v>
      </c>
      <c r="D71" s="3">
        <v>2</v>
      </c>
      <c r="E71" s="3" t="s">
        <v>16</v>
      </c>
      <c r="F71" s="6" t="s">
        <v>294</v>
      </c>
      <c r="G71" s="3" t="s">
        <v>29</v>
      </c>
      <c r="H71" s="3" t="s">
        <v>115</v>
      </c>
    </row>
    <row r="72" spans="1:8" x14ac:dyDescent="0.2">
      <c r="A72" s="3">
        <v>3030204006</v>
      </c>
      <c r="B72" s="4" t="s">
        <v>120</v>
      </c>
      <c r="C72" s="4" t="s">
        <v>121</v>
      </c>
      <c r="D72" s="3">
        <v>2</v>
      </c>
      <c r="E72" s="3" t="s">
        <v>16</v>
      </c>
      <c r="F72" s="6" t="s">
        <v>296</v>
      </c>
      <c r="G72" s="3" t="s">
        <v>17</v>
      </c>
      <c r="H72" s="3" t="s">
        <v>115</v>
      </c>
    </row>
    <row r="73" spans="1:8" x14ac:dyDescent="0.2">
      <c r="A73" s="3">
        <v>3030204008</v>
      </c>
      <c r="B73" s="4" t="s">
        <v>122</v>
      </c>
      <c r="C73" s="4" t="s">
        <v>123</v>
      </c>
      <c r="D73" s="3">
        <v>1</v>
      </c>
      <c r="E73" s="3" t="s">
        <v>16</v>
      </c>
      <c r="F73" s="6" t="s">
        <v>292</v>
      </c>
      <c r="G73" s="3" t="s">
        <v>26</v>
      </c>
      <c r="H73" s="3" t="s">
        <v>115</v>
      </c>
    </row>
    <row r="74" spans="1:8" x14ac:dyDescent="0.2">
      <c r="A74" s="3">
        <v>3030204010</v>
      </c>
      <c r="B74" s="4" t="s">
        <v>124</v>
      </c>
      <c r="C74" s="4" t="s">
        <v>125</v>
      </c>
      <c r="D74" s="3">
        <v>1</v>
      </c>
      <c r="E74" s="3" t="s">
        <v>16</v>
      </c>
      <c r="F74" s="6" t="s">
        <v>296</v>
      </c>
      <c r="G74" s="3" t="s">
        <v>17</v>
      </c>
      <c r="H74" s="3" t="s">
        <v>115</v>
      </c>
    </row>
    <row r="75" spans="1:8" x14ac:dyDescent="0.2">
      <c r="A75" s="3">
        <v>3030204012</v>
      </c>
      <c r="B75" s="4" t="s">
        <v>126</v>
      </c>
      <c r="C75" s="4" t="s">
        <v>127</v>
      </c>
      <c r="D75" s="3">
        <v>1</v>
      </c>
      <c r="E75" s="3" t="s">
        <v>16</v>
      </c>
      <c r="F75" s="6" t="s">
        <v>296</v>
      </c>
      <c r="G75" s="3" t="s">
        <v>17</v>
      </c>
      <c r="H75" s="3" t="s">
        <v>115</v>
      </c>
    </row>
    <row r="76" spans="1:8" x14ac:dyDescent="0.2">
      <c r="A76" s="3">
        <v>3070104002</v>
      </c>
      <c r="B76" s="4" t="s">
        <v>128</v>
      </c>
      <c r="C76" s="4" t="s">
        <v>129</v>
      </c>
      <c r="D76" s="3">
        <v>2</v>
      </c>
      <c r="E76" s="3" t="s">
        <v>16</v>
      </c>
      <c r="F76" s="6" t="s">
        <v>294</v>
      </c>
      <c r="G76" s="3" t="s">
        <v>29</v>
      </c>
      <c r="H76" s="3" t="s">
        <v>115</v>
      </c>
    </row>
    <row r="77" spans="1:8" x14ac:dyDescent="0.2">
      <c r="A77" s="3">
        <v>3030404003</v>
      </c>
      <c r="B77" s="4" t="s">
        <v>130</v>
      </c>
      <c r="C77" s="4" t="s">
        <v>131</v>
      </c>
      <c r="D77" s="3">
        <v>2</v>
      </c>
      <c r="E77" s="3" t="s">
        <v>16</v>
      </c>
      <c r="F77" s="6" t="s">
        <v>292</v>
      </c>
      <c r="G77" s="3" t="s">
        <v>26</v>
      </c>
      <c r="H77" s="3" t="s">
        <v>132</v>
      </c>
    </row>
    <row r="78" spans="1:8" x14ac:dyDescent="0.2">
      <c r="A78" s="3">
        <v>404040025</v>
      </c>
      <c r="B78" s="4" t="s">
        <v>30</v>
      </c>
      <c r="C78" s="4" t="s">
        <v>133</v>
      </c>
      <c r="D78" s="3">
        <v>2</v>
      </c>
      <c r="E78" s="3" t="s">
        <v>16</v>
      </c>
      <c r="F78" s="6" t="s">
        <v>292</v>
      </c>
      <c r="G78" s="3" t="s">
        <v>26</v>
      </c>
      <c r="H78" s="3" t="s">
        <v>134</v>
      </c>
    </row>
    <row r="79" spans="1:8" x14ac:dyDescent="0.2">
      <c r="A79" s="3">
        <v>404020073</v>
      </c>
      <c r="B79" s="4" t="s">
        <v>30</v>
      </c>
      <c r="C79" s="4" t="s">
        <v>135</v>
      </c>
      <c r="D79" s="3">
        <v>1</v>
      </c>
      <c r="E79" s="3" t="s">
        <v>16</v>
      </c>
      <c r="F79" s="6" t="s">
        <v>292</v>
      </c>
      <c r="G79" s="3" t="s">
        <v>26</v>
      </c>
      <c r="H79" s="3" t="s">
        <v>134</v>
      </c>
    </row>
    <row r="80" spans="1:8" x14ac:dyDescent="0.2">
      <c r="A80" s="3">
        <v>3040502035</v>
      </c>
      <c r="B80" s="4" t="s">
        <v>136</v>
      </c>
      <c r="C80" s="4" t="s">
        <v>137</v>
      </c>
      <c r="D80" s="3">
        <v>2</v>
      </c>
      <c r="E80" s="3" t="s">
        <v>16</v>
      </c>
      <c r="F80" s="6" t="s">
        <v>294</v>
      </c>
      <c r="G80" s="3" t="s">
        <v>29</v>
      </c>
      <c r="H80" s="3" t="s">
        <v>138</v>
      </c>
    </row>
    <row r="81" spans="1:8" x14ac:dyDescent="0.2">
      <c r="A81" s="3">
        <v>3040502036</v>
      </c>
      <c r="B81" s="4" t="s">
        <v>136</v>
      </c>
      <c r="C81" s="4" t="s">
        <v>139</v>
      </c>
      <c r="D81" s="3">
        <v>2</v>
      </c>
      <c r="E81" s="3" t="s">
        <v>16</v>
      </c>
      <c r="F81" s="6" t="s">
        <v>294</v>
      </c>
      <c r="G81" s="3" t="s">
        <v>29</v>
      </c>
      <c r="H81" s="3" t="s">
        <v>138</v>
      </c>
    </row>
    <row r="82" spans="1:8" x14ac:dyDescent="0.2">
      <c r="A82" s="3">
        <v>3990207001</v>
      </c>
      <c r="B82" s="4" t="s">
        <v>140</v>
      </c>
      <c r="C82" s="4" t="s">
        <v>141</v>
      </c>
      <c r="D82" s="3">
        <v>1</v>
      </c>
      <c r="E82" s="3" t="s">
        <v>16</v>
      </c>
      <c r="F82" s="6" t="s">
        <v>286</v>
      </c>
      <c r="G82" s="3" t="s">
        <v>142</v>
      </c>
      <c r="H82" s="3" t="s">
        <v>143</v>
      </c>
    </row>
    <row r="83" spans="1:8" x14ac:dyDescent="0.2">
      <c r="A83" s="3">
        <v>3030301005</v>
      </c>
      <c r="B83" s="4" t="s">
        <v>144</v>
      </c>
      <c r="C83" s="4" t="s">
        <v>145</v>
      </c>
      <c r="D83" s="3">
        <v>3</v>
      </c>
      <c r="E83" s="3" t="s">
        <v>16</v>
      </c>
      <c r="F83" s="6" t="s">
        <v>292</v>
      </c>
      <c r="G83" s="3" t="s">
        <v>26</v>
      </c>
      <c r="H83" s="3" t="s">
        <v>143</v>
      </c>
    </row>
    <row r="84" spans="1:8" x14ac:dyDescent="0.2">
      <c r="A84" s="3">
        <v>3990205001</v>
      </c>
      <c r="B84" s="4" t="s">
        <v>146</v>
      </c>
      <c r="C84" s="4" t="s">
        <v>147</v>
      </c>
      <c r="D84" s="3">
        <v>1</v>
      </c>
      <c r="E84" s="3" t="s">
        <v>16</v>
      </c>
      <c r="F84" s="6" t="s">
        <v>288</v>
      </c>
      <c r="G84" s="3" t="s">
        <v>148</v>
      </c>
      <c r="H84" s="3" t="s">
        <v>143</v>
      </c>
    </row>
    <row r="85" spans="1:8" x14ac:dyDescent="0.2">
      <c r="A85" s="3">
        <v>407010030</v>
      </c>
      <c r="B85" s="4" t="s">
        <v>149</v>
      </c>
      <c r="C85" s="4" t="s">
        <v>150</v>
      </c>
      <c r="D85" s="3">
        <v>1</v>
      </c>
      <c r="E85" s="3" t="s">
        <v>16</v>
      </c>
      <c r="F85" s="6" t="s">
        <v>290</v>
      </c>
      <c r="G85" s="3" t="s">
        <v>23</v>
      </c>
      <c r="H85" s="3" t="s">
        <v>151</v>
      </c>
    </row>
    <row r="86" spans="1:8" x14ac:dyDescent="0.2">
      <c r="A86" s="3">
        <v>3070103002</v>
      </c>
      <c r="B86" s="4" t="s">
        <v>152</v>
      </c>
      <c r="C86" s="4" t="s">
        <v>153</v>
      </c>
      <c r="D86" s="3">
        <v>1</v>
      </c>
      <c r="E86" s="3" t="s">
        <v>16</v>
      </c>
      <c r="F86" s="6" t="s">
        <v>290</v>
      </c>
      <c r="G86" s="3" t="s">
        <v>23</v>
      </c>
      <c r="H86" s="3" t="s">
        <v>154</v>
      </c>
    </row>
    <row r="87" spans="1:8" x14ac:dyDescent="0.2">
      <c r="A87" s="3">
        <v>3030203004</v>
      </c>
      <c r="B87" s="4" t="s">
        <v>155</v>
      </c>
      <c r="C87" s="4" t="s">
        <v>156</v>
      </c>
      <c r="D87" s="3">
        <v>1</v>
      </c>
      <c r="E87" s="3" t="s">
        <v>16</v>
      </c>
      <c r="F87" s="6" t="s">
        <v>296</v>
      </c>
      <c r="G87" s="3" t="s">
        <v>17</v>
      </c>
      <c r="H87" s="3" t="s">
        <v>154</v>
      </c>
    </row>
    <row r="88" spans="1:8" x14ac:dyDescent="0.2">
      <c r="A88" s="3">
        <v>3040211002</v>
      </c>
      <c r="B88" s="4" t="s">
        <v>157</v>
      </c>
      <c r="C88" s="4" t="s">
        <v>158</v>
      </c>
      <c r="D88" s="3">
        <v>2</v>
      </c>
      <c r="E88" s="3" t="s">
        <v>16</v>
      </c>
      <c r="F88" s="6" t="s">
        <v>294</v>
      </c>
      <c r="G88" s="3" t="s">
        <v>29</v>
      </c>
      <c r="H88" s="3" t="s">
        <v>154</v>
      </c>
    </row>
    <row r="89" spans="1:8" x14ac:dyDescent="0.2">
      <c r="A89" s="3">
        <v>3040217003</v>
      </c>
      <c r="B89" s="4" t="s">
        <v>159</v>
      </c>
      <c r="C89" s="4" t="s">
        <v>160</v>
      </c>
      <c r="D89" s="3">
        <v>2</v>
      </c>
      <c r="E89" s="3" t="s">
        <v>16</v>
      </c>
      <c r="F89" s="6" t="s">
        <v>294</v>
      </c>
      <c r="G89" s="3" t="s">
        <v>29</v>
      </c>
      <c r="H89" s="3" t="s">
        <v>154</v>
      </c>
    </row>
    <row r="90" spans="1:8" x14ac:dyDescent="0.2">
      <c r="A90" s="3">
        <v>3030310010</v>
      </c>
      <c r="B90" s="4" t="s">
        <v>161</v>
      </c>
      <c r="C90" s="4" t="s">
        <v>162</v>
      </c>
      <c r="D90" s="3">
        <v>1</v>
      </c>
      <c r="E90" s="3" t="s">
        <v>16</v>
      </c>
      <c r="F90" s="6" t="s">
        <v>296</v>
      </c>
      <c r="G90" s="3" t="s">
        <v>17</v>
      </c>
      <c r="H90" s="3" t="s">
        <v>154</v>
      </c>
    </row>
    <row r="91" spans="1:8" x14ac:dyDescent="0.2">
      <c r="A91" s="3">
        <v>3060306001</v>
      </c>
      <c r="B91" s="4" t="s">
        <v>163</v>
      </c>
      <c r="C91" s="4" t="s">
        <v>164</v>
      </c>
      <c r="D91" s="3">
        <v>1</v>
      </c>
      <c r="E91" s="3" t="s">
        <v>16</v>
      </c>
      <c r="F91" s="6" t="s">
        <v>290</v>
      </c>
      <c r="G91" s="3" t="s">
        <v>23</v>
      </c>
      <c r="H91" s="3" t="s">
        <v>165</v>
      </c>
    </row>
    <row r="92" spans="1:8" x14ac:dyDescent="0.2">
      <c r="A92" s="3">
        <v>3030303067</v>
      </c>
      <c r="B92" s="4" t="s">
        <v>166</v>
      </c>
      <c r="C92" s="4" t="s">
        <v>167</v>
      </c>
      <c r="D92" s="3">
        <v>1</v>
      </c>
      <c r="E92" s="3" t="s">
        <v>16</v>
      </c>
      <c r="F92" s="6" t="s">
        <v>296</v>
      </c>
      <c r="G92" s="3" t="s">
        <v>17</v>
      </c>
      <c r="H92" s="3" t="s">
        <v>165</v>
      </c>
    </row>
    <row r="93" spans="1:8" x14ac:dyDescent="0.2">
      <c r="A93" s="3">
        <v>3040210001</v>
      </c>
      <c r="B93" s="4" t="s">
        <v>168</v>
      </c>
      <c r="C93" s="4" t="s">
        <v>169</v>
      </c>
      <c r="D93" s="3">
        <v>2</v>
      </c>
      <c r="E93" s="3" t="s">
        <v>16</v>
      </c>
      <c r="F93" s="6" t="s">
        <v>294</v>
      </c>
      <c r="G93" s="3" t="s">
        <v>29</v>
      </c>
      <c r="H93" s="3" t="s">
        <v>170</v>
      </c>
    </row>
    <row r="94" spans="1:8" x14ac:dyDescent="0.2">
      <c r="A94" s="3">
        <v>3060310001</v>
      </c>
      <c r="B94" s="4" t="s">
        <v>171</v>
      </c>
      <c r="C94" s="4" t="s">
        <v>172</v>
      </c>
      <c r="D94" s="3">
        <v>1</v>
      </c>
      <c r="E94" s="3" t="s">
        <v>16</v>
      </c>
      <c r="F94" s="6" t="s">
        <v>290</v>
      </c>
      <c r="G94" s="3" t="s">
        <v>23</v>
      </c>
      <c r="H94" s="3" t="s">
        <v>173</v>
      </c>
    </row>
    <row r="95" spans="1:8" x14ac:dyDescent="0.2">
      <c r="A95" s="3">
        <v>3060311001</v>
      </c>
      <c r="B95" s="4" t="s">
        <v>174</v>
      </c>
      <c r="C95" s="4" t="s">
        <v>172</v>
      </c>
      <c r="D95" s="3">
        <v>1</v>
      </c>
      <c r="E95" s="3" t="s">
        <v>16</v>
      </c>
      <c r="F95" s="6" t="s">
        <v>290</v>
      </c>
      <c r="G95" s="3" t="s">
        <v>23</v>
      </c>
      <c r="H95" s="3" t="s">
        <v>173</v>
      </c>
    </row>
    <row r="96" spans="1:8" x14ac:dyDescent="0.2">
      <c r="A96" s="3">
        <v>3030303003</v>
      </c>
      <c r="B96" s="4" t="s">
        <v>175</v>
      </c>
      <c r="C96" s="4" t="s">
        <v>176</v>
      </c>
      <c r="D96" s="3">
        <v>1</v>
      </c>
      <c r="E96" s="3" t="s">
        <v>16</v>
      </c>
      <c r="F96" s="6" t="s">
        <v>296</v>
      </c>
      <c r="G96" s="3" t="s">
        <v>17</v>
      </c>
      <c r="H96" s="3" t="s">
        <v>173</v>
      </c>
    </row>
    <row r="97" spans="1:8" x14ac:dyDescent="0.2">
      <c r="A97" s="3">
        <v>3030303005</v>
      </c>
      <c r="B97" s="4" t="s">
        <v>177</v>
      </c>
      <c r="C97" s="4" t="s">
        <v>176</v>
      </c>
      <c r="D97" s="3">
        <v>1</v>
      </c>
      <c r="E97" s="3" t="s">
        <v>16</v>
      </c>
      <c r="F97" s="6" t="s">
        <v>292</v>
      </c>
      <c r="G97" s="3" t="s">
        <v>26</v>
      </c>
      <c r="H97" s="3" t="s">
        <v>173</v>
      </c>
    </row>
    <row r="98" spans="1:8" x14ac:dyDescent="0.2">
      <c r="A98" s="3">
        <v>3030310007</v>
      </c>
      <c r="B98" s="4" t="s">
        <v>178</v>
      </c>
      <c r="C98" s="4" t="s">
        <v>179</v>
      </c>
      <c r="D98" s="3">
        <v>1</v>
      </c>
      <c r="E98" s="3" t="s">
        <v>16</v>
      </c>
      <c r="F98" s="6" t="s">
        <v>296</v>
      </c>
      <c r="G98" s="3" t="s">
        <v>17</v>
      </c>
      <c r="H98" s="3" t="s">
        <v>173</v>
      </c>
    </row>
    <row r="99" spans="1:8" x14ac:dyDescent="0.2">
      <c r="A99" s="3">
        <v>3030310009</v>
      </c>
      <c r="B99" s="4" t="s">
        <v>180</v>
      </c>
      <c r="C99" s="4" t="s">
        <v>179</v>
      </c>
      <c r="D99" s="3">
        <v>1</v>
      </c>
      <c r="E99" s="3" t="s">
        <v>16</v>
      </c>
      <c r="F99" s="6" t="s">
        <v>296</v>
      </c>
      <c r="G99" s="3" t="s">
        <v>17</v>
      </c>
      <c r="H99" s="3" t="s">
        <v>173</v>
      </c>
    </row>
    <row r="100" spans="1:8" x14ac:dyDescent="0.2">
      <c r="A100" s="3">
        <v>3050304001</v>
      </c>
      <c r="B100" s="4" t="s">
        <v>181</v>
      </c>
      <c r="C100" s="4" t="s">
        <v>182</v>
      </c>
      <c r="D100" s="3">
        <v>1</v>
      </c>
      <c r="E100" s="3" t="s">
        <v>16</v>
      </c>
      <c r="F100" s="6" t="s">
        <v>292</v>
      </c>
      <c r="G100" s="3" t="s">
        <v>26</v>
      </c>
      <c r="H100" s="3" t="s">
        <v>173</v>
      </c>
    </row>
    <row r="101" spans="1:8" x14ac:dyDescent="0.2">
      <c r="A101" s="3">
        <v>3020502023</v>
      </c>
      <c r="B101" s="4" t="s">
        <v>183</v>
      </c>
      <c r="C101" s="4" t="s">
        <v>184</v>
      </c>
      <c r="D101" s="3">
        <v>1</v>
      </c>
      <c r="E101" s="3" t="s">
        <v>16</v>
      </c>
      <c r="F101" s="6" t="s">
        <v>292</v>
      </c>
      <c r="G101" s="3" t="s">
        <v>26</v>
      </c>
      <c r="H101" s="3" t="s">
        <v>185</v>
      </c>
    </row>
    <row r="102" spans="1:8" x14ac:dyDescent="0.2">
      <c r="A102" s="3">
        <v>3990201003</v>
      </c>
      <c r="B102" s="4" t="s">
        <v>186</v>
      </c>
      <c r="C102" s="4" t="s">
        <v>94</v>
      </c>
      <c r="D102" s="3">
        <v>1</v>
      </c>
      <c r="E102" s="3" t="s">
        <v>16</v>
      </c>
      <c r="F102" s="6" t="s">
        <v>296</v>
      </c>
      <c r="G102" s="3" t="s">
        <v>17</v>
      </c>
      <c r="H102" s="3" t="s">
        <v>187</v>
      </c>
    </row>
    <row r="103" spans="1:8" x14ac:dyDescent="0.2">
      <c r="A103" s="3">
        <v>3990202003</v>
      </c>
      <c r="B103" s="4" t="s">
        <v>188</v>
      </c>
      <c r="C103" s="4" t="s">
        <v>94</v>
      </c>
      <c r="D103" s="3">
        <v>1</v>
      </c>
      <c r="E103" s="3" t="s">
        <v>16</v>
      </c>
      <c r="F103" s="6" t="s">
        <v>296</v>
      </c>
      <c r="G103" s="3" t="s">
        <v>17</v>
      </c>
      <c r="H103" s="3" t="s">
        <v>187</v>
      </c>
    </row>
    <row r="104" spans="1:8" x14ac:dyDescent="0.2">
      <c r="A104" s="3">
        <v>3990203001</v>
      </c>
      <c r="B104" s="4" t="s">
        <v>189</v>
      </c>
      <c r="C104" s="4" t="s">
        <v>94</v>
      </c>
      <c r="D104" s="3">
        <v>1</v>
      </c>
      <c r="E104" s="3" t="s">
        <v>16</v>
      </c>
      <c r="F104" s="6" t="s">
        <v>292</v>
      </c>
      <c r="G104" s="3" t="s">
        <v>26</v>
      </c>
      <c r="H104" s="3" t="s">
        <v>187</v>
      </c>
    </row>
    <row r="105" spans="1:8" x14ac:dyDescent="0.2">
      <c r="A105" s="3">
        <v>3030401002</v>
      </c>
      <c r="B105" s="4" t="s">
        <v>190</v>
      </c>
      <c r="C105" s="4" t="s">
        <v>191</v>
      </c>
      <c r="D105" s="3">
        <v>1</v>
      </c>
      <c r="E105" s="3" t="s">
        <v>16</v>
      </c>
      <c r="F105" s="6" t="s">
        <v>296</v>
      </c>
      <c r="G105" s="3" t="s">
        <v>17</v>
      </c>
      <c r="H105" s="3" t="s">
        <v>192</v>
      </c>
    </row>
    <row r="106" spans="1:8" x14ac:dyDescent="0.2">
      <c r="A106" s="3">
        <v>3040402001</v>
      </c>
      <c r="B106" s="4" t="s">
        <v>193</v>
      </c>
      <c r="C106" s="4" t="s">
        <v>194</v>
      </c>
      <c r="D106" s="3">
        <v>1</v>
      </c>
      <c r="E106" s="3" t="s">
        <v>16</v>
      </c>
      <c r="F106" s="6" t="s">
        <v>294</v>
      </c>
      <c r="G106" s="3" t="s">
        <v>29</v>
      </c>
      <c r="H106" s="3" t="s">
        <v>192</v>
      </c>
    </row>
    <row r="107" spans="1:8" x14ac:dyDescent="0.2">
      <c r="A107" s="3">
        <v>3040402002</v>
      </c>
      <c r="B107" s="4" t="s">
        <v>193</v>
      </c>
      <c r="C107" s="4" t="s">
        <v>195</v>
      </c>
      <c r="D107" s="3">
        <v>1</v>
      </c>
      <c r="E107" s="3" t="s">
        <v>16</v>
      </c>
      <c r="F107" s="6" t="s">
        <v>294</v>
      </c>
      <c r="G107" s="3" t="s">
        <v>29</v>
      </c>
      <c r="H107" s="3" t="s">
        <v>192</v>
      </c>
    </row>
    <row r="108" spans="1:8" x14ac:dyDescent="0.2">
      <c r="A108" s="3">
        <v>404100012</v>
      </c>
      <c r="B108" s="4" t="s">
        <v>196</v>
      </c>
      <c r="C108" s="4" t="s">
        <v>197</v>
      </c>
      <c r="D108" s="3">
        <v>1</v>
      </c>
      <c r="E108" s="3" t="s">
        <v>16</v>
      </c>
      <c r="F108" s="6" t="s">
        <v>302</v>
      </c>
      <c r="G108" s="3" t="s">
        <v>32</v>
      </c>
      <c r="H108" s="3" t="s">
        <v>198</v>
      </c>
    </row>
    <row r="109" spans="1:8" x14ac:dyDescent="0.2">
      <c r="A109" s="3">
        <v>404020035</v>
      </c>
      <c r="B109" s="4" t="s">
        <v>30</v>
      </c>
      <c r="C109" s="4" t="s">
        <v>199</v>
      </c>
      <c r="D109" s="3">
        <v>1</v>
      </c>
      <c r="E109" s="3" t="s">
        <v>16</v>
      </c>
      <c r="F109" s="6" t="s">
        <v>292</v>
      </c>
      <c r="G109" s="3" t="s">
        <v>26</v>
      </c>
      <c r="H109" s="3" t="s">
        <v>198</v>
      </c>
    </row>
    <row r="110" spans="1:8" x14ac:dyDescent="0.2">
      <c r="A110" s="3">
        <v>404100013</v>
      </c>
      <c r="B110" s="4" t="s">
        <v>200</v>
      </c>
      <c r="C110" s="4" t="s">
        <v>201</v>
      </c>
      <c r="D110" s="3">
        <v>1</v>
      </c>
      <c r="E110" s="3" t="s">
        <v>16</v>
      </c>
      <c r="F110" s="6" t="s">
        <v>302</v>
      </c>
      <c r="G110" s="3" t="s">
        <v>32</v>
      </c>
      <c r="H110" s="3" t="s">
        <v>198</v>
      </c>
    </row>
    <row r="111" spans="1:8" x14ac:dyDescent="0.2">
      <c r="A111" s="3">
        <v>401070018</v>
      </c>
      <c r="B111" s="4" t="s">
        <v>35</v>
      </c>
      <c r="C111" s="4" t="s">
        <v>202</v>
      </c>
      <c r="D111" s="3">
        <v>1</v>
      </c>
      <c r="E111" s="3" t="s">
        <v>16</v>
      </c>
      <c r="F111" s="6" t="s">
        <v>292</v>
      </c>
      <c r="G111" s="3" t="s">
        <v>26</v>
      </c>
      <c r="H111" s="3" t="s">
        <v>198</v>
      </c>
    </row>
    <row r="112" spans="1:8" x14ac:dyDescent="0.2">
      <c r="A112" s="3">
        <v>401070022</v>
      </c>
      <c r="B112" s="4" t="s">
        <v>35</v>
      </c>
      <c r="C112" s="4" t="s">
        <v>203</v>
      </c>
      <c r="D112" s="3">
        <v>1</v>
      </c>
      <c r="E112" s="3" t="s">
        <v>16</v>
      </c>
      <c r="F112" s="6" t="s">
        <v>298</v>
      </c>
      <c r="G112" s="3" t="s">
        <v>204</v>
      </c>
      <c r="H112" s="3" t="s">
        <v>198</v>
      </c>
    </row>
    <row r="113" spans="1:8" x14ac:dyDescent="0.2">
      <c r="A113" s="3">
        <v>404100008</v>
      </c>
      <c r="B113" s="4" t="s">
        <v>205</v>
      </c>
      <c r="C113" s="4" t="s">
        <v>206</v>
      </c>
      <c r="D113" s="3">
        <v>1</v>
      </c>
      <c r="E113" s="3" t="s">
        <v>16</v>
      </c>
      <c r="F113" s="6" t="s">
        <v>292</v>
      </c>
      <c r="G113" s="3" t="s">
        <v>26</v>
      </c>
      <c r="H113" s="3" t="s">
        <v>198</v>
      </c>
    </row>
    <row r="114" spans="1:8" x14ac:dyDescent="0.2">
      <c r="A114" s="3">
        <v>404100007</v>
      </c>
      <c r="B114" s="4" t="s">
        <v>207</v>
      </c>
      <c r="C114" s="4" t="s">
        <v>208</v>
      </c>
      <c r="D114" s="3">
        <v>1</v>
      </c>
      <c r="E114" s="3" t="s">
        <v>16</v>
      </c>
      <c r="F114" s="6" t="s">
        <v>292</v>
      </c>
      <c r="G114" s="3" t="s">
        <v>26</v>
      </c>
      <c r="H114" s="3" t="s">
        <v>198</v>
      </c>
    </row>
    <row r="115" spans="1:8" x14ac:dyDescent="0.2">
      <c r="A115" s="3">
        <v>3020302013</v>
      </c>
      <c r="B115" s="4" t="s">
        <v>209</v>
      </c>
      <c r="C115" s="4" t="s">
        <v>210</v>
      </c>
      <c r="D115" s="3">
        <v>1</v>
      </c>
      <c r="E115" s="3" t="s">
        <v>16</v>
      </c>
      <c r="F115" s="6" t="s">
        <v>292</v>
      </c>
      <c r="G115" s="3" t="s">
        <v>26</v>
      </c>
      <c r="H115" s="3" t="s">
        <v>211</v>
      </c>
    </row>
    <row r="116" spans="1:8" x14ac:dyDescent="0.2">
      <c r="A116" s="3">
        <v>3992002001</v>
      </c>
      <c r="B116" s="4" t="s">
        <v>212</v>
      </c>
      <c r="C116" s="4" t="s">
        <v>213</v>
      </c>
      <c r="D116" s="3">
        <v>2</v>
      </c>
      <c r="E116" s="3" t="s">
        <v>16</v>
      </c>
      <c r="F116" s="6" t="s">
        <v>296</v>
      </c>
      <c r="G116" s="3" t="s">
        <v>17</v>
      </c>
      <c r="H116" s="3" t="s">
        <v>214</v>
      </c>
    </row>
    <row r="117" spans="1:8" x14ac:dyDescent="0.2">
      <c r="A117" s="3">
        <v>3992001001</v>
      </c>
      <c r="B117" s="4" t="s">
        <v>215</v>
      </c>
      <c r="C117" s="4" t="s">
        <v>213</v>
      </c>
      <c r="D117" s="3">
        <v>2</v>
      </c>
      <c r="E117" s="3" t="s">
        <v>16</v>
      </c>
      <c r="F117" s="6" t="s">
        <v>296</v>
      </c>
      <c r="G117" s="3" t="s">
        <v>17</v>
      </c>
      <c r="H117" s="3" t="s">
        <v>214</v>
      </c>
    </row>
    <row r="118" spans="1:8" x14ac:dyDescent="0.2">
      <c r="A118" s="3">
        <v>3030201004</v>
      </c>
      <c r="B118" s="4" t="s">
        <v>216</v>
      </c>
      <c r="C118" s="4" t="s">
        <v>213</v>
      </c>
      <c r="D118" s="3">
        <v>2</v>
      </c>
      <c r="E118" s="3" t="s">
        <v>16</v>
      </c>
      <c r="F118" s="6" t="s">
        <v>296</v>
      </c>
      <c r="G118" s="3" t="s">
        <v>17</v>
      </c>
      <c r="H118" s="3" t="s">
        <v>214</v>
      </c>
    </row>
    <row r="119" spans="1:8" x14ac:dyDescent="0.2">
      <c r="A119" s="3">
        <v>3030201005</v>
      </c>
      <c r="B119" s="4" t="s">
        <v>217</v>
      </c>
      <c r="C119" s="4" t="s">
        <v>218</v>
      </c>
      <c r="D119" s="3">
        <v>12</v>
      </c>
      <c r="E119" s="3" t="s">
        <v>16</v>
      </c>
      <c r="F119" s="6" t="s">
        <v>296</v>
      </c>
      <c r="G119" s="3" t="s">
        <v>17</v>
      </c>
      <c r="H119" s="3" t="s">
        <v>214</v>
      </c>
    </row>
    <row r="120" spans="1:8" x14ac:dyDescent="0.2">
      <c r="A120" s="3">
        <v>3030403001</v>
      </c>
      <c r="B120" s="4" t="s">
        <v>219</v>
      </c>
      <c r="C120" s="4" t="s">
        <v>220</v>
      </c>
      <c r="D120" s="3">
        <v>1</v>
      </c>
      <c r="E120" s="3" t="s">
        <v>16</v>
      </c>
      <c r="F120" s="6" t="s">
        <v>296</v>
      </c>
      <c r="G120" s="3" t="s">
        <v>17</v>
      </c>
      <c r="H120" s="3" t="s">
        <v>221</v>
      </c>
    </row>
    <row r="121" spans="1:8" x14ac:dyDescent="0.2">
      <c r="A121" s="3">
        <v>3050401001</v>
      </c>
      <c r="B121" s="4" t="s">
        <v>222</v>
      </c>
      <c r="C121" s="4" t="s">
        <v>223</v>
      </c>
      <c r="D121" s="3">
        <v>1</v>
      </c>
      <c r="E121" s="3" t="s">
        <v>16</v>
      </c>
      <c r="F121" s="6" t="s">
        <v>292</v>
      </c>
      <c r="G121" s="3" t="s">
        <v>26</v>
      </c>
      <c r="H121" s="3" t="s">
        <v>221</v>
      </c>
    </row>
    <row r="122" spans="1:8" x14ac:dyDescent="0.2">
      <c r="A122" s="3">
        <v>3060501005</v>
      </c>
      <c r="B122" s="4" t="s">
        <v>224</v>
      </c>
      <c r="C122" s="4" t="s">
        <v>225</v>
      </c>
      <c r="D122" s="3">
        <v>1</v>
      </c>
      <c r="E122" s="3" t="s">
        <v>16</v>
      </c>
      <c r="F122" s="6" t="s">
        <v>290</v>
      </c>
      <c r="G122" s="3" t="s">
        <v>23</v>
      </c>
      <c r="H122" s="3" t="s">
        <v>226</v>
      </c>
    </row>
    <row r="123" spans="1:8" x14ac:dyDescent="0.2">
      <c r="A123" s="3">
        <v>3060333002</v>
      </c>
      <c r="B123" s="4" t="s">
        <v>227</v>
      </c>
      <c r="C123" s="4" t="s">
        <v>228</v>
      </c>
      <c r="D123" s="3">
        <v>1</v>
      </c>
      <c r="E123" s="3" t="s">
        <v>16</v>
      </c>
      <c r="F123" s="6" t="s">
        <v>290</v>
      </c>
      <c r="G123" s="3" t="s">
        <v>23</v>
      </c>
      <c r="H123" s="3" t="s">
        <v>226</v>
      </c>
    </row>
    <row r="124" spans="1:8" x14ac:dyDescent="0.2">
      <c r="A124" s="3">
        <v>3060308002</v>
      </c>
      <c r="B124" s="4" t="s">
        <v>229</v>
      </c>
      <c r="C124" s="4" t="s">
        <v>230</v>
      </c>
      <c r="D124" s="3">
        <v>1</v>
      </c>
      <c r="E124" s="3" t="s">
        <v>16</v>
      </c>
      <c r="F124" s="6" t="s">
        <v>290</v>
      </c>
      <c r="G124" s="3" t="s">
        <v>23</v>
      </c>
      <c r="H124" s="3" t="s">
        <v>226</v>
      </c>
    </row>
    <row r="125" spans="1:8" x14ac:dyDescent="0.2">
      <c r="A125" s="3">
        <v>3060303001</v>
      </c>
      <c r="B125" s="4" t="s">
        <v>231</v>
      </c>
      <c r="C125" s="4" t="s">
        <v>232</v>
      </c>
      <c r="D125" s="3">
        <v>1</v>
      </c>
      <c r="E125" s="3" t="s">
        <v>16</v>
      </c>
      <c r="F125" s="6" t="s">
        <v>290</v>
      </c>
      <c r="G125" s="3" t="s">
        <v>23</v>
      </c>
      <c r="H125" s="3" t="s">
        <v>226</v>
      </c>
    </row>
    <row r="126" spans="1:8" x14ac:dyDescent="0.2">
      <c r="A126" s="3">
        <v>3060335004</v>
      </c>
      <c r="B126" s="4" t="s">
        <v>233</v>
      </c>
      <c r="C126" s="4" t="s">
        <v>234</v>
      </c>
      <c r="D126" s="3">
        <v>1</v>
      </c>
      <c r="E126" s="3" t="s">
        <v>16</v>
      </c>
      <c r="F126" s="6" t="s">
        <v>290</v>
      </c>
      <c r="G126" s="3" t="s">
        <v>23</v>
      </c>
      <c r="H126" s="3" t="s">
        <v>226</v>
      </c>
    </row>
    <row r="127" spans="1:8" x14ac:dyDescent="0.2">
      <c r="A127" s="3">
        <v>3030306008</v>
      </c>
      <c r="B127" s="4" t="s">
        <v>235</v>
      </c>
      <c r="C127" s="4" t="s">
        <v>236</v>
      </c>
      <c r="D127" s="3">
        <v>1</v>
      </c>
      <c r="E127" s="3" t="s">
        <v>16</v>
      </c>
      <c r="F127" s="6" t="s">
        <v>296</v>
      </c>
      <c r="G127" s="3" t="s">
        <v>17</v>
      </c>
      <c r="H127" s="3" t="s">
        <v>226</v>
      </c>
    </row>
    <row r="128" spans="1:8" x14ac:dyDescent="0.2">
      <c r="A128" s="3">
        <v>3030314001</v>
      </c>
      <c r="B128" s="4" t="s">
        <v>237</v>
      </c>
      <c r="C128" s="4" t="s">
        <v>238</v>
      </c>
      <c r="D128" s="3">
        <v>1</v>
      </c>
      <c r="E128" s="3" t="s">
        <v>16</v>
      </c>
      <c r="F128" s="6" t="s">
        <v>292</v>
      </c>
      <c r="G128" s="3" t="s">
        <v>26</v>
      </c>
      <c r="H128" s="3" t="s">
        <v>226</v>
      </c>
    </row>
    <row r="129" spans="1:8" x14ac:dyDescent="0.2">
      <c r="A129" s="3">
        <v>3020104001</v>
      </c>
      <c r="B129" s="4" t="s">
        <v>239</v>
      </c>
      <c r="C129" s="4" t="s">
        <v>240</v>
      </c>
      <c r="D129" s="3">
        <v>5</v>
      </c>
      <c r="E129" s="3" t="s">
        <v>16</v>
      </c>
      <c r="F129" s="6" t="s">
        <v>298</v>
      </c>
      <c r="G129" s="3" t="s">
        <v>204</v>
      </c>
      <c r="H129" s="3" t="s">
        <v>226</v>
      </c>
    </row>
    <row r="130" spans="1:8" x14ac:dyDescent="0.2">
      <c r="A130" s="3">
        <v>3030309028</v>
      </c>
      <c r="B130" s="4" t="s">
        <v>241</v>
      </c>
      <c r="C130" s="4" t="s">
        <v>242</v>
      </c>
      <c r="D130" s="3">
        <v>1</v>
      </c>
      <c r="E130" s="3" t="s">
        <v>16</v>
      </c>
      <c r="F130" s="6" t="s">
        <v>292</v>
      </c>
      <c r="G130" s="3" t="s">
        <v>26</v>
      </c>
      <c r="H130" s="3" t="s">
        <v>226</v>
      </c>
    </row>
    <row r="131" spans="1:8" x14ac:dyDescent="0.2">
      <c r="A131" s="3">
        <v>3030309026</v>
      </c>
      <c r="B131" s="4" t="s">
        <v>243</v>
      </c>
      <c r="C131" s="4" t="s">
        <v>242</v>
      </c>
      <c r="D131" s="3">
        <v>1</v>
      </c>
      <c r="E131" s="3" t="s">
        <v>16</v>
      </c>
      <c r="F131" s="6" t="s">
        <v>292</v>
      </c>
      <c r="G131" s="3" t="s">
        <v>26</v>
      </c>
      <c r="H131" s="3" t="s">
        <v>226</v>
      </c>
    </row>
    <row r="132" spans="1:8" x14ac:dyDescent="0.2">
      <c r="A132" s="3">
        <v>3030309027</v>
      </c>
      <c r="B132" s="4" t="s">
        <v>244</v>
      </c>
      <c r="C132" s="4" t="s">
        <v>242</v>
      </c>
      <c r="D132" s="3">
        <v>1</v>
      </c>
      <c r="E132" s="3" t="s">
        <v>16</v>
      </c>
      <c r="F132" s="6" t="s">
        <v>292</v>
      </c>
      <c r="G132" s="3" t="s">
        <v>26</v>
      </c>
      <c r="H132" s="3" t="s">
        <v>226</v>
      </c>
    </row>
    <row r="133" spans="1:8" x14ac:dyDescent="0.2">
      <c r="A133" s="3">
        <v>3050303002</v>
      </c>
      <c r="B133" s="4" t="s">
        <v>245</v>
      </c>
      <c r="C133" s="4" t="s">
        <v>246</v>
      </c>
      <c r="D133" s="3">
        <v>1</v>
      </c>
      <c r="E133" s="3" t="s">
        <v>16</v>
      </c>
      <c r="F133" s="6" t="s">
        <v>292</v>
      </c>
      <c r="G133" s="3" t="s">
        <v>26</v>
      </c>
      <c r="H133" s="3" t="s">
        <v>226</v>
      </c>
    </row>
    <row r="134" spans="1:8" x14ac:dyDescent="0.2">
      <c r="A134" s="3">
        <v>3080301002</v>
      </c>
      <c r="B134" s="4" t="s">
        <v>247</v>
      </c>
      <c r="C134" s="4" t="s">
        <v>248</v>
      </c>
      <c r="D134" s="3">
        <v>1</v>
      </c>
      <c r="E134" s="3" t="s">
        <v>16</v>
      </c>
      <c r="F134" s="6" t="s">
        <v>296</v>
      </c>
      <c r="G134" s="3" t="s">
        <v>17</v>
      </c>
      <c r="H134" s="3" t="s">
        <v>249</v>
      </c>
    </row>
    <row r="135" spans="1:8" x14ac:dyDescent="0.2">
      <c r="A135" s="3">
        <v>3080107026</v>
      </c>
      <c r="B135" s="4" t="s">
        <v>69</v>
      </c>
      <c r="C135" s="4" t="s">
        <v>250</v>
      </c>
      <c r="D135" s="3">
        <v>2</v>
      </c>
      <c r="E135" s="3" t="s">
        <v>16</v>
      </c>
      <c r="F135" s="6" t="s">
        <v>294</v>
      </c>
      <c r="G135" s="3" t="s">
        <v>29</v>
      </c>
      <c r="H135" s="3" t="s">
        <v>249</v>
      </c>
    </row>
    <row r="136" spans="1:8" x14ac:dyDescent="0.2">
      <c r="A136" s="3">
        <v>3080107017</v>
      </c>
      <c r="B136" s="4" t="s">
        <v>69</v>
      </c>
      <c r="C136" s="4" t="s">
        <v>251</v>
      </c>
      <c r="D136" s="3">
        <v>4</v>
      </c>
      <c r="E136" s="3" t="s">
        <v>16</v>
      </c>
      <c r="F136" s="6" t="s">
        <v>290</v>
      </c>
      <c r="G136" s="3" t="s">
        <v>23</v>
      </c>
      <c r="H136" s="3" t="s">
        <v>249</v>
      </c>
    </row>
    <row r="137" spans="1:8" x14ac:dyDescent="0.2">
      <c r="A137" s="3">
        <v>3080107017</v>
      </c>
      <c r="B137" s="4" t="s">
        <v>69</v>
      </c>
      <c r="C137" s="4" t="s">
        <v>251</v>
      </c>
      <c r="D137" s="3">
        <v>2</v>
      </c>
      <c r="E137" s="3" t="s">
        <v>16</v>
      </c>
      <c r="F137" s="6" t="s">
        <v>290</v>
      </c>
      <c r="G137" s="3" t="s">
        <v>23</v>
      </c>
      <c r="H137" s="3" t="s">
        <v>249</v>
      </c>
    </row>
    <row r="138" spans="1:8" x14ac:dyDescent="0.2">
      <c r="A138" s="3">
        <v>3080107017</v>
      </c>
      <c r="B138" s="4" t="s">
        <v>69</v>
      </c>
      <c r="C138" s="4" t="s">
        <v>251</v>
      </c>
      <c r="D138" s="3">
        <v>4</v>
      </c>
      <c r="E138" s="3" t="s">
        <v>16</v>
      </c>
      <c r="F138" s="6" t="s">
        <v>296</v>
      </c>
      <c r="G138" s="3" t="s">
        <v>17</v>
      </c>
      <c r="H138" s="3" t="s">
        <v>249</v>
      </c>
    </row>
    <row r="139" spans="1:8" x14ac:dyDescent="0.2">
      <c r="A139" s="3">
        <v>3060309001</v>
      </c>
      <c r="B139" s="4" t="s">
        <v>252</v>
      </c>
      <c r="C139" s="4" t="s">
        <v>253</v>
      </c>
      <c r="D139" s="3">
        <v>1</v>
      </c>
      <c r="E139" s="3" t="s">
        <v>16</v>
      </c>
      <c r="F139" s="6" t="s">
        <v>290</v>
      </c>
      <c r="G139" s="3" t="s">
        <v>23</v>
      </c>
      <c r="H139" s="3" t="s">
        <v>254</v>
      </c>
    </row>
    <row r="140" spans="1:8" x14ac:dyDescent="0.2">
      <c r="A140" s="3">
        <v>3060341001</v>
      </c>
      <c r="B140" s="4" t="s">
        <v>255</v>
      </c>
      <c r="C140" s="4" t="s">
        <v>256</v>
      </c>
      <c r="D140" s="3">
        <v>1</v>
      </c>
      <c r="E140" s="3" t="s">
        <v>16</v>
      </c>
      <c r="F140" s="6" t="s">
        <v>290</v>
      </c>
      <c r="G140" s="3" t="s">
        <v>23</v>
      </c>
      <c r="H140" s="3" t="s">
        <v>254</v>
      </c>
    </row>
    <row r="141" spans="1:8" x14ac:dyDescent="0.2">
      <c r="A141" s="3">
        <v>3030315001</v>
      </c>
      <c r="B141" s="4" t="s">
        <v>257</v>
      </c>
      <c r="C141" s="4" t="s">
        <v>258</v>
      </c>
      <c r="D141" s="3">
        <v>2</v>
      </c>
      <c r="E141" s="3" t="s">
        <v>16</v>
      </c>
      <c r="F141" s="6" t="s">
        <v>296</v>
      </c>
      <c r="G141" s="3" t="s">
        <v>17</v>
      </c>
      <c r="H141" s="3" t="s">
        <v>254</v>
      </c>
    </row>
    <row r="142" spans="1:8" x14ac:dyDescent="0.2">
      <c r="A142" s="3">
        <v>3030304002</v>
      </c>
      <c r="B142" s="4" t="s">
        <v>259</v>
      </c>
      <c r="C142" s="4" t="s">
        <v>258</v>
      </c>
      <c r="D142" s="3">
        <v>1</v>
      </c>
      <c r="E142" s="3" t="s">
        <v>16</v>
      </c>
      <c r="F142" s="6" t="s">
        <v>296</v>
      </c>
      <c r="G142" s="3" t="s">
        <v>17</v>
      </c>
      <c r="H142" s="3" t="s">
        <v>254</v>
      </c>
    </row>
    <row r="143" spans="1:8" x14ac:dyDescent="0.2">
      <c r="A143" s="3">
        <v>3030304004</v>
      </c>
      <c r="B143" s="4" t="s">
        <v>260</v>
      </c>
      <c r="C143" s="4" t="s">
        <v>258</v>
      </c>
      <c r="D143" s="3">
        <v>1</v>
      </c>
      <c r="E143" s="3" t="s">
        <v>16</v>
      </c>
      <c r="F143" s="6" t="s">
        <v>296</v>
      </c>
      <c r="G143" s="3" t="s">
        <v>17</v>
      </c>
      <c r="H143" s="3" t="s">
        <v>254</v>
      </c>
    </row>
    <row r="144" spans="1:8" x14ac:dyDescent="0.2">
      <c r="A144" s="3">
        <v>3030316001</v>
      </c>
      <c r="B144" s="4" t="s">
        <v>261</v>
      </c>
      <c r="C144" s="4" t="s">
        <v>262</v>
      </c>
      <c r="D144" s="3">
        <v>3</v>
      </c>
      <c r="E144" s="3" t="s">
        <v>16</v>
      </c>
      <c r="F144" s="6" t="s">
        <v>296</v>
      </c>
      <c r="G144" s="3" t="s">
        <v>17</v>
      </c>
      <c r="H144" s="3" t="s">
        <v>254</v>
      </c>
    </row>
    <row r="145" spans="1:8" x14ac:dyDescent="0.2">
      <c r="A145" s="3">
        <v>3040312007</v>
      </c>
      <c r="B145" s="4" t="s">
        <v>263</v>
      </c>
      <c r="C145" s="4" t="s">
        <v>264</v>
      </c>
      <c r="D145" s="3">
        <v>2</v>
      </c>
      <c r="E145" s="3" t="s">
        <v>16</v>
      </c>
      <c r="F145" s="6" t="s">
        <v>294</v>
      </c>
      <c r="G145" s="3" t="s">
        <v>29</v>
      </c>
      <c r="H145" s="3" t="s">
        <v>254</v>
      </c>
    </row>
    <row r="146" spans="1:8" x14ac:dyDescent="0.2">
      <c r="A146" s="3">
        <v>3040303001</v>
      </c>
      <c r="B146" s="4" t="s">
        <v>265</v>
      </c>
      <c r="C146" s="4" t="s">
        <v>266</v>
      </c>
      <c r="D146" s="3">
        <v>2</v>
      </c>
      <c r="E146" s="3" t="s">
        <v>16</v>
      </c>
      <c r="F146" s="6" t="s">
        <v>294</v>
      </c>
      <c r="G146" s="3" t="s">
        <v>29</v>
      </c>
      <c r="H146" s="3" t="s">
        <v>254</v>
      </c>
    </row>
    <row r="147" spans="1:8" x14ac:dyDescent="0.2">
      <c r="A147" s="3">
        <v>3040328002</v>
      </c>
      <c r="B147" s="4" t="s">
        <v>267</v>
      </c>
      <c r="C147" s="4" t="s">
        <v>268</v>
      </c>
      <c r="D147" s="3">
        <v>2</v>
      </c>
      <c r="E147" s="3" t="s">
        <v>16</v>
      </c>
      <c r="F147" s="6" t="s">
        <v>294</v>
      </c>
      <c r="G147" s="3" t="s">
        <v>29</v>
      </c>
      <c r="H147" s="3" t="s">
        <v>254</v>
      </c>
    </row>
    <row r="148" spans="1:8" x14ac:dyDescent="0.2">
      <c r="A148" s="3">
        <v>3040320003</v>
      </c>
      <c r="B148" s="4" t="s">
        <v>269</v>
      </c>
      <c r="C148" s="4" t="s">
        <v>270</v>
      </c>
      <c r="D148" s="3">
        <v>2</v>
      </c>
      <c r="E148" s="3" t="s">
        <v>16</v>
      </c>
      <c r="F148" s="6" t="s">
        <v>294</v>
      </c>
      <c r="G148" s="3" t="s">
        <v>29</v>
      </c>
      <c r="H148" s="3" t="s">
        <v>254</v>
      </c>
    </row>
    <row r="149" spans="1:8" x14ac:dyDescent="0.2">
      <c r="A149" s="3">
        <v>3040314001</v>
      </c>
      <c r="B149" s="4" t="s">
        <v>271</v>
      </c>
      <c r="C149" s="4" t="s">
        <v>272</v>
      </c>
      <c r="D149" s="3">
        <v>2</v>
      </c>
      <c r="E149" s="3" t="s">
        <v>16</v>
      </c>
      <c r="F149" s="6" t="s">
        <v>294</v>
      </c>
      <c r="G149" s="3" t="s">
        <v>29</v>
      </c>
      <c r="H149" s="3" t="s">
        <v>254</v>
      </c>
    </row>
    <row r="150" spans="1:8" x14ac:dyDescent="0.2">
      <c r="A150" s="3">
        <v>3030310004</v>
      </c>
      <c r="B150" s="4" t="s">
        <v>273</v>
      </c>
      <c r="C150" s="4" t="s">
        <v>274</v>
      </c>
      <c r="D150" s="3">
        <v>1</v>
      </c>
      <c r="E150" s="3" t="s">
        <v>16</v>
      </c>
      <c r="F150" s="6" t="s">
        <v>296</v>
      </c>
      <c r="G150" s="3" t="s">
        <v>17</v>
      </c>
      <c r="H150" s="3" t="s">
        <v>254</v>
      </c>
    </row>
    <row r="151" spans="1:8" x14ac:dyDescent="0.2">
      <c r="A151" s="3">
        <v>3030313004</v>
      </c>
      <c r="B151" s="4" t="s">
        <v>275</v>
      </c>
      <c r="C151" s="4" t="s">
        <v>258</v>
      </c>
      <c r="D151" s="3">
        <v>1</v>
      </c>
      <c r="E151" s="3" t="s">
        <v>16</v>
      </c>
      <c r="F151" s="6" t="s">
        <v>296</v>
      </c>
      <c r="G151" s="3" t="s">
        <v>17</v>
      </c>
      <c r="H151" s="3" t="s">
        <v>254</v>
      </c>
    </row>
    <row r="152" spans="1:8" x14ac:dyDescent="0.2">
      <c r="A152" s="3">
        <v>3080308001</v>
      </c>
      <c r="B152" s="4" t="s">
        <v>276</v>
      </c>
      <c r="C152" s="4" t="s">
        <v>258</v>
      </c>
      <c r="D152" s="3">
        <v>1</v>
      </c>
      <c r="E152" s="3" t="s">
        <v>16</v>
      </c>
      <c r="F152" s="6" t="s">
        <v>296</v>
      </c>
      <c r="G152" s="3" t="s">
        <v>17</v>
      </c>
      <c r="H152" s="3" t="s">
        <v>254</v>
      </c>
    </row>
    <row r="153" spans="1:8" x14ac:dyDescent="0.2">
      <c r="A153" s="3">
        <v>3040307001</v>
      </c>
      <c r="B153" s="4" t="s">
        <v>277</v>
      </c>
      <c r="C153" s="4" t="s">
        <v>278</v>
      </c>
      <c r="D153" s="3">
        <v>2</v>
      </c>
      <c r="E153" s="3" t="s">
        <v>16</v>
      </c>
      <c r="F153" s="6" t="s">
        <v>294</v>
      </c>
      <c r="G153" s="3" t="s">
        <v>29</v>
      </c>
      <c r="H153" s="3" t="s">
        <v>254</v>
      </c>
    </row>
    <row r="154" spans="1:8" x14ac:dyDescent="0.2">
      <c r="A154" s="3">
        <v>3030307007</v>
      </c>
      <c r="B154" s="4" t="s">
        <v>279</v>
      </c>
      <c r="C154" s="4" t="s">
        <v>280</v>
      </c>
      <c r="D154" s="3">
        <v>3</v>
      </c>
      <c r="E154" s="3" t="s">
        <v>16</v>
      </c>
      <c r="F154" s="6" t="s">
        <v>292</v>
      </c>
      <c r="G154" s="3" t="s">
        <v>26</v>
      </c>
      <c r="H154" s="3" t="s">
        <v>254</v>
      </c>
    </row>
    <row r="155" spans="1:8" x14ac:dyDescent="0.2">
      <c r="A155" s="3">
        <v>3030308009</v>
      </c>
      <c r="B155" s="4" t="s">
        <v>281</v>
      </c>
      <c r="C155" s="4" t="s">
        <v>282</v>
      </c>
      <c r="D155" s="3">
        <v>3</v>
      </c>
      <c r="E155" s="3" t="s">
        <v>16</v>
      </c>
      <c r="F155" s="6" t="s">
        <v>292</v>
      </c>
      <c r="G155" s="3" t="s">
        <v>26</v>
      </c>
      <c r="H155" s="3" t="s">
        <v>254</v>
      </c>
    </row>
  </sheetData>
  <autoFilter ref="A2:K155" xr:uid="{93E093AF-3B6A-4C34-AAFF-4CA898955A08}"/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6DAC8-1314-4A6B-A460-93C2BB65269E}">
  <dimension ref="A1:H178"/>
  <sheetViews>
    <sheetView workbookViewId="0">
      <selection activeCell="D3" sqref="D3"/>
    </sheetView>
  </sheetViews>
  <sheetFormatPr defaultRowHeight="14.25" x14ac:dyDescent="0.2"/>
  <cols>
    <col min="1" max="1" width="13.5" customWidth="1"/>
    <col min="2" max="2" width="15.5" customWidth="1"/>
    <col min="3" max="3" width="23.625" customWidth="1"/>
  </cols>
  <sheetData>
    <row r="1" spans="1:8" x14ac:dyDescent="0.2">
      <c r="A1" t="s">
        <v>615</v>
      </c>
    </row>
    <row r="2" spans="1:8" ht="28.5" x14ac:dyDescent="0.2">
      <c r="A2" s="1" t="s">
        <v>0</v>
      </c>
      <c r="B2" s="2" t="s">
        <v>1</v>
      </c>
      <c r="C2" s="2" t="s">
        <v>2</v>
      </c>
      <c r="D2" s="1" t="s">
        <v>4</v>
      </c>
      <c r="E2" s="1" t="s">
        <v>3</v>
      </c>
      <c r="F2" s="1" t="s">
        <v>5</v>
      </c>
      <c r="G2" s="1" t="s">
        <v>6</v>
      </c>
      <c r="H2" s="1" t="s">
        <v>7</v>
      </c>
    </row>
    <row r="3" spans="1:8" s="10" customFormat="1" x14ac:dyDescent="0.2">
      <c r="A3" s="8" t="s">
        <v>390</v>
      </c>
      <c r="B3" s="9" t="s">
        <v>8</v>
      </c>
      <c r="C3" s="9" t="s">
        <v>9</v>
      </c>
      <c r="D3" s="12">
        <f>0.2623/0.94</f>
        <v>0.27904255319148935</v>
      </c>
      <c r="E3" s="8" t="s">
        <v>596</v>
      </c>
      <c r="F3" s="8" t="s">
        <v>283</v>
      </c>
      <c r="G3" s="8" t="s">
        <v>13</v>
      </c>
      <c r="H3" s="8" t="s">
        <v>12</v>
      </c>
    </row>
    <row r="4" spans="1:8" x14ac:dyDescent="0.2">
      <c r="A4" s="3">
        <v>402030028</v>
      </c>
      <c r="B4" s="4" t="s">
        <v>107</v>
      </c>
      <c r="C4" s="4" t="s">
        <v>305</v>
      </c>
      <c r="D4" s="3">
        <v>1</v>
      </c>
      <c r="E4" s="3" t="s">
        <v>16</v>
      </c>
      <c r="F4" s="3" t="s">
        <v>289</v>
      </c>
      <c r="G4" s="3" t="s">
        <v>23</v>
      </c>
      <c r="H4" s="3" t="s">
        <v>306</v>
      </c>
    </row>
    <row r="5" spans="1:8" x14ac:dyDescent="0.2">
      <c r="A5" s="3">
        <v>3080503020</v>
      </c>
      <c r="B5" s="4" t="s">
        <v>14</v>
      </c>
      <c r="C5" s="4" t="s">
        <v>15</v>
      </c>
      <c r="D5" s="3">
        <v>2</v>
      </c>
      <c r="E5" s="3" t="s">
        <v>16</v>
      </c>
      <c r="F5" s="3" t="s">
        <v>295</v>
      </c>
      <c r="G5" s="3" t="s">
        <v>17</v>
      </c>
      <c r="H5" s="3" t="s">
        <v>18</v>
      </c>
    </row>
    <row r="6" spans="1:8" x14ac:dyDescent="0.2">
      <c r="A6" s="3">
        <v>3080503019</v>
      </c>
      <c r="B6" s="4" t="s">
        <v>14</v>
      </c>
      <c r="C6" s="4" t="s">
        <v>19</v>
      </c>
      <c r="D6" s="3">
        <v>4</v>
      </c>
      <c r="E6" s="3" t="s">
        <v>16</v>
      </c>
      <c r="F6" s="3" t="s">
        <v>295</v>
      </c>
      <c r="G6" s="3" t="s">
        <v>17</v>
      </c>
      <c r="H6" s="3" t="s">
        <v>18</v>
      </c>
    </row>
    <row r="7" spans="1:8" x14ac:dyDescent="0.2">
      <c r="A7" s="3">
        <v>3080503001</v>
      </c>
      <c r="B7" s="4" t="s">
        <v>14</v>
      </c>
      <c r="C7" s="4" t="s">
        <v>20</v>
      </c>
      <c r="D7" s="3">
        <v>4</v>
      </c>
      <c r="E7" s="3" t="s">
        <v>16</v>
      </c>
      <c r="F7" s="3" t="s">
        <v>295</v>
      </c>
      <c r="G7" s="3" t="s">
        <v>17</v>
      </c>
      <c r="H7" s="3" t="s">
        <v>18</v>
      </c>
    </row>
    <row r="8" spans="1:8" x14ac:dyDescent="0.2">
      <c r="A8" s="3">
        <v>3060503002</v>
      </c>
      <c r="B8" s="4" t="s">
        <v>21</v>
      </c>
      <c r="C8" s="4" t="s">
        <v>22</v>
      </c>
      <c r="D8" s="3">
        <v>1</v>
      </c>
      <c r="E8" s="3" t="s">
        <v>16</v>
      </c>
      <c r="F8" s="3" t="s">
        <v>289</v>
      </c>
      <c r="G8" s="3" t="s">
        <v>23</v>
      </c>
      <c r="H8" s="3" t="s">
        <v>18</v>
      </c>
    </row>
    <row r="9" spans="1:8" x14ac:dyDescent="0.2">
      <c r="A9" s="3">
        <v>3030215001</v>
      </c>
      <c r="B9" s="4" t="s">
        <v>24</v>
      </c>
      <c r="C9" s="4" t="s">
        <v>25</v>
      </c>
      <c r="D9" s="3">
        <v>2</v>
      </c>
      <c r="E9" s="3" t="s">
        <v>16</v>
      </c>
      <c r="F9" s="3" t="s">
        <v>291</v>
      </c>
      <c r="G9" s="3" t="s">
        <v>26</v>
      </c>
      <c r="H9" s="3" t="s">
        <v>18</v>
      </c>
    </row>
    <row r="10" spans="1:8" x14ac:dyDescent="0.2">
      <c r="A10" s="3">
        <v>3040211003</v>
      </c>
      <c r="B10" s="4" t="s">
        <v>157</v>
      </c>
      <c r="C10" s="4" t="s">
        <v>307</v>
      </c>
      <c r="D10" s="3">
        <v>2</v>
      </c>
      <c r="E10" s="3" t="s">
        <v>16</v>
      </c>
      <c r="F10" s="3" t="s">
        <v>293</v>
      </c>
      <c r="G10" s="3" t="s">
        <v>29</v>
      </c>
      <c r="H10" s="3" t="s">
        <v>18</v>
      </c>
    </row>
    <row r="11" spans="1:8" x14ac:dyDescent="0.2">
      <c r="A11" s="3">
        <v>404020072</v>
      </c>
      <c r="B11" s="4" t="s">
        <v>30</v>
      </c>
      <c r="C11" s="4" t="s">
        <v>308</v>
      </c>
      <c r="D11" s="3">
        <v>1</v>
      </c>
      <c r="E11" s="3" t="s">
        <v>16</v>
      </c>
      <c r="F11" s="3" t="s">
        <v>301</v>
      </c>
      <c r="G11" s="3" t="s">
        <v>32</v>
      </c>
      <c r="H11" s="3" t="s">
        <v>33</v>
      </c>
    </row>
    <row r="12" spans="1:8" x14ac:dyDescent="0.2">
      <c r="A12" s="3">
        <v>401020084</v>
      </c>
      <c r="B12" s="4" t="s">
        <v>35</v>
      </c>
      <c r="C12" s="4" t="s">
        <v>309</v>
      </c>
      <c r="D12" s="3">
        <v>1</v>
      </c>
      <c r="E12" s="3" t="s">
        <v>16</v>
      </c>
      <c r="F12" s="3" t="s">
        <v>301</v>
      </c>
      <c r="G12" s="3" t="s">
        <v>32</v>
      </c>
      <c r="H12" s="3" t="s">
        <v>33</v>
      </c>
    </row>
    <row r="13" spans="1:8" x14ac:dyDescent="0.2">
      <c r="A13" s="3">
        <v>401040010</v>
      </c>
      <c r="B13" s="4" t="s">
        <v>35</v>
      </c>
      <c r="C13" s="4" t="s">
        <v>310</v>
      </c>
      <c r="D13" s="3">
        <v>1</v>
      </c>
      <c r="E13" s="3" t="s">
        <v>16</v>
      </c>
      <c r="F13" s="3" t="s">
        <v>293</v>
      </c>
      <c r="G13" s="3" t="s">
        <v>29</v>
      </c>
      <c r="H13" s="3" t="s">
        <v>33</v>
      </c>
    </row>
    <row r="14" spans="1:8" x14ac:dyDescent="0.2">
      <c r="A14" s="3">
        <v>401040027</v>
      </c>
      <c r="B14" s="4" t="s">
        <v>35</v>
      </c>
      <c r="C14" s="4" t="s">
        <v>311</v>
      </c>
      <c r="D14" s="3">
        <v>1</v>
      </c>
      <c r="E14" s="3" t="s">
        <v>16</v>
      </c>
      <c r="F14" s="3" t="s">
        <v>291</v>
      </c>
      <c r="G14" s="3" t="s">
        <v>26</v>
      </c>
      <c r="H14" s="3" t="s">
        <v>33</v>
      </c>
    </row>
    <row r="15" spans="1:8" x14ac:dyDescent="0.2">
      <c r="A15" s="3">
        <v>3080102003</v>
      </c>
      <c r="B15" s="4" t="s">
        <v>38</v>
      </c>
      <c r="C15" s="4" t="s">
        <v>39</v>
      </c>
      <c r="D15" s="3">
        <v>1</v>
      </c>
      <c r="E15" s="3" t="s">
        <v>16</v>
      </c>
      <c r="F15" s="3" t="s">
        <v>289</v>
      </c>
      <c r="G15" s="3" t="s">
        <v>23</v>
      </c>
      <c r="H15" s="3" t="s">
        <v>40</v>
      </c>
    </row>
    <row r="16" spans="1:8" x14ac:dyDescent="0.2">
      <c r="A16" s="3">
        <v>3080401006</v>
      </c>
      <c r="B16" s="4" t="s">
        <v>41</v>
      </c>
      <c r="C16" s="4" t="s">
        <v>44</v>
      </c>
      <c r="D16" s="3">
        <v>1</v>
      </c>
      <c r="E16" s="3" t="s">
        <v>16</v>
      </c>
      <c r="F16" s="3" t="s">
        <v>295</v>
      </c>
      <c r="G16" s="3" t="s">
        <v>17</v>
      </c>
      <c r="H16" s="3" t="s">
        <v>40</v>
      </c>
    </row>
    <row r="17" spans="1:8" x14ac:dyDescent="0.2">
      <c r="A17" s="3">
        <v>3080401012</v>
      </c>
      <c r="B17" s="4" t="s">
        <v>41</v>
      </c>
      <c r="C17" s="4" t="s">
        <v>42</v>
      </c>
      <c r="D17" s="3">
        <v>3</v>
      </c>
      <c r="E17" s="3" t="s">
        <v>16</v>
      </c>
      <c r="F17" s="3" t="s">
        <v>291</v>
      </c>
      <c r="G17" s="3" t="s">
        <v>26</v>
      </c>
      <c r="H17" s="3" t="s">
        <v>40</v>
      </c>
    </row>
    <row r="18" spans="1:8" x14ac:dyDescent="0.2">
      <c r="A18" s="3">
        <v>3080401005</v>
      </c>
      <c r="B18" s="4" t="s">
        <v>41</v>
      </c>
      <c r="C18" s="4" t="s">
        <v>43</v>
      </c>
      <c r="D18" s="3">
        <v>12</v>
      </c>
      <c r="E18" s="3" t="s">
        <v>16</v>
      </c>
      <c r="F18" s="3" t="s">
        <v>291</v>
      </c>
      <c r="G18" s="3" t="s">
        <v>26</v>
      </c>
      <c r="H18" s="3" t="s">
        <v>40</v>
      </c>
    </row>
    <row r="19" spans="1:8" x14ac:dyDescent="0.2">
      <c r="A19" s="3">
        <v>3080104050</v>
      </c>
      <c r="B19" s="4" t="s">
        <v>45</v>
      </c>
      <c r="C19" s="4" t="s">
        <v>49</v>
      </c>
      <c r="D19" s="3">
        <v>4</v>
      </c>
      <c r="E19" s="3" t="s">
        <v>16</v>
      </c>
      <c r="F19" s="3" t="s">
        <v>295</v>
      </c>
      <c r="G19" s="3" t="s">
        <v>17</v>
      </c>
      <c r="H19" s="3" t="s">
        <v>40</v>
      </c>
    </row>
    <row r="20" spans="1:8" x14ac:dyDescent="0.2">
      <c r="A20" s="3">
        <v>3080104014</v>
      </c>
      <c r="B20" s="4" t="s">
        <v>45</v>
      </c>
      <c r="C20" s="4" t="s">
        <v>312</v>
      </c>
      <c r="D20" s="3">
        <v>2</v>
      </c>
      <c r="E20" s="3" t="s">
        <v>16</v>
      </c>
      <c r="F20" s="3" t="s">
        <v>293</v>
      </c>
      <c r="G20" s="3" t="s">
        <v>29</v>
      </c>
      <c r="H20" s="3" t="s">
        <v>40</v>
      </c>
    </row>
    <row r="21" spans="1:8" x14ac:dyDescent="0.2">
      <c r="A21" s="3">
        <v>3080104076</v>
      </c>
      <c r="B21" s="4" t="s">
        <v>45</v>
      </c>
      <c r="C21" s="4" t="s">
        <v>313</v>
      </c>
      <c r="D21" s="3">
        <v>8</v>
      </c>
      <c r="E21" s="3" t="s">
        <v>16</v>
      </c>
      <c r="F21" s="3" t="s">
        <v>293</v>
      </c>
      <c r="G21" s="3" t="s">
        <v>29</v>
      </c>
      <c r="H21" s="3" t="s">
        <v>40</v>
      </c>
    </row>
    <row r="22" spans="1:8" x14ac:dyDescent="0.2">
      <c r="A22" s="3">
        <v>3080104020</v>
      </c>
      <c r="B22" s="4" t="s">
        <v>45</v>
      </c>
      <c r="C22" s="4" t="s">
        <v>46</v>
      </c>
      <c r="D22" s="3">
        <v>4</v>
      </c>
      <c r="E22" s="3" t="s">
        <v>16</v>
      </c>
      <c r="F22" s="3" t="s">
        <v>291</v>
      </c>
      <c r="G22" s="3" t="s">
        <v>26</v>
      </c>
      <c r="H22" s="3" t="s">
        <v>40</v>
      </c>
    </row>
    <row r="23" spans="1:8" x14ac:dyDescent="0.2">
      <c r="A23" s="3">
        <v>3080104019</v>
      </c>
      <c r="B23" s="4" t="s">
        <v>45</v>
      </c>
      <c r="C23" s="4" t="s">
        <v>47</v>
      </c>
      <c r="D23" s="3">
        <v>2</v>
      </c>
      <c r="E23" s="3" t="s">
        <v>16</v>
      </c>
      <c r="F23" s="3" t="s">
        <v>291</v>
      </c>
      <c r="G23" s="3" t="s">
        <v>26</v>
      </c>
      <c r="H23" s="3" t="s">
        <v>40</v>
      </c>
    </row>
    <row r="24" spans="1:8" x14ac:dyDescent="0.2">
      <c r="A24" s="3">
        <v>3080104010</v>
      </c>
      <c r="B24" s="4" t="s">
        <v>45</v>
      </c>
      <c r="C24" s="4" t="s">
        <v>48</v>
      </c>
      <c r="D24" s="3">
        <v>4</v>
      </c>
      <c r="E24" s="3" t="s">
        <v>16</v>
      </c>
      <c r="F24" s="3" t="s">
        <v>291</v>
      </c>
      <c r="G24" s="3" t="s">
        <v>26</v>
      </c>
      <c r="H24" s="3" t="s">
        <v>40</v>
      </c>
    </row>
    <row r="25" spans="1:8" x14ac:dyDescent="0.2">
      <c r="A25" s="3">
        <v>3080105007</v>
      </c>
      <c r="B25" s="4" t="s">
        <v>50</v>
      </c>
      <c r="C25" s="4" t="s">
        <v>52</v>
      </c>
      <c r="D25" s="3">
        <v>2</v>
      </c>
      <c r="E25" s="3" t="s">
        <v>16</v>
      </c>
      <c r="F25" s="3" t="s">
        <v>289</v>
      </c>
      <c r="G25" s="3" t="s">
        <v>23</v>
      </c>
      <c r="H25" s="3" t="s">
        <v>40</v>
      </c>
    </row>
    <row r="26" spans="1:8" x14ac:dyDescent="0.2">
      <c r="A26" s="3">
        <v>3080105114</v>
      </c>
      <c r="B26" s="4" t="s">
        <v>50</v>
      </c>
      <c r="C26" s="4" t="s">
        <v>53</v>
      </c>
      <c r="D26" s="3">
        <v>4</v>
      </c>
      <c r="E26" s="3" t="s">
        <v>16</v>
      </c>
      <c r="F26" s="3" t="s">
        <v>289</v>
      </c>
      <c r="G26" s="3" t="s">
        <v>23</v>
      </c>
      <c r="H26" s="3" t="s">
        <v>40</v>
      </c>
    </row>
    <row r="27" spans="1:8" x14ac:dyDescent="0.2">
      <c r="A27" s="3">
        <v>3080105114</v>
      </c>
      <c r="B27" s="4" t="s">
        <v>50</v>
      </c>
      <c r="C27" s="4" t="s">
        <v>53</v>
      </c>
      <c r="D27" s="3">
        <v>4</v>
      </c>
      <c r="E27" s="3" t="s">
        <v>16</v>
      </c>
      <c r="F27" s="3" t="s">
        <v>289</v>
      </c>
      <c r="G27" s="3" t="s">
        <v>23</v>
      </c>
      <c r="H27" s="3" t="s">
        <v>40</v>
      </c>
    </row>
    <row r="28" spans="1:8" x14ac:dyDescent="0.2">
      <c r="A28" s="3">
        <v>3080105007</v>
      </c>
      <c r="B28" s="4" t="s">
        <v>50</v>
      </c>
      <c r="C28" s="4" t="s">
        <v>52</v>
      </c>
      <c r="D28" s="3">
        <v>8</v>
      </c>
      <c r="E28" s="3" t="s">
        <v>16</v>
      </c>
      <c r="F28" s="3" t="s">
        <v>289</v>
      </c>
      <c r="G28" s="3" t="s">
        <v>23</v>
      </c>
      <c r="H28" s="3" t="s">
        <v>40</v>
      </c>
    </row>
    <row r="29" spans="1:8" x14ac:dyDescent="0.2">
      <c r="A29" s="3">
        <v>3080105013</v>
      </c>
      <c r="B29" s="4" t="s">
        <v>50</v>
      </c>
      <c r="C29" s="4" t="s">
        <v>51</v>
      </c>
      <c r="D29" s="3">
        <v>4</v>
      </c>
      <c r="E29" s="3" t="s">
        <v>16</v>
      </c>
      <c r="F29" s="3" t="s">
        <v>293</v>
      </c>
      <c r="G29" s="3" t="s">
        <v>29</v>
      </c>
      <c r="H29" s="3" t="s">
        <v>40</v>
      </c>
    </row>
    <row r="30" spans="1:8" x14ac:dyDescent="0.2">
      <c r="A30" s="3">
        <v>3080105004</v>
      </c>
      <c r="B30" s="4" t="s">
        <v>50</v>
      </c>
      <c r="C30" s="4" t="s">
        <v>54</v>
      </c>
      <c r="D30" s="3">
        <v>4</v>
      </c>
      <c r="E30" s="3" t="s">
        <v>16</v>
      </c>
      <c r="F30" s="3" t="s">
        <v>293</v>
      </c>
      <c r="G30" s="3" t="s">
        <v>29</v>
      </c>
      <c r="H30" s="3" t="s">
        <v>40</v>
      </c>
    </row>
    <row r="31" spans="1:8" x14ac:dyDescent="0.2">
      <c r="A31" s="3">
        <v>3080105068</v>
      </c>
      <c r="B31" s="4" t="s">
        <v>50</v>
      </c>
      <c r="C31" s="4" t="s">
        <v>314</v>
      </c>
      <c r="D31" s="3">
        <v>10</v>
      </c>
      <c r="E31" s="3" t="s">
        <v>16</v>
      </c>
      <c r="F31" s="3" t="s">
        <v>293</v>
      </c>
      <c r="G31" s="3" t="s">
        <v>29</v>
      </c>
      <c r="H31" s="3" t="s">
        <v>40</v>
      </c>
    </row>
    <row r="32" spans="1:8" x14ac:dyDescent="0.2">
      <c r="A32" s="3">
        <v>3080105007</v>
      </c>
      <c r="B32" s="4" t="s">
        <v>50</v>
      </c>
      <c r="C32" s="4" t="s">
        <v>52</v>
      </c>
      <c r="D32" s="3">
        <v>2</v>
      </c>
      <c r="E32" s="3" t="s">
        <v>16</v>
      </c>
      <c r="F32" s="3" t="s">
        <v>293</v>
      </c>
      <c r="G32" s="3" t="s">
        <v>29</v>
      </c>
      <c r="H32" s="3" t="s">
        <v>40</v>
      </c>
    </row>
    <row r="33" spans="1:8" x14ac:dyDescent="0.2">
      <c r="A33" s="3">
        <v>3080105078</v>
      </c>
      <c r="B33" s="4" t="s">
        <v>50</v>
      </c>
      <c r="C33" s="4" t="s">
        <v>315</v>
      </c>
      <c r="D33" s="3">
        <v>2</v>
      </c>
      <c r="E33" s="3" t="s">
        <v>16</v>
      </c>
      <c r="F33" s="3" t="s">
        <v>293</v>
      </c>
      <c r="G33" s="3" t="s">
        <v>29</v>
      </c>
      <c r="H33" s="3" t="s">
        <v>40</v>
      </c>
    </row>
    <row r="34" spans="1:8" x14ac:dyDescent="0.2">
      <c r="A34" s="3">
        <v>3080105121</v>
      </c>
      <c r="B34" s="4" t="s">
        <v>50</v>
      </c>
      <c r="C34" s="4" t="s">
        <v>316</v>
      </c>
      <c r="D34" s="3">
        <v>2</v>
      </c>
      <c r="E34" s="3" t="s">
        <v>16</v>
      </c>
      <c r="F34" s="3" t="s">
        <v>317</v>
      </c>
      <c r="G34" s="3" t="s">
        <v>318</v>
      </c>
      <c r="H34" s="3" t="s">
        <v>40</v>
      </c>
    </row>
    <row r="35" spans="1:8" x14ac:dyDescent="0.2">
      <c r="A35" s="3">
        <v>3080105021</v>
      </c>
      <c r="B35" s="4" t="s">
        <v>50</v>
      </c>
      <c r="C35" s="4" t="s">
        <v>319</v>
      </c>
      <c r="D35" s="3">
        <v>8</v>
      </c>
      <c r="E35" s="3" t="s">
        <v>16</v>
      </c>
      <c r="F35" s="3" t="s">
        <v>317</v>
      </c>
      <c r="G35" s="3" t="s">
        <v>318</v>
      </c>
      <c r="H35" s="3" t="s">
        <v>40</v>
      </c>
    </row>
    <row r="36" spans="1:8" x14ac:dyDescent="0.2">
      <c r="A36" s="3">
        <v>3080105013</v>
      </c>
      <c r="B36" s="4" t="s">
        <v>50</v>
      </c>
      <c r="C36" s="4" t="s">
        <v>51</v>
      </c>
      <c r="D36" s="3">
        <v>2</v>
      </c>
      <c r="E36" s="3" t="s">
        <v>16</v>
      </c>
      <c r="F36" s="3" t="s">
        <v>291</v>
      </c>
      <c r="G36" s="3" t="s">
        <v>26</v>
      </c>
      <c r="H36" s="3" t="s">
        <v>40</v>
      </c>
    </row>
    <row r="37" spans="1:8" x14ac:dyDescent="0.2">
      <c r="A37" s="3">
        <v>3080502002</v>
      </c>
      <c r="B37" s="4" t="s">
        <v>55</v>
      </c>
      <c r="C37" s="4" t="s">
        <v>56</v>
      </c>
      <c r="D37" s="3">
        <v>4</v>
      </c>
      <c r="E37" s="3" t="s">
        <v>16</v>
      </c>
      <c r="F37" s="3" t="s">
        <v>293</v>
      </c>
      <c r="G37" s="3" t="s">
        <v>29</v>
      </c>
      <c r="H37" s="3" t="s">
        <v>40</v>
      </c>
    </row>
    <row r="38" spans="1:8" x14ac:dyDescent="0.2">
      <c r="A38" s="3">
        <v>3080201004</v>
      </c>
      <c r="B38" s="4" t="s">
        <v>60</v>
      </c>
      <c r="C38" s="4" t="s">
        <v>61</v>
      </c>
      <c r="D38" s="3">
        <v>4</v>
      </c>
      <c r="E38" s="3" t="s">
        <v>16</v>
      </c>
      <c r="F38" s="3" t="s">
        <v>295</v>
      </c>
      <c r="G38" s="3" t="s">
        <v>17</v>
      </c>
      <c r="H38" s="3" t="s">
        <v>40</v>
      </c>
    </row>
    <row r="39" spans="1:8" x14ac:dyDescent="0.2">
      <c r="A39" s="3">
        <v>3080201007</v>
      </c>
      <c r="B39" s="4" t="s">
        <v>60</v>
      </c>
      <c r="C39" s="4" t="s">
        <v>62</v>
      </c>
      <c r="D39" s="3">
        <v>1</v>
      </c>
      <c r="E39" s="3" t="s">
        <v>16</v>
      </c>
      <c r="F39" s="3" t="s">
        <v>295</v>
      </c>
      <c r="G39" s="3" t="s">
        <v>17</v>
      </c>
      <c r="H39" s="3" t="s">
        <v>40</v>
      </c>
    </row>
    <row r="40" spans="1:8" x14ac:dyDescent="0.2">
      <c r="A40" s="3">
        <v>3080201008</v>
      </c>
      <c r="B40" s="4" t="s">
        <v>60</v>
      </c>
      <c r="C40" s="4" t="s">
        <v>63</v>
      </c>
      <c r="D40" s="3">
        <v>1</v>
      </c>
      <c r="E40" s="3" t="s">
        <v>16</v>
      </c>
      <c r="F40" s="3" t="s">
        <v>295</v>
      </c>
      <c r="G40" s="3" t="s">
        <v>17</v>
      </c>
      <c r="H40" s="3" t="s">
        <v>40</v>
      </c>
    </row>
    <row r="41" spans="1:8" x14ac:dyDescent="0.2">
      <c r="A41" s="3">
        <v>3080201010</v>
      </c>
      <c r="B41" s="4" t="s">
        <v>60</v>
      </c>
      <c r="C41" s="4" t="s">
        <v>64</v>
      </c>
      <c r="D41" s="3">
        <v>1</v>
      </c>
      <c r="E41" s="3" t="s">
        <v>16</v>
      </c>
      <c r="F41" s="3" t="s">
        <v>295</v>
      </c>
      <c r="G41" s="3" t="s">
        <v>17</v>
      </c>
      <c r="H41" s="3" t="s">
        <v>40</v>
      </c>
    </row>
    <row r="42" spans="1:8" x14ac:dyDescent="0.2">
      <c r="A42" s="3">
        <v>3080201015</v>
      </c>
      <c r="B42" s="4" t="s">
        <v>60</v>
      </c>
      <c r="C42" s="4" t="s">
        <v>65</v>
      </c>
      <c r="D42" s="3">
        <v>2</v>
      </c>
      <c r="E42" s="3" t="s">
        <v>16</v>
      </c>
      <c r="F42" s="3" t="s">
        <v>295</v>
      </c>
      <c r="G42" s="3" t="s">
        <v>17</v>
      </c>
      <c r="H42" s="3" t="s">
        <v>40</v>
      </c>
    </row>
    <row r="43" spans="1:8" x14ac:dyDescent="0.2">
      <c r="A43" s="3">
        <v>3080201012</v>
      </c>
      <c r="B43" s="4" t="s">
        <v>60</v>
      </c>
      <c r="C43" s="4" t="s">
        <v>320</v>
      </c>
      <c r="D43" s="3">
        <v>1</v>
      </c>
      <c r="E43" s="3" t="s">
        <v>16</v>
      </c>
      <c r="F43" s="3" t="s">
        <v>317</v>
      </c>
      <c r="G43" s="3" t="s">
        <v>318</v>
      </c>
      <c r="H43" s="3" t="s">
        <v>40</v>
      </c>
    </row>
    <row r="44" spans="1:8" x14ac:dyDescent="0.2">
      <c r="A44" s="3">
        <v>3080106009</v>
      </c>
      <c r="B44" s="4" t="s">
        <v>66</v>
      </c>
      <c r="C44" s="4" t="s">
        <v>67</v>
      </c>
      <c r="D44" s="3">
        <v>1</v>
      </c>
      <c r="E44" s="3" t="s">
        <v>16</v>
      </c>
      <c r="F44" s="3" t="s">
        <v>295</v>
      </c>
      <c r="G44" s="3" t="s">
        <v>17</v>
      </c>
      <c r="H44" s="3" t="s">
        <v>40</v>
      </c>
    </row>
    <row r="45" spans="1:8" x14ac:dyDescent="0.2">
      <c r="A45" s="3">
        <v>3080106007</v>
      </c>
      <c r="B45" s="4" t="s">
        <v>66</v>
      </c>
      <c r="C45" s="4" t="s">
        <v>68</v>
      </c>
      <c r="D45" s="3">
        <v>1</v>
      </c>
      <c r="E45" s="3" t="s">
        <v>16</v>
      </c>
      <c r="F45" s="3" t="s">
        <v>295</v>
      </c>
      <c r="G45" s="3" t="s">
        <v>17</v>
      </c>
      <c r="H45" s="3" t="s">
        <v>40</v>
      </c>
    </row>
    <row r="46" spans="1:8" x14ac:dyDescent="0.2">
      <c r="A46" s="3">
        <v>3080107038</v>
      </c>
      <c r="B46" s="4" t="s">
        <v>69</v>
      </c>
      <c r="C46" s="4" t="s">
        <v>72</v>
      </c>
      <c r="D46" s="3">
        <v>2</v>
      </c>
      <c r="E46" s="3" t="s">
        <v>16</v>
      </c>
      <c r="F46" s="3" t="s">
        <v>289</v>
      </c>
      <c r="G46" s="3" t="s">
        <v>23</v>
      </c>
      <c r="H46" s="3" t="s">
        <v>40</v>
      </c>
    </row>
    <row r="47" spans="1:8" x14ac:dyDescent="0.2">
      <c r="A47" s="3">
        <v>3080107031</v>
      </c>
      <c r="B47" s="4" t="s">
        <v>69</v>
      </c>
      <c r="C47" s="4" t="s">
        <v>71</v>
      </c>
      <c r="D47" s="3">
        <v>2</v>
      </c>
      <c r="E47" s="3" t="s">
        <v>16</v>
      </c>
      <c r="F47" s="3" t="s">
        <v>295</v>
      </c>
      <c r="G47" s="3" t="s">
        <v>17</v>
      </c>
      <c r="H47" s="3" t="s">
        <v>40</v>
      </c>
    </row>
    <row r="48" spans="1:8" x14ac:dyDescent="0.2">
      <c r="A48" s="3">
        <v>3080107120</v>
      </c>
      <c r="B48" s="4" t="s">
        <v>69</v>
      </c>
      <c r="C48" s="4" t="s">
        <v>74</v>
      </c>
      <c r="D48" s="3">
        <v>1</v>
      </c>
      <c r="E48" s="3" t="s">
        <v>16</v>
      </c>
      <c r="F48" s="3" t="s">
        <v>295</v>
      </c>
      <c r="G48" s="3" t="s">
        <v>17</v>
      </c>
      <c r="H48" s="3" t="s">
        <v>40</v>
      </c>
    </row>
    <row r="49" spans="1:8" x14ac:dyDescent="0.2">
      <c r="A49" s="3">
        <v>3080107121</v>
      </c>
      <c r="B49" s="4" t="s">
        <v>69</v>
      </c>
      <c r="C49" s="4" t="s">
        <v>75</v>
      </c>
      <c r="D49" s="3">
        <v>1</v>
      </c>
      <c r="E49" s="3" t="s">
        <v>16</v>
      </c>
      <c r="F49" s="3" t="s">
        <v>295</v>
      </c>
      <c r="G49" s="3" t="s">
        <v>17</v>
      </c>
      <c r="H49" s="3" t="s">
        <v>40</v>
      </c>
    </row>
    <row r="50" spans="1:8" x14ac:dyDescent="0.2">
      <c r="A50" s="3">
        <v>3080107031</v>
      </c>
      <c r="B50" s="4" t="s">
        <v>69</v>
      </c>
      <c r="C50" s="4" t="s">
        <v>71</v>
      </c>
      <c r="D50" s="3">
        <v>4</v>
      </c>
      <c r="E50" s="3" t="s">
        <v>16</v>
      </c>
      <c r="F50" s="3" t="s">
        <v>295</v>
      </c>
      <c r="G50" s="3" t="s">
        <v>17</v>
      </c>
      <c r="H50" s="3" t="s">
        <v>40</v>
      </c>
    </row>
    <row r="51" spans="1:8" x14ac:dyDescent="0.2">
      <c r="A51" s="3">
        <v>3080107130</v>
      </c>
      <c r="B51" s="4" t="s">
        <v>69</v>
      </c>
      <c r="C51" s="4" t="s">
        <v>70</v>
      </c>
      <c r="D51" s="3">
        <v>4</v>
      </c>
      <c r="E51" s="3" t="s">
        <v>16</v>
      </c>
      <c r="F51" s="3" t="s">
        <v>293</v>
      </c>
      <c r="G51" s="3" t="s">
        <v>29</v>
      </c>
      <c r="H51" s="3" t="s">
        <v>40</v>
      </c>
    </row>
    <row r="52" spans="1:8" x14ac:dyDescent="0.2">
      <c r="A52" s="3">
        <v>3080107059</v>
      </c>
      <c r="B52" s="4" t="s">
        <v>69</v>
      </c>
      <c r="C52" s="4" t="s">
        <v>321</v>
      </c>
      <c r="D52" s="3">
        <v>1</v>
      </c>
      <c r="E52" s="3" t="s">
        <v>16</v>
      </c>
      <c r="F52" s="3" t="s">
        <v>317</v>
      </c>
      <c r="G52" s="3" t="s">
        <v>318</v>
      </c>
      <c r="H52" s="3" t="s">
        <v>40</v>
      </c>
    </row>
    <row r="53" spans="1:8" x14ac:dyDescent="0.2">
      <c r="A53" s="3">
        <v>3080107014</v>
      </c>
      <c r="B53" s="4" t="s">
        <v>69</v>
      </c>
      <c r="C53" s="4" t="s">
        <v>322</v>
      </c>
      <c r="D53" s="3">
        <v>2</v>
      </c>
      <c r="E53" s="3" t="s">
        <v>16</v>
      </c>
      <c r="F53" s="3" t="s">
        <v>317</v>
      </c>
      <c r="G53" s="3" t="s">
        <v>318</v>
      </c>
      <c r="H53" s="3" t="s">
        <v>40</v>
      </c>
    </row>
    <row r="54" spans="1:8" x14ac:dyDescent="0.2">
      <c r="A54" s="3">
        <v>3080107015</v>
      </c>
      <c r="B54" s="4" t="s">
        <v>69</v>
      </c>
      <c r="C54" s="4" t="s">
        <v>73</v>
      </c>
      <c r="D54" s="3">
        <v>6</v>
      </c>
      <c r="E54" s="3" t="s">
        <v>16</v>
      </c>
      <c r="F54" s="3" t="s">
        <v>291</v>
      </c>
      <c r="G54" s="3" t="s">
        <v>26</v>
      </c>
      <c r="H54" s="3" t="s">
        <v>40</v>
      </c>
    </row>
    <row r="55" spans="1:8" x14ac:dyDescent="0.2">
      <c r="A55" s="3">
        <v>3080108003</v>
      </c>
      <c r="B55" s="4" t="s">
        <v>77</v>
      </c>
      <c r="C55" s="4" t="s">
        <v>78</v>
      </c>
      <c r="D55" s="3">
        <v>1</v>
      </c>
      <c r="E55" s="3" t="s">
        <v>16</v>
      </c>
      <c r="F55" s="3" t="s">
        <v>295</v>
      </c>
      <c r="G55" s="3" t="s">
        <v>17</v>
      </c>
      <c r="H55" s="3" t="s">
        <v>40</v>
      </c>
    </row>
    <row r="56" spans="1:8" x14ac:dyDescent="0.2">
      <c r="A56" s="3">
        <v>3080108011</v>
      </c>
      <c r="B56" s="4" t="s">
        <v>77</v>
      </c>
      <c r="C56" s="4" t="s">
        <v>323</v>
      </c>
      <c r="D56" s="3">
        <v>2</v>
      </c>
      <c r="E56" s="3" t="s">
        <v>16</v>
      </c>
      <c r="F56" s="3" t="s">
        <v>293</v>
      </c>
      <c r="G56" s="3" t="s">
        <v>29</v>
      </c>
      <c r="H56" s="3" t="s">
        <v>40</v>
      </c>
    </row>
    <row r="57" spans="1:8" x14ac:dyDescent="0.2">
      <c r="A57" s="3">
        <v>3080108009</v>
      </c>
      <c r="B57" s="4" t="s">
        <v>77</v>
      </c>
      <c r="C57" s="4" t="s">
        <v>324</v>
      </c>
      <c r="D57" s="3">
        <v>2</v>
      </c>
      <c r="E57" s="3" t="s">
        <v>16</v>
      </c>
      <c r="F57" s="3" t="s">
        <v>293</v>
      </c>
      <c r="G57" s="3" t="s">
        <v>29</v>
      </c>
      <c r="H57" s="3" t="s">
        <v>40</v>
      </c>
    </row>
    <row r="58" spans="1:8" x14ac:dyDescent="0.2">
      <c r="A58" s="3">
        <v>3080108019</v>
      </c>
      <c r="B58" s="4" t="s">
        <v>77</v>
      </c>
      <c r="C58" s="4" t="s">
        <v>325</v>
      </c>
      <c r="D58" s="3">
        <v>2</v>
      </c>
      <c r="E58" s="3" t="s">
        <v>16</v>
      </c>
      <c r="F58" s="3" t="s">
        <v>317</v>
      </c>
      <c r="G58" s="3" t="s">
        <v>318</v>
      </c>
      <c r="H58" s="3" t="s">
        <v>40</v>
      </c>
    </row>
    <row r="59" spans="1:8" x14ac:dyDescent="0.2">
      <c r="A59" s="3">
        <v>3080111087</v>
      </c>
      <c r="B59" s="4" t="s">
        <v>79</v>
      </c>
      <c r="C59" s="4" t="s">
        <v>80</v>
      </c>
      <c r="D59" s="3">
        <v>18</v>
      </c>
      <c r="E59" s="3" t="s">
        <v>16</v>
      </c>
      <c r="F59" s="3" t="s">
        <v>291</v>
      </c>
      <c r="G59" s="3" t="s">
        <v>26</v>
      </c>
      <c r="H59" s="3" t="s">
        <v>40</v>
      </c>
    </row>
    <row r="60" spans="1:8" x14ac:dyDescent="0.2">
      <c r="A60" s="3">
        <v>3080111087</v>
      </c>
      <c r="B60" s="4" t="s">
        <v>79</v>
      </c>
      <c r="C60" s="4" t="s">
        <v>80</v>
      </c>
      <c r="D60" s="3">
        <v>1</v>
      </c>
      <c r="E60" s="3" t="s">
        <v>16</v>
      </c>
      <c r="F60" s="3" t="s">
        <v>291</v>
      </c>
      <c r="G60" s="3" t="s">
        <v>26</v>
      </c>
      <c r="H60" s="3" t="s">
        <v>40</v>
      </c>
    </row>
    <row r="61" spans="1:8" x14ac:dyDescent="0.2">
      <c r="A61" s="3">
        <v>407030034</v>
      </c>
      <c r="B61" s="4" t="s">
        <v>81</v>
      </c>
      <c r="C61" s="4" t="s">
        <v>82</v>
      </c>
      <c r="D61" s="3">
        <v>1</v>
      </c>
      <c r="E61" s="3" t="s">
        <v>16</v>
      </c>
      <c r="F61" s="3" t="s">
        <v>301</v>
      </c>
      <c r="G61" s="3" t="s">
        <v>32</v>
      </c>
      <c r="H61" s="3" t="s">
        <v>40</v>
      </c>
    </row>
    <row r="62" spans="1:8" x14ac:dyDescent="0.2">
      <c r="A62" s="3">
        <v>3080112003</v>
      </c>
      <c r="B62" s="4" t="s">
        <v>83</v>
      </c>
      <c r="C62" s="4" t="s">
        <v>85</v>
      </c>
      <c r="D62" s="3">
        <v>1</v>
      </c>
      <c r="E62" s="3" t="s">
        <v>16</v>
      </c>
      <c r="F62" s="3" t="s">
        <v>295</v>
      </c>
      <c r="G62" s="3" t="s">
        <v>17</v>
      </c>
      <c r="H62" s="3" t="s">
        <v>40</v>
      </c>
    </row>
    <row r="63" spans="1:8" x14ac:dyDescent="0.2">
      <c r="A63" s="3">
        <v>3080112015</v>
      </c>
      <c r="B63" s="4" t="s">
        <v>83</v>
      </c>
      <c r="C63" s="4" t="s">
        <v>84</v>
      </c>
      <c r="D63" s="3">
        <v>6</v>
      </c>
      <c r="E63" s="3" t="s">
        <v>16</v>
      </c>
      <c r="F63" s="3" t="s">
        <v>291</v>
      </c>
      <c r="G63" s="3" t="s">
        <v>26</v>
      </c>
      <c r="H63" s="3" t="s">
        <v>40</v>
      </c>
    </row>
    <row r="64" spans="1:8" x14ac:dyDescent="0.2">
      <c r="A64" s="3">
        <v>3080307001</v>
      </c>
      <c r="B64" s="4" t="s">
        <v>86</v>
      </c>
      <c r="C64" s="4" t="s">
        <v>87</v>
      </c>
      <c r="D64" s="3">
        <v>1</v>
      </c>
      <c r="E64" s="3" t="s">
        <v>16</v>
      </c>
      <c r="F64" s="3" t="s">
        <v>295</v>
      </c>
      <c r="G64" s="3" t="s">
        <v>17</v>
      </c>
      <c r="H64" s="3" t="s">
        <v>88</v>
      </c>
    </row>
    <row r="65" spans="1:8" x14ac:dyDescent="0.2">
      <c r="A65" s="3">
        <v>3080506001</v>
      </c>
      <c r="B65" s="4" t="s">
        <v>89</v>
      </c>
      <c r="C65" s="4" t="s">
        <v>90</v>
      </c>
      <c r="D65" s="3">
        <v>1</v>
      </c>
      <c r="E65" s="3" t="s">
        <v>16</v>
      </c>
      <c r="F65" s="3" t="s">
        <v>295</v>
      </c>
      <c r="G65" s="3" t="s">
        <v>17</v>
      </c>
      <c r="H65" s="3" t="s">
        <v>88</v>
      </c>
    </row>
    <row r="66" spans="1:8" x14ac:dyDescent="0.2">
      <c r="A66" s="3">
        <v>3030204002</v>
      </c>
      <c r="B66" s="4" t="s">
        <v>91</v>
      </c>
      <c r="C66" s="4" t="s">
        <v>92</v>
      </c>
      <c r="D66" s="3">
        <v>1</v>
      </c>
      <c r="E66" s="3" t="s">
        <v>16</v>
      </c>
      <c r="F66" s="3" t="s">
        <v>295</v>
      </c>
      <c r="G66" s="3" t="s">
        <v>17</v>
      </c>
      <c r="H66" s="3" t="s">
        <v>88</v>
      </c>
    </row>
    <row r="67" spans="1:8" x14ac:dyDescent="0.2">
      <c r="A67" s="3">
        <v>3030205002</v>
      </c>
      <c r="B67" s="4" t="s">
        <v>93</v>
      </c>
      <c r="C67" s="4" t="s">
        <v>94</v>
      </c>
      <c r="D67" s="3">
        <v>1</v>
      </c>
      <c r="E67" s="3" t="s">
        <v>16</v>
      </c>
      <c r="F67" s="3" t="s">
        <v>295</v>
      </c>
      <c r="G67" s="3" t="s">
        <v>17</v>
      </c>
      <c r="H67" s="3" t="s">
        <v>88</v>
      </c>
    </row>
    <row r="68" spans="1:8" x14ac:dyDescent="0.2">
      <c r="A68" s="3">
        <v>3030208001</v>
      </c>
      <c r="B68" s="4" t="s">
        <v>95</v>
      </c>
      <c r="C68" s="4" t="s">
        <v>96</v>
      </c>
      <c r="D68" s="3">
        <v>1</v>
      </c>
      <c r="E68" s="3" t="s">
        <v>16</v>
      </c>
      <c r="F68" s="3" t="s">
        <v>295</v>
      </c>
      <c r="G68" s="3" t="s">
        <v>17</v>
      </c>
      <c r="H68" s="3" t="s">
        <v>88</v>
      </c>
    </row>
    <row r="69" spans="1:8" x14ac:dyDescent="0.2">
      <c r="A69" s="3">
        <v>3030202005</v>
      </c>
      <c r="B69" s="4" t="s">
        <v>97</v>
      </c>
      <c r="C69" s="4" t="s">
        <v>94</v>
      </c>
      <c r="D69" s="3">
        <v>1</v>
      </c>
      <c r="E69" s="3" t="s">
        <v>16</v>
      </c>
      <c r="F69" s="3" t="s">
        <v>295</v>
      </c>
      <c r="G69" s="3" t="s">
        <v>17</v>
      </c>
      <c r="H69" s="3" t="s">
        <v>88</v>
      </c>
    </row>
    <row r="70" spans="1:8" x14ac:dyDescent="0.2">
      <c r="A70" s="3">
        <v>3080201009</v>
      </c>
      <c r="B70" s="4" t="s">
        <v>60</v>
      </c>
      <c r="C70" s="4" t="s">
        <v>98</v>
      </c>
      <c r="D70" s="3">
        <v>1</v>
      </c>
      <c r="E70" s="3" t="s">
        <v>16</v>
      </c>
      <c r="F70" s="3" t="s">
        <v>295</v>
      </c>
      <c r="G70" s="3" t="s">
        <v>17</v>
      </c>
      <c r="H70" s="3" t="s">
        <v>88</v>
      </c>
    </row>
    <row r="71" spans="1:8" x14ac:dyDescent="0.2">
      <c r="A71" s="3">
        <v>3050205001</v>
      </c>
      <c r="B71" s="4" t="s">
        <v>99</v>
      </c>
      <c r="C71" s="4" t="s">
        <v>100</v>
      </c>
      <c r="D71" s="3">
        <v>2</v>
      </c>
      <c r="E71" s="3" t="s">
        <v>16</v>
      </c>
      <c r="F71" s="3" t="s">
        <v>291</v>
      </c>
      <c r="G71" s="3" t="s">
        <v>26</v>
      </c>
      <c r="H71" s="3" t="s">
        <v>88</v>
      </c>
    </row>
    <row r="72" spans="1:8" x14ac:dyDescent="0.2">
      <c r="A72" s="3">
        <v>3099991203</v>
      </c>
      <c r="B72" s="4" t="s">
        <v>101</v>
      </c>
      <c r="C72" s="4" t="s">
        <v>102</v>
      </c>
      <c r="D72" s="3">
        <v>1</v>
      </c>
      <c r="E72" s="3" t="s">
        <v>16</v>
      </c>
      <c r="F72" s="3" t="s">
        <v>289</v>
      </c>
      <c r="G72" s="3" t="s">
        <v>23</v>
      </c>
      <c r="H72" s="3" t="s">
        <v>103</v>
      </c>
    </row>
    <row r="73" spans="1:8" x14ac:dyDescent="0.2">
      <c r="A73" s="3">
        <v>3099990101</v>
      </c>
      <c r="B73" s="4" t="s">
        <v>104</v>
      </c>
      <c r="C73" s="4" t="s">
        <v>105</v>
      </c>
      <c r="D73" s="3">
        <v>1</v>
      </c>
      <c r="E73" s="3" t="s">
        <v>16</v>
      </c>
      <c r="F73" s="3" t="s">
        <v>299</v>
      </c>
      <c r="G73" s="3" t="s">
        <v>106</v>
      </c>
      <c r="H73" s="3" t="s">
        <v>103</v>
      </c>
    </row>
    <row r="74" spans="1:8" x14ac:dyDescent="0.2">
      <c r="A74" s="3">
        <v>402030027</v>
      </c>
      <c r="B74" s="4" t="s">
        <v>107</v>
      </c>
      <c r="C74" s="4" t="s">
        <v>110</v>
      </c>
      <c r="D74" s="3">
        <v>1</v>
      </c>
      <c r="E74" s="3" t="s">
        <v>16</v>
      </c>
      <c r="F74" s="3" t="s">
        <v>291</v>
      </c>
      <c r="G74" s="3" t="s">
        <v>26</v>
      </c>
      <c r="H74" s="3" t="s">
        <v>109</v>
      </c>
    </row>
    <row r="75" spans="1:8" x14ac:dyDescent="0.2">
      <c r="A75" s="3">
        <v>404100009</v>
      </c>
      <c r="B75" s="4" t="s">
        <v>326</v>
      </c>
      <c r="C75" s="4" t="s">
        <v>327</v>
      </c>
      <c r="D75" s="3">
        <v>1</v>
      </c>
      <c r="E75" s="3" t="s">
        <v>16</v>
      </c>
      <c r="F75" s="3" t="s">
        <v>301</v>
      </c>
      <c r="G75" s="3" t="s">
        <v>32</v>
      </c>
      <c r="H75" s="3" t="s">
        <v>109</v>
      </c>
    </row>
    <row r="76" spans="1:8" x14ac:dyDescent="0.2">
      <c r="A76" s="3">
        <v>402020006</v>
      </c>
      <c r="B76" s="4" t="s">
        <v>111</v>
      </c>
      <c r="C76" s="4" t="s">
        <v>112</v>
      </c>
      <c r="D76" s="3">
        <v>2</v>
      </c>
      <c r="E76" s="3" t="s">
        <v>16</v>
      </c>
      <c r="F76" s="3" t="s">
        <v>293</v>
      </c>
      <c r="G76" s="3" t="s">
        <v>29</v>
      </c>
      <c r="H76" s="3" t="s">
        <v>109</v>
      </c>
    </row>
    <row r="77" spans="1:8" x14ac:dyDescent="0.2">
      <c r="A77" s="3">
        <v>3060209002</v>
      </c>
      <c r="B77" s="4" t="s">
        <v>113</v>
      </c>
      <c r="C77" s="4" t="s">
        <v>114</v>
      </c>
      <c r="D77" s="3">
        <v>2</v>
      </c>
      <c r="E77" s="3" t="s">
        <v>16</v>
      </c>
      <c r="F77" s="3" t="s">
        <v>289</v>
      </c>
      <c r="G77" s="3" t="s">
        <v>23</v>
      </c>
      <c r="H77" s="3" t="s">
        <v>115</v>
      </c>
    </row>
    <row r="78" spans="1:8" x14ac:dyDescent="0.2">
      <c r="A78" s="3">
        <v>3060209002</v>
      </c>
      <c r="B78" s="4" t="s">
        <v>113</v>
      </c>
      <c r="C78" s="4" t="s">
        <v>114</v>
      </c>
      <c r="D78" s="3">
        <v>2</v>
      </c>
      <c r="E78" s="3" t="s">
        <v>16</v>
      </c>
      <c r="F78" s="3" t="s">
        <v>293</v>
      </c>
      <c r="G78" s="3" t="s">
        <v>29</v>
      </c>
      <c r="H78" s="3" t="s">
        <v>115</v>
      </c>
    </row>
    <row r="79" spans="1:8" x14ac:dyDescent="0.2">
      <c r="A79" s="3">
        <v>3030204032</v>
      </c>
      <c r="B79" s="4" t="s">
        <v>116</v>
      </c>
      <c r="C79" s="4" t="s">
        <v>117</v>
      </c>
      <c r="D79" s="3">
        <v>1</v>
      </c>
      <c r="E79" s="3" t="s">
        <v>16</v>
      </c>
      <c r="F79" s="3" t="s">
        <v>295</v>
      </c>
      <c r="G79" s="3" t="s">
        <v>17</v>
      </c>
      <c r="H79" s="3" t="s">
        <v>115</v>
      </c>
    </row>
    <row r="80" spans="1:8" x14ac:dyDescent="0.2">
      <c r="A80" s="3">
        <v>3040216001</v>
      </c>
      <c r="B80" s="4" t="s">
        <v>328</v>
      </c>
      <c r="C80" s="4" t="s">
        <v>329</v>
      </c>
      <c r="D80" s="3">
        <v>4</v>
      </c>
      <c r="E80" s="3" t="s">
        <v>16</v>
      </c>
      <c r="F80" s="3" t="s">
        <v>293</v>
      </c>
      <c r="G80" s="3" t="s">
        <v>29</v>
      </c>
      <c r="H80" s="3" t="s">
        <v>115</v>
      </c>
    </row>
    <row r="81" spans="1:8" x14ac:dyDescent="0.2">
      <c r="A81" s="3">
        <v>3030204006</v>
      </c>
      <c r="B81" s="4" t="s">
        <v>120</v>
      </c>
      <c r="C81" s="4" t="s">
        <v>121</v>
      </c>
      <c r="D81" s="3">
        <v>2</v>
      </c>
      <c r="E81" s="3" t="s">
        <v>16</v>
      </c>
      <c r="F81" s="3" t="s">
        <v>295</v>
      </c>
      <c r="G81" s="3" t="s">
        <v>17</v>
      </c>
      <c r="H81" s="3" t="s">
        <v>115</v>
      </c>
    </row>
    <row r="82" spans="1:8" x14ac:dyDescent="0.2">
      <c r="A82" s="3">
        <v>3030204008</v>
      </c>
      <c r="B82" s="4" t="s">
        <v>122</v>
      </c>
      <c r="C82" s="4" t="s">
        <v>123</v>
      </c>
      <c r="D82" s="3">
        <v>1</v>
      </c>
      <c r="E82" s="3" t="s">
        <v>16</v>
      </c>
      <c r="F82" s="3" t="s">
        <v>291</v>
      </c>
      <c r="G82" s="3" t="s">
        <v>26</v>
      </c>
      <c r="H82" s="3" t="s">
        <v>115</v>
      </c>
    </row>
    <row r="83" spans="1:8" x14ac:dyDescent="0.2">
      <c r="A83" s="3">
        <v>3030204010</v>
      </c>
      <c r="B83" s="4" t="s">
        <v>124</v>
      </c>
      <c r="C83" s="4" t="s">
        <v>125</v>
      </c>
      <c r="D83" s="3">
        <v>1</v>
      </c>
      <c r="E83" s="3" t="s">
        <v>16</v>
      </c>
      <c r="F83" s="3" t="s">
        <v>295</v>
      </c>
      <c r="G83" s="3" t="s">
        <v>17</v>
      </c>
      <c r="H83" s="3" t="s">
        <v>115</v>
      </c>
    </row>
    <row r="84" spans="1:8" x14ac:dyDescent="0.2">
      <c r="A84" s="3">
        <v>3030204012</v>
      </c>
      <c r="B84" s="4" t="s">
        <v>126</v>
      </c>
      <c r="C84" s="4" t="s">
        <v>127</v>
      </c>
      <c r="D84" s="3">
        <v>1</v>
      </c>
      <c r="E84" s="3" t="s">
        <v>16</v>
      </c>
      <c r="F84" s="3" t="s">
        <v>295</v>
      </c>
      <c r="G84" s="3" t="s">
        <v>17</v>
      </c>
      <c r="H84" s="3" t="s">
        <v>115</v>
      </c>
    </row>
    <row r="85" spans="1:8" x14ac:dyDescent="0.2">
      <c r="A85" s="3">
        <v>3070104005</v>
      </c>
      <c r="B85" s="4" t="s">
        <v>128</v>
      </c>
      <c r="C85" s="4" t="s">
        <v>330</v>
      </c>
      <c r="D85" s="3">
        <v>1</v>
      </c>
      <c r="E85" s="3" t="s">
        <v>16</v>
      </c>
      <c r="F85" s="3" t="s">
        <v>317</v>
      </c>
      <c r="G85" s="3" t="s">
        <v>318</v>
      </c>
      <c r="H85" s="3" t="s">
        <v>115</v>
      </c>
    </row>
    <row r="86" spans="1:8" x14ac:dyDescent="0.2">
      <c r="A86" s="3">
        <v>3070104001</v>
      </c>
      <c r="B86" s="4" t="s">
        <v>331</v>
      </c>
      <c r="C86" s="4" t="s">
        <v>332</v>
      </c>
      <c r="D86" s="3">
        <v>1</v>
      </c>
      <c r="E86" s="3" t="s">
        <v>16</v>
      </c>
      <c r="F86" s="3" t="s">
        <v>317</v>
      </c>
      <c r="G86" s="3" t="s">
        <v>318</v>
      </c>
      <c r="H86" s="3" t="s">
        <v>115</v>
      </c>
    </row>
    <row r="87" spans="1:8" x14ac:dyDescent="0.2">
      <c r="A87" s="3">
        <v>3030404003</v>
      </c>
      <c r="B87" s="4" t="s">
        <v>130</v>
      </c>
      <c r="C87" s="4" t="s">
        <v>131</v>
      </c>
      <c r="D87" s="3">
        <v>2</v>
      </c>
      <c r="E87" s="3" t="s">
        <v>16</v>
      </c>
      <c r="F87" s="3" t="s">
        <v>291</v>
      </c>
      <c r="G87" s="3" t="s">
        <v>26</v>
      </c>
      <c r="H87" s="3" t="s">
        <v>132</v>
      </c>
    </row>
    <row r="88" spans="1:8" x14ac:dyDescent="0.2">
      <c r="A88" s="3">
        <v>3990207001</v>
      </c>
      <c r="B88" s="4" t="s">
        <v>140</v>
      </c>
      <c r="C88" s="4" t="s">
        <v>141</v>
      </c>
      <c r="D88" s="3">
        <v>1</v>
      </c>
      <c r="E88" s="3" t="s">
        <v>16</v>
      </c>
      <c r="F88" s="3" t="s">
        <v>285</v>
      </c>
      <c r="G88" s="3" t="s">
        <v>142</v>
      </c>
      <c r="H88" s="3" t="s">
        <v>143</v>
      </c>
    </row>
    <row r="89" spans="1:8" x14ac:dyDescent="0.2">
      <c r="A89" s="3">
        <v>3030301005</v>
      </c>
      <c r="B89" s="4" t="s">
        <v>144</v>
      </c>
      <c r="C89" s="4" t="s">
        <v>145</v>
      </c>
      <c r="D89" s="3">
        <v>3</v>
      </c>
      <c r="E89" s="3" t="s">
        <v>16</v>
      </c>
      <c r="F89" s="3" t="s">
        <v>291</v>
      </c>
      <c r="G89" s="3" t="s">
        <v>26</v>
      </c>
      <c r="H89" s="3" t="s">
        <v>143</v>
      </c>
    </row>
    <row r="90" spans="1:8" x14ac:dyDescent="0.2">
      <c r="A90" s="3">
        <v>3990204002</v>
      </c>
      <c r="B90" s="4" t="s">
        <v>333</v>
      </c>
      <c r="C90" s="4" t="s">
        <v>334</v>
      </c>
      <c r="D90" s="3">
        <v>1</v>
      </c>
      <c r="E90" s="3" t="s">
        <v>16</v>
      </c>
      <c r="F90" s="3" t="s">
        <v>335</v>
      </c>
      <c r="G90" s="3" t="s">
        <v>336</v>
      </c>
      <c r="H90" s="3" t="s">
        <v>143</v>
      </c>
    </row>
    <row r="91" spans="1:8" x14ac:dyDescent="0.2">
      <c r="A91" s="3">
        <v>3990205001</v>
      </c>
      <c r="B91" s="4" t="s">
        <v>146</v>
      </c>
      <c r="C91" s="4" t="s">
        <v>147</v>
      </c>
      <c r="D91" s="3">
        <v>1</v>
      </c>
      <c r="E91" s="3" t="s">
        <v>16</v>
      </c>
      <c r="F91" s="3" t="s">
        <v>287</v>
      </c>
      <c r="G91" s="3" t="s">
        <v>148</v>
      </c>
      <c r="H91" s="3" t="s">
        <v>143</v>
      </c>
    </row>
    <row r="92" spans="1:8" x14ac:dyDescent="0.2">
      <c r="A92" s="3">
        <v>407010030</v>
      </c>
      <c r="B92" s="4" t="s">
        <v>149</v>
      </c>
      <c r="C92" s="4" t="s">
        <v>150</v>
      </c>
      <c r="D92" s="3">
        <v>1</v>
      </c>
      <c r="E92" s="3" t="s">
        <v>16</v>
      </c>
      <c r="F92" s="3" t="s">
        <v>289</v>
      </c>
      <c r="G92" s="3" t="s">
        <v>23</v>
      </c>
      <c r="H92" s="3" t="s">
        <v>151</v>
      </c>
    </row>
    <row r="93" spans="1:8" x14ac:dyDescent="0.2">
      <c r="A93" s="3">
        <v>3070103002</v>
      </c>
      <c r="B93" s="4" t="s">
        <v>152</v>
      </c>
      <c r="C93" s="4" t="s">
        <v>153</v>
      </c>
      <c r="D93" s="3">
        <v>1</v>
      </c>
      <c r="E93" s="3" t="s">
        <v>16</v>
      </c>
      <c r="F93" s="3" t="s">
        <v>289</v>
      </c>
      <c r="G93" s="3" t="s">
        <v>23</v>
      </c>
      <c r="H93" s="3" t="s">
        <v>154</v>
      </c>
    </row>
    <row r="94" spans="1:8" x14ac:dyDescent="0.2">
      <c r="A94" s="3">
        <v>3030203004</v>
      </c>
      <c r="B94" s="4" t="s">
        <v>155</v>
      </c>
      <c r="C94" s="4" t="s">
        <v>156</v>
      </c>
      <c r="D94" s="3">
        <v>1</v>
      </c>
      <c r="E94" s="3" t="s">
        <v>16</v>
      </c>
      <c r="F94" s="3" t="s">
        <v>295</v>
      </c>
      <c r="G94" s="3" t="s">
        <v>17</v>
      </c>
      <c r="H94" s="3" t="s">
        <v>154</v>
      </c>
    </row>
    <row r="95" spans="1:8" x14ac:dyDescent="0.2">
      <c r="A95" s="3">
        <v>3040205005</v>
      </c>
      <c r="B95" s="4" t="s">
        <v>337</v>
      </c>
      <c r="C95" s="4" t="s">
        <v>338</v>
      </c>
      <c r="D95" s="3">
        <v>2</v>
      </c>
      <c r="E95" s="3" t="s">
        <v>16</v>
      </c>
      <c r="F95" s="3" t="s">
        <v>293</v>
      </c>
      <c r="G95" s="3" t="s">
        <v>29</v>
      </c>
      <c r="H95" s="3" t="s">
        <v>154</v>
      </c>
    </row>
    <row r="96" spans="1:8" x14ac:dyDescent="0.2">
      <c r="A96" s="3">
        <v>3030310010</v>
      </c>
      <c r="B96" s="4" t="s">
        <v>161</v>
      </c>
      <c r="C96" s="4" t="s">
        <v>162</v>
      </c>
      <c r="D96" s="3">
        <v>1</v>
      </c>
      <c r="E96" s="3" t="s">
        <v>16</v>
      </c>
      <c r="F96" s="3" t="s">
        <v>295</v>
      </c>
      <c r="G96" s="3" t="s">
        <v>17</v>
      </c>
      <c r="H96" s="3" t="s">
        <v>154</v>
      </c>
    </row>
    <row r="97" spans="1:8" x14ac:dyDescent="0.2">
      <c r="A97" s="3">
        <v>3060306001</v>
      </c>
      <c r="B97" s="4" t="s">
        <v>163</v>
      </c>
      <c r="C97" s="4" t="s">
        <v>164</v>
      </c>
      <c r="D97" s="3">
        <v>1</v>
      </c>
      <c r="E97" s="3" t="s">
        <v>16</v>
      </c>
      <c r="F97" s="3" t="s">
        <v>289</v>
      </c>
      <c r="G97" s="3" t="s">
        <v>23</v>
      </c>
      <c r="H97" s="3" t="s">
        <v>165</v>
      </c>
    </row>
    <row r="98" spans="1:8" x14ac:dyDescent="0.2">
      <c r="A98" s="3">
        <v>3040310003</v>
      </c>
      <c r="B98" s="4" t="s">
        <v>339</v>
      </c>
      <c r="C98" s="4" t="s">
        <v>340</v>
      </c>
      <c r="D98" s="3">
        <v>2</v>
      </c>
      <c r="E98" s="3" t="s">
        <v>16</v>
      </c>
      <c r="F98" s="3" t="s">
        <v>293</v>
      </c>
      <c r="G98" s="3" t="s">
        <v>29</v>
      </c>
      <c r="H98" s="3" t="s">
        <v>165</v>
      </c>
    </row>
    <row r="99" spans="1:8" x14ac:dyDescent="0.2">
      <c r="A99" s="3">
        <v>3030303067</v>
      </c>
      <c r="B99" s="4" t="s">
        <v>166</v>
      </c>
      <c r="C99" s="4" t="s">
        <v>167</v>
      </c>
      <c r="D99" s="3">
        <v>1</v>
      </c>
      <c r="E99" s="3" t="s">
        <v>16</v>
      </c>
      <c r="F99" s="3" t="s">
        <v>295</v>
      </c>
      <c r="G99" s="3" t="s">
        <v>17</v>
      </c>
      <c r="H99" s="3" t="s">
        <v>165</v>
      </c>
    </row>
    <row r="100" spans="1:8" x14ac:dyDescent="0.2">
      <c r="A100" s="3">
        <v>3040321002</v>
      </c>
      <c r="B100" s="4" t="s">
        <v>341</v>
      </c>
      <c r="C100" s="4" t="s">
        <v>340</v>
      </c>
      <c r="D100" s="3">
        <v>2</v>
      </c>
      <c r="E100" s="3" t="s">
        <v>16</v>
      </c>
      <c r="F100" s="3" t="s">
        <v>293</v>
      </c>
      <c r="G100" s="3" t="s">
        <v>29</v>
      </c>
      <c r="H100" s="3" t="s">
        <v>165</v>
      </c>
    </row>
    <row r="101" spans="1:8" x14ac:dyDescent="0.2">
      <c r="A101" s="3">
        <v>3040302003</v>
      </c>
      <c r="B101" s="4" t="s">
        <v>342</v>
      </c>
      <c r="C101" s="4" t="s">
        <v>343</v>
      </c>
      <c r="D101" s="3">
        <v>2</v>
      </c>
      <c r="E101" s="3" t="s">
        <v>16</v>
      </c>
      <c r="F101" s="3" t="s">
        <v>293</v>
      </c>
      <c r="G101" s="3" t="s">
        <v>29</v>
      </c>
      <c r="H101" s="3" t="s">
        <v>165</v>
      </c>
    </row>
    <row r="102" spans="1:8" x14ac:dyDescent="0.2">
      <c r="A102" s="3">
        <v>3040315002</v>
      </c>
      <c r="B102" s="4" t="s">
        <v>344</v>
      </c>
      <c r="C102" s="4" t="s">
        <v>340</v>
      </c>
      <c r="D102" s="3">
        <v>2</v>
      </c>
      <c r="E102" s="3" t="s">
        <v>16</v>
      </c>
      <c r="F102" s="3" t="s">
        <v>293</v>
      </c>
      <c r="G102" s="3" t="s">
        <v>29</v>
      </c>
      <c r="H102" s="3" t="s">
        <v>165</v>
      </c>
    </row>
    <row r="103" spans="1:8" x14ac:dyDescent="0.2">
      <c r="A103" s="3">
        <v>3060310001</v>
      </c>
      <c r="B103" s="4" t="s">
        <v>171</v>
      </c>
      <c r="C103" s="4" t="s">
        <v>172</v>
      </c>
      <c r="D103" s="3">
        <v>1</v>
      </c>
      <c r="E103" s="3" t="s">
        <v>16</v>
      </c>
      <c r="F103" s="3" t="s">
        <v>289</v>
      </c>
      <c r="G103" s="3" t="s">
        <v>23</v>
      </c>
      <c r="H103" s="3" t="s">
        <v>173</v>
      </c>
    </row>
    <row r="104" spans="1:8" x14ac:dyDescent="0.2">
      <c r="A104" s="3">
        <v>3060311001</v>
      </c>
      <c r="B104" s="4" t="s">
        <v>174</v>
      </c>
      <c r="C104" s="4" t="s">
        <v>172</v>
      </c>
      <c r="D104" s="3">
        <v>1</v>
      </c>
      <c r="E104" s="3" t="s">
        <v>16</v>
      </c>
      <c r="F104" s="3" t="s">
        <v>289</v>
      </c>
      <c r="G104" s="3" t="s">
        <v>23</v>
      </c>
      <c r="H104" s="3" t="s">
        <v>173</v>
      </c>
    </row>
    <row r="105" spans="1:8" x14ac:dyDescent="0.2">
      <c r="A105" s="3">
        <v>3030303003</v>
      </c>
      <c r="B105" s="4" t="s">
        <v>175</v>
      </c>
      <c r="C105" s="4" t="s">
        <v>176</v>
      </c>
      <c r="D105" s="3">
        <v>1</v>
      </c>
      <c r="E105" s="3" t="s">
        <v>16</v>
      </c>
      <c r="F105" s="3" t="s">
        <v>295</v>
      </c>
      <c r="G105" s="3" t="s">
        <v>17</v>
      </c>
      <c r="H105" s="3" t="s">
        <v>173</v>
      </c>
    </row>
    <row r="106" spans="1:8" x14ac:dyDescent="0.2">
      <c r="A106" s="3">
        <v>3030303005</v>
      </c>
      <c r="B106" s="4" t="s">
        <v>177</v>
      </c>
      <c r="C106" s="4" t="s">
        <v>176</v>
      </c>
      <c r="D106" s="3">
        <v>1</v>
      </c>
      <c r="E106" s="3" t="s">
        <v>16</v>
      </c>
      <c r="F106" s="3" t="s">
        <v>291</v>
      </c>
      <c r="G106" s="3" t="s">
        <v>26</v>
      </c>
      <c r="H106" s="3" t="s">
        <v>173</v>
      </c>
    </row>
    <row r="107" spans="1:8" x14ac:dyDescent="0.2">
      <c r="A107" s="3">
        <v>3040328005</v>
      </c>
      <c r="B107" s="4" t="s">
        <v>267</v>
      </c>
      <c r="C107" s="4" t="s">
        <v>345</v>
      </c>
      <c r="D107" s="3">
        <v>2</v>
      </c>
      <c r="E107" s="3" t="s">
        <v>16</v>
      </c>
      <c r="F107" s="3" t="s">
        <v>293</v>
      </c>
      <c r="G107" s="3" t="s">
        <v>29</v>
      </c>
      <c r="H107" s="3" t="s">
        <v>173</v>
      </c>
    </row>
    <row r="108" spans="1:8" x14ac:dyDescent="0.2">
      <c r="A108" s="3">
        <v>3040309001</v>
      </c>
      <c r="B108" s="4" t="s">
        <v>346</v>
      </c>
      <c r="C108" s="4" t="s">
        <v>347</v>
      </c>
      <c r="D108" s="3">
        <v>8</v>
      </c>
      <c r="E108" s="3" t="s">
        <v>16</v>
      </c>
      <c r="F108" s="3" t="s">
        <v>293</v>
      </c>
      <c r="G108" s="3" t="s">
        <v>29</v>
      </c>
      <c r="H108" s="3" t="s">
        <v>173</v>
      </c>
    </row>
    <row r="109" spans="1:8" x14ac:dyDescent="0.2">
      <c r="A109" s="3">
        <v>3070201002</v>
      </c>
      <c r="B109" s="4" t="s">
        <v>348</v>
      </c>
      <c r="C109" s="4" t="s">
        <v>349</v>
      </c>
      <c r="D109" s="3">
        <v>1</v>
      </c>
      <c r="E109" s="3" t="s">
        <v>16</v>
      </c>
      <c r="F109" s="3" t="s">
        <v>317</v>
      </c>
      <c r="G109" s="3" t="s">
        <v>318</v>
      </c>
      <c r="H109" s="3" t="s">
        <v>173</v>
      </c>
    </row>
    <row r="110" spans="1:8" x14ac:dyDescent="0.2">
      <c r="A110" s="3">
        <v>3030310007</v>
      </c>
      <c r="B110" s="4" t="s">
        <v>178</v>
      </c>
      <c r="C110" s="4" t="s">
        <v>179</v>
      </c>
      <c r="D110" s="3">
        <v>1</v>
      </c>
      <c r="E110" s="3" t="s">
        <v>16</v>
      </c>
      <c r="F110" s="3" t="s">
        <v>295</v>
      </c>
      <c r="G110" s="3" t="s">
        <v>17</v>
      </c>
      <c r="H110" s="3" t="s">
        <v>173</v>
      </c>
    </row>
    <row r="111" spans="1:8" x14ac:dyDescent="0.2">
      <c r="A111" s="3">
        <v>3030310009</v>
      </c>
      <c r="B111" s="4" t="s">
        <v>180</v>
      </c>
      <c r="C111" s="4" t="s">
        <v>179</v>
      </c>
      <c r="D111" s="3">
        <v>1</v>
      </c>
      <c r="E111" s="3" t="s">
        <v>16</v>
      </c>
      <c r="F111" s="3" t="s">
        <v>295</v>
      </c>
      <c r="G111" s="3" t="s">
        <v>17</v>
      </c>
      <c r="H111" s="3" t="s">
        <v>173</v>
      </c>
    </row>
    <row r="112" spans="1:8" x14ac:dyDescent="0.2">
      <c r="A112" s="3">
        <v>3050304001</v>
      </c>
      <c r="B112" s="4" t="s">
        <v>181</v>
      </c>
      <c r="C112" s="4" t="s">
        <v>182</v>
      </c>
      <c r="D112" s="3">
        <v>1</v>
      </c>
      <c r="E112" s="3" t="s">
        <v>16</v>
      </c>
      <c r="F112" s="3" t="s">
        <v>291</v>
      </c>
      <c r="G112" s="3" t="s">
        <v>26</v>
      </c>
      <c r="H112" s="3" t="s">
        <v>173</v>
      </c>
    </row>
    <row r="113" spans="1:8" x14ac:dyDescent="0.2">
      <c r="A113" s="3">
        <v>3020501014</v>
      </c>
      <c r="B113" s="4" t="s">
        <v>183</v>
      </c>
      <c r="C113" s="4" t="s">
        <v>350</v>
      </c>
      <c r="D113" s="3">
        <v>1</v>
      </c>
      <c r="E113" s="3" t="s">
        <v>16</v>
      </c>
      <c r="F113" s="3" t="s">
        <v>291</v>
      </c>
      <c r="G113" s="3" t="s">
        <v>26</v>
      </c>
      <c r="H113" s="3" t="s">
        <v>185</v>
      </c>
    </row>
    <row r="114" spans="1:8" x14ac:dyDescent="0.2">
      <c r="A114" s="3">
        <v>3990201003</v>
      </c>
      <c r="B114" s="4" t="s">
        <v>186</v>
      </c>
      <c r="C114" s="4" t="s">
        <v>94</v>
      </c>
      <c r="D114" s="3">
        <v>1</v>
      </c>
      <c r="E114" s="3" t="s">
        <v>16</v>
      </c>
      <c r="F114" s="3" t="s">
        <v>295</v>
      </c>
      <c r="G114" s="3" t="s">
        <v>17</v>
      </c>
      <c r="H114" s="3" t="s">
        <v>187</v>
      </c>
    </row>
    <row r="115" spans="1:8" x14ac:dyDescent="0.2">
      <c r="A115" s="3">
        <v>3990202003</v>
      </c>
      <c r="B115" s="4" t="s">
        <v>188</v>
      </c>
      <c r="C115" s="4" t="s">
        <v>94</v>
      </c>
      <c r="D115" s="3">
        <v>1</v>
      </c>
      <c r="E115" s="3" t="s">
        <v>16</v>
      </c>
      <c r="F115" s="3" t="s">
        <v>295</v>
      </c>
      <c r="G115" s="3" t="s">
        <v>17</v>
      </c>
      <c r="H115" s="3" t="s">
        <v>187</v>
      </c>
    </row>
    <row r="116" spans="1:8" x14ac:dyDescent="0.2">
      <c r="A116" s="3">
        <v>3990203001</v>
      </c>
      <c r="B116" s="4" t="s">
        <v>189</v>
      </c>
      <c r="C116" s="4" t="s">
        <v>94</v>
      </c>
      <c r="D116" s="3">
        <v>1</v>
      </c>
      <c r="E116" s="3" t="s">
        <v>16</v>
      </c>
      <c r="F116" s="3" t="s">
        <v>291</v>
      </c>
      <c r="G116" s="3" t="s">
        <v>26</v>
      </c>
      <c r="H116" s="3" t="s">
        <v>187</v>
      </c>
    </row>
    <row r="117" spans="1:8" x14ac:dyDescent="0.2">
      <c r="A117" s="3">
        <v>3030401002</v>
      </c>
      <c r="B117" s="4" t="s">
        <v>190</v>
      </c>
      <c r="C117" s="4" t="s">
        <v>191</v>
      </c>
      <c r="D117" s="3">
        <v>1</v>
      </c>
      <c r="E117" s="3" t="s">
        <v>16</v>
      </c>
      <c r="F117" s="3" t="s">
        <v>295</v>
      </c>
      <c r="G117" s="3" t="s">
        <v>17</v>
      </c>
      <c r="H117" s="3" t="s">
        <v>192</v>
      </c>
    </row>
    <row r="118" spans="1:8" x14ac:dyDescent="0.2">
      <c r="A118" s="3">
        <v>404100011</v>
      </c>
      <c r="B118" s="4" t="s">
        <v>196</v>
      </c>
      <c r="C118" s="4" t="s">
        <v>351</v>
      </c>
      <c r="D118" s="3">
        <v>1</v>
      </c>
      <c r="E118" s="3" t="s">
        <v>16</v>
      </c>
      <c r="F118" s="3" t="s">
        <v>301</v>
      </c>
      <c r="G118" s="3" t="s">
        <v>32</v>
      </c>
      <c r="H118" s="3" t="s">
        <v>198</v>
      </c>
    </row>
    <row r="119" spans="1:8" x14ac:dyDescent="0.2">
      <c r="A119" s="3">
        <v>404060019</v>
      </c>
      <c r="B119" s="4" t="s">
        <v>30</v>
      </c>
      <c r="C119" s="4" t="s">
        <v>352</v>
      </c>
      <c r="D119" s="3">
        <v>1</v>
      </c>
      <c r="E119" s="3" t="s">
        <v>16</v>
      </c>
      <c r="F119" s="3" t="s">
        <v>291</v>
      </c>
      <c r="G119" s="3" t="s">
        <v>26</v>
      </c>
      <c r="H119" s="3" t="s">
        <v>198</v>
      </c>
    </row>
    <row r="120" spans="1:8" x14ac:dyDescent="0.2">
      <c r="A120" s="3">
        <v>404100010</v>
      </c>
      <c r="B120" s="4" t="s">
        <v>326</v>
      </c>
      <c r="C120" s="4" t="s">
        <v>353</v>
      </c>
      <c r="D120" s="3">
        <v>1</v>
      </c>
      <c r="E120" s="3" t="s">
        <v>16</v>
      </c>
      <c r="F120" s="3" t="s">
        <v>301</v>
      </c>
      <c r="G120" s="3" t="s">
        <v>32</v>
      </c>
      <c r="H120" s="3" t="s">
        <v>198</v>
      </c>
    </row>
    <row r="121" spans="1:8" x14ac:dyDescent="0.2">
      <c r="A121" s="3">
        <v>401070018</v>
      </c>
      <c r="B121" s="4" t="s">
        <v>35</v>
      </c>
      <c r="C121" s="4" t="s">
        <v>202</v>
      </c>
      <c r="D121" s="3">
        <v>1</v>
      </c>
      <c r="E121" s="3" t="s">
        <v>16</v>
      </c>
      <c r="F121" s="3" t="s">
        <v>291</v>
      </c>
      <c r="G121" s="3" t="s">
        <v>26</v>
      </c>
      <c r="H121" s="3" t="s">
        <v>198</v>
      </c>
    </row>
    <row r="122" spans="1:8" x14ac:dyDescent="0.2">
      <c r="A122" s="3">
        <v>404100008</v>
      </c>
      <c r="B122" s="4" t="s">
        <v>205</v>
      </c>
      <c r="C122" s="4" t="s">
        <v>206</v>
      </c>
      <c r="D122" s="3">
        <v>1</v>
      </c>
      <c r="E122" s="3" t="s">
        <v>16</v>
      </c>
      <c r="F122" s="3" t="s">
        <v>291</v>
      </c>
      <c r="G122" s="3" t="s">
        <v>26</v>
      </c>
      <c r="H122" s="3" t="s">
        <v>198</v>
      </c>
    </row>
    <row r="123" spans="1:8" x14ac:dyDescent="0.2">
      <c r="A123" s="3">
        <v>404100007</v>
      </c>
      <c r="B123" s="4" t="s">
        <v>207</v>
      </c>
      <c r="C123" s="4" t="s">
        <v>208</v>
      </c>
      <c r="D123" s="3">
        <v>1</v>
      </c>
      <c r="E123" s="3" t="s">
        <v>16</v>
      </c>
      <c r="F123" s="3" t="s">
        <v>291</v>
      </c>
      <c r="G123" s="3" t="s">
        <v>26</v>
      </c>
      <c r="H123" s="3" t="s">
        <v>198</v>
      </c>
    </row>
    <row r="124" spans="1:8" x14ac:dyDescent="0.2">
      <c r="A124" s="3">
        <v>3992002001</v>
      </c>
      <c r="B124" s="4" t="s">
        <v>212</v>
      </c>
      <c r="C124" s="4" t="s">
        <v>213</v>
      </c>
      <c r="D124" s="3">
        <v>2</v>
      </c>
      <c r="E124" s="3" t="s">
        <v>16</v>
      </c>
      <c r="F124" s="3" t="s">
        <v>295</v>
      </c>
      <c r="G124" s="3" t="s">
        <v>17</v>
      </c>
      <c r="H124" s="3" t="s">
        <v>214</v>
      </c>
    </row>
    <row r="125" spans="1:8" x14ac:dyDescent="0.2">
      <c r="A125" s="3">
        <v>3992001001</v>
      </c>
      <c r="B125" s="4" t="s">
        <v>215</v>
      </c>
      <c r="C125" s="4" t="s">
        <v>213</v>
      </c>
      <c r="D125" s="3">
        <v>2</v>
      </c>
      <c r="E125" s="3" t="s">
        <v>16</v>
      </c>
      <c r="F125" s="3" t="s">
        <v>295</v>
      </c>
      <c r="G125" s="3" t="s">
        <v>17</v>
      </c>
      <c r="H125" s="3" t="s">
        <v>214</v>
      </c>
    </row>
    <row r="126" spans="1:8" x14ac:dyDescent="0.2">
      <c r="A126" s="3">
        <v>3030201004</v>
      </c>
      <c r="B126" s="4" t="s">
        <v>216</v>
      </c>
      <c r="C126" s="4" t="s">
        <v>213</v>
      </c>
      <c r="D126" s="3">
        <v>2</v>
      </c>
      <c r="E126" s="3" t="s">
        <v>16</v>
      </c>
      <c r="F126" s="3" t="s">
        <v>295</v>
      </c>
      <c r="G126" s="3" t="s">
        <v>17</v>
      </c>
      <c r="H126" s="3" t="s">
        <v>214</v>
      </c>
    </row>
    <row r="127" spans="1:8" x14ac:dyDescent="0.2">
      <c r="A127" s="3">
        <v>3049904001</v>
      </c>
      <c r="B127" s="4" t="s">
        <v>354</v>
      </c>
      <c r="C127" s="4" t="s">
        <v>355</v>
      </c>
      <c r="D127" s="3">
        <v>4</v>
      </c>
      <c r="E127" s="3" t="s">
        <v>16</v>
      </c>
      <c r="F127" s="3" t="s">
        <v>293</v>
      </c>
      <c r="G127" s="3" t="s">
        <v>29</v>
      </c>
      <c r="H127" s="3" t="s">
        <v>214</v>
      </c>
    </row>
    <row r="128" spans="1:8" x14ac:dyDescent="0.2">
      <c r="A128" s="3">
        <v>3049902005</v>
      </c>
      <c r="B128" s="4" t="s">
        <v>356</v>
      </c>
      <c r="C128" s="4" t="s">
        <v>357</v>
      </c>
      <c r="D128" s="3">
        <v>2</v>
      </c>
      <c r="E128" s="3" t="s">
        <v>16</v>
      </c>
      <c r="F128" s="3" t="s">
        <v>293</v>
      </c>
      <c r="G128" s="3" t="s">
        <v>29</v>
      </c>
      <c r="H128" s="3" t="s">
        <v>214</v>
      </c>
    </row>
    <row r="129" spans="1:8" x14ac:dyDescent="0.2">
      <c r="A129" s="3">
        <v>3049902010</v>
      </c>
      <c r="B129" s="4" t="s">
        <v>358</v>
      </c>
      <c r="C129" s="4" t="s">
        <v>359</v>
      </c>
      <c r="D129" s="3">
        <v>2</v>
      </c>
      <c r="E129" s="3" t="s">
        <v>16</v>
      </c>
      <c r="F129" s="3" t="s">
        <v>293</v>
      </c>
      <c r="G129" s="3" t="s">
        <v>29</v>
      </c>
      <c r="H129" s="3" t="s">
        <v>214</v>
      </c>
    </row>
    <row r="130" spans="1:8" x14ac:dyDescent="0.2">
      <c r="A130" s="3">
        <v>3030201005</v>
      </c>
      <c r="B130" s="4" t="s">
        <v>217</v>
      </c>
      <c r="C130" s="4" t="s">
        <v>218</v>
      </c>
      <c r="D130" s="3">
        <v>12</v>
      </c>
      <c r="E130" s="3" t="s">
        <v>16</v>
      </c>
      <c r="F130" s="3" t="s">
        <v>295</v>
      </c>
      <c r="G130" s="3" t="s">
        <v>17</v>
      </c>
      <c r="H130" s="3" t="s">
        <v>214</v>
      </c>
    </row>
    <row r="131" spans="1:8" x14ac:dyDescent="0.2">
      <c r="A131" s="3">
        <v>3070105007</v>
      </c>
      <c r="B131" s="4" t="s">
        <v>360</v>
      </c>
      <c r="C131" s="4" t="s">
        <v>361</v>
      </c>
      <c r="D131" s="3">
        <v>1</v>
      </c>
      <c r="E131" s="3" t="s">
        <v>16</v>
      </c>
      <c r="F131" s="3" t="s">
        <v>317</v>
      </c>
      <c r="G131" s="3" t="s">
        <v>318</v>
      </c>
      <c r="H131" s="3" t="s">
        <v>214</v>
      </c>
    </row>
    <row r="132" spans="1:8" x14ac:dyDescent="0.2">
      <c r="A132" s="3">
        <v>3070105008</v>
      </c>
      <c r="B132" s="4" t="s">
        <v>362</v>
      </c>
      <c r="C132" s="4" t="s">
        <v>361</v>
      </c>
      <c r="D132" s="3">
        <v>1</v>
      </c>
      <c r="E132" s="3" t="s">
        <v>16</v>
      </c>
      <c r="F132" s="3" t="s">
        <v>317</v>
      </c>
      <c r="G132" s="3" t="s">
        <v>318</v>
      </c>
      <c r="H132" s="3" t="s">
        <v>214</v>
      </c>
    </row>
    <row r="133" spans="1:8" x14ac:dyDescent="0.2">
      <c r="A133" s="3">
        <v>3030403001</v>
      </c>
      <c r="B133" s="4" t="s">
        <v>219</v>
      </c>
      <c r="C133" s="4" t="s">
        <v>220</v>
      </c>
      <c r="D133" s="3">
        <v>1</v>
      </c>
      <c r="E133" s="3" t="s">
        <v>16</v>
      </c>
      <c r="F133" s="3" t="s">
        <v>295</v>
      </c>
      <c r="G133" s="3" t="s">
        <v>17</v>
      </c>
      <c r="H133" s="3" t="s">
        <v>221</v>
      </c>
    </row>
    <row r="134" spans="1:8" x14ac:dyDescent="0.2">
      <c r="A134" s="3">
        <v>3040402013</v>
      </c>
      <c r="B134" s="4" t="s">
        <v>193</v>
      </c>
      <c r="C134" s="4" t="s">
        <v>363</v>
      </c>
      <c r="D134" s="3">
        <v>1</v>
      </c>
      <c r="E134" s="3" t="s">
        <v>16</v>
      </c>
      <c r="F134" s="3" t="s">
        <v>293</v>
      </c>
      <c r="G134" s="3" t="s">
        <v>29</v>
      </c>
      <c r="H134" s="3" t="s">
        <v>221</v>
      </c>
    </row>
    <row r="135" spans="1:8" x14ac:dyDescent="0.2">
      <c r="A135" s="3">
        <v>3040402014</v>
      </c>
      <c r="B135" s="4" t="s">
        <v>193</v>
      </c>
      <c r="C135" s="4" t="s">
        <v>364</v>
      </c>
      <c r="D135" s="3">
        <v>1</v>
      </c>
      <c r="E135" s="3" t="s">
        <v>16</v>
      </c>
      <c r="F135" s="3" t="s">
        <v>293</v>
      </c>
      <c r="G135" s="3" t="s">
        <v>29</v>
      </c>
      <c r="H135" s="3" t="s">
        <v>221</v>
      </c>
    </row>
    <row r="136" spans="1:8" x14ac:dyDescent="0.2">
      <c r="A136" s="3">
        <v>3020301001</v>
      </c>
      <c r="B136" s="4" t="s">
        <v>209</v>
      </c>
      <c r="C136" s="4" t="s">
        <v>365</v>
      </c>
      <c r="D136" s="3">
        <v>1</v>
      </c>
      <c r="E136" s="3" t="s">
        <v>16</v>
      </c>
      <c r="F136" s="3" t="s">
        <v>291</v>
      </c>
      <c r="G136" s="3" t="s">
        <v>26</v>
      </c>
      <c r="H136" s="3" t="s">
        <v>221</v>
      </c>
    </row>
    <row r="137" spans="1:8" x14ac:dyDescent="0.2">
      <c r="A137" s="3">
        <v>403030051</v>
      </c>
      <c r="B137" s="4" t="s">
        <v>366</v>
      </c>
      <c r="C137" s="4" t="s">
        <v>367</v>
      </c>
      <c r="D137" s="3">
        <v>3</v>
      </c>
      <c r="E137" s="3" t="s">
        <v>16</v>
      </c>
      <c r="F137" s="3" t="s">
        <v>301</v>
      </c>
      <c r="G137" s="3" t="s">
        <v>32</v>
      </c>
      <c r="H137" s="3" t="s">
        <v>221</v>
      </c>
    </row>
    <row r="138" spans="1:8" x14ac:dyDescent="0.2">
      <c r="A138" s="3">
        <v>403030005</v>
      </c>
      <c r="B138" s="4" t="s">
        <v>366</v>
      </c>
      <c r="C138" s="4" t="s">
        <v>368</v>
      </c>
      <c r="D138" s="3">
        <v>2</v>
      </c>
      <c r="E138" s="3" t="s">
        <v>16</v>
      </c>
      <c r="F138" s="3" t="s">
        <v>301</v>
      </c>
      <c r="G138" s="3" t="s">
        <v>32</v>
      </c>
      <c r="H138" s="3" t="s">
        <v>221</v>
      </c>
    </row>
    <row r="139" spans="1:8" x14ac:dyDescent="0.2">
      <c r="A139" s="3">
        <v>3050401001</v>
      </c>
      <c r="B139" s="4" t="s">
        <v>222</v>
      </c>
      <c r="C139" s="4" t="s">
        <v>223</v>
      </c>
      <c r="D139" s="3">
        <v>1</v>
      </c>
      <c r="E139" s="3" t="s">
        <v>16</v>
      </c>
      <c r="F139" s="3" t="s">
        <v>291</v>
      </c>
      <c r="G139" s="3" t="s">
        <v>26</v>
      </c>
      <c r="H139" s="3" t="s">
        <v>221</v>
      </c>
    </row>
    <row r="140" spans="1:8" x14ac:dyDescent="0.2">
      <c r="A140" s="3">
        <v>3040502057</v>
      </c>
      <c r="B140" s="4" t="s">
        <v>136</v>
      </c>
      <c r="C140" s="4" t="s">
        <v>369</v>
      </c>
      <c r="D140" s="3">
        <v>1</v>
      </c>
      <c r="E140" s="3" t="s">
        <v>16</v>
      </c>
      <c r="F140" s="3" t="s">
        <v>293</v>
      </c>
      <c r="G140" s="3" t="s">
        <v>29</v>
      </c>
      <c r="H140" s="3" t="s">
        <v>370</v>
      </c>
    </row>
    <row r="141" spans="1:8" x14ac:dyDescent="0.2">
      <c r="A141" s="3">
        <v>3040502056</v>
      </c>
      <c r="B141" s="4" t="s">
        <v>136</v>
      </c>
      <c r="C141" s="4" t="s">
        <v>371</v>
      </c>
      <c r="D141" s="3">
        <v>1</v>
      </c>
      <c r="E141" s="3" t="s">
        <v>16</v>
      </c>
      <c r="F141" s="3" t="s">
        <v>293</v>
      </c>
      <c r="G141" s="3" t="s">
        <v>29</v>
      </c>
      <c r="H141" s="3" t="s">
        <v>370</v>
      </c>
    </row>
    <row r="142" spans="1:8" x14ac:dyDescent="0.2">
      <c r="A142" s="3">
        <v>3060501005</v>
      </c>
      <c r="B142" s="4" t="s">
        <v>224</v>
      </c>
      <c r="C142" s="4" t="s">
        <v>225</v>
      </c>
      <c r="D142" s="3">
        <v>1</v>
      </c>
      <c r="E142" s="3" t="s">
        <v>16</v>
      </c>
      <c r="F142" s="3" t="s">
        <v>289</v>
      </c>
      <c r="G142" s="3" t="s">
        <v>23</v>
      </c>
      <c r="H142" s="3" t="s">
        <v>226</v>
      </c>
    </row>
    <row r="143" spans="1:8" x14ac:dyDescent="0.2">
      <c r="A143" s="3">
        <v>3060333002</v>
      </c>
      <c r="B143" s="4" t="s">
        <v>227</v>
      </c>
      <c r="C143" s="4" t="s">
        <v>228</v>
      </c>
      <c r="D143" s="3">
        <v>1</v>
      </c>
      <c r="E143" s="3" t="s">
        <v>16</v>
      </c>
      <c r="F143" s="3" t="s">
        <v>289</v>
      </c>
      <c r="G143" s="3" t="s">
        <v>23</v>
      </c>
      <c r="H143" s="3" t="s">
        <v>226</v>
      </c>
    </row>
    <row r="144" spans="1:8" x14ac:dyDescent="0.2">
      <c r="A144" s="3">
        <v>3060303001</v>
      </c>
      <c r="B144" s="4" t="s">
        <v>231</v>
      </c>
      <c r="C144" s="4" t="s">
        <v>232</v>
      </c>
      <c r="D144" s="3">
        <v>1</v>
      </c>
      <c r="E144" s="3" t="s">
        <v>16</v>
      </c>
      <c r="F144" s="3" t="s">
        <v>289</v>
      </c>
      <c r="G144" s="3" t="s">
        <v>23</v>
      </c>
      <c r="H144" s="3" t="s">
        <v>226</v>
      </c>
    </row>
    <row r="145" spans="1:8" x14ac:dyDescent="0.2">
      <c r="A145" s="3">
        <v>3060335004</v>
      </c>
      <c r="B145" s="4" t="s">
        <v>233</v>
      </c>
      <c r="C145" s="4" t="s">
        <v>234</v>
      </c>
      <c r="D145" s="3">
        <v>1</v>
      </c>
      <c r="E145" s="3" t="s">
        <v>16</v>
      </c>
      <c r="F145" s="3" t="s">
        <v>289</v>
      </c>
      <c r="G145" s="3" t="s">
        <v>23</v>
      </c>
      <c r="H145" s="3" t="s">
        <v>226</v>
      </c>
    </row>
    <row r="146" spans="1:8" x14ac:dyDescent="0.2">
      <c r="A146" s="3">
        <v>3030306008</v>
      </c>
      <c r="B146" s="4" t="s">
        <v>235</v>
      </c>
      <c r="C146" s="4" t="s">
        <v>236</v>
      </c>
      <c r="D146" s="3">
        <v>1</v>
      </c>
      <c r="E146" s="3" t="s">
        <v>16</v>
      </c>
      <c r="F146" s="3" t="s">
        <v>295</v>
      </c>
      <c r="G146" s="3" t="s">
        <v>17</v>
      </c>
      <c r="H146" s="3" t="s">
        <v>226</v>
      </c>
    </row>
    <row r="147" spans="1:8" x14ac:dyDescent="0.2">
      <c r="A147" s="3">
        <v>3030314001</v>
      </c>
      <c r="B147" s="4" t="s">
        <v>237</v>
      </c>
      <c r="C147" s="4" t="s">
        <v>238</v>
      </c>
      <c r="D147" s="3">
        <v>1</v>
      </c>
      <c r="E147" s="3" t="s">
        <v>16</v>
      </c>
      <c r="F147" s="3" t="s">
        <v>291</v>
      </c>
      <c r="G147" s="3" t="s">
        <v>26</v>
      </c>
      <c r="H147" s="3" t="s">
        <v>226</v>
      </c>
    </row>
    <row r="148" spans="1:8" x14ac:dyDescent="0.2">
      <c r="A148" s="3">
        <v>3020104001</v>
      </c>
      <c r="B148" s="4" t="s">
        <v>239</v>
      </c>
      <c r="C148" s="4" t="s">
        <v>240</v>
      </c>
      <c r="D148" s="3">
        <v>5</v>
      </c>
      <c r="E148" s="3" t="s">
        <v>16</v>
      </c>
      <c r="F148" s="3" t="s">
        <v>297</v>
      </c>
      <c r="G148" s="3" t="s">
        <v>204</v>
      </c>
      <c r="H148" s="3" t="s">
        <v>226</v>
      </c>
    </row>
    <row r="149" spans="1:8" x14ac:dyDescent="0.2">
      <c r="A149" s="3">
        <v>3030309028</v>
      </c>
      <c r="B149" s="4" t="s">
        <v>241</v>
      </c>
      <c r="C149" s="4" t="s">
        <v>242</v>
      </c>
      <c r="D149" s="3">
        <v>1</v>
      </c>
      <c r="E149" s="3" t="s">
        <v>16</v>
      </c>
      <c r="F149" s="3" t="s">
        <v>291</v>
      </c>
      <c r="G149" s="3" t="s">
        <v>26</v>
      </c>
      <c r="H149" s="3" t="s">
        <v>226</v>
      </c>
    </row>
    <row r="150" spans="1:8" x14ac:dyDescent="0.2">
      <c r="A150" s="3">
        <v>3070205004</v>
      </c>
      <c r="B150" s="4" t="s">
        <v>372</v>
      </c>
      <c r="C150" s="4" t="s">
        <v>266</v>
      </c>
      <c r="D150" s="3">
        <v>1</v>
      </c>
      <c r="E150" s="3" t="s">
        <v>16</v>
      </c>
      <c r="F150" s="3" t="s">
        <v>317</v>
      </c>
      <c r="G150" s="3" t="s">
        <v>318</v>
      </c>
      <c r="H150" s="3" t="s">
        <v>226</v>
      </c>
    </row>
    <row r="151" spans="1:8" x14ac:dyDescent="0.2">
      <c r="A151" s="3">
        <v>3070211002</v>
      </c>
      <c r="B151" s="4" t="s">
        <v>373</v>
      </c>
      <c r="C151" s="4" t="s">
        <v>374</v>
      </c>
      <c r="D151" s="3">
        <v>1</v>
      </c>
      <c r="E151" s="3" t="s">
        <v>16</v>
      </c>
      <c r="F151" s="3" t="s">
        <v>317</v>
      </c>
      <c r="G151" s="3" t="s">
        <v>318</v>
      </c>
      <c r="H151" s="3" t="s">
        <v>226</v>
      </c>
    </row>
    <row r="152" spans="1:8" x14ac:dyDescent="0.2">
      <c r="A152" s="3">
        <v>3070216001</v>
      </c>
      <c r="B152" s="4" t="s">
        <v>375</v>
      </c>
      <c r="C152" s="4" t="s">
        <v>376</v>
      </c>
      <c r="D152" s="3">
        <v>1</v>
      </c>
      <c r="E152" s="3" t="s">
        <v>16</v>
      </c>
      <c r="F152" s="3" t="s">
        <v>317</v>
      </c>
      <c r="G152" s="3" t="s">
        <v>318</v>
      </c>
      <c r="H152" s="3" t="s">
        <v>226</v>
      </c>
    </row>
    <row r="153" spans="1:8" x14ac:dyDescent="0.2">
      <c r="A153" s="3">
        <v>3070212001</v>
      </c>
      <c r="B153" s="4" t="s">
        <v>377</v>
      </c>
      <c r="C153" s="4" t="s">
        <v>378</v>
      </c>
      <c r="D153" s="3">
        <v>1</v>
      </c>
      <c r="E153" s="3" t="s">
        <v>16</v>
      </c>
      <c r="F153" s="3" t="s">
        <v>317</v>
      </c>
      <c r="G153" s="3" t="s">
        <v>318</v>
      </c>
      <c r="H153" s="3" t="s">
        <v>226</v>
      </c>
    </row>
    <row r="154" spans="1:8" x14ac:dyDescent="0.2">
      <c r="A154" s="3">
        <v>3070210001</v>
      </c>
      <c r="B154" s="4" t="s">
        <v>379</v>
      </c>
      <c r="C154" s="4" t="s">
        <v>280</v>
      </c>
      <c r="D154" s="3">
        <v>1</v>
      </c>
      <c r="E154" s="3" t="s">
        <v>16</v>
      </c>
      <c r="F154" s="3" t="s">
        <v>317</v>
      </c>
      <c r="G154" s="3" t="s">
        <v>318</v>
      </c>
      <c r="H154" s="3" t="s">
        <v>226</v>
      </c>
    </row>
    <row r="155" spans="1:8" x14ac:dyDescent="0.2">
      <c r="A155" s="3">
        <v>3030309026</v>
      </c>
      <c r="B155" s="4" t="s">
        <v>243</v>
      </c>
      <c r="C155" s="4" t="s">
        <v>242</v>
      </c>
      <c r="D155" s="3">
        <v>1</v>
      </c>
      <c r="E155" s="3" t="s">
        <v>16</v>
      </c>
      <c r="F155" s="3" t="s">
        <v>291</v>
      </c>
      <c r="G155" s="3" t="s">
        <v>26</v>
      </c>
      <c r="H155" s="3" t="s">
        <v>226</v>
      </c>
    </row>
    <row r="156" spans="1:8" x14ac:dyDescent="0.2">
      <c r="A156" s="3">
        <v>3030309027</v>
      </c>
      <c r="B156" s="4" t="s">
        <v>244</v>
      </c>
      <c r="C156" s="4" t="s">
        <v>242</v>
      </c>
      <c r="D156" s="3">
        <v>1</v>
      </c>
      <c r="E156" s="3" t="s">
        <v>16</v>
      </c>
      <c r="F156" s="3" t="s">
        <v>291</v>
      </c>
      <c r="G156" s="3" t="s">
        <v>26</v>
      </c>
      <c r="H156" s="3" t="s">
        <v>226</v>
      </c>
    </row>
    <row r="157" spans="1:8" x14ac:dyDescent="0.2">
      <c r="A157" s="3">
        <v>3050303002</v>
      </c>
      <c r="B157" s="4" t="s">
        <v>245</v>
      </c>
      <c r="C157" s="4" t="s">
        <v>246</v>
      </c>
      <c r="D157" s="3">
        <v>1</v>
      </c>
      <c r="E157" s="3" t="s">
        <v>16</v>
      </c>
      <c r="F157" s="3" t="s">
        <v>291</v>
      </c>
      <c r="G157" s="3" t="s">
        <v>26</v>
      </c>
      <c r="H157" s="3" t="s">
        <v>226</v>
      </c>
    </row>
    <row r="158" spans="1:8" x14ac:dyDescent="0.2">
      <c r="A158" s="3">
        <v>3080301002</v>
      </c>
      <c r="B158" s="4" t="s">
        <v>247</v>
      </c>
      <c r="C158" s="4" t="s">
        <v>248</v>
      </c>
      <c r="D158" s="3">
        <v>1</v>
      </c>
      <c r="E158" s="3" t="s">
        <v>16</v>
      </c>
      <c r="F158" s="3" t="s">
        <v>295</v>
      </c>
      <c r="G158" s="3" t="s">
        <v>17</v>
      </c>
      <c r="H158" s="3" t="s">
        <v>249</v>
      </c>
    </row>
    <row r="159" spans="1:8" x14ac:dyDescent="0.2">
      <c r="A159" s="3">
        <v>3080107017</v>
      </c>
      <c r="B159" s="4" t="s">
        <v>69</v>
      </c>
      <c r="C159" s="4" t="s">
        <v>251</v>
      </c>
      <c r="D159" s="3">
        <v>4</v>
      </c>
      <c r="E159" s="3" t="s">
        <v>16</v>
      </c>
      <c r="F159" s="3" t="s">
        <v>289</v>
      </c>
      <c r="G159" s="3" t="s">
        <v>23</v>
      </c>
      <c r="H159" s="3" t="s">
        <v>249</v>
      </c>
    </row>
    <row r="160" spans="1:8" x14ac:dyDescent="0.2">
      <c r="A160" s="3">
        <v>3080107017</v>
      </c>
      <c r="B160" s="4" t="s">
        <v>69</v>
      </c>
      <c r="C160" s="4" t="s">
        <v>251</v>
      </c>
      <c r="D160" s="3">
        <v>2</v>
      </c>
      <c r="E160" s="3" t="s">
        <v>16</v>
      </c>
      <c r="F160" s="3" t="s">
        <v>289</v>
      </c>
      <c r="G160" s="3" t="s">
        <v>23</v>
      </c>
      <c r="H160" s="3" t="s">
        <v>249</v>
      </c>
    </row>
    <row r="161" spans="1:8" x14ac:dyDescent="0.2">
      <c r="A161" s="3">
        <v>3080107017</v>
      </c>
      <c r="B161" s="4" t="s">
        <v>69</v>
      </c>
      <c r="C161" s="4" t="s">
        <v>251</v>
      </c>
      <c r="D161" s="3">
        <v>4</v>
      </c>
      <c r="E161" s="3" t="s">
        <v>16</v>
      </c>
      <c r="F161" s="3" t="s">
        <v>295</v>
      </c>
      <c r="G161" s="3" t="s">
        <v>17</v>
      </c>
      <c r="H161" s="3" t="s">
        <v>249</v>
      </c>
    </row>
    <row r="162" spans="1:8" x14ac:dyDescent="0.2">
      <c r="A162" s="3">
        <v>3060341001</v>
      </c>
      <c r="B162" s="4" t="s">
        <v>255</v>
      </c>
      <c r="C162" s="4" t="s">
        <v>256</v>
      </c>
      <c r="D162" s="3">
        <v>1</v>
      </c>
      <c r="E162" s="3" t="s">
        <v>16</v>
      </c>
      <c r="F162" s="3" t="s">
        <v>289</v>
      </c>
      <c r="G162" s="3" t="s">
        <v>23</v>
      </c>
      <c r="H162" s="3" t="s">
        <v>254</v>
      </c>
    </row>
    <row r="163" spans="1:8" x14ac:dyDescent="0.2">
      <c r="A163" s="3">
        <v>3030315001</v>
      </c>
      <c r="B163" s="4" t="s">
        <v>257</v>
      </c>
      <c r="C163" s="4" t="s">
        <v>258</v>
      </c>
      <c r="D163" s="3">
        <v>2</v>
      </c>
      <c r="E163" s="3" t="s">
        <v>16</v>
      </c>
      <c r="F163" s="3" t="s">
        <v>295</v>
      </c>
      <c r="G163" s="3" t="s">
        <v>17</v>
      </c>
      <c r="H163" s="3" t="s">
        <v>254</v>
      </c>
    </row>
    <row r="164" spans="1:8" x14ac:dyDescent="0.2">
      <c r="A164" s="3">
        <v>3030304002</v>
      </c>
      <c r="B164" s="4" t="s">
        <v>259</v>
      </c>
      <c r="C164" s="4" t="s">
        <v>258</v>
      </c>
      <c r="D164" s="3">
        <v>1</v>
      </c>
      <c r="E164" s="3" t="s">
        <v>16</v>
      </c>
      <c r="F164" s="3" t="s">
        <v>295</v>
      </c>
      <c r="G164" s="3" t="s">
        <v>17</v>
      </c>
      <c r="H164" s="3" t="s">
        <v>254</v>
      </c>
    </row>
    <row r="165" spans="1:8" x14ac:dyDescent="0.2">
      <c r="A165" s="3">
        <v>3030304004</v>
      </c>
      <c r="B165" s="4" t="s">
        <v>260</v>
      </c>
      <c r="C165" s="4" t="s">
        <v>258</v>
      </c>
      <c r="D165" s="3">
        <v>1</v>
      </c>
      <c r="E165" s="3" t="s">
        <v>16</v>
      </c>
      <c r="F165" s="3" t="s">
        <v>295</v>
      </c>
      <c r="G165" s="3" t="s">
        <v>17</v>
      </c>
      <c r="H165" s="3" t="s">
        <v>254</v>
      </c>
    </row>
    <row r="166" spans="1:8" x14ac:dyDescent="0.2">
      <c r="A166" s="3">
        <v>3030316001</v>
      </c>
      <c r="B166" s="4" t="s">
        <v>261</v>
      </c>
      <c r="C166" s="4" t="s">
        <v>262</v>
      </c>
      <c r="D166" s="3">
        <v>3</v>
      </c>
      <c r="E166" s="3" t="s">
        <v>16</v>
      </c>
      <c r="F166" s="3" t="s">
        <v>295</v>
      </c>
      <c r="G166" s="3" t="s">
        <v>17</v>
      </c>
      <c r="H166" s="3" t="s">
        <v>254</v>
      </c>
    </row>
    <row r="167" spans="1:8" x14ac:dyDescent="0.2">
      <c r="A167" s="3">
        <v>3040304005</v>
      </c>
      <c r="B167" s="4" t="s">
        <v>380</v>
      </c>
      <c r="C167" s="4" t="s">
        <v>381</v>
      </c>
      <c r="D167" s="3">
        <v>2</v>
      </c>
      <c r="E167" s="3" t="s">
        <v>16</v>
      </c>
      <c r="F167" s="3" t="s">
        <v>293</v>
      </c>
      <c r="G167" s="3" t="s">
        <v>29</v>
      </c>
      <c r="H167" s="3" t="s">
        <v>254</v>
      </c>
    </row>
    <row r="168" spans="1:8" x14ac:dyDescent="0.2">
      <c r="A168" s="3">
        <v>3040304006</v>
      </c>
      <c r="B168" s="4" t="s">
        <v>380</v>
      </c>
      <c r="C168" s="4" t="s">
        <v>382</v>
      </c>
      <c r="D168" s="3">
        <v>2</v>
      </c>
      <c r="E168" s="3" t="s">
        <v>16</v>
      </c>
      <c r="F168" s="3" t="s">
        <v>293</v>
      </c>
      <c r="G168" s="3" t="s">
        <v>29</v>
      </c>
      <c r="H168" s="3" t="s">
        <v>254</v>
      </c>
    </row>
    <row r="169" spans="1:8" x14ac:dyDescent="0.2">
      <c r="A169" s="3">
        <v>3049902004</v>
      </c>
      <c r="B169" s="4" t="s">
        <v>383</v>
      </c>
      <c r="C169" s="4" t="s">
        <v>384</v>
      </c>
      <c r="D169" s="3">
        <v>2</v>
      </c>
      <c r="E169" s="3" t="s">
        <v>16</v>
      </c>
      <c r="F169" s="3" t="s">
        <v>293</v>
      </c>
      <c r="G169" s="3" t="s">
        <v>29</v>
      </c>
      <c r="H169" s="3" t="s">
        <v>254</v>
      </c>
    </row>
    <row r="170" spans="1:8" x14ac:dyDescent="0.2">
      <c r="A170" s="3">
        <v>3040326018</v>
      </c>
      <c r="B170" s="4" t="s">
        <v>385</v>
      </c>
      <c r="C170" s="4" t="s">
        <v>384</v>
      </c>
      <c r="D170" s="3">
        <v>2</v>
      </c>
      <c r="E170" s="3" t="s">
        <v>16</v>
      </c>
      <c r="F170" s="3" t="s">
        <v>293</v>
      </c>
      <c r="G170" s="3" t="s">
        <v>29</v>
      </c>
      <c r="H170" s="3" t="s">
        <v>254</v>
      </c>
    </row>
    <row r="171" spans="1:8" x14ac:dyDescent="0.2">
      <c r="A171" s="3">
        <v>3040320015</v>
      </c>
      <c r="B171" s="4" t="s">
        <v>269</v>
      </c>
      <c r="C171" s="4" t="s">
        <v>386</v>
      </c>
      <c r="D171" s="3">
        <v>1</v>
      </c>
      <c r="E171" s="3" t="s">
        <v>16</v>
      </c>
      <c r="F171" s="3" t="s">
        <v>293</v>
      </c>
      <c r="G171" s="3" t="s">
        <v>29</v>
      </c>
      <c r="H171" s="3" t="s">
        <v>254</v>
      </c>
    </row>
    <row r="172" spans="1:8" x14ac:dyDescent="0.2">
      <c r="A172" s="3">
        <v>3040320014</v>
      </c>
      <c r="B172" s="4" t="s">
        <v>269</v>
      </c>
      <c r="C172" s="4" t="s">
        <v>387</v>
      </c>
      <c r="D172" s="3">
        <v>1</v>
      </c>
      <c r="E172" s="3" t="s">
        <v>16</v>
      </c>
      <c r="F172" s="3" t="s">
        <v>293</v>
      </c>
      <c r="G172" s="3" t="s">
        <v>29</v>
      </c>
      <c r="H172" s="3" t="s">
        <v>254</v>
      </c>
    </row>
    <row r="173" spans="1:8" x14ac:dyDescent="0.2">
      <c r="A173" s="3">
        <v>3030310004</v>
      </c>
      <c r="B173" s="4" t="s">
        <v>273</v>
      </c>
      <c r="C173" s="4" t="s">
        <v>274</v>
      </c>
      <c r="D173" s="3">
        <v>1</v>
      </c>
      <c r="E173" s="3" t="s">
        <v>16</v>
      </c>
      <c r="F173" s="3" t="s">
        <v>295</v>
      </c>
      <c r="G173" s="3" t="s">
        <v>17</v>
      </c>
      <c r="H173" s="3" t="s">
        <v>254</v>
      </c>
    </row>
    <row r="174" spans="1:8" x14ac:dyDescent="0.2">
      <c r="A174" s="3">
        <v>3030313004</v>
      </c>
      <c r="B174" s="4" t="s">
        <v>275</v>
      </c>
      <c r="C174" s="4" t="s">
        <v>258</v>
      </c>
      <c r="D174" s="3">
        <v>1</v>
      </c>
      <c r="E174" s="3" t="s">
        <v>16</v>
      </c>
      <c r="F174" s="3" t="s">
        <v>295</v>
      </c>
      <c r="G174" s="3" t="s">
        <v>17</v>
      </c>
      <c r="H174" s="3" t="s">
        <v>254</v>
      </c>
    </row>
    <row r="175" spans="1:8" x14ac:dyDescent="0.2">
      <c r="A175" s="3">
        <v>3080308001</v>
      </c>
      <c r="B175" s="4" t="s">
        <v>276</v>
      </c>
      <c r="C175" s="4" t="s">
        <v>258</v>
      </c>
      <c r="D175" s="3">
        <v>1</v>
      </c>
      <c r="E175" s="3" t="s">
        <v>16</v>
      </c>
      <c r="F175" s="3" t="s">
        <v>295</v>
      </c>
      <c r="G175" s="3" t="s">
        <v>17</v>
      </c>
      <c r="H175" s="3" t="s">
        <v>254</v>
      </c>
    </row>
    <row r="176" spans="1:8" x14ac:dyDescent="0.2">
      <c r="A176" s="3">
        <v>3070202019</v>
      </c>
      <c r="B176" s="4" t="s">
        <v>388</v>
      </c>
      <c r="C176" s="4" t="s">
        <v>389</v>
      </c>
      <c r="D176" s="3">
        <v>1</v>
      </c>
      <c r="E176" s="3" t="s">
        <v>16</v>
      </c>
      <c r="F176" s="3" t="s">
        <v>317</v>
      </c>
      <c r="G176" s="3" t="s">
        <v>318</v>
      </c>
      <c r="H176" s="3" t="s">
        <v>254</v>
      </c>
    </row>
    <row r="177" spans="1:8" x14ac:dyDescent="0.2">
      <c r="A177" s="3">
        <v>3030307007</v>
      </c>
      <c r="B177" s="4" t="s">
        <v>279</v>
      </c>
      <c r="C177" s="4" t="s">
        <v>280</v>
      </c>
      <c r="D177" s="3">
        <v>3</v>
      </c>
      <c r="E177" s="3" t="s">
        <v>16</v>
      </c>
      <c r="F177" s="3" t="s">
        <v>291</v>
      </c>
      <c r="G177" s="3" t="s">
        <v>26</v>
      </c>
      <c r="H177" s="3" t="s">
        <v>254</v>
      </c>
    </row>
    <row r="178" spans="1:8" x14ac:dyDescent="0.2">
      <c r="A178" s="3">
        <v>3030308009</v>
      </c>
      <c r="B178" s="4" t="s">
        <v>281</v>
      </c>
      <c r="C178" s="4" t="s">
        <v>282</v>
      </c>
      <c r="D178" s="3">
        <v>3</v>
      </c>
      <c r="E178" s="3" t="s">
        <v>16</v>
      </c>
      <c r="F178" s="3" t="s">
        <v>291</v>
      </c>
      <c r="G178" s="3" t="s">
        <v>26</v>
      </c>
      <c r="H178" s="3" t="s">
        <v>254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DEA5E-42AE-4EAA-BBE8-C8DE8D4096E7}">
  <dimension ref="A1:H188"/>
  <sheetViews>
    <sheetView workbookViewId="0">
      <selection activeCell="J22" sqref="J22"/>
    </sheetView>
  </sheetViews>
  <sheetFormatPr defaultRowHeight="14.25" x14ac:dyDescent="0.2"/>
  <cols>
    <col min="1" max="1" width="13.375" customWidth="1"/>
    <col min="2" max="2" width="15.375" customWidth="1"/>
    <col min="3" max="3" width="19.75" customWidth="1"/>
  </cols>
  <sheetData>
    <row r="1" spans="1:8" x14ac:dyDescent="0.2">
      <c r="A1" s="3" t="s">
        <v>616</v>
      </c>
      <c r="B1" s="4"/>
      <c r="C1" s="4"/>
      <c r="D1" s="3"/>
      <c r="E1" s="3"/>
      <c r="F1" s="3"/>
      <c r="G1" s="3"/>
      <c r="H1" s="3"/>
    </row>
    <row r="2" spans="1:8" ht="28.5" x14ac:dyDescent="0.2">
      <c r="A2" s="1" t="s">
        <v>0</v>
      </c>
      <c r="B2" s="2" t="s">
        <v>1</v>
      </c>
      <c r="C2" s="2" t="s">
        <v>2</v>
      </c>
      <c r="D2" s="1" t="s">
        <v>4</v>
      </c>
      <c r="E2" s="1" t="s">
        <v>3</v>
      </c>
      <c r="F2" s="1" t="s">
        <v>5</v>
      </c>
      <c r="G2" s="1" t="s">
        <v>6</v>
      </c>
      <c r="H2" s="1" t="s">
        <v>7</v>
      </c>
    </row>
    <row r="3" spans="1:8" s="10" customFormat="1" x14ac:dyDescent="0.2">
      <c r="A3" s="8" t="s">
        <v>390</v>
      </c>
      <c r="B3" s="9" t="s">
        <v>8</v>
      </c>
      <c r="C3" s="9" t="s">
        <v>9</v>
      </c>
      <c r="D3" s="12">
        <f>0.2914/0.94</f>
        <v>0.31</v>
      </c>
      <c r="E3" s="8" t="s">
        <v>596</v>
      </c>
      <c r="F3" s="8" t="s">
        <v>283</v>
      </c>
      <c r="G3" s="8" t="s">
        <v>13</v>
      </c>
      <c r="H3" s="8" t="s">
        <v>12</v>
      </c>
    </row>
    <row r="4" spans="1:8" x14ac:dyDescent="0.2">
      <c r="A4" s="3">
        <v>3099980014</v>
      </c>
      <c r="B4" s="4" t="s">
        <v>391</v>
      </c>
      <c r="C4" s="4" t="s">
        <v>392</v>
      </c>
      <c r="D4" s="3">
        <v>1</v>
      </c>
      <c r="E4" s="3" t="s">
        <v>16</v>
      </c>
      <c r="F4" s="3" t="s">
        <v>291</v>
      </c>
      <c r="G4" s="3" t="s">
        <v>26</v>
      </c>
      <c r="H4" s="3" t="s">
        <v>393</v>
      </c>
    </row>
    <row r="5" spans="1:8" x14ac:dyDescent="0.2">
      <c r="A5" s="3">
        <v>3060503002</v>
      </c>
      <c r="B5" s="4" t="s">
        <v>21</v>
      </c>
      <c r="C5" s="4" t="s">
        <v>22</v>
      </c>
      <c r="D5" s="3">
        <v>1</v>
      </c>
      <c r="E5" s="3" t="s">
        <v>16</v>
      </c>
      <c r="F5" s="3" t="s">
        <v>289</v>
      </c>
      <c r="G5" s="3" t="s">
        <v>23</v>
      </c>
      <c r="H5" s="3" t="s">
        <v>18</v>
      </c>
    </row>
    <row r="6" spans="1:8" x14ac:dyDescent="0.2">
      <c r="A6" s="3">
        <v>3030314005</v>
      </c>
      <c r="B6" s="4" t="s">
        <v>394</v>
      </c>
      <c r="C6" s="4" t="s">
        <v>395</v>
      </c>
      <c r="D6" s="3">
        <v>1</v>
      </c>
      <c r="E6" s="3" t="s">
        <v>16</v>
      </c>
      <c r="F6" s="3" t="s">
        <v>291</v>
      </c>
      <c r="G6" s="3" t="s">
        <v>26</v>
      </c>
      <c r="H6" s="3" t="s">
        <v>18</v>
      </c>
    </row>
    <row r="7" spans="1:8" x14ac:dyDescent="0.2">
      <c r="A7" s="3">
        <v>3030210001</v>
      </c>
      <c r="B7" s="4" t="s">
        <v>396</v>
      </c>
      <c r="C7" s="4" t="s">
        <v>397</v>
      </c>
      <c r="D7" s="3">
        <v>1</v>
      </c>
      <c r="E7" s="3" t="s">
        <v>16</v>
      </c>
      <c r="F7" s="3" t="s">
        <v>295</v>
      </c>
      <c r="G7" s="3" t="s">
        <v>17</v>
      </c>
      <c r="H7" s="3" t="s">
        <v>18</v>
      </c>
    </row>
    <row r="8" spans="1:8" x14ac:dyDescent="0.2">
      <c r="A8" s="3">
        <v>3080301001</v>
      </c>
      <c r="B8" s="4" t="s">
        <v>247</v>
      </c>
      <c r="C8" s="4" t="s">
        <v>398</v>
      </c>
      <c r="D8" s="3">
        <v>1</v>
      </c>
      <c r="E8" s="3" t="s">
        <v>16</v>
      </c>
      <c r="F8" s="3" t="s">
        <v>295</v>
      </c>
      <c r="G8" s="3" t="s">
        <v>17</v>
      </c>
      <c r="H8" s="3" t="s">
        <v>18</v>
      </c>
    </row>
    <row r="9" spans="1:8" x14ac:dyDescent="0.2">
      <c r="A9" s="3">
        <v>3040201001</v>
      </c>
      <c r="B9" s="4" t="s">
        <v>399</v>
      </c>
      <c r="C9" s="4" t="s">
        <v>400</v>
      </c>
      <c r="D9" s="3">
        <v>2</v>
      </c>
      <c r="E9" s="3" t="s">
        <v>16</v>
      </c>
      <c r="F9" s="3" t="s">
        <v>293</v>
      </c>
      <c r="G9" s="3" t="s">
        <v>29</v>
      </c>
      <c r="H9" s="3" t="s">
        <v>18</v>
      </c>
    </row>
    <row r="10" spans="1:8" x14ac:dyDescent="0.2">
      <c r="A10" s="3">
        <v>3030202002</v>
      </c>
      <c r="B10" s="4" t="s">
        <v>401</v>
      </c>
      <c r="C10" s="4" t="s">
        <v>402</v>
      </c>
      <c r="D10" s="3">
        <v>1</v>
      </c>
      <c r="E10" s="3" t="s">
        <v>16</v>
      </c>
      <c r="F10" s="3" t="s">
        <v>295</v>
      </c>
      <c r="G10" s="3" t="s">
        <v>17</v>
      </c>
      <c r="H10" s="3" t="s">
        <v>18</v>
      </c>
    </row>
    <row r="11" spans="1:8" x14ac:dyDescent="0.2">
      <c r="A11" s="3">
        <v>3030202003</v>
      </c>
      <c r="B11" s="4" t="s">
        <v>403</v>
      </c>
      <c r="C11" s="4" t="s">
        <v>404</v>
      </c>
      <c r="D11" s="3">
        <v>1</v>
      </c>
      <c r="E11" s="3" t="s">
        <v>16</v>
      </c>
      <c r="F11" s="3" t="s">
        <v>295</v>
      </c>
      <c r="G11" s="3" t="s">
        <v>17</v>
      </c>
      <c r="H11" s="3" t="s">
        <v>18</v>
      </c>
    </row>
    <row r="12" spans="1:8" x14ac:dyDescent="0.2">
      <c r="A12" s="3">
        <v>3030212001</v>
      </c>
      <c r="B12" s="4" t="s">
        <v>405</v>
      </c>
      <c r="C12" s="4" t="s">
        <v>406</v>
      </c>
      <c r="D12" s="3">
        <v>1</v>
      </c>
      <c r="E12" s="3" t="s">
        <v>16</v>
      </c>
      <c r="F12" s="3" t="s">
        <v>295</v>
      </c>
      <c r="G12" s="3" t="s">
        <v>17</v>
      </c>
      <c r="H12" s="3" t="s">
        <v>18</v>
      </c>
    </row>
    <row r="13" spans="1:8" x14ac:dyDescent="0.2">
      <c r="A13" s="3">
        <v>3030206003</v>
      </c>
      <c r="B13" s="4" t="s">
        <v>407</v>
      </c>
      <c r="C13" s="4" t="s">
        <v>408</v>
      </c>
      <c r="D13" s="3">
        <v>1</v>
      </c>
      <c r="E13" s="3" t="s">
        <v>16</v>
      </c>
      <c r="F13" s="3" t="s">
        <v>295</v>
      </c>
      <c r="G13" s="3" t="s">
        <v>17</v>
      </c>
      <c r="H13" s="3" t="s">
        <v>18</v>
      </c>
    </row>
    <row r="14" spans="1:8" x14ac:dyDescent="0.2">
      <c r="A14" s="3">
        <v>401020253</v>
      </c>
      <c r="B14" s="4" t="s">
        <v>35</v>
      </c>
      <c r="C14" s="4" t="s">
        <v>409</v>
      </c>
      <c r="D14" s="3">
        <v>1</v>
      </c>
      <c r="E14" s="3" t="s">
        <v>16</v>
      </c>
      <c r="F14" s="3" t="s">
        <v>301</v>
      </c>
      <c r="G14" s="3" t="s">
        <v>32</v>
      </c>
      <c r="H14" s="3" t="s">
        <v>33</v>
      </c>
    </row>
    <row r="15" spans="1:8" x14ac:dyDescent="0.2">
      <c r="A15" s="3">
        <v>401040087</v>
      </c>
      <c r="B15" s="4" t="s">
        <v>35</v>
      </c>
      <c r="C15" s="4" t="s">
        <v>410</v>
      </c>
      <c r="D15" s="3">
        <v>1</v>
      </c>
      <c r="E15" s="3" t="s">
        <v>16</v>
      </c>
      <c r="F15" s="3" t="s">
        <v>293</v>
      </c>
      <c r="G15" s="3" t="s">
        <v>29</v>
      </c>
      <c r="H15" s="3" t="s">
        <v>33</v>
      </c>
    </row>
    <row r="16" spans="1:8" x14ac:dyDescent="0.2">
      <c r="A16" s="3">
        <v>3080101015</v>
      </c>
      <c r="B16" s="4" t="s">
        <v>411</v>
      </c>
      <c r="C16" s="4" t="s">
        <v>412</v>
      </c>
      <c r="D16" s="3">
        <v>2</v>
      </c>
      <c r="E16" s="3" t="s">
        <v>16</v>
      </c>
      <c r="F16" s="3" t="s">
        <v>293</v>
      </c>
      <c r="G16" s="3" t="s">
        <v>29</v>
      </c>
      <c r="H16" s="3" t="s">
        <v>40</v>
      </c>
    </row>
    <row r="17" spans="1:8" x14ac:dyDescent="0.2">
      <c r="A17" s="3">
        <v>3080101002</v>
      </c>
      <c r="B17" s="4" t="s">
        <v>411</v>
      </c>
      <c r="C17" s="4" t="s">
        <v>413</v>
      </c>
      <c r="D17" s="3">
        <v>2</v>
      </c>
      <c r="E17" s="3" t="s">
        <v>16</v>
      </c>
      <c r="F17" s="3" t="s">
        <v>291</v>
      </c>
      <c r="G17" s="3" t="s">
        <v>26</v>
      </c>
      <c r="H17" s="3" t="s">
        <v>40</v>
      </c>
    </row>
    <row r="18" spans="1:8" x14ac:dyDescent="0.2">
      <c r="A18" s="3">
        <v>3080102003</v>
      </c>
      <c r="B18" s="4" t="s">
        <v>38</v>
      </c>
      <c r="C18" s="4" t="s">
        <v>39</v>
      </c>
      <c r="D18" s="3">
        <v>1</v>
      </c>
      <c r="E18" s="3" t="s">
        <v>16</v>
      </c>
      <c r="F18" s="3" t="s">
        <v>289</v>
      </c>
      <c r="G18" s="3" t="s">
        <v>23</v>
      </c>
      <c r="H18" s="3" t="s">
        <v>40</v>
      </c>
    </row>
    <row r="19" spans="1:8" x14ac:dyDescent="0.2">
      <c r="A19" s="3">
        <v>3080401064</v>
      </c>
      <c r="B19" s="4" t="s">
        <v>41</v>
      </c>
      <c r="C19" s="4" t="s">
        <v>414</v>
      </c>
      <c r="D19" s="3">
        <v>1</v>
      </c>
      <c r="E19" s="3" t="s">
        <v>16</v>
      </c>
      <c r="F19" s="3" t="s">
        <v>295</v>
      </c>
      <c r="G19" s="3" t="s">
        <v>17</v>
      </c>
      <c r="H19" s="3" t="s">
        <v>40</v>
      </c>
    </row>
    <row r="20" spans="1:8" x14ac:dyDescent="0.2">
      <c r="A20" s="3">
        <v>3080401016</v>
      </c>
      <c r="B20" s="4" t="s">
        <v>41</v>
      </c>
      <c r="C20" s="4" t="s">
        <v>415</v>
      </c>
      <c r="D20" s="3">
        <v>1</v>
      </c>
      <c r="E20" s="3" t="s">
        <v>16</v>
      </c>
      <c r="F20" s="3" t="s">
        <v>295</v>
      </c>
      <c r="G20" s="3" t="s">
        <v>17</v>
      </c>
      <c r="H20" s="3" t="s">
        <v>40</v>
      </c>
    </row>
    <row r="21" spans="1:8" x14ac:dyDescent="0.2">
      <c r="A21" s="3">
        <v>3080401007</v>
      </c>
      <c r="B21" s="4" t="s">
        <v>41</v>
      </c>
      <c r="C21" s="4" t="s">
        <v>416</v>
      </c>
      <c r="D21" s="3">
        <v>2</v>
      </c>
      <c r="E21" s="3" t="s">
        <v>16</v>
      </c>
      <c r="F21" s="3" t="s">
        <v>293</v>
      </c>
      <c r="G21" s="3" t="s">
        <v>29</v>
      </c>
      <c r="H21" s="3" t="s">
        <v>40</v>
      </c>
    </row>
    <row r="22" spans="1:8" x14ac:dyDescent="0.2">
      <c r="A22" s="3">
        <v>3080401014</v>
      </c>
      <c r="B22" s="4" t="s">
        <v>41</v>
      </c>
      <c r="C22" s="4" t="s">
        <v>417</v>
      </c>
      <c r="D22" s="3">
        <v>4</v>
      </c>
      <c r="E22" s="3" t="s">
        <v>16</v>
      </c>
      <c r="F22" s="3" t="s">
        <v>291</v>
      </c>
      <c r="G22" s="3" t="s">
        <v>26</v>
      </c>
      <c r="H22" s="3" t="s">
        <v>40</v>
      </c>
    </row>
    <row r="23" spans="1:8" x14ac:dyDescent="0.2">
      <c r="A23" s="3">
        <v>3080104018</v>
      </c>
      <c r="B23" s="4" t="s">
        <v>45</v>
      </c>
      <c r="C23" s="4" t="s">
        <v>418</v>
      </c>
      <c r="D23" s="3">
        <v>2</v>
      </c>
      <c r="E23" s="3" t="s">
        <v>16</v>
      </c>
      <c r="F23" s="3" t="s">
        <v>293</v>
      </c>
      <c r="G23" s="3" t="s">
        <v>29</v>
      </c>
      <c r="H23" s="3" t="s">
        <v>40</v>
      </c>
    </row>
    <row r="24" spans="1:8" x14ac:dyDescent="0.2">
      <c r="A24" s="3">
        <v>3080104099</v>
      </c>
      <c r="B24" s="4" t="s">
        <v>45</v>
      </c>
      <c r="C24" s="4" t="s">
        <v>419</v>
      </c>
      <c r="D24" s="3">
        <v>2</v>
      </c>
      <c r="E24" s="3" t="s">
        <v>16</v>
      </c>
      <c r="F24" s="3" t="s">
        <v>291</v>
      </c>
      <c r="G24" s="3" t="s">
        <v>26</v>
      </c>
      <c r="H24" s="3" t="s">
        <v>40</v>
      </c>
    </row>
    <row r="25" spans="1:8" x14ac:dyDescent="0.2">
      <c r="A25" s="3">
        <v>3080105024</v>
      </c>
      <c r="B25" s="4" t="s">
        <v>50</v>
      </c>
      <c r="C25" s="4" t="s">
        <v>420</v>
      </c>
      <c r="D25" s="3">
        <v>8</v>
      </c>
      <c r="E25" s="3" t="s">
        <v>16</v>
      </c>
      <c r="F25" s="3" t="s">
        <v>289</v>
      </c>
      <c r="G25" s="3" t="s">
        <v>23</v>
      </c>
      <c r="H25" s="3" t="s">
        <v>40</v>
      </c>
    </row>
    <row r="26" spans="1:8" x14ac:dyDescent="0.2">
      <c r="A26" s="3">
        <v>3080105114</v>
      </c>
      <c r="B26" s="4" t="s">
        <v>50</v>
      </c>
      <c r="C26" s="4" t="s">
        <v>53</v>
      </c>
      <c r="D26" s="3">
        <v>4</v>
      </c>
      <c r="E26" s="3" t="s">
        <v>16</v>
      </c>
      <c r="F26" s="3" t="s">
        <v>289</v>
      </c>
      <c r="G26" s="3" t="s">
        <v>23</v>
      </c>
      <c r="H26" s="3" t="s">
        <v>40</v>
      </c>
    </row>
    <row r="27" spans="1:8" x14ac:dyDescent="0.2">
      <c r="A27" s="3">
        <v>3080105114</v>
      </c>
      <c r="B27" s="4" t="s">
        <v>50</v>
      </c>
      <c r="C27" s="4" t="s">
        <v>53</v>
      </c>
      <c r="D27" s="3">
        <v>4</v>
      </c>
      <c r="E27" s="3" t="s">
        <v>16</v>
      </c>
      <c r="F27" s="3" t="s">
        <v>289</v>
      </c>
      <c r="G27" s="3" t="s">
        <v>23</v>
      </c>
      <c r="H27" s="3" t="s">
        <v>40</v>
      </c>
    </row>
    <row r="28" spans="1:8" x14ac:dyDescent="0.2">
      <c r="A28" s="3">
        <v>3080105004</v>
      </c>
      <c r="B28" s="4" t="s">
        <v>50</v>
      </c>
      <c r="C28" s="4" t="s">
        <v>54</v>
      </c>
      <c r="D28" s="3">
        <v>1</v>
      </c>
      <c r="E28" s="3" t="s">
        <v>16</v>
      </c>
      <c r="F28" s="3" t="s">
        <v>289</v>
      </c>
      <c r="G28" s="3" t="s">
        <v>23</v>
      </c>
      <c r="H28" s="3" t="s">
        <v>40</v>
      </c>
    </row>
    <row r="29" spans="1:8" x14ac:dyDescent="0.2">
      <c r="A29" s="3">
        <v>3080105007</v>
      </c>
      <c r="B29" s="4" t="s">
        <v>50</v>
      </c>
      <c r="C29" s="4" t="s">
        <v>52</v>
      </c>
      <c r="D29" s="3">
        <v>10</v>
      </c>
      <c r="E29" s="3" t="s">
        <v>16</v>
      </c>
      <c r="F29" s="3" t="s">
        <v>289</v>
      </c>
      <c r="G29" s="3" t="s">
        <v>23</v>
      </c>
      <c r="H29" s="3" t="s">
        <v>40</v>
      </c>
    </row>
    <row r="30" spans="1:8" x14ac:dyDescent="0.2">
      <c r="A30" s="3">
        <v>3080105040</v>
      </c>
      <c r="B30" s="4" t="s">
        <v>50</v>
      </c>
      <c r="C30" s="4" t="s">
        <v>421</v>
      </c>
      <c r="D30" s="3">
        <v>12</v>
      </c>
      <c r="E30" s="3" t="s">
        <v>16</v>
      </c>
      <c r="F30" s="3" t="s">
        <v>293</v>
      </c>
      <c r="G30" s="3" t="s">
        <v>29</v>
      </c>
      <c r="H30" s="3" t="s">
        <v>40</v>
      </c>
    </row>
    <row r="31" spans="1:8" x14ac:dyDescent="0.2">
      <c r="A31" s="3">
        <v>3080105015</v>
      </c>
      <c r="B31" s="4" t="s">
        <v>50</v>
      </c>
      <c r="C31" s="4" t="s">
        <v>422</v>
      </c>
      <c r="D31" s="3">
        <v>8</v>
      </c>
      <c r="E31" s="3" t="s">
        <v>16</v>
      </c>
      <c r="F31" s="3" t="s">
        <v>293</v>
      </c>
      <c r="G31" s="3" t="s">
        <v>29</v>
      </c>
      <c r="H31" s="3" t="s">
        <v>40</v>
      </c>
    </row>
    <row r="32" spans="1:8" x14ac:dyDescent="0.2">
      <c r="A32" s="3">
        <v>3080105088</v>
      </c>
      <c r="B32" s="4" t="s">
        <v>50</v>
      </c>
      <c r="C32" s="4" t="s">
        <v>423</v>
      </c>
      <c r="D32" s="3">
        <v>2</v>
      </c>
      <c r="E32" s="3" t="s">
        <v>16</v>
      </c>
      <c r="F32" s="3" t="s">
        <v>293</v>
      </c>
      <c r="G32" s="3" t="s">
        <v>29</v>
      </c>
      <c r="H32" s="3" t="s">
        <v>40</v>
      </c>
    </row>
    <row r="33" spans="1:8" x14ac:dyDescent="0.2">
      <c r="A33" s="3">
        <v>3080105008</v>
      </c>
      <c r="B33" s="4" t="s">
        <v>50</v>
      </c>
      <c r="C33" s="4" t="s">
        <v>424</v>
      </c>
      <c r="D33" s="3">
        <v>8</v>
      </c>
      <c r="E33" s="3" t="s">
        <v>16</v>
      </c>
      <c r="F33" s="3" t="s">
        <v>293</v>
      </c>
      <c r="G33" s="3" t="s">
        <v>29</v>
      </c>
      <c r="H33" s="3" t="s">
        <v>40</v>
      </c>
    </row>
    <row r="34" spans="1:8" x14ac:dyDescent="0.2">
      <c r="A34" s="3">
        <v>3080104055</v>
      </c>
      <c r="B34" s="4" t="s">
        <v>50</v>
      </c>
      <c r="C34" s="4" t="s">
        <v>425</v>
      </c>
      <c r="D34" s="3">
        <v>2</v>
      </c>
      <c r="E34" s="3" t="s">
        <v>16</v>
      </c>
      <c r="F34" s="3" t="s">
        <v>291</v>
      </c>
      <c r="G34" s="3" t="s">
        <v>26</v>
      </c>
      <c r="H34" s="3" t="s">
        <v>40</v>
      </c>
    </row>
    <row r="35" spans="1:8" x14ac:dyDescent="0.2">
      <c r="A35" s="3">
        <v>3080105040</v>
      </c>
      <c r="B35" s="4" t="s">
        <v>50</v>
      </c>
      <c r="C35" s="4" t="s">
        <v>421</v>
      </c>
      <c r="D35" s="3">
        <v>2</v>
      </c>
      <c r="E35" s="3" t="s">
        <v>16</v>
      </c>
      <c r="F35" s="3" t="s">
        <v>291</v>
      </c>
      <c r="G35" s="3" t="s">
        <v>26</v>
      </c>
      <c r="H35" s="3" t="s">
        <v>40</v>
      </c>
    </row>
    <row r="36" spans="1:8" x14ac:dyDescent="0.2">
      <c r="A36" s="3">
        <v>3080502003</v>
      </c>
      <c r="B36" s="4" t="s">
        <v>55</v>
      </c>
      <c r="C36" s="4" t="s">
        <v>426</v>
      </c>
      <c r="D36" s="3">
        <v>2</v>
      </c>
      <c r="E36" s="3" t="s">
        <v>16</v>
      </c>
      <c r="F36" s="3" t="s">
        <v>291</v>
      </c>
      <c r="G36" s="3" t="s">
        <v>26</v>
      </c>
      <c r="H36" s="3" t="s">
        <v>40</v>
      </c>
    </row>
    <row r="37" spans="1:8" x14ac:dyDescent="0.2">
      <c r="A37" s="3">
        <v>3080201005</v>
      </c>
      <c r="B37" s="4" t="s">
        <v>60</v>
      </c>
      <c r="C37" s="4" t="s">
        <v>427</v>
      </c>
      <c r="D37" s="3">
        <v>1</v>
      </c>
      <c r="E37" s="3" t="s">
        <v>16</v>
      </c>
      <c r="F37" s="3" t="s">
        <v>291</v>
      </c>
      <c r="G37" s="3" t="s">
        <v>26</v>
      </c>
      <c r="H37" s="3" t="s">
        <v>40</v>
      </c>
    </row>
    <row r="38" spans="1:8" x14ac:dyDescent="0.2">
      <c r="A38" s="3">
        <v>3080201006</v>
      </c>
      <c r="B38" s="4" t="s">
        <v>60</v>
      </c>
      <c r="C38" s="4" t="s">
        <v>428</v>
      </c>
      <c r="D38" s="3">
        <v>1</v>
      </c>
      <c r="E38" s="3" t="s">
        <v>16</v>
      </c>
      <c r="F38" s="3" t="s">
        <v>291</v>
      </c>
      <c r="G38" s="3" t="s">
        <v>26</v>
      </c>
      <c r="H38" s="3" t="s">
        <v>40</v>
      </c>
    </row>
    <row r="39" spans="1:8" x14ac:dyDescent="0.2">
      <c r="A39" s="3">
        <v>3080107038</v>
      </c>
      <c r="B39" s="4" t="s">
        <v>69</v>
      </c>
      <c r="C39" s="4" t="s">
        <v>72</v>
      </c>
      <c r="D39" s="3">
        <v>2</v>
      </c>
      <c r="E39" s="3" t="s">
        <v>16</v>
      </c>
      <c r="F39" s="3" t="s">
        <v>289</v>
      </c>
      <c r="G39" s="3" t="s">
        <v>23</v>
      </c>
      <c r="H39" s="3" t="s">
        <v>40</v>
      </c>
    </row>
    <row r="40" spans="1:8" x14ac:dyDescent="0.2">
      <c r="A40" s="3">
        <v>3080107034</v>
      </c>
      <c r="B40" s="4" t="s">
        <v>69</v>
      </c>
      <c r="C40" s="4" t="s">
        <v>429</v>
      </c>
      <c r="D40" s="3">
        <v>2</v>
      </c>
      <c r="E40" s="3" t="s">
        <v>16</v>
      </c>
      <c r="F40" s="3" t="s">
        <v>295</v>
      </c>
      <c r="G40" s="3" t="s">
        <v>17</v>
      </c>
      <c r="H40" s="3" t="s">
        <v>40</v>
      </c>
    </row>
    <row r="41" spans="1:8" x14ac:dyDescent="0.2">
      <c r="A41" s="3">
        <v>3080107034</v>
      </c>
      <c r="B41" s="4" t="s">
        <v>69</v>
      </c>
      <c r="C41" s="4" t="s">
        <v>429</v>
      </c>
      <c r="D41" s="3">
        <v>6</v>
      </c>
      <c r="E41" s="3" t="s">
        <v>16</v>
      </c>
      <c r="F41" s="3" t="s">
        <v>295</v>
      </c>
      <c r="G41" s="3" t="s">
        <v>17</v>
      </c>
      <c r="H41" s="3" t="s">
        <v>40</v>
      </c>
    </row>
    <row r="42" spans="1:8" x14ac:dyDescent="0.2">
      <c r="A42" s="3">
        <v>3080107002</v>
      </c>
      <c r="B42" s="4" t="s">
        <v>69</v>
      </c>
      <c r="C42" s="4" t="s">
        <v>430</v>
      </c>
      <c r="D42" s="3">
        <v>4</v>
      </c>
      <c r="E42" s="3" t="s">
        <v>16</v>
      </c>
      <c r="F42" s="3" t="s">
        <v>295</v>
      </c>
      <c r="G42" s="3" t="s">
        <v>17</v>
      </c>
      <c r="H42" s="3" t="s">
        <v>40</v>
      </c>
    </row>
    <row r="43" spans="1:8" x14ac:dyDescent="0.2">
      <c r="A43" s="3">
        <v>3080107052</v>
      </c>
      <c r="B43" s="4" t="s">
        <v>69</v>
      </c>
      <c r="C43" s="4" t="s">
        <v>431</v>
      </c>
      <c r="D43" s="3">
        <v>1</v>
      </c>
      <c r="E43" s="3" t="s">
        <v>16</v>
      </c>
      <c r="F43" s="3" t="s">
        <v>295</v>
      </c>
      <c r="G43" s="3" t="s">
        <v>17</v>
      </c>
      <c r="H43" s="3" t="s">
        <v>40</v>
      </c>
    </row>
    <row r="44" spans="1:8" x14ac:dyDescent="0.2">
      <c r="A44" s="3">
        <v>3080107160</v>
      </c>
      <c r="B44" s="4" t="s">
        <v>69</v>
      </c>
      <c r="C44" s="4" t="s">
        <v>432</v>
      </c>
      <c r="D44" s="3">
        <v>4</v>
      </c>
      <c r="E44" s="3" t="s">
        <v>16</v>
      </c>
      <c r="F44" s="3" t="s">
        <v>293</v>
      </c>
      <c r="G44" s="3" t="s">
        <v>29</v>
      </c>
      <c r="H44" s="3" t="s">
        <v>40</v>
      </c>
    </row>
    <row r="45" spans="1:8" x14ac:dyDescent="0.2">
      <c r="A45" s="3">
        <v>3080107308</v>
      </c>
      <c r="B45" s="4" t="s">
        <v>69</v>
      </c>
      <c r="C45" s="4" t="s">
        <v>433</v>
      </c>
      <c r="D45" s="3">
        <v>2</v>
      </c>
      <c r="E45" s="3" t="s">
        <v>16</v>
      </c>
      <c r="F45" s="3" t="s">
        <v>291</v>
      </c>
      <c r="G45" s="3" t="s">
        <v>26</v>
      </c>
      <c r="H45" s="3" t="s">
        <v>40</v>
      </c>
    </row>
    <row r="46" spans="1:8" x14ac:dyDescent="0.2">
      <c r="A46" s="3">
        <v>3080107305</v>
      </c>
      <c r="B46" s="4" t="s">
        <v>69</v>
      </c>
      <c r="C46" s="4" t="s">
        <v>434</v>
      </c>
      <c r="D46" s="3">
        <v>2</v>
      </c>
      <c r="E46" s="3" t="s">
        <v>16</v>
      </c>
      <c r="F46" s="3" t="s">
        <v>291</v>
      </c>
      <c r="G46" s="3" t="s">
        <v>26</v>
      </c>
      <c r="H46" s="3" t="s">
        <v>40</v>
      </c>
    </row>
    <row r="47" spans="1:8" x14ac:dyDescent="0.2">
      <c r="A47" s="3">
        <v>3080107072</v>
      </c>
      <c r="B47" s="4" t="s">
        <v>69</v>
      </c>
      <c r="C47" s="4" t="s">
        <v>435</v>
      </c>
      <c r="D47" s="3">
        <v>4</v>
      </c>
      <c r="E47" s="3" t="s">
        <v>16</v>
      </c>
      <c r="F47" s="3" t="s">
        <v>291</v>
      </c>
      <c r="G47" s="3" t="s">
        <v>26</v>
      </c>
      <c r="H47" s="3" t="s">
        <v>40</v>
      </c>
    </row>
    <row r="48" spans="1:8" x14ac:dyDescent="0.2">
      <c r="A48" s="3">
        <v>3080107094</v>
      </c>
      <c r="B48" s="4" t="s">
        <v>69</v>
      </c>
      <c r="C48" s="4" t="s">
        <v>436</v>
      </c>
      <c r="D48" s="3">
        <v>2</v>
      </c>
      <c r="E48" s="3" t="s">
        <v>16</v>
      </c>
      <c r="F48" s="3" t="s">
        <v>291</v>
      </c>
      <c r="G48" s="3" t="s">
        <v>26</v>
      </c>
      <c r="H48" s="3" t="s">
        <v>40</v>
      </c>
    </row>
    <row r="49" spans="1:8" x14ac:dyDescent="0.2">
      <c r="A49" s="3">
        <v>3080108025</v>
      </c>
      <c r="B49" s="4" t="s">
        <v>77</v>
      </c>
      <c r="C49" s="4" t="s">
        <v>437</v>
      </c>
      <c r="D49" s="3">
        <v>7</v>
      </c>
      <c r="E49" s="3" t="s">
        <v>16</v>
      </c>
      <c r="F49" s="3" t="s">
        <v>295</v>
      </c>
      <c r="G49" s="3" t="s">
        <v>17</v>
      </c>
      <c r="H49" s="3" t="s">
        <v>40</v>
      </c>
    </row>
    <row r="50" spans="1:8" x14ac:dyDescent="0.2">
      <c r="A50" s="3">
        <v>3080108033</v>
      </c>
      <c r="B50" s="4" t="s">
        <v>77</v>
      </c>
      <c r="C50" s="4" t="s">
        <v>438</v>
      </c>
      <c r="D50" s="3">
        <v>4</v>
      </c>
      <c r="E50" s="3" t="s">
        <v>16</v>
      </c>
      <c r="F50" s="3" t="s">
        <v>291</v>
      </c>
      <c r="G50" s="3" t="s">
        <v>26</v>
      </c>
      <c r="H50" s="3" t="s">
        <v>40</v>
      </c>
    </row>
    <row r="51" spans="1:8" x14ac:dyDescent="0.2">
      <c r="A51" s="3">
        <v>3080403001</v>
      </c>
      <c r="B51" s="4" t="s">
        <v>439</v>
      </c>
      <c r="C51" s="4" t="s">
        <v>440</v>
      </c>
      <c r="D51" s="3">
        <v>1</v>
      </c>
      <c r="E51" s="3" t="s">
        <v>16</v>
      </c>
      <c r="F51" s="3" t="s">
        <v>295</v>
      </c>
      <c r="G51" s="3" t="s">
        <v>17</v>
      </c>
      <c r="H51" s="3" t="s">
        <v>40</v>
      </c>
    </row>
    <row r="52" spans="1:8" x14ac:dyDescent="0.2">
      <c r="A52" s="3">
        <v>3080109002</v>
      </c>
      <c r="B52" s="4" t="s">
        <v>441</v>
      </c>
      <c r="C52" s="4" t="s">
        <v>442</v>
      </c>
      <c r="D52" s="3">
        <v>2</v>
      </c>
      <c r="E52" s="3" t="s">
        <v>16</v>
      </c>
      <c r="F52" s="3" t="s">
        <v>295</v>
      </c>
      <c r="G52" s="3" t="s">
        <v>17</v>
      </c>
      <c r="H52" s="3" t="s">
        <v>40</v>
      </c>
    </row>
    <row r="53" spans="1:8" x14ac:dyDescent="0.2">
      <c r="A53" s="3">
        <v>3080111012</v>
      </c>
      <c r="B53" s="4" t="s">
        <v>79</v>
      </c>
      <c r="C53" s="4" t="s">
        <v>443</v>
      </c>
      <c r="D53" s="3">
        <v>2</v>
      </c>
      <c r="E53" s="3" t="s">
        <v>16</v>
      </c>
      <c r="F53" s="3" t="s">
        <v>295</v>
      </c>
      <c r="G53" s="3" t="s">
        <v>17</v>
      </c>
      <c r="H53" s="3" t="s">
        <v>40</v>
      </c>
    </row>
    <row r="54" spans="1:8" x14ac:dyDescent="0.2">
      <c r="A54" s="3">
        <v>3080111006</v>
      </c>
      <c r="B54" s="4" t="s">
        <v>79</v>
      </c>
      <c r="C54" s="4" t="s">
        <v>444</v>
      </c>
      <c r="D54" s="3">
        <v>1</v>
      </c>
      <c r="E54" s="3" t="s">
        <v>16</v>
      </c>
      <c r="F54" s="3" t="s">
        <v>295</v>
      </c>
      <c r="G54" s="3" t="s">
        <v>17</v>
      </c>
      <c r="H54" s="3" t="s">
        <v>40</v>
      </c>
    </row>
    <row r="55" spans="1:8" x14ac:dyDescent="0.2">
      <c r="A55" s="3">
        <v>3080111004</v>
      </c>
      <c r="B55" s="4" t="s">
        <v>79</v>
      </c>
      <c r="C55" s="4" t="s">
        <v>445</v>
      </c>
      <c r="D55" s="3">
        <v>2</v>
      </c>
      <c r="E55" s="3" t="s">
        <v>16</v>
      </c>
      <c r="F55" s="3" t="s">
        <v>293</v>
      </c>
      <c r="G55" s="3" t="s">
        <v>29</v>
      </c>
      <c r="H55" s="3" t="s">
        <v>40</v>
      </c>
    </row>
    <row r="56" spans="1:8" x14ac:dyDescent="0.2">
      <c r="A56" s="3">
        <v>3080111087</v>
      </c>
      <c r="B56" s="4" t="s">
        <v>79</v>
      </c>
      <c r="C56" s="4" t="s">
        <v>80</v>
      </c>
      <c r="D56" s="3">
        <v>7</v>
      </c>
      <c r="E56" s="3" t="s">
        <v>16</v>
      </c>
      <c r="F56" s="3" t="s">
        <v>291</v>
      </c>
      <c r="G56" s="3" t="s">
        <v>26</v>
      </c>
      <c r="H56" s="3" t="s">
        <v>40</v>
      </c>
    </row>
    <row r="57" spans="1:8" x14ac:dyDescent="0.2">
      <c r="A57" s="3">
        <v>3080111087</v>
      </c>
      <c r="B57" s="4" t="s">
        <v>79</v>
      </c>
      <c r="C57" s="4" t="s">
        <v>80</v>
      </c>
      <c r="D57" s="3">
        <v>9</v>
      </c>
      <c r="E57" s="3" t="s">
        <v>16</v>
      </c>
      <c r="F57" s="3" t="s">
        <v>291</v>
      </c>
      <c r="G57" s="3" t="s">
        <v>26</v>
      </c>
      <c r="H57" s="3" t="s">
        <v>40</v>
      </c>
    </row>
    <row r="58" spans="1:8" x14ac:dyDescent="0.2">
      <c r="A58" s="3">
        <v>3080111087</v>
      </c>
      <c r="B58" s="4" t="s">
        <v>79</v>
      </c>
      <c r="C58" s="4" t="s">
        <v>80</v>
      </c>
      <c r="D58" s="3">
        <v>4</v>
      </c>
      <c r="E58" s="3" t="s">
        <v>16</v>
      </c>
      <c r="F58" s="3" t="s">
        <v>291</v>
      </c>
      <c r="G58" s="3" t="s">
        <v>26</v>
      </c>
      <c r="H58" s="3" t="s">
        <v>40</v>
      </c>
    </row>
    <row r="59" spans="1:8" x14ac:dyDescent="0.2">
      <c r="A59" s="3">
        <v>3080111015</v>
      </c>
      <c r="B59" s="4" t="s">
        <v>79</v>
      </c>
      <c r="C59" s="4" t="s">
        <v>446</v>
      </c>
      <c r="D59" s="3">
        <v>4</v>
      </c>
      <c r="E59" s="3" t="s">
        <v>16</v>
      </c>
      <c r="F59" s="3" t="s">
        <v>291</v>
      </c>
      <c r="G59" s="3" t="s">
        <v>26</v>
      </c>
      <c r="H59" s="3" t="s">
        <v>40</v>
      </c>
    </row>
    <row r="60" spans="1:8" x14ac:dyDescent="0.2">
      <c r="A60" s="3">
        <v>407030038</v>
      </c>
      <c r="B60" s="4" t="s">
        <v>81</v>
      </c>
      <c r="C60" s="4" t="s">
        <v>447</v>
      </c>
      <c r="D60" s="3">
        <v>1</v>
      </c>
      <c r="E60" s="3" t="s">
        <v>16</v>
      </c>
      <c r="F60" s="3" t="s">
        <v>301</v>
      </c>
      <c r="G60" s="3" t="s">
        <v>32</v>
      </c>
      <c r="H60" s="3" t="s">
        <v>40</v>
      </c>
    </row>
    <row r="61" spans="1:8" x14ac:dyDescent="0.2">
      <c r="A61" s="3">
        <v>3099991203</v>
      </c>
      <c r="B61" s="4" t="s">
        <v>101</v>
      </c>
      <c r="C61" s="4" t="s">
        <v>102</v>
      </c>
      <c r="D61" s="3">
        <v>1</v>
      </c>
      <c r="E61" s="3" t="s">
        <v>16</v>
      </c>
      <c r="F61" s="3" t="s">
        <v>289</v>
      </c>
      <c r="G61" s="3" t="s">
        <v>23</v>
      </c>
      <c r="H61" s="3" t="s">
        <v>103</v>
      </c>
    </row>
    <row r="62" spans="1:8" x14ac:dyDescent="0.2">
      <c r="A62" s="3">
        <v>3099990104</v>
      </c>
      <c r="B62" s="4" t="s">
        <v>104</v>
      </c>
      <c r="C62" s="4" t="s">
        <v>448</v>
      </c>
      <c r="D62" s="3">
        <v>1</v>
      </c>
      <c r="E62" s="3" t="s">
        <v>16</v>
      </c>
      <c r="F62" s="3" t="s">
        <v>299</v>
      </c>
      <c r="G62" s="3" t="s">
        <v>106</v>
      </c>
      <c r="H62" s="3" t="s">
        <v>103</v>
      </c>
    </row>
    <row r="63" spans="1:8" x14ac:dyDescent="0.2">
      <c r="A63" s="3">
        <v>3099990704</v>
      </c>
      <c r="B63" s="4" t="s">
        <v>449</v>
      </c>
      <c r="C63" s="4" t="s">
        <v>450</v>
      </c>
      <c r="D63" s="3">
        <v>1</v>
      </c>
      <c r="E63" s="3" t="s">
        <v>16</v>
      </c>
      <c r="F63" s="3" t="s">
        <v>299</v>
      </c>
      <c r="G63" s="3" t="s">
        <v>106</v>
      </c>
      <c r="H63" s="3" t="s">
        <v>103</v>
      </c>
    </row>
    <row r="64" spans="1:8" x14ac:dyDescent="0.2">
      <c r="A64" s="3">
        <v>3099990604</v>
      </c>
      <c r="B64" s="4" t="s">
        <v>451</v>
      </c>
      <c r="C64" s="4" t="s">
        <v>450</v>
      </c>
      <c r="D64" s="3">
        <v>1</v>
      </c>
      <c r="E64" s="3" t="s">
        <v>16</v>
      </c>
      <c r="F64" s="3" t="s">
        <v>299</v>
      </c>
      <c r="G64" s="3" t="s">
        <v>106</v>
      </c>
      <c r="H64" s="3" t="s">
        <v>103</v>
      </c>
    </row>
    <row r="65" spans="1:8" x14ac:dyDescent="0.2">
      <c r="A65" s="3">
        <v>402030029</v>
      </c>
      <c r="B65" s="4" t="s">
        <v>107</v>
      </c>
      <c r="C65" s="4" t="s">
        <v>108</v>
      </c>
      <c r="D65" s="3">
        <v>1</v>
      </c>
      <c r="E65" s="3" t="s">
        <v>16</v>
      </c>
      <c r="F65" s="3" t="s">
        <v>289</v>
      </c>
      <c r="G65" s="3" t="s">
        <v>23</v>
      </c>
      <c r="H65" s="3" t="s">
        <v>109</v>
      </c>
    </row>
    <row r="66" spans="1:8" x14ac:dyDescent="0.2">
      <c r="A66" s="3">
        <v>402030027</v>
      </c>
      <c r="B66" s="4" t="s">
        <v>107</v>
      </c>
      <c r="C66" s="4" t="s">
        <v>110</v>
      </c>
      <c r="D66" s="3">
        <v>1</v>
      </c>
      <c r="E66" s="3" t="s">
        <v>16</v>
      </c>
      <c r="F66" s="3" t="s">
        <v>291</v>
      </c>
      <c r="G66" s="3" t="s">
        <v>26</v>
      </c>
      <c r="H66" s="3" t="s">
        <v>109</v>
      </c>
    </row>
    <row r="67" spans="1:8" x14ac:dyDescent="0.2">
      <c r="A67" s="3">
        <v>402020002</v>
      </c>
      <c r="B67" s="4" t="s">
        <v>111</v>
      </c>
      <c r="C67" s="4" t="s">
        <v>452</v>
      </c>
      <c r="D67" s="3">
        <v>2</v>
      </c>
      <c r="E67" s="3" t="s">
        <v>16</v>
      </c>
      <c r="F67" s="3" t="s">
        <v>293</v>
      </c>
      <c r="G67" s="3" t="s">
        <v>29</v>
      </c>
      <c r="H67" s="3" t="s">
        <v>109</v>
      </c>
    </row>
    <row r="68" spans="1:8" x14ac:dyDescent="0.2">
      <c r="A68" s="3">
        <v>3060209002</v>
      </c>
      <c r="B68" s="4" t="s">
        <v>113</v>
      </c>
      <c r="C68" s="4" t="s">
        <v>114</v>
      </c>
      <c r="D68" s="3">
        <v>2</v>
      </c>
      <c r="E68" s="3" t="s">
        <v>16</v>
      </c>
      <c r="F68" s="3" t="s">
        <v>289</v>
      </c>
      <c r="G68" s="3" t="s">
        <v>23</v>
      </c>
      <c r="H68" s="3" t="s">
        <v>115</v>
      </c>
    </row>
    <row r="69" spans="1:8" x14ac:dyDescent="0.2">
      <c r="A69" s="3">
        <v>3040216001</v>
      </c>
      <c r="B69" s="4" t="s">
        <v>328</v>
      </c>
      <c r="C69" s="4" t="s">
        <v>329</v>
      </c>
      <c r="D69" s="3">
        <v>4</v>
      </c>
      <c r="E69" s="3" t="s">
        <v>16</v>
      </c>
      <c r="F69" s="3" t="s">
        <v>293</v>
      </c>
      <c r="G69" s="3" t="s">
        <v>29</v>
      </c>
      <c r="H69" s="3" t="s">
        <v>115</v>
      </c>
    </row>
    <row r="70" spans="1:8" x14ac:dyDescent="0.2">
      <c r="A70" s="3">
        <v>3030204017</v>
      </c>
      <c r="B70" s="4" t="s">
        <v>453</v>
      </c>
      <c r="C70" s="4" t="s">
        <v>454</v>
      </c>
      <c r="D70" s="3">
        <v>1</v>
      </c>
      <c r="E70" s="3" t="s">
        <v>16</v>
      </c>
      <c r="F70" s="3" t="s">
        <v>295</v>
      </c>
      <c r="G70" s="3" t="s">
        <v>17</v>
      </c>
      <c r="H70" s="3" t="s">
        <v>115</v>
      </c>
    </row>
    <row r="71" spans="1:8" x14ac:dyDescent="0.2">
      <c r="A71" s="3">
        <v>3030204005</v>
      </c>
      <c r="B71" s="4" t="s">
        <v>455</v>
      </c>
      <c r="C71" s="4" t="s">
        <v>456</v>
      </c>
      <c r="D71" s="3">
        <v>1</v>
      </c>
      <c r="E71" s="3" t="s">
        <v>16</v>
      </c>
      <c r="F71" s="3" t="s">
        <v>295</v>
      </c>
      <c r="G71" s="3" t="s">
        <v>17</v>
      </c>
      <c r="H71" s="3" t="s">
        <v>115</v>
      </c>
    </row>
    <row r="72" spans="1:8" x14ac:dyDescent="0.2">
      <c r="A72" s="3">
        <v>3050203003</v>
      </c>
      <c r="B72" s="4" t="s">
        <v>120</v>
      </c>
      <c r="C72" s="4" t="s">
        <v>457</v>
      </c>
      <c r="D72" s="3">
        <v>2</v>
      </c>
      <c r="E72" s="3" t="s">
        <v>16</v>
      </c>
      <c r="F72" s="3" t="s">
        <v>291</v>
      </c>
      <c r="G72" s="3" t="s">
        <v>26</v>
      </c>
      <c r="H72" s="3" t="s">
        <v>115</v>
      </c>
    </row>
    <row r="73" spans="1:8" x14ac:dyDescent="0.2">
      <c r="A73" s="3">
        <v>3030204008</v>
      </c>
      <c r="B73" s="4" t="s">
        <v>122</v>
      </c>
      <c r="C73" s="4" t="s">
        <v>123</v>
      </c>
      <c r="D73" s="3">
        <v>1</v>
      </c>
      <c r="E73" s="3" t="s">
        <v>16</v>
      </c>
      <c r="F73" s="3" t="s">
        <v>291</v>
      </c>
      <c r="G73" s="3" t="s">
        <v>26</v>
      </c>
      <c r="H73" s="3" t="s">
        <v>115</v>
      </c>
    </row>
    <row r="74" spans="1:8" x14ac:dyDescent="0.2">
      <c r="A74" s="3">
        <v>3030206001</v>
      </c>
      <c r="B74" s="4" t="s">
        <v>458</v>
      </c>
      <c r="C74" s="4" t="s">
        <v>404</v>
      </c>
      <c r="D74" s="3">
        <v>1</v>
      </c>
      <c r="E74" s="3" t="s">
        <v>16</v>
      </c>
      <c r="F74" s="3" t="s">
        <v>295</v>
      </c>
      <c r="G74" s="3" t="s">
        <v>17</v>
      </c>
      <c r="H74" s="3" t="s">
        <v>132</v>
      </c>
    </row>
    <row r="75" spans="1:8" x14ac:dyDescent="0.2">
      <c r="A75" s="3">
        <v>3040502051</v>
      </c>
      <c r="B75" s="4" t="s">
        <v>136</v>
      </c>
      <c r="C75" s="4" t="s">
        <v>459</v>
      </c>
      <c r="D75" s="3">
        <v>2</v>
      </c>
      <c r="E75" s="3" t="s">
        <v>16</v>
      </c>
      <c r="F75" s="3" t="s">
        <v>293</v>
      </c>
      <c r="G75" s="3" t="s">
        <v>29</v>
      </c>
      <c r="H75" s="3" t="s">
        <v>138</v>
      </c>
    </row>
    <row r="76" spans="1:8" x14ac:dyDescent="0.2">
      <c r="A76" s="3">
        <v>3990207001</v>
      </c>
      <c r="B76" s="4" t="s">
        <v>140</v>
      </c>
      <c r="C76" s="4" t="s">
        <v>141</v>
      </c>
      <c r="D76" s="3">
        <v>1</v>
      </c>
      <c r="E76" s="3" t="s">
        <v>16</v>
      </c>
      <c r="F76" s="3" t="s">
        <v>285</v>
      </c>
      <c r="G76" s="3" t="s">
        <v>142</v>
      </c>
      <c r="H76" s="3" t="s">
        <v>143</v>
      </c>
    </row>
    <row r="77" spans="1:8" x14ac:dyDescent="0.2">
      <c r="A77" s="3">
        <v>3030301005</v>
      </c>
      <c r="B77" s="4" t="s">
        <v>144</v>
      </c>
      <c r="C77" s="4" t="s">
        <v>145</v>
      </c>
      <c r="D77" s="3">
        <v>2</v>
      </c>
      <c r="E77" s="3" t="s">
        <v>16</v>
      </c>
      <c r="F77" s="3" t="s">
        <v>291</v>
      </c>
      <c r="G77" s="3" t="s">
        <v>26</v>
      </c>
      <c r="H77" s="3" t="s">
        <v>143</v>
      </c>
    </row>
    <row r="78" spans="1:8" x14ac:dyDescent="0.2">
      <c r="A78" s="3">
        <v>3990205003</v>
      </c>
      <c r="B78" s="4" t="s">
        <v>146</v>
      </c>
      <c r="C78" s="4" t="s">
        <v>460</v>
      </c>
      <c r="D78" s="3">
        <v>1</v>
      </c>
      <c r="E78" s="3" t="s">
        <v>16</v>
      </c>
      <c r="F78" s="3" t="s">
        <v>287</v>
      </c>
      <c r="G78" s="3" t="s">
        <v>148</v>
      </c>
      <c r="H78" s="3" t="s">
        <v>143</v>
      </c>
    </row>
    <row r="79" spans="1:8" x14ac:dyDescent="0.2">
      <c r="A79" s="3">
        <v>408090008</v>
      </c>
      <c r="B79" s="4" t="s">
        <v>461</v>
      </c>
      <c r="C79" s="4" t="s">
        <v>462</v>
      </c>
      <c r="D79" s="3">
        <v>1</v>
      </c>
      <c r="E79" s="3" t="s">
        <v>16</v>
      </c>
      <c r="F79" s="3" t="s">
        <v>293</v>
      </c>
      <c r="G79" s="3" t="s">
        <v>29</v>
      </c>
      <c r="H79" s="3" t="s">
        <v>151</v>
      </c>
    </row>
    <row r="80" spans="1:8" x14ac:dyDescent="0.2">
      <c r="A80" s="3">
        <v>408090007</v>
      </c>
      <c r="B80" s="4" t="s">
        <v>463</v>
      </c>
      <c r="C80" s="4" t="s">
        <v>464</v>
      </c>
      <c r="D80" s="3">
        <v>1</v>
      </c>
      <c r="E80" s="3" t="s">
        <v>16</v>
      </c>
      <c r="F80" s="3" t="s">
        <v>293</v>
      </c>
      <c r="G80" s="3" t="s">
        <v>29</v>
      </c>
      <c r="H80" s="3" t="s">
        <v>151</v>
      </c>
    </row>
    <row r="81" spans="1:8" x14ac:dyDescent="0.2">
      <c r="A81" s="3">
        <v>407010069</v>
      </c>
      <c r="B81" s="4" t="s">
        <v>149</v>
      </c>
      <c r="C81" s="4" t="s">
        <v>465</v>
      </c>
      <c r="D81" s="3">
        <v>1</v>
      </c>
      <c r="E81" s="3" t="s">
        <v>16</v>
      </c>
      <c r="F81" s="3" t="s">
        <v>289</v>
      </c>
      <c r="G81" s="3" t="s">
        <v>23</v>
      </c>
      <c r="H81" s="3" t="s">
        <v>151</v>
      </c>
    </row>
    <row r="82" spans="1:8" x14ac:dyDescent="0.2">
      <c r="A82" s="3">
        <v>3070103002</v>
      </c>
      <c r="B82" s="4" t="s">
        <v>152</v>
      </c>
      <c r="C82" s="4" t="s">
        <v>153</v>
      </c>
      <c r="D82" s="3">
        <v>1</v>
      </c>
      <c r="E82" s="3" t="s">
        <v>16</v>
      </c>
      <c r="F82" s="3" t="s">
        <v>289</v>
      </c>
      <c r="G82" s="3" t="s">
        <v>23</v>
      </c>
      <c r="H82" s="3" t="s">
        <v>154</v>
      </c>
    </row>
    <row r="83" spans="1:8" x14ac:dyDescent="0.2">
      <c r="A83" s="3">
        <v>3080507001</v>
      </c>
      <c r="B83" s="4" t="s">
        <v>466</v>
      </c>
      <c r="C83" s="4" t="s">
        <v>467</v>
      </c>
      <c r="D83" s="3">
        <v>4</v>
      </c>
      <c r="E83" s="3" t="s">
        <v>16</v>
      </c>
      <c r="F83" s="3" t="s">
        <v>291</v>
      </c>
      <c r="G83" s="3" t="s">
        <v>26</v>
      </c>
      <c r="H83" s="3" t="s">
        <v>154</v>
      </c>
    </row>
    <row r="84" spans="1:8" x14ac:dyDescent="0.2">
      <c r="A84" s="3">
        <v>3030301010</v>
      </c>
      <c r="B84" s="4" t="s">
        <v>468</v>
      </c>
      <c r="C84" s="4" t="s">
        <v>469</v>
      </c>
      <c r="D84" s="3">
        <v>4</v>
      </c>
      <c r="E84" s="3" t="s">
        <v>16</v>
      </c>
      <c r="F84" s="3" t="s">
        <v>295</v>
      </c>
      <c r="G84" s="3" t="s">
        <v>17</v>
      </c>
      <c r="H84" s="3" t="s">
        <v>165</v>
      </c>
    </row>
    <row r="85" spans="1:8" x14ac:dyDescent="0.2">
      <c r="A85" s="3">
        <v>3060347005</v>
      </c>
      <c r="B85" s="4" t="s">
        <v>470</v>
      </c>
      <c r="C85" s="4" t="s">
        <v>471</v>
      </c>
      <c r="D85" s="3">
        <v>1</v>
      </c>
      <c r="E85" s="3" t="s">
        <v>16</v>
      </c>
      <c r="F85" s="3" t="s">
        <v>291</v>
      </c>
      <c r="G85" s="3" t="s">
        <v>26</v>
      </c>
      <c r="H85" s="3" t="s">
        <v>165</v>
      </c>
    </row>
    <row r="86" spans="1:8" x14ac:dyDescent="0.2">
      <c r="A86" s="3">
        <v>3060347006</v>
      </c>
      <c r="B86" s="4" t="s">
        <v>470</v>
      </c>
      <c r="C86" s="4" t="s">
        <v>472</v>
      </c>
      <c r="D86" s="3">
        <v>1</v>
      </c>
      <c r="E86" s="3" t="s">
        <v>16</v>
      </c>
      <c r="F86" s="3" t="s">
        <v>291</v>
      </c>
      <c r="G86" s="3" t="s">
        <v>26</v>
      </c>
      <c r="H86" s="3" t="s">
        <v>165</v>
      </c>
    </row>
    <row r="87" spans="1:8" x14ac:dyDescent="0.2">
      <c r="A87" s="3">
        <v>3060306001</v>
      </c>
      <c r="B87" s="4" t="s">
        <v>163</v>
      </c>
      <c r="C87" s="4" t="s">
        <v>164</v>
      </c>
      <c r="D87" s="3">
        <v>1</v>
      </c>
      <c r="E87" s="3" t="s">
        <v>16</v>
      </c>
      <c r="F87" s="3" t="s">
        <v>289</v>
      </c>
      <c r="G87" s="3" t="s">
        <v>23</v>
      </c>
      <c r="H87" s="3" t="s">
        <v>165</v>
      </c>
    </row>
    <row r="88" spans="1:8" x14ac:dyDescent="0.2">
      <c r="A88" s="3">
        <v>3110103002</v>
      </c>
      <c r="B88" s="4" t="s">
        <v>473</v>
      </c>
      <c r="C88" s="4" t="s">
        <v>474</v>
      </c>
      <c r="D88" s="3">
        <v>1</v>
      </c>
      <c r="E88" s="3" t="s">
        <v>16</v>
      </c>
      <c r="F88" s="3" t="s">
        <v>291</v>
      </c>
      <c r="G88" s="3" t="s">
        <v>26</v>
      </c>
      <c r="H88" s="3" t="s">
        <v>165</v>
      </c>
    </row>
    <row r="89" spans="1:8" x14ac:dyDescent="0.2">
      <c r="A89" s="3">
        <v>3030316006</v>
      </c>
      <c r="B89" s="4" t="s">
        <v>475</v>
      </c>
      <c r="C89" s="4" t="s">
        <v>476</v>
      </c>
      <c r="D89" s="3">
        <v>1</v>
      </c>
      <c r="E89" s="3" t="s">
        <v>16</v>
      </c>
      <c r="F89" s="3" t="s">
        <v>295</v>
      </c>
      <c r="G89" s="3" t="s">
        <v>17</v>
      </c>
      <c r="H89" s="3" t="s">
        <v>165</v>
      </c>
    </row>
    <row r="90" spans="1:8" x14ac:dyDescent="0.2">
      <c r="A90" s="3">
        <v>3030314007</v>
      </c>
      <c r="B90" s="4" t="s">
        <v>477</v>
      </c>
      <c r="C90" s="4" t="s">
        <v>478</v>
      </c>
      <c r="D90" s="3">
        <v>1</v>
      </c>
      <c r="E90" s="3" t="s">
        <v>16</v>
      </c>
      <c r="F90" s="3" t="s">
        <v>291</v>
      </c>
      <c r="G90" s="3" t="s">
        <v>26</v>
      </c>
      <c r="H90" s="3" t="s">
        <v>165</v>
      </c>
    </row>
    <row r="91" spans="1:8" x14ac:dyDescent="0.2">
      <c r="A91" s="3">
        <v>3030308013</v>
      </c>
      <c r="B91" s="4" t="s">
        <v>479</v>
      </c>
      <c r="C91" s="4" t="s">
        <v>478</v>
      </c>
      <c r="D91" s="3">
        <v>1</v>
      </c>
      <c r="E91" s="3" t="s">
        <v>16</v>
      </c>
      <c r="F91" s="3" t="s">
        <v>291</v>
      </c>
      <c r="G91" s="3" t="s">
        <v>26</v>
      </c>
      <c r="H91" s="3" t="s">
        <v>165</v>
      </c>
    </row>
    <row r="92" spans="1:8" x14ac:dyDescent="0.2">
      <c r="A92" s="3">
        <v>3050310030</v>
      </c>
      <c r="B92" s="4" t="s">
        <v>480</v>
      </c>
      <c r="C92" s="4" t="s">
        <v>469</v>
      </c>
      <c r="D92" s="3">
        <v>2</v>
      </c>
      <c r="E92" s="3" t="s">
        <v>16</v>
      </c>
      <c r="F92" s="3" t="s">
        <v>291</v>
      </c>
      <c r="G92" s="3" t="s">
        <v>26</v>
      </c>
      <c r="H92" s="3" t="s">
        <v>165</v>
      </c>
    </row>
    <row r="93" spans="1:8" x14ac:dyDescent="0.2">
      <c r="A93" s="3">
        <v>3010106010</v>
      </c>
      <c r="B93" s="4" t="s">
        <v>481</v>
      </c>
      <c r="C93" s="4" t="s">
        <v>482</v>
      </c>
      <c r="D93" s="3">
        <v>0.03</v>
      </c>
      <c r="E93" s="3" t="s">
        <v>10</v>
      </c>
      <c r="F93" s="3" t="s">
        <v>284</v>
      </c>
      <c r="G93" s="3" t="s">
        <v>11</v>
      </c>
      <c r="H93" s="3" t="s">
        <v>483</v>
      </c>
    </row>
    <row r="94" spans="1:8" x14ac:dyDescent="0.2">
      <c r="A94" s="3">
        <v>3060310001</v>
      </c>
      <c r="B94" s="4" t="s">
        <v>171</v>
      </c>
      <c r="C94" s="4" t="s">
        <v>172</v>
      </c>
      <c r="D94" s="3">
        <v>1</v>
      </c>
      <c r="E94" s="3" t="s">
        <v>16</v>
      </c>
      <c r="F94" s="3" t="s">
        <v>289</v>
      </c>
      <c r="G94" s="3" t="s">
        <v>23</v>
      </c>
      <c r="H94" s="3" t="s">
        <v>173</v>
      </c>
    </row>
    <row r="95" spans="1:8" x14ac:dyDescent="0.2">
      <c r="A95" s="3">
        <v>3060311001</v>
      </c>
      <c r="B95" s="4" t="s">
        <v>174</v>
      </c>
      <c r="C95" s="4" t="s">
        <v>172</v>
      </c>
      <c r="D95" s="3">
        <v>1</v>
      </c>
      <c r="E95" s="3" t="s">
        <v>16</v>
      </c>
      <c r="F95" s="3" t="s">
        <v>289</v>
      </c>
      <c r="G95" s="3" t="s">
        <v>23</v>
      </c>
      <c r="H95" s="3" t="s">
        <v>173</v>
      </c>
    </row>
    <row r="96" spans="1:8" x14ac:dyDescent="0.2">
      <c r="A96" s="3">
        <v>3050305013</v>
      </c>
      <c r="B96" s="4" t="s">
        <v>484</v>
      </c>
      <c r="C96" s="4" t="s">
        <v>485</v>
      </c>
      <c r="D96" s="3">
        <v>1</v>
      </c>
      <c r="E96" s="3" t="s">
        <v>16</v>
      </c>
      <c r="F96" s="3" t="s">
        <v>291</v>
      </c>
      <c r="G96" s="3" t="s">
        <v>26</v>
      </c>
      <c r="H96" s="3" t="s">
        <v>173</v>
      </c>
    </row>
    <row r="97" spans="1:8" x14ac:dyDescent="0.2">
      <c r="A97" s="3">
        <v>3040305002</v>
      </c>
      <c r="B97" s="4" t="s">
        <v>486</v>
      </c>
      <c r="C97" s="4" t="s">
        <v>487</v>
      </c>
      <c r="D97" s="3">
        <v>2</v>
      </c>
      <c r="E97" s="3" t="s">
        <v>16</v>
      </c>
      <c r="F97" s="3" t="s">
        <v>293</v>
      </c>
      <c r="G97" s="3" t="s">
        <v>29</v>
      </c>
      <c r="H97" s="3" t="s">
        <v>173</v>
      </c>
    </row>
    <row r="98" spans="1:8" x14ac:dyDescent="0.2">
      <c r="A98" s="3">
        <v>3040313002</v>
      </c>
      <c r="B98" s="4" t="s">
        <v>488</v>
      </c>
      <c r="C98" s="4" t="s">
        <v>489</v>
      </c>
      <c r="D98" s="3">
        <v>8</v>
      </c>
      <c r="E98" s="3" t="s">
        <v>16</v>
      </c>
      <c r="F98" s="3" t="s">
        <v>293</v>
      </c>
      <c r="G98" s="3" t="s">
        <v>29</v>
      </c>
      <c r="H98" s="3" t="s">
        <v>173</v>
      </c>
    </row>
    <row r="99" spans="1:8" x14ac:dyDescent="0.2">
      <c r="A99" s="3">
        <v>3040321001</v>
      </c>
      <c r="B99" s="4" t="s">
        <v>490</v>
      </c>
      <c r="C99" s="4" t="s">
        <v>347</v>
      </c>
      <c r="D99" s="3">
        <v>8</v>
      </c>
      <c r="E99" s="3" t="s">
        <v>16</v>
      </c>
      <c r="F99" s="3" t="s">
        <v>293</v>
      </c>
      <c r="G99" s="3" t="s">
        <v>29</v>
      </c>
      <c r="H99" s="3" t="s">
        <v>173</v>
      </c>
    </row>
    <row r="100" spans="1:8" x14ac:dyDescent="0.2">
      <c r="A100" s="3">
        <v>3040309001</v>
      </c>
      <c r="B100" s="4" t="s">
        <v>346</v>
      </c>
      <c r="C100" s="4" t="s">
        <v>347</v>
      </c>
      <c r="D100" s="3">
        <v>4</v>
      </c>
      <c r="E100" s="3" t="s">
        <v>16</v>
      </c>
      <c r="F100" s="3" t="s">
        <v>293</v>
      </c>
      <c r="G100" s="3" t="s">
        <v>29</v>
      </c>
      <c r="H100" s="3" t="s">
        <v>173</v>
      </c>
    </row>
    <row r="101" spans="1:8" x14ac:dyDescent="0.2">
      <c r="A101" s="3">
        <v>3050304006</v>
      </c>
      <c r="B101" s="4" t="s">
        <v>181</v>
      </c>
      <c r="C101" s="4" t="s">
        <v>491</v>
      </c>
      <c r="D101" s="3">
        <v>1</v>
      </c>
      <c r="E101" s="3" t="s">
        <v>16</v>
      </c>
      <c r="F101" s="3" t="s">
        <v>291</v>
      </c>
      <c r="G101" s="3" t="s">
        <v>26</v>
      </c>
      <c r="H101" s="3" t="s">
        <v>173</v>
      </c>
    </row>
    <row r="102" spans="1:8" x14ac:dyDescent="0.2">
      <c r="A102" s="3">
        <v>3020501014</v>
      </c>
      <c r="B102" s="4" t="s">
        <v>183</v>
      </c>
      <c r="C102" s="4" t="s">
        <v>350</v>
      </c>
      <c r="D102" s="3">
        <v>1</v>
      </c>
      <c r="E102" s="3" t="s">
        <v>16</v>
      </c>
      <c r="F102" s="3" t="s">
        <v>291</v>
      </c>
      <c r="G102" s="3" t="s">
        <v>26</v>
      </c>
      <c r="H102" s="3" t="s">
        <v>185</v>
      </c>
    </row>
    <row r="103" spans="1:8" x14ac:dyDescent="0.2">
      <c r="A103" s="3">
        <v>3030204003</v>
      </c>
      <c r="B103" s="4" t="s">
        <v>492</v>
      </c>
      <c r="C103" s="4" t="s">
        <v>493</v>
      </c>
      <c r="D103" s="3">
        <v>2</v>
      </c>
      <c r="E103" s="3" t="s">
        <v>16</v>
      </c>
      <c r="F103" s="3" t="s">
        <v>295</v>
      </c>
      <c r="G103" s="3" t="s">
        <v>17</v>
      </c>
      <c r="H103" s="3" t="s">
        <v>494</v>
      </c>
    </row>
    <row r="104" spans="1:8" x14ac:dyDescent="0.2">
      <c r="A104" s="3">
        <v>3990201008</v>
      </c>
      <c r="B104" s="4" t="s">
        <v>186</v>
      </c>
      <c r="C104" s="4" t="s">
        <v>495</v>
      </c>
      <c r="D104" s="3">
        <v>1</v>
      </c>
      <c r="E104" s="3" t="s">
        <v>16</v>
      </c>
      <c r="F104" s="3" t="s">
        <v>295</v>
      </c>
      <c r="G104" s="3" t="s">
        <v>17</v>
      </c>
      <c r="H104" s="3" t="s">
        <v>187</v>
      </c>
    </row>
    <row r="105" spans="1:8" x14ac:dyDescent="0.2">
      <c r="A105" s="3">
        <v>3990202007</v>
      </c>
      <c r="B105" s="4" t="s">
        <v>188</v>
      </c>
      <c r="C105" s="4" t="s">
        <v>495</v>
      </c>
      <c r="D105" s="3">
        <v>1</v>
      </c>
      <c r="E105" s="3" t="s">
        <v>16</v>
      </c>
      <c r="F105" s="3" t="s">
        <v>295</v>
      </c>
      <c r="G105" s="3" t="s">
        <v>17</v>
      </c>
      <c r="H105" s="3" t="s">
        <v>187</v>
      </c>
    </row>
    <row r="106" spans="1:8" x14ac:dyDescent="0.2">
      <c r="A106" s="3">
        <v>3990203002</v>
      </c>
      <c r="B106" s="4" t="s">
        <v>189</v>
      </c>
      <c r="C106" s="4" t="s">
        <v>495</v>
      </c>
      <c r="D106" s="3">
        <v>1</v>
      </c>
      <c r="E106" s="3" t="s">
        <v>16</v>
      </c>
      <c r="F106" s="3" t="s">
        <v>295</v>
      </c>
      <c r="G106" s="3" t="s">
        <v>17</v>
      </c>
      <c r="H106" s="3" t="s">
        <v>187</v>
      </c>
    </row>
    <row r="107" spans="1:8" x14ac:dyDescent="0.2">
      <c r="A107" s="3">
        <v>3050405001</v>
      </c>
      <c r="B107" s="4" t="s">
        <v>496</v>
      </c>
      <c r="C107" s="4" t="s">
        <v>497</v>
      </c>
      <c r="D107" s="3">
        <v>1</v>
      </c>
      <c r="E107" s="3" t="s">
        <v>16</v>
      </c>
      <c r="F107" s="3" t="s">
        <v>291</v>
      </c>
      <c r="G107" s="3" t="s">
        <v>26</v>
      </c>
      <c r="H107" s="3" t="s">
        <v>192</v>
      </c>
    </row>
    <row r="108" spans="1:8" x14ac:dyDescent="0.2">
      <c r="A108" s="3">
        <v>3030402001</v>
      </c>
      <c r="B108" s="4" t="s">
        <v>498</v>
      </c>
      <c r="C108" s="4" t="s">
        <v>499</v>
      </c>
      <c r="D108" s="3">
        <v>1</v>
      </c>
      <c r="E108" s="3" t="s">
        <v>16</v>
      </c>
      <c r="F108" s="3" t="s">
        <v>295</v>
      </c>
      <c r="G108" s="3" t="s">
        <v>17</v>
      </c>
      <c r="H108" s="3" t="s">
        <v>192</v>
      </c>
    </row>
    <row r="109" spans="1:8" x14ac:dyDescent="0.2">
      <c r="A109" s="3">
        <v>3040402005</v>
      </c>
      <c r="B109" s="4" t="s">
        <v>500</v>
      </c>
      <c r="C109" s="4" t="s">
        <v>501</v>
      </c>
      <c r="D109" s="3">
        <v>1</v>
      </c>
      <c r="E109" s="3" t="s">
        <v>16</v>
      </c>
      <c r="F109" s="3" t="s">
        <v>293</v>
      </c>
      <c r="G109" s="3" t="s">
        <v>29</v>
      </c>
      <c r="H109" s="3" t="s">
        <v>192</v>
      </c>
    </row>
    <row r="110" spans="1:8" x14ac:dyDescent="0.2">
      <c r="A110" s="3">
        <v>3040402006</v>
      </c>
      <c r="B110" s="4" t="s">
        <v>500</v>
      </c>
      <c r="C110" s="4" t="s">
        <v>502</v>
      </c>
      <c r="D110" s="3">
        <v>1</v>
      </c>
      <c r="E110" s="3" t="s">
        <v>16</v>
      </c>
      <c r="F110" s="3" t="s">
        <v>293</v>
      </c>
      <c r="G110" s="3" t="s">
        <v>29</v>
      </c>
      <c r="H110" s="3" t="s">
        <v>192</v>
      </c>
    </row>
    <row r="111" spans="1:8" x14ac:dyDescent="0.2">
      <c r="A111" s="3">
        <v>404100001</v>
      </c>
      <c r="B111" s="4" t="s">
        <v>196</v>
      </c>
      <c r="C111" s="4" t="s">
        <v>503</v>
      </c>
      <c r="D111" s="3">
        <v>1</v>
      </c>
      <c r="E111" s="3" t="s">
        <v>16</v>
      </c>
      <c r="F111" s="3" t="s">
        <v>301</v>
      </c>
      <c r="G111" s="3" t="s">
        <v>32</v>
      </c>
      <c r="H111" s="3" t="s">
        <v>198</v>
      </c>
    </row>
    <row r="112" spans="1:8" x14ac:dyDescent="0.2">
      <c r="A112" s="3">
        <v>404110008</v>
      </c>
      <c r="B112" s="4" t="s">
        <v>504</v>
      </c>
      <c r="C112" s="4" t="s">
        <v>505</v>
      </c>
      <c r="D112" s="3">
        <v>2</v>
      </c>
      <c r="E112" s="3" t="s">
        <v>16</v>
      </c>
      <c r="F112" s="3" t="s">
        <v>291</v>
      </c>
      <c r="G112" s="3" t="s">
        <v>26</v>
      </c>
      <c r="H112" s="3" t="s">
        <v>198</v>
      </c>
    </row>
    <row r="113" spans="1:8" x14ac:dyDescent="0.2">
      <c r="A113" s="3">
        <v>404110001</v>
      </c>
      <c r="B113" s="4" t="s">
        <v>504</v>
      </c>
      <c r="C113" s="4" t="s">
        <v>506</v>
      </c>
      <c r="D113" s="3">
        <v>1</v>
      </c>
      <c r="E113" s="3" t="s">
        <v>16</v>
      </c>
      <c r="F113" s="3" t="s">
        <v>291</v>
      </c>
      <c r="G113" s="3" t="s">
        <v>26</v>
      </c>
      <c r="H113" s="3" t="s">
        <v>198</v>
      </c>
    </row>
    <row r="114" spans="1:8" x14ac:dyDescent="0.2">
      <c r="A114" s="3">
        <v>403030012</v>
      </c>
      <c r="B114" s="4" t="s">
        <v>366</v>
      </c>
      <c r="C114" s="4" t="s">
        <v>507</v>
      </c>
      <c r="D114" s="3">
        <v>2</v>
      </c>
      <c r="E114" s="3" t="s">
        <v>16</v>
      </c>
      <c r="F114" s="3" t="s">
        <v>291</v>
      </c>
      <c r="G114" s="3" t="s">
        <v>26</v>
      </c>
      <c r="H114" s="3" t="s">
        <v>198</v>
      </c>
    </row>
    <row r="115" spans="1:8" x14ac:dyDescent="0.2">
      <c r="A115" s="3">
        <v>401070018</v>
      </c>
      <c r="B115" s="4" t="s">
        <v>35</v>
      </c>
      <c r="C115" s="4" t="s">
        <v>202</v>
      </c>
      <c r="D115" s="3">
        <v>1</v>
      </c>
      <c r="E115" s="3" t="s">
        <v>16</v>
      </c>
      <c r="F115" s="3" t="s">
        <v>291</v>
      </c>
      <c r="G115" s="3" t="s">
        <v>26</v>
      </c>
      <c r="H115" s="3" t="s">
        <v>198</v>
      </c>
    </row>
    <row r="116" spans="1:8" x14ac:dyDescent="0.2">
      <c r="A116" s="3">
        <v>401040100</v>
      </c>
      <c r="B116" s="4" t="s">
        <v>35</v>
      </c>
      <c r="C116" s="4" t="s">
        <v>508</v>
      </c>
      <c r="D116" s="3">
        <v>1</v>
      </c>
      <c r="E116" s="3" t="s">
        <v>16</v>
      </c>
      <c r="F116" s="3" t="s">
        <v>291</v>
      </c>
      <c r="G116" s="3" t="s">
        <v>26</v>
      </c>
      <c r="H116" s="3" t="s">
        <v>198</v>
      </c>
    </row>
    <row r="117" spans="1:8" x14ac:dyDescent="0.2">
      <c r="A117" s="3">
        <v>404100003</v>
      </c>
      <c r="B117" s="4" t="s">
        <v>205</v>
      </c>
      <c r="C117" s="4" t="s">
        <v>509</v>
      </c>
      <c r="D117" s="3">
        <v>1</v>
      </c>
      <c r="E117" s="3" t="s">
        <v>16</v>
      </c>
      <c r="F117" s="3" t="s">
        <v>291</v>
      </c>
      <c r="G117" s="3" t="s">
        <v>26</v>
      </c>
      <c r="H117" s="3" t="s">
        <v>198</v>
      </c>
    </row>
    <row r="118" spans="1:8" x14ac:dyDescent="0.2">
      <c r="A118" s="3">
        <v>404100004</v>
      </c>
      <c r="B118" s="4" t="s">
        <v>207</v>
      </c>
      <c r="C118" s="4" t="s">
        <v>510</v>
      </c>
      <c r="D118" s="3">
        <v>1</v>
      </c>
      <c r="E118" s="3" t="s">
        <v>16</v>
      </c>
      <c r="F118" s="3" t="s">
        <v>291</v>
      </c>
      <c r="G118" s="3" t="s">
        <v>26</v>
      </c>
      <c r="H118" s="3" t="s">
        <v>198</v>
      </c>
    </row>
    <row r="119" spans="1:8" x14ac:dyDescent="0.2">
      <c r="A119" s="3">
        <v>3030305007</v>
      </c>
      <c r="B119" s="4" t="s">
        <v>511</v>
      </c>
      <c r="C119" s="4" t="s">
        <v>512</v>
      </c>
      <c r="D119" s="3">
        <v>1</v>
      </c>
      <c r="E119" s="3" t="s">
        <v>16</v>
      </c>
      <c r="F119" s="3" t="s">
        <v>295</v>
      </c>
      <c r="G119" s="3" t="s">
        <v>17</v>
      </c>
      <c r="H119" s="3" t="s">
        <v>211</v>
      </c>
    </row>
    <row r="120" spans="1:8" x14ac:dyDescent="0.2">
      <c r="A120" s="3">
        <v>3030305006</v>
      </c>
      <c r="B120" s="4" t="s">
        <v>513</v>
      </c>
      <c r="C120" s="4" t="s">
        <v>512</v>
      </c>
      <c r="D120" s="3">
        <v>1</v>
      </c>
      <c r="E120" s="3" t="s">
        <v>16</v>
      </c>
      <c r="F120" s="3" t="s">
        <v>295</v>
      </c>
      <c r="G120" s="3" t="s">
        <v>17</v>
      </c>
      <c r="H120" s="3" t="s">
        <v>211</v>
      </c>
    </row>
    <row r="121" spans="1:8" x14ac:dyDescent="0.2">
      <c r="A121" s="3">
        <v>3069904001</v>
      </c>
      <c r="B121" s="4" t="s">
        <v>514</v>
      </c>
      <c r="C121" s="4" t="s">
        <v>355</v>
      </c>
      <c r="D121" s="3">
        <v>4</v>
      </c>
      <c r="E121" s="3" t="s">
        <v>16</v>
      </c>
      <c r="F121" s="3" t="s">
        <v>295</v>
      </c>
      <c r="G121" s="3" t="s">
        <v>17</v>
      </c>
      <c r="H121" s="3" t="s">
        <v>214</v>
      </c>
    </row>
    <row r="122" spans="1:8" x14ac:dyDescent="0.2">
      <c r="A122" s="3">
        <v>3030201003</v>
      </c>
      <c r="B122" s="4" t="s">
        <v>515</v>
      </c>
      <c r="C122" s="4" t="s">
        <v>516</v>
      </c>
      <c r="D122" s="3">
        <v>1</v>
      </c>
      <c r="E122" s="3" t="s">
        <v>16</v>
      </c>
      <c r="F122" s="3" t="s">
        <v>295</v>
      </c>
      <c r="G122" s="3" t="s">
        <v>17</v>
      </c>
      <c r="H122" s="3" t="s">
        <v>214</v>
      </c>
    </row>
    <row r="123" spans="1:8" x14ac:dyDescent="0.2">
      <c r="A123" s="3">
        <v>3049903001</v>
      </c>
      <c r="B123" s="4" t="s">
        <v>517</v>
      </c>
      <c r="C123" s="4" t="s">
        <v>355</v>
      </c>
      <c r="D123" s="3">
        <v>2</v>
      </c>
      <c r="E123" s="3" t="s">
        <v>16</v>
      </c>
      <c r="F123" s="3" t="s">
        <v>293</v>
      </c>
      <c r="G123" s="3" t="s">
        <v>29</v>
      </c>
      <c r="H123" s="3" t="s">
        <v>214</v>
      </c>
    </row>
    <row r="124" spans="1:8" x14ac:dyDescent="0.2">
      <c r="A124" s="3">
        <v>3049904001</v>
      </c>
      <c r="B124" s="4" t="s">
        <v>354</v>
      </c>
      <c r="C124" s="4" t="s">
        <v>355</v>
      </c>
      <c r="D124" s="3">
        <v>4</v>
      </c>
      <c r="E124" s="3" t="s">
        <v>16</v>
      </c>
      <c r="F124" s="3" t="s">
        <v>293</v>
      </c>
      <c r="G124" s="3" t="s">
        <v>29</v>
      </c>
      <c r="H124" s="3" t="s">
        <v>214</v>
      </c>
    </row>
    <row r="125" spans="1:8" x14ac:dyDescent="0.2">
      <c r="A125" s="3">
        <v>3049902001</v>
      </c>
      <c r="B125" s="4" t="s">
        <v>518</v>
      </c>
      <c r="C125" s="4" t="s">
        <v>355</v>
      </c>
      <c r="D125" s="3">
        <v>2</v>
      </c>
      <c r="E125" s="3" t="s">
        <v>16</v>
      </c>
      <c r="F125" s="3" t="s">
        <v>293</v>
      </c>
      <c r="G125" s="3" t="s">
        <v>29</v>
      </c>
      <c r="H125" s="3" t="s">
        <v>214</v>
      </c>
    </row>
    <row r="126" spans="1:8" x14ac:dyDescent="0.2">
      <c r="A126" s="3">
        <v>3050204001</v>
      </c>
      <c r="B126" s="4" t="s">
        <v>519</v>
      </c>
      <c r="C126" s="4" t="s">
        <v>355</v>
      </c>
      <c r="D126" s="3">
        <v>2</v>
      </c>
      <c r="E126" s="3" t="s">
        <v>16</v>
      </c>
      <c r="F126" s="3" t="s">
        <v>291</v>
      </c>
      <c r="G126" s="3" t="s">
        <v>26</v>
      </c>
      <c r="H126" s="3" t="s">
        <v>214</v>
      </c>
    </row>
    <row r="127" spans="1:8" x14ac:dyDescent="0.2">
      <c r="A127" s="3">
        <v>3050204002</v>
      </c>
      <c r="B127" s="4" t="s">
        <v>520</v>
      </c>
      <c r="C127" s="4" t="s">
        <v>355</v>
      </c>
      <c r="D127" s="3">
        <v>2</v>
      </c>
      <c r="E127" s="3" t="s">
        <v>16</v>
      </c>
      <c r="F127" s="3" t="s">
        <v>291</v>
      </c>
      <c r="G127" s="3" t="s">
        <v>26</v>
      </c>
      <c r="H127" s="3" t="s">
        <v>214</v>
      </c>
    </row>
    <row r="128" spans="1:8" x14ac:dyDescent="0.2">
      <c r="A128" s="3">
        <v>3060403034</v>
      </c>
      <c r="B128" s="4" t="s">
        <v>190</v>
      </c>
      <c r="C128" s="4" t="s">
        <v>521</v>
      </c>
      <c r="D128" s="3">
        <v>1</v>
      </c>
      <c r="E128" s="3" t="s">
        <v>16</v>
      </c>
      <c r="F128" s="3" t="s">
        <v>295</v>
      </c>
      <c r="G128" s="3" t="s">
        <v>17</v>
      </c>
      <c r="H128" s="3" t="s">
        <v>221</v>
      </c>
    </row>
    <row r="129" spans="1:8" x14ac:dyDescent="0.2">
      <c r="A129" s="3">
        <v>3020301001</v>
      </c>
      <c r="B129" s="4" t="s">
        <v>209</v>
      </c>
      <c r="C129" s="4" t="s">
        <v>365</v>
      </c>
      <c r="D129" s="3">
        <v>1</v>
      </c>
      <c r="E129" s="3" t="s">
        <v>16</v>
      </c>
      <c r="F129" s="3" t="s">
        <v>301</v>
      </c>
      <c r="G129" s="3" t="s">
        <v>32</v>
      </c>
      <c r="H129" s="3" t="s">
        <v>221</v>
      </c>
    </row>
    <row r="130" spans="1:8" x14ac:dyDescent="0.2">
      <c r="A130" s="3">
        <v>403030051</v>
      </c>
      <c r="B130" s="4" t="s">
        <v>366</v>
      </c>
      <c r="C130" s="4" t="s">
        <v>367</v>
      </c>
      <c r="D130" s="3">
        <v>3</v>
      </c>
      <c r="E130" s="3" t="s">
        <v>16</v>
      </c>
      <c r="F130" s="3" t="s">
        <v>301</v>
      </c>
      <c r="G130" s="3" t="s">
        <v>32</v>
      </c>
      <c r="H130" s="3" t="s">
        <v>221</v>
      </c>
    </row>
    <row r="131" spans="1:8" x14ac:dyDescent="0.2">
      <c r="A131" s="3">
        <v>403030005</v>
      </c>
      <c r="B131" s="4" t="s">
        <v>366</v>
      </c>
      <c r="C131" s="4" t="s">
        <v>368</v>
      </c>
      <c r="D131" s="3">
        <v>2</v>
      </c>
      <c r="E131" s="3" t="s">
        <v>16</v>
      </c>
      <c r="F131" s="3" t="s">
        <v>301</v>
      </c>
      <c r="G131" s="3" t="s">
        <v>32</v>
      </c>
      <c r="H131" s="3" t="s">
        <v>221</v>
      </c>
    </row>
    <row r="132" spans="1:8" x14ac:dyDescent="0.2">
      <c r="A132" s="3">
        <v>402050001</v>
      </c>
      <c r="B132" s="4" t="s">
        <v>522</v>
      </c>
      <c r="C132" s="4" t="s">
        <v>523</v>
      </c>
      <c r="D132" s="3">
        <v>1</v>
      </c>
      <c r="E132" s="3" t="s">
        <v>16</v>
      </c>
      <c r="F132" s="3" t="s">
        <v>289</v>
      </c>
      <c r="G132" s="3" t="s">
        <v>23</v>
      </c>
      <c r="H132" s="3" t="s">
        <v>524</v>
      </c>
    </row>
    <row r="133" spans="1:8" x14ac:dyDescent="0.2">
      <c r="A133" s="3">
        <v>408120036</v>
      </c>
      <c r="B133" s="4" t="s">
        <v>525</v>
      </c>
      <c r="C133" s="4" t="s">
        <v>526</v>
      </c>
      <c r="D133" s="3">
        <v>2</v>
      </c>
      <c r="E133" s="3" t="s">
        <v>16</v>
      </c>
      <c r="F133" s="3" t="s">
        <v>291</v>
      </c>
      <c r="G133" s="3" t="s">
        <v>26</v>
      </c>
      <c r="H133" s="3" t="s">
        <v>524</v>
      </c>
    </row>
    <row r="134" spans="1:8" x14ac:dyDescent="0.2">
      <c r="A134" s="3">
        <v>3060501005</v>
      </c>
      <c r="B134" s="4" t="s">
        <v>224</v>
      </c>
      <c r="C134" s="4" t="s">
        <v>225</v>
      </c>
      <c r="D134" s="3">
        <v>1</v>
      </c>
      <c r="E134" s="3" t="s">
        <v>16</v>
      </c>
      <c r="F134" s="3" t="s">
        <v>289</v>
      </c>
      <c r="G134" s="3" t="s">
        <v>23</v>
      </c>
      <c r="H134" s="3" t="s">
        <v>226</v>
      </c>
    </row>
    <row r="135" spans="1:8" x14ac:dyDescent="0.2">
      <c r="A135" s="3">
        <v>3060333002</v>
      </c>
      <c r="B135" s="4" t="s">
        <v>227</v>
      </c>
      <c r="C135" s="4" t="s">
        <v>228</v>
      </c>
      <c r="D135" s="3">
        <v>1</v>
      </c>
      <c r="E135" s="3" t="s">
        <v>16</v>
      </c>
      <c r="F135" s="3" t="s">
        <v>289</v>
      </c>
      <c r="G135" s="3" t="s">
        <v>23</v>
      </c>
      <c r="H135" s="3" t="s">
        <v>226</v>
      </c>
    </row>
    <row r="136" spans="1:8" x14ac:dyDescent="0.2">
      <c r="A136" s="3">
        <v>3060308002</v>
      </c>
      <c r="B136" s="4" t="s">
        <v>229</v>
      </c>
      <c r="C136" s="4" t="s">
        <v>230</v>
      </c>
      <c r="D136" s="3">
        <v>1</v>
      </c>
      <c r="E136" s="3" t="s">
        <v>16</v>
      </c>
      <c r="F136" s="3" t="s">
        <v>289</v>
      </c>
      <c r="G136" s="3" t="s">
        <v>23</v>
      </c>
      <c r="H136" s="3" t="s">
        <v>226</v>
      </c>
    </row>
    <row r="137" spans="1:8" x14ac:dyDescent="0.2">
      <c r="A137" s="3">
        <v>3060303001</v>
      </c>
      <c r="B137" s="4" t="s">
        <v>231</v>
      </c>
      <c r="C137" s="4" t="s">
        <v>232</v>
      </c>
      <c r="D137" s="3">
        <v>1</v>
      </c>
      <c r="E137" s="3" t="s">
        <v>16</v>
      </c>
      <c r="F137" s="3" t="s">
        <v>289</v>
      </c>
      <c r="G137" s="3" t="s">
        <v>23</v>
      </c>
      <c r="H137" s="3" t="s">
        <v>226</v>
      </c>
    </row>
    <row r="138" spans="1:8" x14ac:dyDescent="0.2">
      <c r="A138" s="3">
        <v>3060335004</v>
      </c>
      <c r="B138" s="4" t="s">
        <v>233</v>
      </c>
      <c r="C138" s="4" t="s">
        <v>234</v>
      </c>
      <c r="D138" s="3">
        <v>1</v>
      </c>
      <c r="E138" s="3" t="s">
        <v>16</v>
      </c>
      <c r="F138" s="3" t="s">
        <v>289</v>
      </c>
      <c r="G138" s="3" t="s">
        <v>23</v>
      </c>
      <c r="H138" s="3" t="s">
        <v>226</v>
      </c>
    </row>
    <row r="139" spans="1:8" x14ac:dyDescent="0.2">
      <c r="A139" s="3">
        <v>3050305016</v>
      </c>
      <c r="B139" s="4" t="s">
        <v>527</v>
      </c>
      <c r="C139" s="4" t="s">
        <v>528</v>
      </c>
      <c r="D139" s="3">
        <v>1</v>
      </c>
      <c r="E139" s="3" t="s">
        <v>16</v>
      </c>
      <c r="F139" s="3" t="s">
        <v>291</v>
      </c>
      <c r="G139" s="3" t="s">
        <v>26</v>
      </c>
      <c r="H139" s="3" t="s">
        <v>226</v>
      </c>
    </row>
    <row r="140" spans="1:8" x14ac:dyDescent="0.2">
      <c r="A140" s="3">
        <v>3050305015</v>
      </c>
      <c r="B140" s="4" t="s">
        <v>529</v>
      </c>
      <c r="C140" s="4" t="s">
        <v>530</v>
      </c>
      <c r="D140" s="3">
        <v>1</v>
      </c>
      <c r="E140" s="3" t="s">
        <v>16</v>
      </c>
      <c r="F140" s="3" t="s">
        <v>291</v>
      </c>
      <c r="G140" s="3" t="s">
        <v>26</v>
      </c>
      <c r="H140" s="3" t="s">
        <v>226</v>
      </c>
    </row>
    <row r="141" spans="1:8" x14ac:dyDescent="0.2">
      <c r="A141" s="3">
        <v>3030309020</v>
      </c>
      <c r="B141" s="4" t="s">
        <v>531</v>
      </c>
      <c r="C141" s="4" t="s">
        <v>532</v>
      </c>
      <c r="D141" s="3">
        <v>1</v>
      </c>
      <c r="E141" s="3" t="s">
        <v>16</v>
      </c>
      <c r="F141" s="3" t="s">
        <v>291</v>
      </c>
      <c r="G141" s="3" t="s">
        <v>26</v>
      </c>
      <c r="H141" s="3" t="s">
        <v>226</v>
      </c>
    </row>
    <row r="142" spans="1:8" x14ac:dyDescent="0.2">
      <c r="A142" s="3">
        <v>3030302002</v>
      </c>
      <c r="B142" s="4" t="s">
        <v>533</v>
      </c>
      <c r="C142" s="4" t="s">
        <v>534</v>
      </c>
      <c r="D142" s="3">
        <v>1</v>
      </c>
      <c r="E142" s="3" t="s">
        <v>16</v>
      </c>
      <c r="F142" s="3" t="s">
        <v>295</v>
      </c>
      <c r="G142" s="3" t="s">
        <v>17</v>
      </c>
      <c r="H142" s="3" t="s">
        <v>226</v>
      </c>
    </row>
    <row r="143" spans="1:8" x14ac:dyDescent="0.2">
      <c r="A143" s="3">
        <v>3030306012</v>
      </c>
      <c r="B143" s="4" t="s">
        <v>535</v>
      </c>
      <c r="C143" s="4" t="s">
        <v>536</v>
      </c>
      <c r="D143" s="3">
        <v>1</v>
      </c>
      <c r="E143" s="3" t="s">
        <v>16</v>
      </c>
      <c r="F143" s="3" t="s">
        <v>295</v>
      </c>
      <c r="G143" s="3" t="s">
        <v>17</v>
      </c>
      <c r="H143" s="3" t="s">
        <v>226</v>
      </c>
    </row>
    <row r="144" spans="1:8" x14ac:dyDescent="0.2">
      <c r="A144" s="3">
        <v>3030306011</v>
      </c>
      <c r="B144" s="4" t="s">
        <v>537</v>
      </c>
      <c r="C144" s="4" t="s">
        <v>536</v>
      </c>
      <c r="D144" s="3">
        <v>1</v>
      </c>
      <c r="E144" s="3" t="s">
        <v>16</v>
      </c>
      <c r="F144" s="3" t="s">
        <v>295</v>
      </c>
      <c r="G144" s="3" t="s">
        <v>17</v>
      </c>
      <c r="H144" s="3" t="s">
        <v>226</v>
      </c>
    </row>
    <row r="145" spans="1:8" x14ac:dyDescent="0.2">
      <c r="A145" s="3">
        <v>3030303002</v>
      </c>
      <c r="B145" s="4" t="s">
        <v>175</v>
      </c>
      <c r="C145" s="4" t="s">
        <v>538</v>
      </c>
      <c r="D145" s="3">
        <v>1</v>
      </c>
      <c r="E145" s="3" t="s">
        <v>16</v>
      </c>
      <c r="F145" s="3" t="s">
        <v>295</v>
      </c>
      <c r="G145" s="3" t="s">
        <v>17</v>
      </c>
      <c r="H145" s="3" t="s">
        <v>226</v>
      </c>
    </row>
    <row r="146" spans="1:8" x14ac:dyDescent="0.2">
      <c r="A146" s="3">
        <v>3030303017</v>
      </c>
      <c r="B146" s="4" t="s">
        <v>539</v>
      </c>
      <c r="C146" s="4" t="s">
        <v>540</v>
      </c>
      <c r="D146" s="3">
        <v>1</v>
      </c>
      <c r="E146" s="3" t="s">
        <v>16</v>
      </c>
      <c r="F146" s="3" t="s">
        <v>295</v>
      </c>
      <c r="G146" s="3" t="s">
        <v>17</v>
      </c>
      <c r="H146" s="3" t="s">
        <v>226</v>
      </c>
    </row>
    <row r="147" spans="1:8" x14ac:dyDescent="0.2">
      <c r="A147" s="3">
        <v>3040312012</v>
      </c>
      <c r="B147" s="4" t="s">
        <v>263</v>
      </c>
      <c r="C147" s="4" t="s">
        <v>541</v>
      </c>
      <c r="D147" s="3">
        <v>2</v>
      </c>
      <c r="E147" s="3" t="s">
        <v>16</v>
      </c>
      <c r="F147" s="3" t="s">
        <v>293</v>
      </c>
      <c r="G147" s="3" t="s">
        <v>29</v>
      </c>
      <c r="H147" s="3" t="s">
        <v>226</v>
      </c>
    </row>
    <row r="148" spans="1:8" x14ac:dyDescent="0.2">
      <c r="A148" s="3">
        <v>3040320010</v>
      </c>
      <c r="B148" s="4" t="s">
        <v>269</v>
      </c>
      <c r="C148" s="4" t="s">
        <v>542</v>
      </c>
      <c r="D148" s="3">
        <v>1</v>
      </c>
      <c r="E148" s="3" t="s">
        <v>16</v>
      </c>
      <c r="F148" s="3" t="s">
        <v>293</v>
      </c>
      <c r="G148" s="3" t="s">
        <v>29</v>
      </c>
      <c r="H148" s="3" t="s">
        <v>226</v>
      </c>
    </row>
    <row r="149" spans="1:8" x14ac:dyDescent="0.2">
      <c r="A149" s="3">
        <v>3040320011</v>
      </c>
      <c r="B149" s="4" t="s">
        <v>269</v>
      </c>
      <c r="C149" s="4" t="s">
        <v>543</v>
      </c>
      <c r="D149" s="3">
        <v>1</v>
      </c>
      <c r="E149" s="3" t="s">
        <v>16</v>
      </c>
      <c r="F149" s="3" t="s">
        <v>293</v>
      </c>
      <c r="G149" s="3" t="s">
        <v>29</v>
      </c>
      <c r="H149" s="3" t="s">
        <v>226</v>
      </c>
    </row>
    <row r="150" spans="1:8" x14ac:dyDescent="0.2">
      <c r="A150" s="3">
        <v>3030313003</v>
      </c>
      <c r="B150" s="4" t="s">
        <v>217</v>
      </c>
      <c r="C150" s="4" t="s">
        <v>544</v>
      </c>
      <c r="D150" s="3">
        <v>8</v>
      </c>
      <c r="E150" s="3" t="s">
        <v>16</v>
      </c>
      <c r="F150" s="3" t="s">
        <v>291</v>
      </c>
      <c r="G150" s="3" t="s">
        <v>26</v>
      </c>
      <c r="H150" s="3" t="s">
        <v>226</v>
      </c>
    </row>
    <row r="151" spans="1:8" x14ac:dyDescent="0.2">
      <c r="A151" s="3">
        <v>3020199010</v>
      </c>
      <c r="B151" s="4" t="s">
        <v>239</v>
      </c>
      <c r="C151" s="4" t="s">
        <v>545</v>
      </c>
      <c r="D151" s="3">
        <v>5</v>
      </c>
      <c r="E151" s="3" t="s">
        <v>16</v>
      </c>
      <c r="F151" s="3" t="s">
        <v>297</v>
      </c>
      <c r="G151" s="3" t="s">
        <v>204</v>
      </c>
      <c r="H151" s="3" t="s">
        <v>226</v>
      </c>
    </row>
    <row r="152" spans="1:8" x14ac:dyDescent="0.2">
      <c r="A152" s="3">
        <v>3040326016</v>
      </c>
      <c r="B152" s="4" t="s">
        <v>546</v>
      </c>
      <c r="C152" s="4" t="s">
        <v>536</v>
      </c>
      <c r="D152" s="3">
        <v>2</v>
      </c>
      <c r="E152" s="3" t="s">
        <v>16</v>
      </c>
      <c r="F152" s="3" t="s">
        <v>293</v>
      </c>
      <c r="G152" s="3" t="s">
        <v>29</v>
      </c>
      <c r="H152" s="3" t="s">
        <v>226</v>
      </c>
    </row>
    <row r="153" spans="1:8" x14ac:dyDescent="0.2">
      <c r="A153" s="3">
        <v>3069901001</v>
      </c>
      <c r="B153" s="4" t="s">
        <v>547</v>
      </c>
      <c r="C153" s="4" t="s">
        <v>548</v>
      </c>
      <c r="D153" s="3">
        <v>1</v>
      </c>
      <c r="E153" s="3" t="s">
        <v>16</v>
      </c>
      <c r="F153" s="3" t="s">
        <v>289</v>
      </c>
      <c r="G153" s="3" t="s">
        <v>23</v>
      </c>
      <c r="H153" s="3" t="s">
        <v>226</v>
      </c>
    </row>
    <row r="154" spans="1:8" x14ac:dyDescent="0.2">
      <c r="A154" s="3">
        <v>3050305019</v>
      </c>
      <c r="B154" s="4" t="s">
        <v>549</v>
      </c>
      <c r="C154" s="4" t="s">
        <v>530</v>
      </c>
      <c r="D154" s="3">
        <v>1</v>
      </c>
      <c r="E154" s="3" t="s">
        <v>16</v>
      </c>
      <c r="F154" s="3" t="s">
        <v>291</v>
      </c>
      <c r="G154" s="3" t="s">
        <v>26</v>
      </c>
      <c r="H154" s="3" t="s">
        <v>226</v>
      </c>
    </row>
    <row r="155" spans="1:8" x14ac:dyDescent="0.2">
      <c r="A155" s="3">
        <v>3050401014</v>
      </c>
      <c r="B155" s="4" t="s">
        <v>222</v>
      </c>
      <c r="C155" s="4" t="s">
        <v>550</v>
      </c>
      <c r="D155" s="3">
        <v>1</v>
      </c>
      <c r="E155" s="3" t="s">
        <v>16</v>
      </c>
      <c r="F155" s="3" t="s">
        <v>291</v>
      </c>
      <c r="G155" s="3" t="s">
        <v>26</v>
      </c>
      <c r="H155" s="3" t="s">
        <v>226</v>
      </c>
    </row>
    <row r="156" spans="1:8" x14ac:dyDescent="0.2">
      <c r="A156" s="3">
        <v>3080401031</v>
      </c>
      <c r="B156" s="4" t="s">
        <v>41</v>
      </c>
      <c r="C156" s="4" t="s">
        <v>551</v>
      </c>
      <c r="D156" s="3">
        <v>1</v>
      </c>
      <c r="E156" s="3" t="s">
        <v>16</v>
      </c>
      <c r="F156" s="3" t="s">
        <v>291</v>
      </c>
      <c r="G156" s="3" t="s">
        <v>26</v>
      </c>
      <c r="H156" s="3" t="s">
        <v>249</v>
      </c>
    </row>
    <row r="157" spans="1:8" x14ac:dyDescent="0.2">
      <c r="A157" s="3">
        <v>3030211001</v>
      </c>
      <c r="B157" s="4" t="s">
        <v>552</v>
      </c>
      <c r="C157" s="4" t="s">
        <v>553</v>
      </c>
      <c r="D157" s="3">
        <v>1</v>
      </c>
      <c r="E157" s="3" t="s">
        <v>16</v>
      </c>
      <c r="F157" s="3" t="s">
        <v>295</v>
      </c>
      <c r="G157" s="3" t="s">
        <v>17</v>
      </c>
      <c r="H157" s="3" t="s">
        <v>249</v>
      </c>
    </row>
    <row r="158" spans="1:8" x14ac:dyDescent="0.2">
      <c r="A158" s="3">
        <v>3080309001</v>
      </c>
      <c r="B158" s="4" t="s">
        <v>554</v>
      </c>
      <c r="C158" s="4" t="s">
        <v>555</v>
      </c>
      <c r="D158" s="3">
        <v>1</v>
      </c>
      <c r="E158" s="3" t="s">
        <v>16</v>
      </c>
      <c r="F158" s="3" t="s">
        <v>295</v>
      </c>
      <c r="G158" s="3" t="s">
        <v>17</v>
      </c>
      <c r="H158" s="3" t="s">
        <v>249</v>
      </c>
    </row>
    <row r="159" spans="1:8" x14ac:dyDescent="0.2">
      <c r="A159" s="3">
        <v>3080107017</v>
      </c>
      <c r="B159" s="4" t="s">
        <v>69</v>
      </c>
      <c r="C159" s="4" t="s">
        <v>251</v>
      </c>
      <c r="D159" s="3">
        <v>4</v>
      </c>
      <c r="E159" s="3" t="s">
        <v>16</v>
      </c>
      <c r="F159" s="3" t="s">
        <v>289</v>
      </c>
      <c r="G159" s="3" t="s">
        <v>23</v>
      </c>
      <c r="H159" s="3" t="s">
        <v>249</v>
      </c>
    </row>
    <row r="160" spans="1:8" x14ac:dyDescent="0.2">
      <c r="A160" s="3">
        <v>3080107017</v>
      </c>
      <c r="B160" s="4" t="s">
        <v>69</v>
      </c>
      <c r="C160" s="4" t="s">
        <v>251</v>
      </c>
      <c r="D160" s="3">
        <v>2</v>
      </c>
      <c r="E160" s="3" t="s">
        <v>16</v>
      </c>
      <c r="F160" s="3" t="s">
        <v>289</v>
      </c>
      <c r="G160" s="3" t="s">
        <v>23</v>
      </c>
      <c r="H160" s="3" t="s">
        <v>249</v>
      </c>
    </row>
    <row r="161" spans="1:8" x14ac:dyDescent="0.2">
      <c r="A161" s="3">
        <v>3080107268</v>
      </c>
      <c r="B161" s="4" t="s">
        <v>69</v>
      </c>
      <c r="C161" s="4" t="s">
        <v>556</v>
      </c>
      <c r="D161" s="3">
        <v>2</v>
      </c>
      <c r="E161" s="3" t="s">
        <v>16</v>
      </c>
      <c r="F161" s="3" t="s">
        <v>291</v>
      </c>
      <c r="G161" s="3" t="s">
        <v>26</v>
      </c>
      <c r="H161" s="3" t="s">
        <v>249</v>
      </c>
    </row>
    <row r="162" spans="1:8" x14ac:dyDescent="0.2">
      <c r="A162" s="3">
        <v>3080107269</v>
      </c>
      <c r="B162" s="4" t="s">
        <v>69</v>
      </c>
      <c r="C162" s="4" t="s">
        <v>557</v>
      </c>
      <c r="D162" s="3">
        <v>2</v>
      </c>
      <c r="E162" s="3" t="s">
        <v>16</v>
      </c>
      <c r="F162" s="3" t="s">
        <v>291</v>
      </c>
      <c r="G162" s="3" t="s">
        <v>26</v>
      </c>
      <c r="H162" s="3" t="s">
        <v>249</v>
      </c>
    </row>
    <row r="163" spans="1:8" x14ac:dyDescent="0.2">
      <c r="A163" s="3">
        <v>3060309001</v>
      </c>
      <c r="B163" s="4" t="s">
        <v>252</v>
      </c>
      <c r="C163" s="4" t="s">
        <v>253</v>
      </c>
      <c r="D163" s="3">
        <v>1</v>
      </c>
      <c r="E163" s="3" t="s">
        <v>16</v>
      </c>
      <c r="F163" s="3" t="s">
        <v>289</v>
      </c>
      <c r="G163" s="3" t="s">
        <v>23</v>
      </c>
      <c r="H163" s="3" t="s">
        <v>254</v>
      </c>
    </row>
    <row r="164" spans="1:8" x14ac:dyDescent="0.2">
      <c r="A164" s="3">
        <v>3060341001</v>
      </c>
      <c r="B164" s="4" t="s">
        <v>255</v>
      </c>
      <c r="C164" s="4" t="s">
        <v>256</v>
      </c>
      <c r="D164" s="3">
        <v>1</v>
      </c>
      <c r="E164" s="3" t="s">
        <v>16</v>
      </c>
      <c r="F164" s="3" t="s">
        <v>289</v>
      </c>
      <c r="G164" s="3" t="s">
        <v>23</v>
      </c>
      <c r="H164" s="3" t="s">
        <v>254</v>
      </c>
    </row>
    <row r="165" spans="1:8" x14ac:dyDescent="0.2">
      <c r="A165" s="3">
        <v>3030302001</v>
      </c>
      <c r="B165" s="4" t="s">
        <v>558</v>
      </c>
      <c r="C165" s="4" t="s">
        <v>534</v>
      </c>
      <c r="D165" s="3">
        <v>1</v>
      </c>
      <c r="E165" s="3" t="s">
        <v>16</v>
      </c>
      <c r="F165" s="3" t="s">
        <v>295</v>
      </c>
      <c r="G165" s="3" t="s">
        <v>17</v>
      </c>
      <c r="H165" s="3" t="s">
        <v>254</v>
      </c>
    </row>
    <row r="166" spans="1:8" x14ac:dyDescent="0.2">
      <c r="A166" s="3">
        <v>3030306031</v>
      </c>
      <c r="B166" s="4" t="s">
        <v>559</v>
      </c>
      <c r="C166" s="4" t="s">
        <v>560</v>
      </c>
      <c r="D166" s="3">
        <v>1</v>
      </c>
      <c r="E166" s="3" t="s">
        <v>16</v>
      </c>
      <c r="F166" s="3" t="s">
        <v>295</v>
      </c>
      <c r="G166" s="3" t="s">
        <v>17</v>
      </c>
      <c r="H166" s="3" t="s">
        <v>254</v>
      </c>
    </row>
    <row r="167" spans="1:8" x14ac:dyDescent="0.2">
      <c r="A167" s="3">
        <v>3080311002</v>
      </c>
      <c r="B167" s="4" t="s">
        <v>561</v>
      </c>
      <c r="C167" s="4" t="s">
        <v>536</v>
      </c>
      <c r="D167" s="3">
        <v>1</v>
      </c>
      <c r="E167" s="3" t="s">
        <v>16</v>
      </c>
      <c r="F167" s="3" t="s">
        <v>295</v>
      </c>
      <c r="G167" s="3" t="s">
        <v>17</v>
      </c>
      <c r="H167" s="3" t="s">
        <v>254</v>
      </c>
    </row>
    <row r="168" spans="1:8" x14ac:dyDescent="0.2">
      <c r="A168" s="3">
        <v>3030303016</v>
      </c>
      <c r="B168" s="4" t="s">
        <v>562</v>
      </c>
      <c r="C168" s="4" t="s">
        <v>563</v>
      </c>
      <c r="D168" s="3">
        <v>1</v>
      </c>
      <c r="E168" s="3" t="s">
        <v>16</v>
      </c>
      <c r="F168" s="3" t="s">
        <v>295</v>
      </c>
      <c r="G168" s="3" t="s">
        <v>17</v>
      </c>
      <c r="H168" s="3" t="s">
        <v>254</v>
      </c>
    </row>
    <row r="169" spans="1:8" x14ac:dyDescent="0.2">
      <c r="A169" s="3">
        <v>3030303015</v>
      </c>
      <c r="B169" s="4" t="s">
        <v>564</v>
      </c>
      <c r="C169" s="4" t="s">
        <v>563</v>
      </c>
      <c r="D169" s="3">
        <v>1</v>
      </c>
      <c r="E169" s="3" t="s">
        <v>16</v>
      </c>
      <c r="F169" s="3" t="s">
        <v>295</v>
      </c>
      <c r="G169" s="3" t="s">
        <v>17</v>
      </c>
      <c r="H169" s="3" t="s">
        <v>254</v>
      </c>
    </row>
    <row r="170" spans="1:8" x14ac:dyDescent="0.2">
      <c r="A170" s="3">
        <v>3040323001</v>
      </c>
      <c r="B170" s="4" t="s">
        <v>565</v>
      </c>
      <c r="C170" s="4" t="s">
        <v>566</v>
      </c>
      <c r="D170" s="3">
        <v>2</v>
      </c>
      <c r="E170" s="3" t="s">
        <v>16</v>
      </c>
      <c r="F170" s="3" t="s">
        <v>293</v>
      </c>
      <c r="G170" s="3" t="s">
        <v>29</v>
      </c>
      <c r="H170" s="3" t="s">
        <v>254</v>
      </c>
    </row>
    <row r="171" spans="1:8" x14ac:dyDescent="0.2">
      <c r="A171" s="3">
        <v>3040302001</v>
      </c>
      <c r="B171" s="4" t="s">
        <v>567</v>
      </c>
      <c r="C171" s="4" t="s">
        <v>568</v>
      </c>
      <c r="D171" s="3">
        <v>1</v>
      </c>
      <c r="E171" s="3" t="s">
        <v>16</v>
      </c>
      <c r="F171" s="3" t="s">
        <v>293</v>
      </c>
      <c r="G171" s="3" t="s">
        <v>29</v>
      </c>
      <c r="H171" s="3" t="s">
        <v>254</v>
      </c>
    </row>
    <row r="172" spans="1:8" x14ac:dyDescent="0.2">
      <c r="A172" s="3">
        <v>3040302002</v>
      </c>
      <c r="B172" s="4" t="s">
        <v>567</v>
      </c>
      <c r="C172" s="4" t="s">
        <v>569</v>
      </c>
      <c r="D172" s="3">
        <v>1</v>
      </c>
      <c r="E172" s="3" t="s">
        <v>16</v>
      </c>
      <c r="F172" s="3" t="s">
        <v>293</v>
      </c>
      <c r="G172" s="3" t="s">
        <v>29</v>
      </c>
      <c r="H172" s="3" t="s">
        <v>254</v>
      </c>
    </row>
    <row r="173" spans="1:8" x14ac:dyDescent="0.2">
      <c r="A173" s="3">
        <v>3040324004</v>
      </c>
      <c r="B173" s="4" t="s">
        <v>570</v>
      </c>
      <c r="C173" s="4" t="s">
        <v>536</v>
      </c>
      <c r="D173" s="3">
        <v>2</v>
      </c>
      <c r="E173" s="3" t="s">
        <v>16</v>
      </c>
      <c r="F173" s="3" t="s">
        <v>293</v>
      </c>
      <c r="G173" s="3" t="s">
        <v>29</v>
      </c>
      <c r="H173" s="3" t="s">
        <v>254</v>
      </c>
    </row>
    <row r="174" spans="1:8" x14ac:dyDescent="0.2">
      <c r="A174" s="3">
        <v>3030302008</v>
      </c>
      <c r="B174" s="4" t="s">
        <v>571</v>
      </c>
      <c r="C174" s="4" t="s">
        <v>572</v>
      </c>
      <c r="D174" s="3">
        <v>1</v>
      </c>
      <c r="E174" s="3" t="s">
        <v>16</v>
      </c>
      <c r="F174" s="3" t="s">
        <v>295</v>
      </c>
      <c r="G174" s="3" t="s">
        <v>17</v>
      </c>
      <c r="H174" s="3" t="s">
        <v>254</v>
      </c>
    </row>
    <row r="175" spans="1:8" x14ac:dyDescent="0.2">
      <c r="A175" s="3">
        <v>3030302009</v>
      </c>
      <c r="B175" s="4" t="s">
        <v>571</v>
      </c>
      <c r="C175" s="4" t="s">
        <v>573</v>
      </c>
      <c r="D175" s="3">
        <v>1</v>
      </c>
      <c r="E175" s="3" t="s">
        <v>16</v>
      </c>
      <c r="F175" s="3" t="s">
        <v>295</v>
      </c>
      <c r="G175" s="3" t="s">
        <v>17</v>
      </c>
      <c r="H175" s="3" t="s">
        <v>254</v>
      </c>
    </row>
    <row r="176" spans="1:8" x14ac:dyDescent="0.2">
      <c r="A176" s="3">
        <v>3030302004</v>
      </c>
      <c r="B176" s="4" t="s">
        <v>574</v>
      </c>
      <c r="C176" s="4" t="s">
        <v>575</v>
      </c>
      <c r="D176" s="3">
        <v>1</v>
      </c>
      <c r="E176" s="3" t="s">
        <v>16</v>
      </c>
      <c r="F176" s="3" t="s">
        <v>295</v>
      </c>
      <c r="G176" s="3" t="s">
        <v>17</v>
      </c>
      <c r="H176" s="3" t="s">
        <v>254</v>
      </c>
    </row>
    <row r="177" spans="1:8" x14ac:dyDescent="0.2">
      <c r="A177" s="3">
        <v>3030302006</v>
      </c>
      <c r="B177" s="4" t="s">
        <v>576</v>
      </c>
      <c r="C177" s="4" t="s">
        <v>575</v>
      </c>
      <c r="D177" s="3">
        <v>1</v>
      </c>
      <c r="E177" s="3" t="s">
        <v>16</v>
      </c>
      <c r="F177" s="3" t="s">
        <v>295</v>
      </c>
      <c r="G177" s="3" t="s">
        <v>17</v>
      </c>
      <c r="H177" s="3" t="s">
        <v>254</v>
      </c>
    </row>
    <row r="178" spans="1:8" x14ac:dyDescent="0.2">
      <c r="A178" s="3">
        <v>3030314004</v>
      </c>
      <c r="B178" s="4" t="s">
        <v>577</v>
      </c>
      <c r="C178" s="4" t="s">
        <v>575</v>
      </c>
      <c r="D178" s="3">
        <v>1</v>
      </c>
      <c r="E178" s="3" t="s">
        <v>16</v>
      </c>
      <c r="F178" s="3" t="s">
        <v>295</v>
      </c>
      <c r="G178" s="3" t="s">
        <v>17</v>
      </c>
      <c r="H178" s="3" t="s">
        <v>254</v>
      </c>
    </row>
    <row r="179" spans="1:8" x14ac:dyDescent="0.2">
      <c r="A179" s="3">
        <v>3030308001</v>
      </c>
      <c r="B179" s="4" t="s">
        <v>578</v>
      </c>
      <c r="C179" s="4" t="s">
        <v>575</v>
      </c>
      <c r="D179" s="3">
        <v>1</v>
      </c>
      <c r="E179" s="3" t="s">
        <v>16</v>
      </c>
      <c r="F179" s="3" t="s">
        <v>295</v>
      </c>
      <c r="G179" s="3" t="s">
        <v>17</v>
      </c>
      <c r="H179" s="3" t="s">
        <v>254</v>
      </c>
    </row>
    <row r="180" spans="1:8" x14ac:dyDescent="0.2">
      <c r="A180" s="3">
        <v>3030314003</v>
      </c>
      <c r="B180" s="4" t="s">
        <v>579</v>
      </c>
      <c r="C180" s="4" t="s">
        <v>575</v>
      </c>
      <c r="D180" s="3">
        <v>1</v>
      </c>
      <c r="E180" s="3" t="s">
        <v>16</v>
      </c>
      <c r="F180" s="3" t="s">
        <v>295</v>
      </c>
      <c r="G180" s="3" t="s">
        <v>17</v>
      </c>
      <c r="H180" s="3" t="s">
        <v>254</v>
      </c>
    </row>
    <row r="181" spans="1:8" x14ac:dyDescent="0.2">
      <c r="A181" s="3">
        <v>3030308003</v>
      </c>
      <c r="B181" s="4" t="s">
        <v>580</v>
      </c>
      <c r="C181" s="4" t="s">
        <v>581</v>
      </c>
      <c r="D181" s="3">
        <v>1</v>
      </c>
      <c r="E181" s="3" t="s">
        <v>16</v>
      </c>
      <c r="F181" s="3" t="s">
        <v>295</v>
      </c>
      <c r="G181" s="3" t="s">
        <v>17</v>
      </c>
      <c r="H181" s="3" t="s">
        <v>254</v>
      </c>
    </row>
    <row r="182" spans="1:8" x14ac:dyDescent="0.2">
      <c r="A182" s="3">
        <v>3040325007</v>
      </c>
      <c r="B182" s="4" t="s">
        <v>582</v>
      </c>
      <c r="C182" s="4" t="s">
        <v>543</v>
      </c>
      <c r="D182" s="3">
        <v>1</v>
      </c>
      <c r="E182" s="3" t="s">
        <v>16</v>
      </c>
      <c r="F182" s="3" t="s">
        <v>293</v>
      </c>
      <c r="G182" s="3" t="s">
        <v>29</v>
      </c>
      <c r="H182" s="3" t="s">
        <v>254</v>
      </c>
    </row>
    <row r="183" spans="1:8" x14ac:dyDescent="0.2">
      <c r="A183" s="3">
        <v>3040325008</v>
      </c>
      <c r="B183" s="4" t="s">
        <v>582</v>
      </c>
      <c r="C183" s="4" t="s">
        <v>542</v>
      </c>
      <c r="D183" s="3">
        <v>1</v>
      </c>
      <c r="E183" s="3" t="s">
        <v>16</v>
      </c>
      <c r="F183" s="3" t="s">
        <v>293</v>
      </c>
      <c r="G183" s="3" t="s">
        <v>29</v>
      </c>
      <c r="H183" s="3" t="s">
        <v>254</v>
      </c>
    </row>
    <row r="184" spans="1:8" x14ac:dyDescent="0.2">
      <c r="A184" s="3">
        <v>3040308003</v>
      </c>
      <c r="B184" s="4" t="s">
        <v>583</v>
      </c>
      <c r="C184" s="4" t="s">
        <v>536</v>
      </c>
      <c r="D184" s="3">
        <v>2</v>
      </c>
      <c r="E184" s="3" t="s">
        <v>16</v>
      </c>
      <c r="F184" s="3" t="s">
        <v>293</v>
      </c>
      <c r="G184" s="3" t="s">
        <v>29</v>
      </c>
      <c r="H184" s="3" t="s">
        <v>254</v>
      </c>
    </row>
    <row r="185" spans="1:8" x14ac:dyDescent="0.2">
      <c r="A185" s="3">
        <v>3030302007</v>
      </c>
      <c r="B185" s="4" t="s">
        <v>584</v>
      </c>
      <c r="C185" s="4" t="s">
        <v>575</v>
      </c>
      <c r="D185" s="3">
        <v>1</v>
      </c>
      <c r="E185" s="3" t="s">
        <v>16</v>
      </c>
      <c r="F185" s="3" t="s">
        <v>295</v>
      </c>
      <c r="G185" s="3" t="s">
        <v>17</v>
      </c>
      <c r="H185" s="3" t="s">
        <v>254</v>
      </c>
    </row>
    <row r="186" spans="1:8" x14ac:dyDescent="0.2">
      <c r="A186" s="3">
        <v>3111601003</v>
      </c>
      <c r="B186" s="4" t="s">
        <v>585</v>
      </c>
      <c r="C186" s="4" t="s">
        <v>586</v>
      </c>
      <c r="D186" s="3">
        <v>2</v>
      </c>
      <c r="E186" s="3" t="s">
        <v>16</v>
      </c>
      <c r="F186" s="3" t="s">
        <v>291</v>
      </c>
      <c r="G186" s="3" t="s">
        <v>26</v>
      </c>
      <c r="H186" s="3" t="s">
        <v>254</v>
      </c>
    </row>
    <row r="187" spans="1:8" x14ac:dyDescent="0.2">
      <c r="A187" s="3">
        <v>3050303006</v>
      </c>
      <c r="B187" s="4" t="s">
        <v>245</v>
      </c>
      <c r="C187" s="4" t="s">
        <v>587</v>
      </c>
      <c r="D187" s="3">
        <v>1</v>
      </c>
      <c r="E187" s="3" t="s">
        <v>16</v>
      </c>
      <c r="F187" s="3" t="s">
        <v>291</v>
      </c>
      <c r="G187" s="3" t="s">
        <v>26</v>
      </c>
      <c r="H187" s="3" t="s">
        <v>254</v>
      </c>
    </row>
    <row r="188" spans="1:8" x14ac:dyDescent="0.2">
      <c r="A188" s="3">
        <v>3080310002</v>
      </c>
      <c r="B188" s="4" t="s">
        <v>588</v>
      </c>
      <c r="C188" s="4" t="s">
        <v>589</v>
      </c>
      <c r="D188" s="3">
        <v>1</v>
      </c>
      <c r="E188" s="3" t="s">
        <v>16</v>
      </c>
      <c r="F188" s="3" t="s">
        <v>295</v>
      </c>
      <c r="G188" s="3" t="s">
        <v>17</v>
      </c>
      <c r="H188" s="3" t="s">
        <v>590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F39BD-C4CA-4030-8DEF-CE58B0568F2D}">
  <dimension ref="A1:H205"/>
  <sheetViews>
    <sheetView workbookViewId="0">
      <selection activeCell="D3" sqref="D3"/>
    </sheetView>
  </sheetViews>
  <sheetFormatPr defaultRowHeight="14.25" x14ac:dyDescent="0.2"/>
  <cols>
    <col min="1" max="1" width="12.5" customWidth="1"/>
    <col min="2" max="2" width="16.125" customWidth="1"/>
    <col min="3" max="3" width="20.375" customWidth="1"/>
  </cols>
  <sheetData>
    <row r="1" spans="1:8" x14ac:dyDescent="0.2">
      <c r="A1" s="3" t="s">
        <v>617</v>
      </c>
      <c r="B1" s="4"/>
      <c r="C1" s="4"/>
      <c r="D1" s="3"/>
      <c r="E1" s="3"/>
      <c r="F1" s="3"/>
      <c r="G1" s="3"/>
      <c r="H1" s="3"/>
    </row>
    <row r="2" spans="1:8" ht="28.5" x14ac:dyDescent="0.2">
      <c r="A2" s="1" t="s">
        <v>0</v>
      </c>
      <c r="B2" s="2" t="s">
        <v>1</v>
      </c>
      <c r="C2" s="2" t="s">
        <v>2</v>
      </c>
      <c r="D2" s="1" t="s">
        <v>4</v>
      </c>
      <c r="E2" s="1" t="s">
        <v>3</v>
      </c>
      <c r="F2" s="1" t="s">
        <v>5</v>
      </c>
      <c r="G2" s="1" t="s">
        <v>6</v>
      </c>
      <c r="H2" s="1" t="s">
        <v>7</v>
      </c>
    </row>
    <row r="3" spans="1:8" s="10" customFormat="1" x14ac:dyDescent="0.2">
      <c r="A3" s="8" t="s">
        <v>390</v>
      </c>
      <c r="B3" s="9" t="s">
        <v>8</v>
      </c>
      <c r="C3" s="9" t="s">
        <v>9</v>
      </c>
      <c r="D3" s="12">
        <f>0.3264/0.94</f>
        <v>0.34723404255319151</v>
      </c>
      <c r="E3" s="8" t="s">
        <v>596</v>
      </c>
      <c r="F3" s="8" t="s">
        <v>283</v>
      </c>
      <c r="G3" s="8" t="s">
        <v>13</v>
      </c>
      <c r="H3" s="8" t="s">
        <v>12</v>
      </c>
    </row>
    <row r="4" spans="1:8" x14ac:dyDescent="0.2">
      <c r="A4" s="3">
        <v>402030028</v>
      </c>
      <c r="B4" s="4" t="s">
        <v>107</v>
      </c>
      <c r="C4" s="4" t="s">
        <v>305</v>
      </c>
      <c r="D4" s="3">
        <v>1</v>
      </c>
      <c r="E4" s="3" t="s">
        <v>16</v>
      </c>
      <c r="F4" s="3" t="s">
        <v>289</v>
      </c>
      <c r="G4" s="3" t="s">
        <v>23</v>
      </c>
      <c r="H4" s="3" t="s">
        <v>306</v>
      </c>
    </row>
    <row r="5" spans="1:8" x14ac:dyDescent="0.2">
      <c r="A5" s="3">
        <v>3099980014</v>
      </c>
      <c r="B5" s="4" t="s">
        <v>391</v>
      </c>
      <c r="C5" s="4" t="s">
        <v>392</v>
      </c>
      <c r="D5" s="3">
        <v>1</v>
      </c>
      <c r="E5" s="3" t="s">
        <v>16</v>
      </c>
      <c r="F5" s="3" t="s">
        <v>291</v>
      </c>
      <c r="G5" s="3" t="s">
        <v>26</v>
      </c>
      <c r="H5" s="3" t="s">
        <v>393</v>
      </c>
    </row>
    <row r="6" spans="1:8" x14ac:dyDescent="0.2">
      <c r="A6" s="3">
        <v>3060503002</v>
      </c>
      <c r="B6" s="4" t="s">
        <v>21</v>
      </c>
      <c r="C6" s="4" t="s">
        <v>22</v>
      </c>
      <c r="D6" s="3">
        <v>1</v>
      </c>
      <c r="E6" s="3" t="s">
        <v>16</v>
      </c>
      <c r="F6" s="3" t="s">
        <v>289</v>
      </c>
      <c r="G6" s="3" t="s">
        <v>23</v>
      </c>
      <c r="H6" s="3" t="s">
        <v>18</v>
      </c>
    </row>
    <row r="7" spans="1:8" x14ac:dyDescent="0.2">
      <c r="A7" s="3">
        <v>3030314005</v>
      </c>
      <c r="B7" s="4" t="s">
        <v>394</v>
      </c>
      <c r="C7" s="4" t="s">
        <v>395</v>
      </c>
      <c r="D7" s="3">
        <v>1</v>
      </c>
      <c r="E7" s="3" t="s">
        <v>16</v>
      </c>
      <c r="F7" s="3" t="s">
        <v>291</v>
      </c>
      <c r="G7" s="3" t="s">
        <v>26</v>
      </c>
      <c r="H7" s="3" t="s">
        <v>18</v>
      </c>
    </row>
    <row r="8" spans="1:8" x14ac:dyDescent="0.2">
      <c r="A8" s="3">
        <v>3030210001</v>
      </c>
      <c r="B8" s="4" t="s">
        <v>396</v>
      </c>
      <c r="C8" s="4" t="s">
        <v>397</v>
      </c>
      <c r="D8" s="3">
        <v>1</v>
      </c>
      <c r="E8" s="3" t="s">
        <v>16</v>
      </c>
      <c r="F8" s="3" t="s">
        <v>295</v>
      </c>
      <c r="G8" s="3" t="s">
        <v>17</v>
      </c>
      <c r="H8" s="3" t="s">
        <v>18</v>
      </c>
    </row>
    <row r="9" spans="1:8" x14ac:dyDescent="0.2">
      <c r="A9" s="3">
        <v>3080301001</v>
      </c>
      <c r="B9" s="4" t="s">
        <v>247</v>
      </c>
      <c r="C9" s="4" t="s">
        <v>398</v>
      </c>
      <c r="D9" s="3">
        <v>1</v>
      </c>
      <c r="E9" s="3" t="s">
        <v>16</v>
      </c>
      <c r="F9" s="3" t="s">
        <v>295</v>
      </c>
      <c r="G9" s="3" t="s">
        <v>17</v>
      </c>
      <c r="H9" s="3" t="s">
        <v>18</v>
      </c>
    </row>
    <row r="10" spans="1:8" x14ac:dyDescent="0.2">
      <c r="A10" s="3">
        <v>3040201001</v>
      </c>
      <c r="B10" s="4" t="s">
        <v>399</v>
      </c>
      <c r="C10" s="4" t="s">
        <v>400</v>
      </c>
      <c r="D10" s="3">
        <v>2</v>
      </c>
      <c r="E10" s="3" t="s">
        <v>16</v>
      </c>
      <c r="F10" s="3" t="s">
        <v>293</v>
      </c>
      <c r="G10" s="3" t="s">
        <v>29</v>
      </c>
      <c r="H10" s="3" t="s">
        <v>18</v>
      </c>
    </row>
    <row r="11" spans="1:8" x14ac:dyDescent="0.2">
      <c r="A11" s="3">
        <v>3030202002</v>
      </c>
      <c r="B11" s="4" t="s">
        <v>401</v>
      </c>
      <c r="C11" s="4" t="s">
        <v>402</v>
      </c>
      <c r="D11" s="3">
        <v>1</v>
      </c>
      <c r="E11" s="3" t="s">
        <v>16</v>
      </c>
      <c r="F11" s="3" t="s">
        <v>295</v>
      </c>
      <c r="G11" s="3" t="s">
        <v>17</v>
      </c>
      <c r="H11" s="3" t="s">
        <v>18</v>
      </c>
    </row>
    <row r="12" spans="1:8" x14ac:dyDescent="0.2">
      <c r="A12" s="3">
        <v>3030202003</v>
      </c>
      <c r="B12" s="4" t="s">
        <v>403</v>
      </c>
      <c r="C12" s="4" t="s">
        <v>404</v>
      </c>
      <c r="D12" s="3">
        <v>1</v>
      </c>
      <c r="E12" s="3" t="s">
        <v>16</v>
      </c>
      <c r="F12" s="3" t="s">
        <v>295</v>
      </c>
      <c r="G12" s="3" t="s">
        <v>17</v>
      </c>
      <c r="H12" s="3" t="s">
        <v>18</v>
      </c>
    </row>
    <row r="13" spans="1:8" x14ac:dyDescent="0.2">
      <c r="A13" s="3">
        <v>3030212001</v>
      </c>
      <c r="B13" s="4" t="s">
        <v>405</v>
      </c>
      <c r="C13" s="4" t="s">
        <v>406</v>
      </c>
      <c r="D13" s="3">
        <v>1</v>
      </c>
      <c r="E13" s="3" t="s">
        <v>16</v>
      </c>
      <c r="F13" s="3" t="s">
        <v>295</v>
      </c>
      <c r="G13" s="3" t="s">
        <v>17</v>
      </c>
      <c r="H13" s="3" t="s">
        <v>18</v>
      </c>
    </row>
    <row r="14" spans="1:8" x14ac:dyDescent="0.2">
      <c r="A14" s="3">
        <v>3030206003</v>
      </c>
      <c r="B14" s="4" t="s">
        <v>407</v>
      </c>
      <c r="C14" s="4" t="s">
        <v>408</v>
      </c>
      <c r="D14" s="3">
        <v>1</v>
      </c>
      <c r="E14" s="3" t="s">
        <v>16</v>
      </c>
      <c r="F14" s="3" t="s">
        <v>295</v>
      </c>
      <c r="G14" s="3" t="s">
        <v>17</v>
      </c>
      <c r="H14" s="3" t="s">
        <v>18</v>
      </c>
    </row>
    <row r="15" spans="1:8" x14ac:dyDescent="0.2">
      <c r="A15" s="3">
        <v>404020072</v>
      </c>
      <c r="B15" s="4" t="s">
        <v>30</v>
      </c>
      <c r="C15" s="4" t="s">
        <v>308</v>
      </c>
      <c r="D15" s="3">
        <v>1</v>
      </c>
      <c r="E15" s="3" t="s">
        <v>16</v>
      </c>
      <c r="F15" s="3" t="s">
        <v>291</v>
      </c>
      <c r="G15" s="3" t="s">
        <v>26</v>
      </c>
      <c r="H15" s="3" t="s">
        <v>33</v>
      </c>
    </row>
    <row r="16" spans="1:8" x14ac:dyDescent="0.2">
      <c r="A16" s="3">
        <v>401040087</v>
      </c>
      <c r="B16" s="4" t="s">
        <v>35</v>
      </c>
      <c r="C16" s="4" t="s">
        <v>410</v>
      </c>
      <c r="D16" s="3">
        <v>1</v>
      </c>
      <c r="E16" s="3" t="s">
        <v>16</v>
      </c>
      <c r="F16" s="3" t="s">
        <v>293</v>
      </c>
      <c r="G16" s="3" t="s">
        <v>29</v>
      </c>
      <c r="H16" s="3" t="s">
        <v>33</v>
      </c>
    </row>
    <row r="17" spans="1:8" x14ac:dyDescent="0.2">
      <c r="A17" s="3">
        <v>401020103</v>
      </c>
      <c r="B17" s="4" t="s">
        <v>35</v>
      </c>
      <c r="C17" s="4" t="s">
        <v>595</v>
      </c>
      <c r="D17" s="3">
        <v>1</v>
      </c>
      <c r="E17" s="3" t="s">
        <v>16</v>
      </c>
      <c r="F17" s="3" t="s">
        <v>301</v>
      </c>
      <c r="G17" s="3" t="s">
        <v>32</v>
      </c>
      <c r="H17" s="3" t="s">
        <v>33</v>
      </c>
    </row>
    <row r="18" spans="1:8" x14ac:dyDescent="0.2">
      <c r="A18" s="3">
        <v>3080101002</v>
      </c>
      <c r="B18" s="4" t="s">
        <v>411</v>
      </c>
      <c r="C18" s="4" t="s">
        <v>413</v>
      </c>
      <c r="D18" s="3">
        <v>2</v>
      </c>
      <c r="E18" s="3" t="s">
        <v>16</v>
      </c>
      <c r="F18" s="3" t="s">
        <v>291</v>
      </c>
      <c r="G18" s="3" t="s">
        <v>26</v>
      </c>
      <c r="H18" s="3" t="s">
        <v>40</v>
      </c>
    </row>
    <row r="19" spans="1:8" x14ac:dyDescent="0.2">
      <c r="A19" s="3">
        <v>3080101015</v>
      </c>
      <c r="B19" s="4" t="s">
        <v>411</v>
      </c>
      <c r="C19" s="4" t="s">
        <v>412</v>
      </c>
      <c r="D19" s="3">
        <v>2</v>
      </c>
      <c r="E19" s="3" t="s">
        <v>16</v>
      </c>
      <c r="F19" s="3" t="s">
        <v>293</v>
      </c>
      <c r="G19" s="3" t="s">
        <v>29</v>
      </c>
      <c r="H19" s="3" t="s">
        <v>40</v>
      </c>
    </row>
    <row r="20" spans="1:8" x14ac:dyDescent="0.2">
      <c r="A20" s="3">
        <v>3080102003</v>
      </c>
      <c r="B20" s="4" t="s">
        <v>38</v>
      </c>
      <c r="C20" s="4" t="s">
        <v>39</v>
      </c>
      <c r="D20" s="3">
        <v>1</v>
      </c>
      <c r="E20" s="3" t="s">
        <v>16</v>
      </c>
      <c r="F20" s="3" t="s">
        <v>289</v>
      </c>
      <c r="G20" s="3" t="s">
        <v>23</v>
      </c>
      <c r="H20" s="3" t="s">
        <v>40</v>
      </c>
    </row>
    <row r="21" spans="1:8" x14ac:dyDescent="0.2">
      <c r="A21" s="3">
        <v>3080401016</v>
      </c>
      <c r="B21" s="4" t="s">
        <v>41</v>
      </c>
      <c r="C21" s="4" t="s">
        <v>415</v>
      </c>
      <c r="D21" s="3">
        <v>1</v>
      </c>
      <c r="E21" s="3" t="s">
        <v>16</v>
      </c>
      <c r="F21" s="3" t="s">
        <v>295</v>
      </c>
      <c r="G21" s="3" t="s">
        <v>17</v>
      </c>
      <c r="H21" s="3" t="s">
        <v>40</v>
      </c>
    </row>
    <row r="22" spans="1:8" x14ac:dyDescent="0.2">
      <c r="A22" s="3">
        <v>3080401064</v>
      </c>
      <c r="B22" s="4" t="s">
        <v>41</v>
      </c>
      <c r="C22" s="4" t="s">
        <v>414</v>
      </c>
      <c r="D22" s="3">
        <v>1</v>
      </c>
      <c r="E22" s="3" t="s">
        <v>16</v>
      </c>
      <c r="F22" s="3" t="s">
        <v>295</v>
      </c>
      <c r="G22" s="3" t="s">
        <v>17</v>
      </c>
      <c r="H22" s="3" t="s">
        <v>40</v>
      </c>
    </row>
    <row r="23" spans="1:8" x14ac:dyDescent="0.2">
      <c r="A23" s="3">
        <v>3080401007</v>
      </c>
      <c r="B23" s="4" t="s">
        <v>41</v>
      </c>
      <c r="C23" s="4" t="s">
        <v>416</v>
      </c>
      <c r="D23" s="3">
        <v>2</v>
      </c>
      <c r="E23" s="3" t="s">
        <v>16</v>
      </c>
      <c r="F23" s="3" t="s">
        <v>293</v>
      </c>
      <c r="G23" s="3" t="s">
        <v>29</v>
      </c>
      <c r="H23" s="3" t="s">
        <v>40</v>
      </c>
    </row>
    <row r="24" spans="1:8" x14ac:dyDescent="0.2">
      <c r="A24" s="3">
        <v>3080401014</v>
      </c>
      <c r="B24" s="4" t="s">
        <v>41</v>
      </c>
      <c r="C24" s="4" t="s">
        <v>417</v>
      </c>
      <c r="D24" s="3">
        <v>4</v>
      </c>
      <c r="E24" s="3" t="s">
        <v>16</v>
      </c>
      <c r="F24" s="3" t="s">
        <v>291</v>
      </c>
      <c r="G24" s="3" t="s">
        <v>26</v>
      </c>
      <c r="H24" s="3" t="s">
        <v>40</v>
      </c>
    </row>
    <row r="25" spans="1:8" x14ac:dyDescent="0.2">
      <c r="A25" s="3">
        <v>3080104018</v>
      </c>
      <c r="B25" s="4" t="s">
        <v>45</v>
      </c>
      <c r="C25" s="4" t="s">
        <v>418</v>
      </c>
      <c r="D25" s="3">
        <v>2</v>
      </c>
      <c r="E25" s="3" t="s">
        <v>16</v>
      </c>
      <c r="F25" s="3" t="s">
        <v>293</v>
      </c>
      <c r="G25" s="3" t="s">
        <v>29</v>
      </c>
      <c r="H25" s="3" t="s">
        <v>40</v>
      </c>
    </row>
    <row r="26" spans="1:8" x14ac:dyDescent="0.2">
      <c r="A26" s="3">
        <v>3080104099</v>
      </c>
      <c r="B26" s="4" t="s">
        <v>45</v>
      </c>
      <c r="C26" s="4" t="s">
        <v>419</v>
      </c>
      <c r="D26" s="3">
        <v>2</v>
      </c>
      <c r="E26" s="3" t="s">
        <v>16</v>
      </c>
      <c r="F26" s="3" t="s">
        <v>291</v>
      </c>
      <c r="G26" s="3" t="s">
        <v>26</v>
      </c>
      <c r="H26" s="3" t="s">
        <v>40</v>
      </c>
    </row>
    <row r="27" spans="1:8" x14ac:dyDescent="0.2">
      <c r="A27" s="3">
        <v>3080104055</v>
      </c>
      <c r="B27" s="4" t="s">
        <v>50</v>
      </c>
      <c r="C27" s="4" t="s">
        <v>425</v>
      </c>
      <c r="D27" s="3">
        <v>2</v>
      </c>
      <c r="E27" s="3" t="s">
        <v>16</v>
      </c>
      <c r="F27" s="3" t="s">
        <v>291</v>
      </c>
      <c r="G27" s="3" t="s">
        <v>26</v>
      </c>
      <c r="H27" s="3" t="s">
        <v>40</v>
      </c>
    </row>
    <row r="28" spans="1:8" x14ac:dyDescent="0.2">
      <c r="A28" s="3">
        <v>3080105088</v>
      </c>
      <c r="B28" s="4" t="s">
        <v>50</v>
      </c>
      <c r="C28" s="4" t="s">
        <v>423</v>
      </c>
      <c r="D28" s="3">
        <v>2</v>
      </c>
      <c r="E28" s="3" t="s">
        <v>16</v>
      </c>
      <c r="F28" s="3" t="s">
        <v>293</v>
      </c>
      <c r="G28" s="3" t="s">
        <v>29</v>
      </c>
      <c r="H28" s="3" t="s">
        <v>40</v>
      </c>
    </row>
    <row r="29" spans="1:8" x14ac:dyDescent="0.2">
      <c r="A29" s="3">
        <v>3080105121</v>
      </c>
      <c r="B29" s="4" t="s">
        <v>50</v>
      </c>
      <c r="C29" s="4" t="s">
        <v>316</v>
      </c>
      <c r="D29" s="3">
        <v>2</v>
      </c>
      <c r="E29" s="3" t="s">
        <v>16</v>
      </c>
      <c r="F29" s="3" t="s">
        <v>317</v>
      </c>
      <c r="G29" s="3" t="s">
        <v>318</v>
      </c>
      <c r="H29" s="3" t="s">
        <v>40</v>
      </c>
    </row>
    <row r="30" spans="1:8" x14ac:dyDescent="0.2">
      <c r="A30" s="3">
        <v>3080105040</v>
      </c>
      <c r="B30" s="4" t="s">
        <v>50</v>
      </c>
      <c r="C30" s="4" t="s">
        <v>421</v>
      </c>
      <c r="D30" s="3">
        <v>2</v>
      </c>
      <c r="E30" s="3" t="s">
        <v>16</v>
      </c>
      <c r="F30" s="3" t="s">
        <v>291</v>
      </c>
      <c r="G30" s="3" t="s">
        <v>26</v>
      </c>
      <c r="H30" s="3" t="s">
        <v>40</v>
      </c>
    </row>
    <row r="31" spans="1:8" x14ac:dyDescent="0.2">
      <c r="A31" s="3">
        <v>3080105114</v>
      </c>
      <c r="B31" s="4" t="s">
        <v>50</v>
      </c>
      <c r="C31" s="4" t="s">
        <v>53</v>
      </c>
      <c r="D31" s="3">
        <v>4</v>
      </c>
      <c r="E31" s="3" t="s">
        <v>16</v>
      </c>
      <c r="F31" s="3" t="s">
        <v>289</v>
      </c>
      <c r="G31" s="3" t="s">
        <v>23</v>
      </c>
      <c r="H31" s="3" t="s">
        <v>40</v>
      </c>
    </row>
    <row r="32" spans="1:8" x14ac:dyDescent="0.2">
      <c r="A32" s="3">
        <v>3080105114</v>
      </c>
      <c r="B32" s="4" t="s">
        <v>50</v>
      </c>
      <c r="C32" s="4" t="s">
        <v>53</v>
      </c>
      <c r="D32" s="3">
        <v>4</v>
      </c>
      <c r="E32" s="3" t="s">
        <v>16</v>
      </c>
      <c r="F32" s="3" t="s">
        <v>289</v>
      </c>
      <c r="G32" s="3" t="s">
        <v>23</v>
      </c>
      <c r="H32" s="3" t="s">
        <v>40</v>
      </c>
    </row>
    <row r="33" spans="1:8" x14ac:dyDescent="0.2">
      <c r="A33" s="3">
        <v>3080105008</v>
      </c>
      <c r="B33" s="4" t="s">
        <v>50</v>
      </c>
      <c r="C33" s="4" t="s">
        <v>424</v>
      </c>
      <c r="D33" s="3">
        <v>8</v>
      </c>
      <c r="E33" s="3" t="s">
        <v>16</v>
      </c>
      <c r="F33" s="3" t="s">
        <v>293</v>
      </c>
      <c r="G33" s="3" t="s">
        <v>29</v>
      </c>
      <c r="H33" s="3" t="s">
        <v>40</v>
      </c>
    </row>
    <row r="34" spans="1:8" x14ac:dyDescent="0.2">
      <c r="A34" s="3">
        <v>3080105024</v>
      </c>
      <c r="B34" s="4" t="s">
        <v>50</v>
      </c>
      <c r="C34" s="4" t="s">
        <v>420</v>
      </c>
      <c r="D34" s="3">
        <v>8</v>
      </c>
      <c r="E34" s="3" t="s">
        <v>16</v>
      </c>
      <c r="F34" s="3" t="s">
        <v>289</v>
      </c>
      <c r="G34" s="3" t="s">
        <v>23</v>
      </c>
      <c r="H34" s="3" t="s">
        <v>40</v>
      </c>
    </row>
    <row r="35" spans="1:8" x14ac:dyDescent="0.2">
      <c r="A35" s="3">
        <v>3080105007</v>
      </c>
      <c r="B35" s="4" t="s">
        <v>50</v>
      </c>
      <c r="C35" s="4" t="s">
        <v>52</v>
      </c>
      <c r="D35" s="3">
        <v>10</v>
      </c>
      <c r="E35" s="3" t="s">
        <v>16</v>
      </c>
      <c r="F35" s="3" t="s">
        <v>289</v>
      </c>
      <c r="G35" s="3" t="s">
        <v>23</v>
      </c>
      <c r="H35" s="3" t="s">
        <v>40</v>
      </c>
    </row>
    <row r="36" spans="1:8" x14ac:dyDescent="0.2">
      <c r="A36" s="3">
        <v>3080105015</v>
      </c>
      <c r="B36" s="4" t="s">
        <v>50</v>
      </c>
      <c r="C36" s="4" t="s">
        <v>422</v>
      </c>
      <c r="D36" s="3">
        <v>8</v>
      </c>
      <c r="E36" s="3" t="s">
        <v>16</v>
      </c>
      <c r="F36" s="3" t="s">
        <v>293</v>
      </c>
      <c r="G36" s="3" t="s">
        <v>29</v>
      </c>
      <c r="H36" s="3" t="s">
        <v>40</v>
      </c>
    </row>
    <row r="37" spans="1:8" x14ac:dyDescent="0.2">
      <c r="A37" s="3">
        <v>3080105021</v>
      </c>
      <c r="B37" s="4" t="s">
        <v>50</v>
      </c>
      <c r="C37" s="4" t="s">
        <v>319</v>
      </c>
      <c r="D37" s="3">
        <v>8</v>
      </c>
      <c r="E37" s="3" t="s">
        <v>16</v>
      </c>
      <c r="F37" s="3" t="s">
        <v>317</v>
      </c>
      <c r="G37" s="3" t="s">
        <v>318</v>
      </c>
      <c r="H37" s="3" t="s">
        <v>40</v>
      </c>
    </row>
    <row r="38" spans="1:8" x14ac:dyDescent="0.2">
      <c r="A38" s="3">
        <v>3080105040</v>
      </c>
      <c r="B38" s="4" t="s">
        <v>50</v>
      </c>
      <c r="C38" s="4" t="s">
        <v>421</v>
      </c>
      <c r="D38" s="3">
        <v>12</v>
      </c>
      <c r="E38" s="3" t="s">
        <v>16</v>
      </c>
      <c r="F38" s="3" t="s">
        <v>293</v>
      </c>
      <c r="G38" s="3" t="s">
        <v>29</v>
      </c>
      <c r="H38" s="3" t="s">
        <v>40</v>
      </c>
    </row>
    <row r="39" spans="1:8" x14ac:dyDescent="0.2">
      <c r="A39" s="3">
        <v>3080502003</v>
      </c>
      <c r="B39" s="4" t="s">
        <v>55</v>
      </c>
      <c r="C39" s="4" t="s">
        <v>426</v>
      </c>
      <c r="D39" s="3">
        <v>2</v>
      </c>
      <c r="E39" s="3" t="s">
        <v>16</v>
      </c>
      <c r="F39" s="3" t="s">
        <v>291</v>
      </c>
      <c r="G39" s="3" t="s">
        <v>26</v>
      </c>
      <c r="H39" s="3" t="s">
        <v>40</v>
      </c>
    </row>
    <row r="40" spans="1:8" x14ac:dyDescent="0.2">
      <c r="A40" s="3">
        <v>3080201012</v>
      </c>
      <c r="B40" s="4" t="s">
        <v>60</v>
      </c>
      <c r="C40" s="4" t="s">
        <v>320</v>
      </c>
      <c r="D40" s="3">
        <v>1</v>
      </c>
      <c r="E40" s="3" t="s">
        <v>16</v>
      </c>
      <c r="F40" s="3" t="s">
        <v>317</v>
      </c>
      <c r="G40" s="3" t="s">
        <v>318</v>
      </c>
      <c r="H40" s="3" t="s">
        <v>40</v>
      </c>
    </row>
    <row r="41" spans="1:8" x14ac:dyDescent="0.2">
      <c r="A41" s="3">
        <v>3080201005</v>
      </c>
      <c r="B41" s="4" t="s">
        <v>60</v>
      </c>
      <c r="C41" s="4" t="s">
        <v>427</v>
      </c>
      <c r="D41" s="3">
        <v>1</v>
      </c>
      <c r="E41" s="3" t="s">
        <v>16</v>
      </c>
      <c r="F41" s="3" t="s">
        <v>291</v>
      </c>
      <c r="G41" s="3" t="s">
        <v>26</v>
      </c>
      <c r="H41" s="3" t="s">
        <v>40</v>
      </c>
    </row>
    <row r="42" spans="1:8" x14ac:dyDescent="0.2">
      <c r="A42" s="3">
        <v>3080201006</v>
      </c>
      <c r="B42" s="4" t="s">
        <v>60</v>
      </c>
      <c r="C42" s="4" t="s">
        <v>428</v>
      </c>
      <c r="D42" s="3">
        <v>1</v>
      </c>
      <c r="E42" s="3" t="s">
        <v>16</v>
      </c>
      <c r="F42" s="3" t="s">
        <v>291</v>
      </c>
      <c r="G42" s="3" t="s">
        <v>26</v>
      </c>
      <c r="H42" s="3" t="s">
        <v>40</v>
      </c>
    </row>
    <row r="43" spans="1:8" x14ac:dyDescent="0.2">
      <c r="A43" s="3">
        <v>3080107059</v>
      </c>
      <c r="B43" s="4" t="s">
        <v>69</v>
      </c>
      <c r="C43" s="4" t="s">
        <v>321</v>
      </c>
      <c r="D43" s="3">
        <v>1</v>
      </c>
      <c r="E43" s="3" t="s">
        <v>16</v>
      </c>
      <c r="F43" s="3" t="s">
        <v>317</v>
      </c>
      <c r="G43" s="3" t="s">
        <v>318</v>
      </c>
      <c r="H43" s="3" t="s">
        <v>40</v>
      </c>
    </row>
    <row r="44" spans="1:8" x14ac:dyDescent="0.2">
      <c r="A44" s="3">
        <v>3080107038</v>
      </c>
      <c r="B44" s="4" t="s">
        <v>69</v>
      </c>
      <c r="C44" s="4" t="s">
        <v>72</v>
      </c>
      <c r="D44" s="3">
        <v>2</v>
      </c>
      <c r="E44" s="3" t="s">
        <v>16</v>
      </c>
      <c r="F44" s="3" t="s">
        <v>289</v>
      </c>
      <c r="G44" s="3" t="s">
        <v>23</v>
      </c>
      <c r="H44" s="3" t="s">
        <v>40</v>
      </c>
    </row>
    <row r="45" spans="1:8" x14ac:dyDescent="0.2">
      <c r="A45" s="3">
        <v>3080107034</v>
      </c>
      <c r="B45" s="4" t="s">
        <v>69</v>
      </c>
      <c r="C45" s="4" t="s">
        <v>429</v>
      </c>
      <c r="D45" s="3">
        <v>2</v>
      </c>
      <c r="E45" s="3" t="s">
        <v>16</v>
      </c>
      <c r="F45" s="3" t="s">
        <v>295</v>
      </c>
      <c r="G45" s="3" t="s">
        <v>17</v>
      </c>
      <c r="H45" s="3" t="s">
        <v>40</v>
      </c>
    </row>
    <row r="46" spans="1:8" x14ac:dyDescent="0.2">
      <c r="A46" s="3">
        <v>3080107014</v>
      </c>
      <c r="B46" s="4" t="s">
        <v>69</v>
      </c>
      <c r="C46" s="4" t="s">
        <v>322</v>
      </c>
      <c r="D46" s="3">
        <v>2</v>
      </c>
      <c r="E46" s="3" t="s">
        <v>16</v>
      </c>
      <c r="F46" s="3" t="s">
        <v>317</v>
      </c>
      <c r="G46" s="3" t="s">
        <v>318</v>
      </c>
      <c r="H46" s="3" t="s">
        <v>40</v>
      </c>
    </row>
    <row r="47" spans="1:8" x14ac:dyDescent="0.2">
      <c r="A47" s="3">
        <v>3080107002</v>
      </c>
      <c r="B47" s="4" t="s">
        <v>69</v>
      </c>
      <c r="C47" s="4" t="s">
        <v>430</v>
      </c>
      <c r="D47" s="3">
        <v>4</v>
      </c>
      <c r="E47" s="3" t="s">
        <v>16</v>
      </c>
      <c r="F47" s="3" t="s">
        <v>295</v>
      </c>
      <c r="G47" s="3" t="s">
        <v>17</v>
      </c>
      <c r="H47" s="3" t="s">
        <v>40</v>
      </c>
    </row>
    <row r="48" spans="1:8" x14ac:dyDescent="0.2">
      <c r="A48" s="3">
        <v>3080107308</v>
      </c>
      <c r="B48" s="4" t="s">
        <v>69</v>
      </c>
      <c r="C48" s="4" t="s">
        <v>433</v>
      </c>
      <c r="D48" s="3">
        <v>2</v>
      </c>
      <c r="E48" s="3" t="s">
        <v>16</v>
      </c>
      <c r="F48" s="3" t="s">
        <v>291</v>
      </c>
      <c r="G48" s="3" t="s">
        <v>26</v>
      </c>
      <c r="H48" s="3" t="s">
        <v>40</v>
      </c>
    </row>
    <row r="49" spans="1:8" x14ac:dyDescent="0.2">
      <c r="A49" s="3">
        <v>3080107034</v>
      </c>
      <c r="B49" s="4" t="s">
        <v>69</v>
      </c>
      <c r="C49" s="4" t="s">
        <v>429</v>
      </c>
      <c r="D49" s="3">
        <v>6</v>
      </c>
      <c r="E49" s="3" t="s">
        <v>16</v>
      </c>
      <c r="F49" s="3" t="s">
        <v>295</v>
      </c>
      <c r="G49" s="3" t="s">
        <v>17</v>
      </c>
      <c r="H49" s="3" t="s">
        <v>40</v>
      </c>
    </row>
    <row r="50" spans="1:8" x14ac:dyDescent="0.2">
      <c r="A50" s="3">
        <v>3080107052</v>
      </c>
      <c r="B50" s="4" t="s">
        <v>69</v>
      </c>
      <c r="C50" s="4" t="s">
        <v>431</v>
      </c>
      <c r="D50" s="3">
        <v>1</v>
      </c>
      <c r="E50" s="3" t="s">
        <v>16</v>
      </c>
      <c r="F50" s="3" t="s">
        <v>295</v>
      </c>
      <c r="G50" s="3" t="s">
        <v>17</v>
      </c>
      <c r="H50" s="3" t="s">
        <v>40</v>
      </c>
    </row>
    <row r="51" spans="1:8" x14ac:dyDescent="0.2">
      <c r="A51" s="3">
        <v>3080107305</v>
      </c>
      <c r="B51" s="4" t="s">
        <v>69</v>
      </c>
      <c r="C51" s="4" t="s">
        <v>434</v>
      </c>
      <c r="D51" s="3">
        <v>2</v>
      </c>
      <c r="E51" s="3" t="s">
        <v>16</v>
      </c>
      <c r="F51" s="3" t="s">
        <v>291</v>
      </c>
      <c r="G51" s="3" t="s">
        <v>26</v>
      </c>
      <c r="H51" s="3" t="s">
        <v>40</v>
      </c>
    </row>
    <row r="52" spans="1:8" x14ac:dyDescent="0.2">
      <c r="A52" s="3">
        <v>3080107072</v>
      </c>
      <c r="B52" s="4" t="s">
        <v>69</v>
      </c>
      <c r="C52" s="4" t="s">
        <v>435</v>
      </c>
      <c r="D52" s="3">
        <v>4</v>
      </c>
      <c r="E52" s="3" t="s">
        <v>16</v>
      </c>
      <c r="F52" s="3" t="s">
        <v>291</v>
      </c>
      <c r="G52" s="3" t="s">
        <v>26</v>
      </c>
      <c r="H52" s="3" t="s">
        <v>40</v>
      </c>
    </row>
    <row r="53" spans="1:8" x14ac:dyDescent="0.2">
      <c r="A53" s="3">
        <v>3080107094</v>
      </c>
      <c r="B53" s="4" t="s">
        <v>69</v>
      </c>
      <c r="C53" s="4" t="s">
        <v>436</v>
      </c>
      <c r="D53" s="3">
        <v>2</v>
      </c>
      <c r="E53" s="3" t="s">
        <v>16</v>
      </c>
      <c r="F53" s="3" t="s">
        <v>291</v>
      </c>
      <c r="G53" s="3" t="s">
        <v>26</v>
      </c>
      <c r="H53" s="3" t="s">
        <v>40</v>
      </c>
    </row>
    <row r="54" spans="1:8" x14ac:dyDescent="0.2">
      <c r="A54" s="3">
        <v>3080107160</v>
      </c>
      <c r="B54" s="4" t="s">
        <v>69</v>
      </c>
      <c r="C54" s="4" t="s">
        <v>432</v>
      </c>
      <c r="D54" s="3">
        <v>4</v>
      </c>
      <c r="E54" s="3" t="s">
        <v>16</v>
      </c>
      <c r="F54" s="3" t="s">
        <v>293</v>
      </c>
      <c r="G54" s="3" t="s">
        <v>29</v>
      </c>
      <c r="H54" s="3" t="s">
        <v>40</v>
      </c>
    </row>
    <row r="55" spans="1:8" x14ac:dyDescent="0.2">
      <c r="A55" s="3">
        <v>3080108019</v>
      </c>
      <c r="B55" s="4" t="s">
        <v>77</v>
      </c>
      <c r="C55" s="4" t="s">
        <v>325</v>
      </c>
      <c r="D55" s="3">
        <v>2</v>
      </c>
      <c r="E55" s="3" t="s">
        <v>16</v>
      </c>
      <c r="F55" s="3" t="s">
        <v>317</v>
      </c>
      <c r="G55" s="3" t="s">
        <v>318</v>
      </c>
      <c r="H55" s="3" t="s">
        <v>40</v>
      </c>
    </row>
    <row r="56" spans="1:8" x14ac:dyDescent="0.2">
      <c r="A56" s="3">
        <v>3080108033</v>
      </c>
      <c r="B56" s="4" t="s">
        <v>77</v>
      </c>
      <c r="C56" s="4" t="s">
        <v>438</v>
      </c>
      <c r="D56" s="3">
        <v>4</v>
      </c>
      <c r="E56" s="3" t="s">
        <v>16</v>
      </c>
      <c r="F56" s="3" t="s">
        <v>291</v>
      </c>
      <c r="G56" s="3" t="s">
        <v>26</v>
      </c>
      <c r="H56" s="3" t="s">
        <v>40</v>
      </c>
    </row>
    <row r="57" spans="1:8" x14ac:dyDescent="0.2">
      <c r="A57" s="3">
        <v>3080108025</v>
      </c>
      <c r="B57" s="4" t="s">
        <v>77</v>
      </c>
      <c r="C57" s="4" t="s">
        <v>437</v>
      </c>
      <c r="D57" s="3">
        <v>7</v>
      </c>
      <c r="E57" s="3" t="s">
        <v>16</v>
      </c>
      <c r="F57" s="3" t="s">
        <v>295</v>
      </c>
      <c r="G57" s="3" t="s">
        <v>17</v>
      </c>
      <c r="H57" s="3" t="s">
        <v>40</v>
      </c>
    </row>
    <row r="58" spans="1:8" x14ac:dyDescent="0.2">
      <c r="A58" s="3">
        <v>3080403001</v>
      </c>
      <c r="B58" s="4" t="s">
        <v>439</v>
      </c>
      <c r="C58" s="4" t="s">
        <v>440</v>
      </c>
      <c r="D58" s="3">
        <v>1</v>
      </c>
      <c r="E58" s="3" t="s">
        <v>16</v>
      </c>
      <c r="F58" s="3" t="s">
        <v>295</v>
      </c>
      <c r="G58" s="3" t="s">
        <v>17</v>
      </c>
      <c r="H58" s="3" t="s">
        <v>40</v>
      </c>
    </row>
    <row r="59" spans="1:8" x14ac:dyDescent="0.2">
      <c r="A59" s="3">
        <v>3080109002</v>
      </c>
      <c r="B59" s="4" t="s">
        <v>441</v>
      </c>
      <c r="C59" s="4" t="s">
        <v>442</v>
      </c>
      <c r="D59" s="3">
        <v>2</v>
      </c>
      <c r="E59" s="3" t="s">
        <v>16</v>
      </c>
      <c r="F59" s="3" t="s">
        <v>295</v>
      </c>
      <c r="G59" s="3" t="s">
        <v>17</v>
      </c>
      <c r="H59" s="3" t="s">
        <v>40</v>
      </c>
    </row>
    <row r="60" spans="1:8" x14ac:dyDescent="0.2">
      <c r="A60" s="3">
        <v>3080111006</v>
      </c>
      <c r="B60" s="4" t="s">
        <v>79</v>
      </c>
      <c r="C60" s="4" t="s">
        <v>444</v>
      </c>
      <c r="D60" s="3">
        <v>1</v>
      </c>
      <c r="E60" s="3" t="s">
        <v>16</v>
      </c>
      <c r="F60" s="3" t="s">
        <v>295</v>
      </c>
      <c r="G60" s="3" t="s">
        <v>17</v>
      </c>
      <c r="H60" s="3" t="s">
        <v>40</v>
      </c>
    </row>
    <row r="61" spans="1:8" x14ac:dyDescent="0.2">
      <c r="A61" s="3">
        <v>3080111012</v>
      </c>
      <c r="B61" s="4" t="s">
        <v>79</v>
      </c>
      <c r="C61" s="4" t="s">
        <v>443</v>
      </c>
      <c r="D61" s="3">
        <v>2</v>
      </c>
      <c r="E61" s="3" t="s">
        <v>16</v>
      </c>
      <c r="F61" s="3" t="s">
        <v>295</v>
      </c>
      <c r="G61" s="3" t="s">
        <v>17</v>
      </c>
      <c r="H61" s="3" t="s">
        <v>40</v>
      </c>
    </row>
    <row r="62" spans="1:8" x14ac:dyDescent="0.2">
      <c r="A62" s="3">
        <v>3080111004</v>
      </c>
      <c r="B62" s="4" t="s">
        <v>79</v>
      </c>
      <c r="C62" s="4" t="s">
        <v>445</v>
      </c>
      <c r="D62" s="3">
        <v>2</v>
      </c>
      <c r="E62" s="3" t="s">
        <v>16</v>
      </c>
      <c r="F62" s="3" t="s">
        <v>293</v>
      </c>
      <c r="G62" s="3" t="s">
        <v>29</v>
      </c>
      <c r="H62" s="3" t="s">
        <v>40</v>
      </c>
    </row>
    <row r="63" spans="1:8" x14ac:dyDescent="0.2">
      <c r="A63" s="3">
        <v>3080111015</v>
      </c>
      <c r="B63" s="4" t="s">
        <v>79</v>
      </c>
      <c r="C63" s="4" t="s">
        <v>446</v>
      </c>
      <c r="D63" s="3">
        <v>4</v>
      </c>
      <c r="E63" s="3" t="s">
        <v>16</v>
      </c>
      <c r="F63" s="3" t="s">
        <v>291</v>
      </c>
      <c r="G63" s="3" t="s">
        <v>26</v>
      </c>
      <c r="H63" s="3" t="s">
        <v>40</v>
      </c>
    </row>
    <row r="64" spans="1:8" x14ac:dyDescent="0.2">
      <c r="A64" s="3">
        <v>3080111087</v>
      </c>
      <c r="B64" s="4" t="s">
        <v>79</v>
      </c>
      <c r="C64" s="4" t="s">
        <v>80</v>
      </c>
      <c r="D64" s="3">
        <v>4</v>
      </c>
      <c r="E64" s="3" t="s">
        <v>16</v>
      </c>
      <c r="F64" s="3" t="s">
        <v>291</v>
      </c>
      <c r="G64" s="3" t="s">
        <v>26</v>
      </c>
      <c r="H64" s="3" t="s">
        <v>40</v>
      </c>
    </row>
    <row r="65" spans="1:8" x14ac:dyDescent="0.2">
      <c r="A65" s="3">
        <v>3080111087</v>
      </c>
      <c r="B65" s="4" t="s">
        <v>79</v>
      </c>
      <c r="C65" s="4" t="s">
        <v>80</v>
      </c>
      <c r="D65" s="3">
        <v>7</v>
      </c>
      <c r="E65" s="3" t="s">
        <v>16</v>
      </c>
      <c r="F65" s="3" t="s">
        <v>291</v>
      </c>
      <c r="G65" s="3" t="s">
        <v>26</v>
      </c>
      <c r="H65" s="3" t="s">
        <v>40</v>
      </c>
    </row>
    <row r="66" spans="1:8" x14ac:dyDescent="0.2">
      <c r="A66" s="3">
        <v>3080111087</v>
      </c>
      <c r="B66" s="4" t="s">
        <v>79</v>
      </c>
      <c r="C66" s="4" t="s">
        <v>80</v>
      </c>
      <c r="D66" s="3">
        <v>9</v>
      </c>
      <c r="E66" s="3" t="s">
        <v>16</v>
      </c>
      <c r="F66" s="3" t="s">
        <v>291</v>
      </c>
      <c r="G66" s="3" t="s">
        <v>26</v>
      </c>
      <c r="H66" s="3" t="s">
        <v>40</v>
      </c>
    </row>
    <row r="67" spans="1:8" x14ac:dyDescent="0.2">
      <c r="A67" s="3">
        <v>407030038</v>
      </c>
      <c r="B67" s="4" t="s">
        <v>81</v>
      </c>
      <c r="C67" s="4" t="s">
        <v>447</v>
      </c>
      <c r="D67" s="3">
        <v>1</v>
      </c>
      <c r="E67" s="3" t="s">
        <v>16</v>
      </c>
      <c r="F67" s="3" t="s">
        <v>301</v>
      </c>
      <c r="G67" s="3" t="s">
        <v>32</v>
      </c>
      <c r="H67" s="3" t="s">
        <v>40</v>
      </c>
    </row>
    <row r="68" spans="1:8" x14ac:dyDescent="0.2">
      <c r="A68" s="3">
        <v>3099991203</v>
      </c>
      <c r="B68" s="4" t="s">
        <v>101</v>
      </c>
      <c r="C68" s="4" t="s">
        <v>102</v>
      </c>
      <c r="D68" s="3">
        <v>1</v>
      </c>
      <c r="E68" s="3" t="s">
        <v>16</v>
      </c>
      <c r="F68" s="3" t="s">
        <v>289</v>
      </c>
      <c r="G68" s="3" t="s">
        <v>23</v>
      </c>
      <c r="H68" s="3" t="s">
        <v>103</v>
      </c>
    </row>
    <row r="69" spans="1:8" x14ac:dyDescent="0.2">
      <c r="A69" s="3">
        <v>3099990104</v>
      </c>
      <c r="B69" s="4" t="s">
        <v>104</v>
      </c>
      <c r="C69" s="4" t="s">
        <v>448</v>
      </c>
      <c r="D69" s="3">
        <v>1</v>
      </c>
      <c r="E69" s="3" t="s">
        <v>16</v>
      </c>
      <c r="F69" s="3" t="s">
        <v>299</v>
      </c>
      <c r="G69" s="3" t="s">
        <v>106</v>
      </c>
      <c r="H69" s="3" t="s">
        <v>103</v>
      </c>
    </row>
    <row r="70" spans="1:8" x14ac:dyDescent="0.2">
      <c r="A70" s="3">
        <v>3099990704</v>
      </c>
      <c r="B70" s="4" t="s">
        <v>449</v>
      </c>
      <c r="C70" s="4" t="s">
        <v>450</v>
      </c>
      <c r="D70" s="3">
        <v>1</v>
      </c>
      <c r="E70" s="3" t="s">
        <v>16</v>
      </c>
      <c r="F70" s="3" t="s">
        <v>299</v>
      </c>
      <c r="G70" s="3" t="s">
        <v>106</v>
      </c>
      <c r="H70" s="3" t="s">
        <v>103</v>
      </c>
    </row>
    <row r="71" spans="1:8" x14ac:dyDescent="0.2">
      <c r="A71" s="3">
        <v>3099990604</v>
      </c>
      <c r="B71" s="4" t="s">
        <v>451</v>
      </c>
      <c r="C71" s="4" t="s">
        <v>450</v>
      </c>
      <c r="D71" s="3">
        <v>1</v>
      </c>
      <c r="E71" s="3" t="s">
        <v>16</v>
      </c>
      <c r="F71" s="3" t="s">
        <v>299</v>
      </c>
      <c r="G71" s="3" t="s">
        <v>106</v>
      </c>
      <c r="H71" s="3" t="s">
        <v>103</v>
      </c>
    </row>
    <row r="72" spans="1:8" x14ac:dyDescent="0.2">
      <c r="A72" s="3">
        <v>402030027</v>
      </c>
      <c r="B72" s="4" t="s">
        <v>107</v>
      </c>
      <c r="C72" s="4" t="s">
        <v>110</v>
      </c>
      <c r="D72" s="3">
        <v>1</v>
      </c>
      <c r="E72" s="3" t="s">
        <v>16</v>
      </c>
      <c r="F72" s="3" t="s">
        <v>291</v>
      </c>
      <c r="G72" s="3" t="s">
        <v>26</v>
      </c>
      <c r="H72" s="3" t="s">
        <v>109</v>
      </c>
    </row>
    <row r="73" spans="1:8" x14ac:dyDescent="0.2">
      <c r="A73" s="3">
        <v>402020002</v>
      </c>
      <c r="B73" s="4" t="s">
        <v>111</v>
      </c>
      <c r="C73" s="4" t="s">
        <v>452</v>
      </c>
      <c r="D73" s="3">
        <v>2</v>
      </c>
      <c r="E73" s="3" t="s">
        <v>16</v>
      </c>
      <c r="F73" s="3" t="s">
        <v>293</v>
      </c>
      <c r="G73" s="3" t="s">
        <v>29</v>
      </c>
      <c r="H73" s="3" t="s">
        <v>109</v>
      </c>
    </row>
    <row r="74" spans="1:8" x14ac:dyDescent="0.2">
      <c r="A74" s="3">
        <v>3060209002</v>
      </c>
      <c r="B74" s="4" t="s">
        <v>113</v>
      </c>
      <c r="C74" s="4" t="s">
        <v>114</v>
      </c>
      <c r="D74" s="3">
        <v>2</v>
      </c>
      <c r="E74" s="3" t="s">
        <v>16</v>
      </c>
      <c r="F74" s="3" t="s">
        <v>289</v>
      </c>
      <c r="G74" s="3" t="s">
        <v>23</v>
      </c>
      <c r="H74" s="3" t="s">
        <v>115</v>
      </c>
    </row>
    <row r="75" spans="1:8" x14ac:dyDescent="0.2">
      <c r="A75" s="3">
        <v>3040216001</v>
      </c>
      <c r="B75" s="4" t="s">
        <v>328</v>
      </c>
      <c r="C75" s="4" t="s">
        <v>329</v>
      </c>
      <c r="D75" s="3">
        <v>4</v>
      </c>
      <c r="E75" s="3" t="s">
        <v>16</v>
      </c>
      <c r="F75" s="3" t="s">
        <v>293</v>
      </c>
      <c r="G75" s="3" t="s">
        <v>29</v>
      </c>
      <c r="H75" s="3" t="s">
        <v>115</v>
      </c>
    </row>
    <row r="76" spans="1:8" x14ac:dyDescent="0.2">
      <c r="A76" s="3">
        <v>3030204017</v>
      </c>
      <c r="B76" s="4" t="s">
        <v>453</v>
      </c>
      <c r="C76" s="4" t="s">
        <v>454</v>
      </c>
      <c r="D76" s="3">
        <v>1</v>
      </c>
      <c r="E76" s="3" t="s">
        <v>16</v>
      </c>
      <c r="F76" s="3" t="s">
        <v>295</v>
      </c>
      <c r="G76" s="3" t="s">
        <v>17</v>
      </c>
      <c r="H76" s="3" t="s">
        <v>115</v>
      </c>
    </row>
    <row r="77" spans="1:8" x14ac:dyDescent="0.2">
      <c r="A77" s="3">
        <v>3030204005</v>
      </c>
      <c r="B77" s="4" t="s">
        <v>455</v>
      </c>
      <c r="C77" s="4" t="s">
        <v>456</v>
      </c>
      <c r="D77" s="3">
        <v>1</v>
      </c>
      <c r="E77" s="3" t="s">
        <v>16</v>
      </c>
      <c r="F77" s="3" t="s">
        <v>295</v>
      </c>
      <c r="G77" s="3" t="s">
        <v>17</v>
      </c>
      <c r="H77" s="3" t="s">
        <v>115</v>
      </c>
    </row>
    <row r="78" spans="1:8" x14ac:dyDescent="0.2">
      <c r="A78" s="3">
        <v>3050203003</v>
      </c>
      <c r="B78" s="4" t="s">
        <v>120</v>
      </c>
      <c r="C78" s="4" t="s">
        <v>457</v>
      </c>
      <c r="D78" s="3">
        <v>2</v>
      </c>
      <c r="E78" s="3" t="s">
        <v>16</v>
      </c>
      <c r="F78" s="3" t="s">
        <v>291</v>
      </c>
      <c r="G78" s="3" t="s">
        <v>26</v>
      </c>
      <c r="H78" s="3" t="s">
        <v>115</v>
      </c>
    </row>
    <row r="79" spans="1:8" x14ac:dyDescent="0.2">
      <c r="A79" s="3">
        <v>3030204008</v>
      </c>
      <c r="B79" s="4" t="s">
        <v>122</v>
      </c>
      <c r="C79" s="4" t="s">
        <v>123</v>
      </c>
      <c r="D79" s="3">
        <v>1</v>
      </c>
      <c r="E79" s="3" t="s">
        <v>16</v>
      </c>
      <c r="F79" s="3" t="s">
        <v>291</v>
      </c>
      <c r="G79" s="3" t="s">
        <v>26</v>
      </c>
      <c r="H79" s="3" t="s">
        <v>115</v>
      </c>
    </row>
    <row r="80" spans="1:8" x14ac:dyDescent="0.2">
      <c r="A80" s="3">
        <v>3070104005</v>
      </c>
      <c r="B80" s="4" t="s">
        <v>128</v>
      </c>
      <c r="C80" s="4" t="s">
        <v>330</v>
      </c>
      <c r="D80" s="3">
        <v>1</v>
      </c>
      <c r="E80" s="3" t="s">
        <v>16</v>
      </c>
      <c r="F80" s="3" t="s">
        <v>317</v>
      </c>
      <c r="G80" s="3" t="s">
        <v>318</v>
      </c>
      <c r="H80" s="3" t="s">
        <v>115</v>
      </c>
    </row>
    <row r="81" spans="1:8" x14ac:dyDescent="0.2">
      <c r="A81" s="3">
        <v>3070104001</v>
      </c>
      <c r="B81" s="4" t="s">
        <v>331</v>
      </c>
      <c r="C81" s="4" t="s">
        <v>332</v>
      </c>
      <c r="D81" s="3">
        <v>1</v>
      </c>
      <c r="E81" s="3" t="s">
        <v>16</v>
      </c>
      <c r="F81" s="3" t="s">
        <v>317</v>
      </c>
      <c r="G81" s="3" t="s">
        <v>318</v>
      </c>
      <c r="H81" s="3" t="s">
        <v>115</v>
      </c>
    </row>
    <row r="82" spans="1:8" x14ac:dyDescent="0.2">
      <c r="A82" s="3">
        <v>3030206001</v>
      </c>
      <c r="B82" s="4" t="s">
        <v>458</v>
      </c>
      <c r="C82" s="4" t="s">
        <v>404</v>
      </c>
      <c r="D82" s="3">
        <v>1</v>
      </c>
      <c r="E82" s="3" t="s">
        <v>16</v>
      </c>
      <c r="F82" s="3" t="s">
        <v>295</v>
      </c>
      <c r="G82" s="3" t="s">
        <v>17</v>
      </c>
      <c r="H82" s="3" t="s">
        <v>132</v>
      </c>
    </row>
    <row r="83" spans="1:8" x14ac:dyDescent="0.2">
      <c r="A83" s="3">
        <v>3040502051</v>
      </c>
      <c r="B83" s="4" t="s">
        <v>136</v>
      </c>
      <c r="C83" s="4" t="s">
        <v>459</v>
      </c>
      <c r="D83" s="3">
        <v>2</v>
      </c>
      <c r="E83" s="3" t="s">
        <v>16</v>
      </c>
      <c r="F83" s="3" t="s">
        <v>293</v>
      </c>
      <c r="G83" s="3" t="s">
        <v>29</v>
      </c>
      <c r="H83" s="3" t="s">
        <v>138</v>
      </c>
    </row>
    <row r="84" spans="1:8" x14ac:dyDescent="0.2">
      <c r="A84" s="3">
        <v>3990207001</v>
      </c>
      <c r="B84" s="4" t="s">
        <v>140</v>
      </c>
      <c r="C84" s="4" t="s">
        <v>141</v>
      </c>
      <c r="D84" s="3">
        <v>1</v>
      </c>
      <c r="E84" s="3" t="s">
        <v>16</v>
      </c>
      <c r="F84" s="3" t="s">
        <v>285</v>
      </c>
      <c r="G84" s="3" t="s">
        <v>142</v>
      </c>
      <c r="H84" s="3" t="s">
        <v>143</v>
      </c>
    </row>
    <row r="85" spans="1:8" x14ac:dyDescent="0.2">
      <c r="A85" s="3">
        <v>3030301005</v>
      </c>
      <c r="B85" s="4" t="s">
        <v>144</v>
      </c>
      <c r="C85" s="4" t="s">
        <v>145</v>
      </c>
      <c r="D85" s="3">
        <v>2</v>
      </c>
      <c r="E85" s="3" t="s">
        <v>16</v>
      </c>
      <c r="F85" s="3" t="s">
        <v>291</v>
      </c>
      <c r="G85" s="3" t="s">
        <v>26</v>
      </c>
      <c r="H85" s="3" t="s">
        <v>143</v>
      </c>
    </row>
    <row r="86" spans="1:8" x14ac:dyDescent="0.2">
      <c r="A86" s="3">
        <v>3990204002</v>
      </c>
      <c r="B86" s="4" t="s">
        <v>333</v>
      </c>
      <c r="C86" s="4" t="s">
        <v>334</v>
      </c>
      <c r="D86" s="3">
        <v>1</v>
      </c>
      <c r="E86" s="3" t="s">
        <v>16</v>
      </c>
      <c r="F86" s="3" t="s">
        <v>335</v>
      </c>
      <c r="G86" s="3" t="s">
        <v>336</v>
      </c>
      <c r="H86" s="3" t="s">
        <v>143</v>
      </c>
    </row>
    <row r="87" spans="1:8" x14ac:dyDescent="0.2">
      <c r="A87" s="3">
        <v>3990205003</v>
      </c>
      <c r="B87" s="4" t="s">
        <v>146</v>
      </c>
      <c r="C87" s="4" t="s">
        <v>460</v>
      </c>
      <c r="D87" s="3">
        <v>1</v>
      </c>
      <c r="E87" s="3" t="s">
        <v>16</v>
      </c>
      <c r="F87" s="3" t="s">
        <v>287</v>
      </c>
      <c r="G87" s="3" t="s">
        <v>148</v>
      </c>
      <c r="H87" s="3" t="s">
        <v>143</v>
      </c>
    </row>
    <row r="88" spans="1:8" x14ac:dyDescent="0.2">
      <c r="A88" s="3">
        <v>408090008</v>
      </c>
      <c r="B88" s="4" t="s">
        <v>461</v>
      </c>
      <c r="C88" s="4" t="s">
        <v>462</v>
      </c>
      <c r="D88" s="3">
        <v>1</v>
      </c>
      <c r="E88" s="3" t="s">
        <v>16</v>
      </c>
      <c r="F88" s="3" t="s">
        <v>293</v>
      </c>
      <c r="G88" s="3" t="s">
        <v>29</v>
      </c>
      <c r="H88" s="3" t="s">
        <v>151</v>
      </c>
    </row>
    <row r="89" spans="1:8" x14ac:dyDescent="0.2">
      <c r="A89" s="3">
        <v>408090007</v>
      </c>
      <c r="B89" s="4" t="s">
        <v>463</v>
      </c>
      <c r="C89" s="4" t="s">
        <v>464</v>
      </c>
      <c r="D89" s="3">
        <v>1</v>
      </c>
      <c r="E89" s="3" t="s">
        <v>16</v>
      </c>
      <c r="F89" s="3" t="s">
        <v>293</v>
      </c>
      <c r="G89" s="3" t="s">
        <v>29</v>
      </c>
      <c r="H89" s="3" t="s">
        <v>151</v>
      </c>
    </row>
    <row r="90" spans="1:8" x14ac:dyDescent="0.2">
      <c r="A90" s="3">
        <v>407010061</v>
      </c>
      <c r="B90" s="4" t="s">
        <v>149</v>
      </c>
      <c r="C90" s="4" t="s">
        <v>591</v>
      </c>
      <c r="D90" s="3">
        <v>1</v>
      </c>
      <c r="E90" s="3" t="s">
        <v>16</v>
      </c>
      <c r="F90" s="3" t="s">
        <v>289</v>
      </c>
      <c r="G90" s="3" t="s">
        <v>23</v>
      </c>
      <c r="H90" s="3" t="s">
        <v>151</v>
      </c>
    </row>
    <row r="91" spans="1:8" x14ac:dyDescent="0.2">
      <c r="A91" s="3">
        <v>3070103002</v>
      </c>
      <c r="B91" s="4" t="s">
        <v>152</v>
      </c>
      <c r="C91" s="4" t="s">
        <v>153</v>
      </c>
      <c r="D91" s="3">
        <v>1</v>
      </c>
      <c r="E91" s="3" t="s">
        <v>16</v>
      </c>
      <c r="F91" s="3" t="s">
        <v>289</v>
      </c>
      <c r="G91" s="3" t="s">
        <v>23</v>
      </c>
      <c r="H91" s="3" t="s">
        <v>154</v>
      </c>
    </row>
    <row r="92" spans="1:8" x14ac:dyDescent="0.2">
      <c r="A92" s="3">
        <v>3080507001</v>
      </c>
      <c r="B92" s="4" t="s">
        <v>466</v>
      </c>
      <c r="C92" s="4" t="s">
        <v>467</v>
      </c>
      <c r="D92" s="3">
        <v>4</v>
      </c>
      <c r="E92" s="3" t="s">
        <v>16</v>
      </c>
      <c r="F92" s="3" t="s">
        <v>291</v>
      </c>
      <c r="G92" s="3" t="s">
        <v>26</v>
      </c>
      <c r="H92" s="3" t="s">
        <v>154</v>
      </c>
    </row>
    <row r="93" spans="1:8" x14ac:dyDescent="0.2">
      <c r="A93" s="3">
        <v>3030301010</v>
      </c>
      <c r="B93" s="4" t="s">
        <v>468</v>
      </c>
      <c r="C93" s="4" t="s">
        <v>469</v>
      </c>
      <c r="D93" s="3">
        <v>4</v>
      </c>
      <c r="E93" s="3" t="s">
        <v>16</v>
      </c>
      <c r="F93" s="3" t="s">
        <v>295</v>
      </c>
      <c r="G93" s="3" t="s">
        <v>17</v>
      </c>
      <c r="H93" s="3" t="s">
        <v>165</v>
      </c>
    </row>
    <row r="94" spans="1:8" x14ac:dyDescent="0.2">
      <c r="A94" s="3">
        <v>3060347005</v>
      </c>
      <c r="B94" s="4" t="s">
        <v>470</v>
      </c>
      <c r="C94" s="4" t="s">
        <v>471</v>
      </c>
      <c r="D94" s="3">
        <v>1</v>
      </c>
      <c r="E94" s="3" t="s">
        <v>16</v>
      </c>
      <c r="F94" s="3" t="s">
        <v>291</v>
      </c>
      <c r="G94" s="3" t="s">
        <v>26</v>
      </c>
      <c r="H94" s="3" t="s">
        <v>165</v>
      </c>
    </row>
    <row r="95" spans="1:8" x14ac:dyDescent="0.2">
      <c r="A95" s="3">
        <v>3060347006</v>
      </c>
      <c r="B95" s="4" t="s">
        <v>470</v>
      </c>
      <c r="C95" s="4" t="s">
        <v>472</v>
      </c>
      <c r="D95" s="3">
        <v>1</v>
      </c>
      <c r="E95" s="3" t="s">
        <v>16</v>
      </c>
      <c r="F95" s="3" t="s">
        <v>291</v>
      </c>
      <c r="G95" s="3" t="s">
        <v>26</v>
      </c>
      <c r="H95" s="3" t="s">
        <v>165</v>
      </c>
    </row>
    <row r="96" spans="1:8" x14ac:dyDescent="0.2">
      <c r="A96" s="3">
        <v>3060306001</v>
      </c>
      <c r="B96" s="4" t="s">
        <v>163</v>
      </c>
      <c r="C96" s="4" t="s">
        <v>164</v>
      </c>
      <c r="D96" s="3">
        <v>1</v>
      </c>
      <c r="E96" s="3" t="s">
        <v>16</v>
      </c>
      <c r="F96" s="3" t="s">
        <v>289</v>
      </c>
      <c r="G96" s="3" t="s">
        <v>23</v>
      </c>
      <c r="H96" s="3" t="s">
        <v>165</v>
      </c>
    </row>
    <row r="97" spans="1:8" x14ac:dyDescent="0.2">
      <c r="A97" s="3">
        <v>3110103002</v>
      </c>
      <c r="B97" s="4" t="s">
        <v>473</v>
      </c>
      <c r="C97" s="4" t="s">
        <v>474</v>
      </c>
      <c r="D97" s="3">
        <v>1</v>
      </c>
      <c r="E97" s="3" t="s">
        <v>16</v>
      </c>
      <c r="F97" s="3" t="s">
        <v>291</v>
      </c>
      <c r="G97" s="3" t="s">
        <v>26</v>
      </c>
      <c r="H97" s="3" t="s">
        <v>165</v>
      </c>
    </row>
    <row r="98" spans="1:8" x14ac:dyDescent="0.2">
      <c r="A98" s="3">
        <v>3030316006</v>
      </c>
      <c r="B98" s="4" t="s">
        <v>475</v>
      </c>
      <c r="C98" s="4" t="s">
        <v>476</v>
      </c>
      <c r="D98" s="3">
        <v>1</v>
      </c>
      <c r="E98" s="3" t="s">
        <v>16</v>
      </c>
      <c r="F98" s="3" t="s">
        <v>295</v>
      </c>
      <c r="G98" s="3" t="s">
        <v>17</v>
      </c>
      <c r="H98" s="3" t="s">
        <v>165</v>
      </c>
    </row>
    <row r="99" spans="1:8" x14ac:dyDescent="0.2">
      <c r="A99" s="3">
        <v>3030314007</v>
      </c>
      <c r="B99" s="4" t="s">
        <v>477</v>
      </c>
      <c r="C99" s="4" t="s">
        <v>478</v>
      </c>
      <c r="D99" s="3">
        <v>1</v>
      </c>
      <c r="E99" s="3" t="s">
        <v>16</v>
      </c>
      <c r="F99" s="3" t="s">
        <v>291</v>
      </c>
      <c r="G99" s="3" t="s">
        <v>26</v>
      </c>
      <c r="H99" s="3" t="s">
        <v>165</v>
      </c>
    </row>
    <row r="100" spans="1:8" x14ac:dyDescent="0.2">
      <c r="A100" s="3">
        <v>3030308013</v>
      </c>
      <c r="B100" s="4" t="s">
        <v>479</v>
      </c>
      <c r="C100" s="4" t="s">
        <v>478</v>
      </c>
      <c r="D100" s="3">
        <v>1</v>
      </c>
      <c r="E100" s="3" t="s">
        <v>16</v>
      </c>
      <c r="F100" s="3" t="s">
        <v>291</v>
      </c>
      <c r="G100" s="3" t="s">
        <v>26</v>
      </c>
      <c r="H100" s="3" t="s">
        <v>165</v>
      </c>
    </row>
    <row r="101" spans="1:8" x14ac:dyDescent="0.2">
      <c r="A101" s="3">
        <v>3050310030</v>
      </c>
      <c r="B101" s="4" t="s">
        <v>480</v>
      </c>
      <c r="C101" s="4" t="s">
        <v>469</v>
      </c>
      <c r="D101" s="3">
        <v>2</v>
      </c>
      <c r="E101" s="3" t="s">
        <v>16</v>
      </c>
      <c r="F101" s="3" t="s">
        <v>291</v>
      </c>
      <c r="G101" s="3" t="s">
        <v>26</v>
      </c>
      <c r="H101" s="3" t="s">
        <v>165</v>
      </c>
    </row>
    <row r="102" spans="1:8" x14ac:dyDescent="0.2">
      <c r="A102" s="3">
        <v>3010106010</v>
      </c>
      <c r="B102" s="4" t="s">
        <v>481</v>
      </c>
      <c r="C102" s="4" t="s">
        <v>482</v>
      </c>
      <c r="D102" s="3">
        <v>0.03</v>
      </c>
      <c r="E102" s="3" t="s">
        <v>10</v>
      </c>
      <c r="F102" s="3" t="s">
        <v>284</v>
      </c>
      <c r="G102" s="3" t="s">
        <v>11</v>
      </c>
      <c r="H102" s="3" t="s">
        <v>483</v>
      </c>
    </row>
    <row r="103" spans="1:8" x14ac:dyDescent="0.2">
      <c r="A103" s="3">
        <v>3060310001</v>
      </c>
      <c r="B103" s="4" t="s">
        <v>171</v>
      </c>
      <c r="C103" s="4" t="s">
        <v>172</v>
      </c>
      <c r="D103" s="3">
        <v>1</v>
      </c>
      <c r="E103" s="3" t="s">
        <v>16</v>
      </c>
      <c r="F103" s="3" t="s">
        <v>289</v>
      </c>
      <c r="G103" s="3" t="s">
        <v>23</v>
      </c>
      <c r="H103" s="3" t="s">
        <v>173</v>
      </c>
    </row>
    <row r="104" spans="1:8" x14ac:dyDescent="0.2">
      <c r="A104" s="3">
        <v>3060311001</v>
      </c>
      <c r="B104" s="4" t="s">
        <v>174</v>
      </c>
      <c r="C104" s="4" t="s">
        <v>172</v>
      </c>
      <c r="D104" s="3">
        <v>1</v>
      </c>
      <c r="E104" s="3" t="s">
        <v>16</v>
      </c>
      <c r="F104" s="3" t="s">
        <v>289</v>
      </c>
      <c r="G104" s="3" t="s">
        <v>23</v>
      </c>
      <c r="H104" s="3" t="s">
        <v>173</v>
      </c>
    </row>
    <row r="105" spans="1:8" x14ac:dyDescent="0.2">
      <c r="A105" s="3">
        <v>3050305013</v>
      </c>
      <c r="B105" s="4" t="s">
        <v>484</v>
      </c>
      <c r="C105" s="4" t="s">
        <v>485</v>
      </c>
      <c r="D105" s="3">
        <v>1</v>
      </c>
      <c r="E105" s="3" t="s">
        <v>16</v>
      </c>
      <c r="F105" s="3" t="s">
        <v>291</v>
      </c>
      <c r="G105" s="3" t="s">
        <v>26</v>
      </c>
      <c r="H105" s="3" t="s">
        <v>173</v>
      </c>
    </row>
    <row r="106" spans="1:8" x14ac:dyDescent="0.2">
      <c r="A106" s="3">
        <v>3040305002</v>
      </c>
      <c r="B106" s="4" t="s">
        <v>486</v>
      </c>
      <c r="C106" s="4" t="s">
        <v>487</v>
      </c>
      <c r="D106" s="3">
        <v>2</v>
      </c>
      <c r="E106" s="3" t="s">
        <v>16</v>
      </c>
      <c r="F106" s="3" t="s">
        <v>293</v>
      </c>
      <c r="G106" s="3" t="s">
        <v>29</v>
      </c>
      <c r="H106" s="3" t="s">
        <v>173</v>
      </c>
    </row>
    <row r="107" spans="1:8" x14ac:dyDescent="0.2">
      <c r="A107" s="3">
        <v>3040313002</v>
      </c>
      <c r="B107" s="4" t="s">
        <v>488</v>
      </c>
      <c r="C107" s="4" t="s">
        <v>489</v>
      </c>
      <c r="D107" s="3">
        <v>8</v>
      </c>
      <c r="E107" s="3" t="s">
        <v>16</v>
      </c>
      <c r="F107" s="3" t="s">
        <v>293</v>
      </c>
      <c r="G107" s="3" t="s">
        <v>29</v>
      </c>
      <c r="H107" s="3" t="s">
        <v>173</v>
      </c>
    </row>
    <row r="108" spans="1:8" x14ac:dyDescent="0.2">
      <c r="A108" s="3">
        <v>3040321001</v>
      </c>
      <c r="B108" s="4" t="s">
        <v>490</v>
      </c>
      <c r="C108" s="4" t="s">
        <v>347</v>
      </c>
      <c r="D108" s="3">
        <v>8</v>
      </c>
      <c r="E108" s="3" t="s">
        <v>16</v>
      </c>
      <c r="F108" s="3" t="s">
        <v>293</v>
      </c>
      <c r="G108" s="3" t="s">
        <v>29</v>
      </c>
      <c r="H108" s="3" t="s">
        <v>173</v>
      </c>
    </row>
    <row r="109" spans="1:8" x14ac:dyDescent="0.2">
      <c r="A109" s="3">
        <v>3040309001</v>
      </c>
      <c r="B109" s="4" t="s">
        <v>346</v>
      </c>
      <c r="C109" s="4" t="s">
        <v>347</v>
      </c>
      <c r="D109" s="3">
        <v>4</v>
      </c>
      <c r="E109" s="3" t="s">
        <v>16</v>
      </c>
      <c r="F109" s="3" t="s">
        <v>293</v>
      </c>
      <c r="G109" s="3" t="s">
        <v>29</v>
      </c>
      <c r="H109" s="3" t="s">
        <v>173</v>
      </c>
    </row>
    <row r="110" spans="1:8" x14ac:dyDescent="0.2">
      <c r="A110" s="3">
        <v>3070201002</v>
      </c>
      <c r="B110" s="4" t="s">
        <v>348</v>
      </c>
      <c r="C110" s="4" t="s">
        <v>349</v>
      </c>
      <c r="D110" s="3">
        <v>1</v>
      </c>
      <c r="E110" s="3" t="s">
        <v>16</v>
      </c>
      <c r="F110" s="3" t="s">
        <v>317</v>
      </c>
      <c r="G110" s="3" t="s">
        <v>318</v>
      </c>
      <c r="H110" s="3" t="s">
        <v>173</v>
      </c>
    </row>
    <row r="111" spans="1:8" x14ac:dyDescent="0.2">
      <c r="A111" s="3">
        <v>3050304006</v>
      </c>
      <c r="B111" s="4" t="s">
        <v>181</v>
      </c>
      <c r="C111" s="4" t="s">
        <v>491</v>
      </c>
      <c r="D111" s="3">
        <v>1</v>
      </c>
      <c r="E111" s="3" t="s">
        <v>16</v>
      </c>
      <c r="F111" s="3" t="s">
        <v>291</v>
      </c>
      <c r="G111" s="3" t="s">
        <v>26</v>
      </c>
      <c r="H111" s="3" t="s">
        <v>173</v>
      </c>
    </row>
    <row r="112" spans="1:8" x14ac:dyDescent="0.2">
      <c r="A112" s="3">
        <v>3020501014</v>
      </c>
      <c r="B112" s="4" t="s">
        <v>183</v>
      </c>
      <c r="C112" s="4" t="s">
        <v>350</v>
      </c>
      <c r="D112" s="3">
        <v>1</v>
      </c>
      <c r="E112" s="3" t="s">
        <v>16</v>
      </c>
      <c r="F112" s="3" t="s">
        <v>291</v>
      </c>
      <c r="G112" s="3" t="s">
        <v>26</v>
      </c>
      <c r="H112" s="3" t="s">
        <v>185</v>
      </c>
    </row>
    <row r="113" spans="1:8" x14ac:dyDescent="0.2">
      <c r="A113" s="3">
        <v>3030204003</v>
      </c>
      <c r="B113" s="4" t="s">
        <v>492</v>
      </c>
      <c r="C113" s="4" t="s">
        <v>493</v>
      </c>
      <c r="D113" s="3">
        <v>2</v>
      </c>
      <c r="E113" s="3" t="s">
        <v>16</v>
      </c>
      <c r="F113" s="3" t="s">
        <v>295</v>
      </c>
      <c r="G113" s="3" t="s">
        <v>17</v>
      </c>
      <c r="H113" s="3" t="s">
        <v>494</v>
      </c>
    </row>
    <row r="114" spans="1:8" x14ac:dyDescent="0.2">
      <c r="A114" s="3">
        <v>3990201008</v>
      </c>
      <c r="B114" s="4" t="s">
        <v>186</v>
      </c>
      <c r="C114" s="4" t="s">
        <v>495</v>
      </c>
      <c r="D114" s="3">
        <v>1</v>
      </c>
      <c r="E114" s="3" t="s">
        <v>16</v>
      </c>
      <c r="F114" s="3" t="s">
        <v>295</v>
      </c>
      <c r="G114" s="3" t="s">
        <v>17</v>
      </c>
      <c r="H114" s="3" t="s">
        <v>187</v>
      </c>
    </row>
    <row r="115" spans="1:8" x14ac:dyDescent="0.2">
      <c r="A115" s="3">
        <v>3990202007</v>
      </c>
      <c r="B115" s="4" t="s">
        <v>188</v>
      </c>
      <c r="C115" s="4" t="s">
        <v>495</v>
      </c>
      <c r="D115" s="3">
        <v>1</v>
      </c>
      <c r="E115" s="3" t="s">
        <v>16</v>
      </c>
      <c r="F115" s="3" t="s">
        <v>295</v>
      </c>
      <c r="G115" s="3" t="s">
        <v>17</v>
      </c>
      <c r="H115" s="3" t="s">
        <v>187</v>
      </c>
    </row>
    <row r="116" spans="1:8" x14ac:dyDescent="0.2">
      <c r="A116" s="3">
        <v>3990203002</v>
      </c>
      <c r="B116" s="4" t="s">
        <v>189</v>
      </c>
      <c r="C116" s="4" t="s">
        <v>495</v>
      </c>
      <c r="D116" s="3">
        <v>1</v>
      </c>
      <c r="E116" s="3" t="s">
        <v>16</v>
      </c>
      <c r="F116" s="3" t="s">
        <v>295</v>
      </c>
      <c r="G116" s="3" t="s">
        <v>17</v>
      </c>
      <c r="H116" s="3" t="s">
        <v>187</v>
      </c>
    </row>
    <row r="117" spans="1:8" x14ac:dyDescent="0.2">
      <c r="A117" s="3">
        <v>3050405001</v>
      </c>
      <c r="B117" s="4" t="s">
        <v>496</v>
      </c>
      <c r="C117" s="4" t="s">
        <v>497</v>
      </c>
      <c r="D117" s="3">
        <v>1</v>
      </c>
      <c r="E117" s="3" t="s">
        <v>16</v>
      </c>
      <c r="F117" s="3" t="s">
        <v>291</v>
      </c>
      <c r="G117" s="3" t="s">
        <v>26</v>
      </c>
      <c r="H117" s="3" t="s">
        <v>192</v>
      </c>
    </row>
    <row r="118" spans="1:8" x14ac:dyDescent="0.2">
      <c r="A118" s="3">
        <v>3030402001</v>
      </c>
      <c r="B118" s="4" t="s">
        <v>498</v>
      </c>
      <c r="C118" s="4" t="s">
        <v>499</v>
      </c>
      <c r="D118" s="3">
        <v>1</v>
      </c>
      <c r="E118" s="3" t="s">
        <v>16</v>
      </c>
      <c r="F118" s="3" t="s">
        <v>295</v>
      </c>
      <c r="G118" s="3" t="s">
        <v>17</v>
      </c>
      <c r="H118" s="3" t="s">
        <v>192</v>
      </c>
    </row>
    <row r="119" spans="1:8" x14ac:dyDescent="0.2">
      <c r="A119" s="3">
        <v>3040402005</v>
      </c>
      <c r="B119" s="4" t="s">
        <v>500</v>
      </c>
      <c r="C119" s="4" t="s">
        <v>501</v>
      </c>
      <c r="D119" s="3">
        <v>1</v>
      </c>
      <c r="E119" s="3" t="s">
        <v>16</v>
      </c>
      <c r="F119" s="3" t="s">
        <v>293</v>
      </c>
      <c r="G119" s="3" t="s">
        <v>29</v>
      </c>
      <c r="H119" s="3" t="s">
        <v>192</v>
      </c>
    </row>
    <row r="120" spans="1:8" x14ac:dyDescent="0.2">
      <c r="A120" s="3">
        <v>3040402006</v>
      </c>
      <c r="B120" s="4" t="s">
        <v>500</v>
      </c>
      <c r="C120" s="4" t="s">
        <v>502</v>
      </c>
      <c r="D120" s="3">
        <v>1</v>
      </c>
      <c r="E120" s="3" t="s">
        <v>16</v>
      </c>
      <c r="F120" s="3" t="s">
        <v>293</v>
      </c>
      <c r="G120" s="3" t="s">
        <v>29</v>
      </c>
      <c r="H120" s="3" t="s">
        <v>192</v>
      </c>
    </row>
    <row r="121" spans="1:8" x14ac:dyDescent="0.2">
      <c r="A121" s="3">
        <v>404100002</v>
      </c>
      <c r="B121" s="4" t="s">
        <v>593</v>
      </c>
      <c r="C121" s="4" t="s">
        <v>594</v>
      </c>
      <c r="D121" s="3">
        <v>1</v>
      </c>
      <c r="E121" s="3" t="s">
        <v>16</v>
      </c>
      <c r="F121" s="3" t="s">
        <v>301</v>
      </c>
      <c r="G121" s="3" t="s">
        <v>32</v>
      </c>
      <c r="H121" s="3" t="s">
        <v>198</v>
      </c>
    </row>
    <row r="122" spans="1:8" x14ac:dyDescent="0.2">
      <c r="A122" s="3">
        <v>404100001</v>
      </c>
      <c r="B122" s="4" t="s">
        <v>196</v>
      </c>
      <c r="C122" s="4" t="s">
        <v>503</v>
      </c>
      <c r="D122" s="3">
        <v>1</v>
      </c>
      <c r="E122" s="3" t="s">
        <v>16</v>
      </c>
      <c r="F122" s="3" t="s">
        <v>301</v>
      </c>
      <c r="G122" s="3" t="s">
        <v>32</v>
      </c>
      <c r="H122" s="3" t="s">
        <v>198</v>
      </c>
    </row>
    <row r="123" spans="1:8" x14ac:dyDescent="0.2">
      <c r="A123" s="3">
        <v>404110008</v>
      </c>
      <c r="B123" s="4" t="s">
        <v>504</v>
      </c>
      <c r="C123" s="4" t="s">
        <v>505</v>
      </c>
      <c r="D123" s="3">
        <v>2</v>
      </c>
      <c r="E123" s="3" t="s">
        <v>16</v>
      </c>
      <c r="F123" s="3" t="s">
        <v>291</v>
      </c>
      <c r="G123" s="3" t="s">
        <v>26</v>
      </c>
      <c r="H123" s="3" t="s">
        <v>198</v>
      </c>
    </row>
    <row r="124" spans="1:8" x14ac:dyDescent="0.2">
      <c r="A124" s="3">
        <v>404110001</v>
      </c>
      <c r="B124" s="4" t="s">
        <v>504</v>
      </c>
      <c r="C124" s="4" t="s">
        <v>506</v>
      </c>
      <c r="D124" s="3">
        <v>1</v>
      </c>
      <c r="E124" s="3" t="s">
        <v>16</v>
      </c>
      <c r="F124" s="3" t="s">
        <v>291</v>
      </c>
      <c r="G124" s="3" t="s">
        <v>26</v>
      </c>
      <c r="H124" s="3" t="s">
        <v>198</v>
      </c>
    </row>
    <row r="125" spans="1:8" x14ac:dyDescent="0.2">
      <c r="A125" s="3">
        <v>403030012</v>
      </c>
      <c r="B125" s="4" t="s">
        <v>366</v>
      </c>
      <c r="C125" s="4" t="s">
        <v>507</v>
      </c>
      <c r="D125" s="3">
        <v>2</v>
      </c>
      <c r="E125" s="3" t="s">
        <v>16</v>
      </c>
      <c r="F125" s="3" t="s">
        <v>291</v>
      </c>
      <c r="G125" s="3" t="s">
        <v>26</v>
      </c>
      <c r="H125" s="3" t="s">
        <v>198</v>
      </c>
    </row>
    <row r="126" spans="1:8" x14ac:dyDescent="0.2">
      <c r="A126" s="3">
        <v>401070018</v>
      </c>
      <c r="B126" s="4" t="s">
        <v>35</v>
      </c>
      <c r="C126" s="4" t="s">
        <v>202</v>
      </c>
      <c r="D126" s="3">
        <v>1</v>
      </c>
      <c r="E126" s="3" t="s">
        <v>16</v>
      </c>
      <c r="F126" s="3" t="s">
        <v>291</v>
      </c>
      <c r="G126" s="3" t="s">
        <v>26</v>
      </c>
      <c r="H126" s="3" t="s">
        <v>198</v>
      </c>
    </row>
    <row r="127" spans="1:8" x14ac:dyDescent="0.2">
      <c r="A127" s="3">
        <v>401040100</v>
      </c>
      <c r="B127" s="4" t="s">
        <v>35</v>
      </c>
      <c r="C127" s="4" t="s">
        <v>508</v>
      </c>
      <c r="D127" s="3">
        <v>1</v>
      </c>
      <c r="E127" s="3" t="s">
        <v>16</v>
      </c>
      <c r="F127" s="3" t="s">
        <v>291</v>
      </c>
      <c r="G127" s="3" t="s">
        <v>26</v>
      </c>
      <c r="H127" s="3" t="s">
        <v>198</v>
      </c>
    </row>
    <row r="128" spans="1:8" x14ac:dyDescent="0.2">
      <c r="A128" s="3">
        <v>404100003</v>
      </c>
      <c r="B128" s="4" t="s">
        <v>205</v>
      </c>
      <c r="C128" s="4" t="s">
        <v>509</v>
      </c>
      <c r="D128" s="3">
        <v>1</v>
      </c>
      <c r="E128" s="3" t="s">
        <v>16</v>
      </c>
      <c r="F128" s="3" t="s">
        <v>291</v>
      </c>
      <c r="G128" s="3" t="s">
        <v>26</v>
      </c>
      <c r="H128" s="3" t="s">
        <v>198</v>
      </c>
    </row>
    <row r="129" spans="1:8" x14ac:dyDescent="0.2">
      <c r="A129" s="3">
        <v>404100004</v>
      </c>
      <c r="B129" s="4" t="s">
        <v>207</v>
      </c>
      <c r="C129" s="4" t="s">
        <v>510</v>
      </c>
      <c r="D129" s="3">
        <v>1</v>
      </c>
      <c r="E129" s="3" t="s">
        <v>16</v>
      </c>
      <c r="F129" s="3" t="s">
        <v>291</v>
      </c>
      <c r="G129" s="3" t="s">
        <v>26</v>
      </c>
      <c r="H129" s="3" t="s">
        <v>198</v>
      </c>
    </row>
    <row r="130" spans="1:8" x14ac:dyDescent="0.2">
      <c r="A130" s="3">
        <v>3030305007</v>
      </c>
      <c r="B130" s="4" t="s">
        <v>511</v>
      </c>
      <c r="C130" s="4" t="s">
        <v>512</v>
      </c>
      <c r="D130" s="3">
        <v>1</v>
      </c>
      <c r="E130" s="3" t="s">
        <v>16</v>
      </c>
      <c r="F130" s="3" t="s">
        <v>295</v>
      </c>
      <c r="G130" s="3" t="s">
        <v>17</v>
      </c>
      <c r="H130" s="3" t="s">
        <v>211</v>
      </c>
    </row>
    <row r="131" spans="1:8" x14ac:dyDescent="0.2">
      <c r="A131" s="3">
        <v>3030305006</v>
      </c>
      <c r="B131" s="4" t="s">
        <v>513</v>
      </c>
      <c r="C131" s="4" t="s">
        <v>512</v>
      </c>
      <c r="D131" s="3">
        <v>1</v>
      </c>
      <c r="E131" s="3" t="s">
        <v>16</v>
      </c>
      <c r="F131" s="3" t="s">
        <v>295</v>
      </c>
      <c r="G131" s="3" t="s">
        <v>17</v>
      </c>
      <c r="H131" s="3" t="s">
        <v>211</v>
      </c>
    </row>
    <row r="132" spans="1:8" x14ac:dyDescent="0.2">
      <c r="A132" s="3">
        <v>3069904001</v>
      </c>
      <c r="B132" s="4" t="s">
        <v>514</v>
      </c>
      <c r="C132" s="4" t="s">
        <v>355</v>
      </c>
      <c r="D132" s="3">
        <v>4</v>
      </c>
      <c r="E132" s="3" t="s">
        <v>16</v>
      </c>
      <c r="F132" s="3" t="s">
        <v>295</v>
      </c>
      <c r="G132" s="3" t="s">
        <v>17</v>
      </c>
      <c r="H132" s="3" t="s">
        <v>214</v>
      </c>
    </row>
    <row r="133" spans="1:8" x14ac:dyDescent="0.2">
      <c r="A133" s="3">
        <v>3030201003</v>
      </c>
      <c r="B133" s="4" t="s">
        <v>515</v>
      </c>
      <c r="C133" s="4" t="s">
        <v>516</v>
      </c>
      <c r="D133" s="3">
        <v>1</v>
      </c>
      <c r="E133" s="3" t="s">
        <v>16</v>
      </c>
      <c r="F133" s="3" t="s">
        <v>295</v>
      </c>
      <c r="G133" s="3" t="s">
        <v>17</v>
      </c>
      <c r="H133" s="3" t="s">
        <v>214</v>
      </c>
    </row>
    <row r="134" spans="1:8" x14ac:dyDescent="0.2">
      <c r="A134" s="3">
        <v>3049903001</v>
      </c>
      <c r="B134" s="4" t="s">
        <v>517</v>
      </c>
      <c r="C134" s="4" t="s">
        <v>355</v>
      </c>
      <c r="D134" s="3">
        <v>2</v>
      </c>
      <c r="E134" s="3" t="s">
        <v>16</v>
      </c>
      <c r="F134" s="3" t="s">
        <v>293</v>
      </c>
      <c r="G134" s="3" t="s">
        <v>29</v>
      </c>
      <c r="H134" s="3" t="s">
        <v>214</v>
      </c>
    </row>
    <row r="135" spans="1:8" x14ac:dyDescent="0.2">
      <c r="A135" s="3">
        <v>3049904001</v>
      </c>
      <c r="B135" s="4" t="s">
        <v>354</v>
      </c>
      <c r="C135" s="4" t="s">
        <v>355</v>
      </c>
      <c r="D135" s="3">
        <v>4</v>
      </c>
      <c r="E135" s="3" t="s">
        <v>16</v>
      </c>
      <c r="F135" s="3" t="s">
        <v>293</v>
      </c>
      <c r="G135" s="3" t="s">
        <v>29</v>
      </c>
      <c r="H135" s="3" t="s">
        <v>214</v>
      </c>
    </row>
    <row r="136" spans="1:8" x14ac:dyDescent="0.2">
      <c r="A136" s="3">
        <v>3049902001</v>
      </c>
      <c r="B136" s="4" t="s">
        <v>518</v>
      </c>
      <c r="C136" s="4" t="s">
        <v>355</v>
      </c>
      <c r="D136" s="3">
        <v>2</v>
      </c>
      <c r="E136" s="3" t="s">
        <v>16</v>
      </c>
      <c r="F136" s="3" t="s">
        <v>293</v>
      </c>
      <c r="G136" s="3" t="s">
        <v>29</v>
      </c>
      <c r="H136" s="3" t="s">
        <v>214</v>
      </c>
    </row>
    <row r="137" spans="1:8" x14ac:dyDescent="0.2">
      <c r="A137" s="3">
        <v>3070105007</v>
      </c>
      <c r="B137" s="4" t="s">
        <v>360</v>
      </c>
      <c r="C137" s="4" t="s">
        <v>361</v>
      </c>
      <c r="D137" s="3">
        <v>1</v>
      </c>
      <c r="E137" s="3" t="s">
        <v>16</v>
      </c>
      <c r="F137" s="3" t="s">
        <v>317</v>
      </c>
      <c r="G137" s="3" t="s">
        <v>318</v>
      </c>
      <c r="H137" s="3" t="s">
        <v>214</v>
      </c>
    </row>
    <row r="138" spans="1:8" x14ac:dyDescent="0.2">
      <c r="A138" s="3">
        <v>3070105008</v>
      </c>
      <c r="B138" s="4" t="s">
        <v>362</v>
      </c>
      <c r="C138" s="4" t="s">
        <v>361</v>
      </c>
      <c r="D138" s="3">
        <v>1</v>
      </c>
      <c r="E138" s="3" t="s">
        <v>16</v>
      </c>
      <c r="F138" s="3" t="s">
        <v>317</v>
      </c>
      <c r="G138" s="3" t="s">
        <v>318</v>
      </c>
      <c r="H138" s="3" t="s">
        <v>214</v>
      </c>
    </row>
    <row r="139" spans="1:8" x14ac:dyDescent="0.2">
      <c r="A139" s="3">
        <v>3050204001</v>
      </c>
      <c r="B139" s="4" t="s">
        <v>519</v>
      </c>
      <c r="C139" s="4" t="s">
        <v>355</v>
      </c>
      <c r="D139" s="3">
        <v>2</v>
      </c>
      <c r="E139" s="3" t="s">
        <v>16</v>
      </c>
      <c r="F139" s="3" t="s">
        <v>291</v>
      </c>
      <c r="G139" s="3" t="s">
        <v>26</v>
      </c>
      <c r="H139" s="3" t="s">
        <v>214</v>
      </c>
    </row>
    <row r="140" spans="1:8" x14ac:dyDescent="0.2">
      <c r="A140" s="3">
        <v>3050204002</v>
      </c>
      <c r="B140" s="4" t="s">
        <v>520</v>
      </c>
      <c r="C140" s="4" t="s">
        <v>355</v>
      </c>
      <c r="D140" s="3">
        <v>2</v>
      </c>
      <c r="E140" s="3" t="s">
        <v>16</v>
      </c>
      <c r="F140" s="3" t="s">
        <v>291</v>
      </c>
      <c r="G140" s="3" t="s">
        <v>26</v>
      </c>
      <c r="H140" s="3" t="s">
        <v>214</v>
      </c>
    </row>
    <row r="141" spans="1:8" x14ac:dyDescent="0.2">
      <c r="A141" s="3">
        <v>3060403034</v>
      </c>
      <c r="B141" s="4" t="s">
        <v>190</v>
      </c>
      <c r="C141" s="4" t="s">
        <v>521</v>
      </c>
      <c r="D141" s="3">
        <v>1</v>
      </c>
      <c r="E141" s="3" t="s">
        <v>16</v>
      </c>
      <c r="F141" s="3" t="s">
        <v>295</v>
      </c>
      <c r="G141" s="3" t="s">
        <v>17</v>
      </c>
      <c r="H141" s="3" t="s">
        <v>221</v>
      </c>
    </row>
    <row r="142" spans="1:8" x14ac:dyDescent="0.2">
      <c r="A142" s="3">
        <v>3020301001</v>
      </c>
      <c r="B142" s="4" t="s">
        <v>209</v>
      </c>
      <c r="C142" s="4" t="s">
        <v>365</v>
      </c>
      <c r="D142" s="3">
        <v>1</v>
      </c>
      <c r="E142" s="3" t="s">
        <v>16</v>
      </c>
      <c r="F142" s="3" t="s">
        <v>301</v>
      </c>
      <c r="G142" s="3" t="s">
        <v>32</v>
      </c>
      <c r="H142" s="3" t="s">
        <v>221</v>
      </c>
    </row>
    <row r="143" spans="1:8" x14ac:dyDescent="0.2">
      <c r="A143" s="3">
        <v>403030051</v>
      </c>
      <c r="B143" s="4" t="s">
        <v>366</v>
      </c>
      <c r="C143" s="4" t="s">
        <v>367</v>
      </c>
      <c r="D143" s="3">
        <v>3</v>
      </c>
      <c r="E143" s="3" t="s">
        <v>16</v>
      </c>
      <c r="F143" s="3" t="s">
        <v>301</v>
      </c>
      <c r="G143" s="3" t="s">
        <v>32</v>
      </c>
      <c r="H143" s="3" t="s">
        <v>221</v>
      </c>
    </row>
    <row r="144" spans="1:8" x14ac:dyDescent="0.2">
      <c r="A144" s="3">
        <v>403030005</v>
      </c>
      <c r="B144" s="4" t="s">
        <v>366</v>
      </c>
      <c r="C144" s="4" t="s">
        <v>368</v>
      </c>
      <c r="D144" s="3">
        <v>2</v>
      </c>
      <c r="E144" s="3" t="s">
        <v>16</v>
      </c>
      <c r="F144" s="3" t="s">
        <v>301</v>
      </c>
      <c r="G144" s="3" t="s">
        <v>32</v>
      </c>
      <c r="H144" s="3" t="s">
        <v>221</v>
      </c>
    </row>
    <row r="145" spans="1:8" x14ac:dyDescent="0.2">
      <c r="A145" s="3">
        <v>402050001</v>
      </c>
      <c r="B145" s="4" t="s">
        <v>522</v>
      </c>
      <c r="C145" s="4" t="s">
        <v>523</v>
      </c>
      <c r="D145" s="3">
        <v>1</v>
      </c>
      <c r="E145" s="3" t="s">
        <v>16</v>
      </c>
      <c r="F145" s="3" t="s">
        <v>289</v>
      </c>
      <c r="G145" s="3" t="s">
        <v>23</v>
      </c>
      <c r="H145" s="3" t="s">
        <v>524</v>
      </c>
    </row>
    <row r="146" spans="1:8" x14ac:dyDescent="0.2">
      <c r="A146" s="3">
        <v>408120036</v>
      </c>
      <c r="B146" s="4" t="s">
        <v>525</v>
      </c>
      <c r="C146" s="4" t="s">
        <v>526</v>
      </c>
      <c r="D146" s="3">
        <v>2</v>
      </c>
      <c r="E146" s="3" t="s">
        <v>16</v>
      </c>
      <c r="F146" s="3" t="s">
        <v>291</v>
      </c>
      <c r="G146" s="3" t="s">
        <v>26</v>
      </c>
      <c r="H146" s="3" t="s">
        <v>524</v>
      </c>
    </row>
    <row r="147" spans="1:8" x14ac:dyDescent="0.2">
      <c r="A147" s="3">
        <v>3060501005</v>
      </c>
      <c r="B147" s="4" t="s">
        <v>224</v>
      </c>
      <c r="C147" s="4" t="s">
        <v>225</v>
      </c>
      <c r="D147" s="3">
        <v>1</v>
      </c>
      <c r="E147" s="3" t="s">
        <v>16</v>
      </c>
      <c r="F147" s="3" t="s">
        <v>289</v>
      </c>
      <c r="G147" s="3" t="s">
        <v>23</v>
      </c>
      <c r="H147" s="3" t="s">
        <v>226</v>
      </c>
    </row>
    <row r="148" spans="1:8" x14ac:dyDescent="0.2">
      <c r="A148" s="3">
        <v>3060333002</v>
      </c>
      <c r="B148" s="4" t="s">
        <v>227</v>
      </c>
      <c r="C148" s="4" t="s">
        <v>228</v>
      </c>
      <c r="D148" s="3">
        <v>1</v>
      </c>
      <c r="E148" s="3" t="s">
        <v>16</v>
      </c>
      <c r="F148" s="3" t="s">
        <v>289</v>
      </c>
      <c r="G148" s="3" t="s">
        <v>23</v>
      </c>
      <c r="H148" s="3" t="s">
        <v>226</v>
      </c>
    </row>
    <row r="149" spans="1:8" x14ac:dyDescent="0.2">
      <c r="A149" s="3">
        <v>3060303001</v>
      </c>
      <c r="B149" s="4" t="s">
        <v>231</v>
      </c>
      <c r="C149" s="4" t="s">
        <v>232</v>
      </c>
      <c r="D149" s="3">
        <v>1</v>
      </c>
      <c r="E149" s="3" t="s">
        <v>16</v>
      </c>
      <c r="F149" s="3" t="s">
        <v>289</v>
      </c>
      <c r="G149" s="3" t="s">
        <v>23</v>
      </c>
      <c r="H149" s="3" t="s">
        <v>226</v>
      </c>
    </row>
    <row r="150" spans="1:8" x14ac:dyDescent="0.2">
      <c r="A150" s="3">
        <v>3060335004</v>
      </c>
      <c r="B150" s="4" t="s">
        <v>233</v>
      </c>
      <c r="C150" s="4" t="s">
        <v>234</v>
      </c>
      <c r="D150" s="3">
        <v>1</v>
      </c>
      <c r="E150" s="3" t="s">
        <v>16</v>
      </c>
      <c r="F150" s="3" t="s">
        <v>289</v>
      </c>
      <c r="G150" s="3" t="s">
        <v>23</v>
      </c>
      <c r="H150" s="3" t="s">
        <v>226</v>
      </c>
    </row>
    <row r="151" spans="1:8" x14ac:dyDescent="0.2">
      <c r="A151" s="3">
        <v>3050305016</v>
      </c>
      <c r="B151" s="4" t="s">
        <v>527</v>
      </c>
      <c r="C151" s="4" t="s">
        <v>528</v>
      </c>
      <c r="D151" s="3">
        <v>1</v>
      </c>
      <c r="E151" s="3" t="s">
        <v>16</v>
      </c>
      <c r="F151" s="3" t="s">
        <v>291</v>
      </c>
      <c r="G151" s="3" t="s">
        <v>26</v>
      </c>
      <c r="H151" s="3" t="s">
        <v>226</v>
      </c>
    </row>
    <row r="152" spans="1:8" x14ac:dyDescent="0.2">
      <c r="A152" s="3">
        <v>3050305015</v>
      </c>
      <c r="B152" s="4" t="s">
        <v>529</v>
      </c>
      <c r="C152" s="4" t="s">
        <v>530</v>
      </c>
      <c r="D152" s="3">
        <v>1</v>
      </c>
      <c r="E152" s="3" t="s">
        <v>16</v>
      </c>
      <c r="F152" s="3" t="s">
        <v>291</v>
      </c>
      <c r="G152" s="3" t="s">
        <v>26</v>
      </c>
      <c r="H152" s="3" t="s">
        <v>226</v>
      </c>
    </row>
    <row r="153" spans="1:8" x14ac:dyDescent="0.2">
      <c r="A153" s="3">
        <v>3030309020</v>
      </c>
      <c r="B153" s="4" t="s">
        <v>531</v>
      </c>
      <c r="C153" s="4" t="s">
        <v>532</v>
      </c>
      <c r="D153" s="3">
        <v>1</v>
      </c>
      <c r="E153" s="3" t="s">
        <v>16</v>
      </c>
      <c r="F153" s="3" t="s">
        <v>291</v>
      </c>
      <c r="G153" s="3" t="s">
        <v>26</v>
      </c>
      <c r="H153" s="3" t="s">
        <v>226</v>
      </c>
    </row>
    <row r="154" spans="1:8" x14ac:dyDescent="0.2">
      <c r="A154" s="3">
        <v>3030302002</v>
      </c>
      <c r="B154" s="4" t="s">
        <v>533</v>
      </c>
      <c r="C154" s="4" t="s">
        <v>534</v>
      </c>
      <c r="D154" s="3">
        <v>1</v>
      </c>
      <c r="E154" s="3" t="s">
        <v>16</v>
      </c>
      <c r="F154" s="3" t="s">
        <v>295</v>
      </c>
      <c r="G154" s="3" t="s">
        <v>17</v>
      </c>
      <c r="H154" s="3" t="s">
        <v>226</v>
      </c>
    </row>
    <row r="155" spans="1:8" x14ac:dyDescent="0.2">
      <c r="A155" s="3">
        <v>3030306012</v>
      </c>
      <c r="B155" s="4" t="s">
        <v>535</v>
      </c>
      <c r="C155" s="4" t="s">
        <v>536</v>
      </c>
      <c r="D155" s="3">
        <v>1</v>
      </c>
      <c r="E155" s="3" t="s">
        <v>16</v>
      </c>
      <c r="F155" s="3" t="s">
        <v>295</v>
      </c>
      <c r="G155" s="3" t="s">
        <v>17</v>
      </c>
      <c r="H155" s="3" t="s">
        <v>226</v>
      </c>
    </row>
    <row r="156" spans="1:8" x14ac:dyDescent="0.2">
      <c r="A156" s="3">
        <v>3030306011</v>
      </c>
      <c r="B156" s="4" t="s">
        <v>537</v>
      </c>
      <c r="C156" s="4" t="s">
        <v>536</v>
      </c>
      <c r="D156" s="3">
        <v>1</v>
      </c>
      <c r="E156" s="3" t="s">
        <v>16</v>
      </c>
      <c r="F156" s="3" t="s">
        <v>295</v>
      </c>
      <c r="G156" s="3" t="s">
        <v>17</v>
      </c>
      <c r="H156" s="3" t="s">
        <v>226</v>
      </c>
    </row>
    <row r="157" spans="1:8" x14ac:dyDescent="0.2">
      <c r="A157" s="3">
        <v>3030303002</v>
      </c>
      <c r="B157" s="4" t="s">
        <v>175</v>
      </c>
      <c r="C157" s="4" t="s">
        <v>538</v>
      </c>
      <c r="D157" s="3">
        <v>1</v>
      </c>
      <c r="E157" s="3" t="s">
        <v>16</v>
      </c>
      <c r="F157" s="3" t="s">
        <v>295</v>
      </c>
      <c r="G157" s="3" t="s">
        <v>17</v>
      </c>
      <c r="H157" s="3" t="s">
        <v>226</v>
      </c>
    </row>
    <row r="158" spans="1:8" x14ac:dyDescent="0.2">
      <c r="A158" s="3">
        <v>3030303017</v>
      </c>
      <c r="B158" s="4" t="s">
        <v>539</v>
      </c>
      <c r="C158" s="4" t="s">
        <v>540</v>
      </c>
      <c r="D158" s="3">
        <v>1</v>
      </c>
      <c r="E158" s="3" t="s">
        <v>16</v>
      </c>
      <c r="F158" s="3" t="s">
        <v>295</v>
      </c>
      <c r="G158" s="3" t="s">
        <v>17</v>
      </c>
      <c r="H158" s="3" t="s">
        <v>226</v>
      </c>
    </row>
    <row r="159" spans="1:8" x14ac:dyDescent="0.2">
      <c r="A159" s="3">
        <v>3040312012</v>
      </c>
      <c r="B159" s="4" t="s">
        <v>263</v>
      </c>
      <c r="C159" s="4" t="s">
        <v>541</v>
      </c>
      <c r="D159" s="3">
        <v>2</v>
      </c>
      <c r="E159" s="3" t="s">
        <v>16</v>
      </c>
      <c r="F159" s="3" t="s">
        <v>293</v>
      </c>
      <c r="G159" s="3" t="s">
        <v>29</v>
      </c>
      <c r="H159" s="3" t="s">
        <v>226</v>
      </c>
    </row>
    <row r="160" spans="1:8" x14ac:dyDescent="0.2">
      <c r="A160" s="3">
        <v>3040320011</v>
      </c>
      <c r="B160" s="4" t="s">
        <v>269</v>
      </c>
      <c r="C160" s="4" t="s">
        <v>543</v>
      </c>
      <c r="D160" s="3">
        <v>1</v>
      </c>
      <c r="E160" s="3" t="s">
        <v>16</v>
      </c>
      <c r="F160" s="3" t="s">
        <v>293</v>
      </c>
      <c r="G160" s="3" t="s">
        <v>29</v>
      </c>
      <c r="H160" s="3" t="s">
        <v>226</v>
      </c>
    </row>
    <row r="161" spans="1:8" x14ac:dyDescent="0.2">
      <c r="A161" s="3">
        <v>3040320010</v>
      </c>
      <c r="B161" s="4" t="s">
        <v>269</v>
      </c>
      <c r="C161" s="4" t="s">
        <v>542</v>
      </c>
      <c r="D161" s="3">
        <v>1</v>
      </c>
      <c r="E161" s="3" t="s">
        <v>16</v>
      </c>
      <c r="F161" s="3" t="s">
        <v>293</v>
      </c>
      <c r="G161" s="3" t="s">
        <v>29</v>
      </c>
      <c r="H161" s="3" t="s">
        <v>226</v>
      </c>
    </row>
    <row r="162" spans="1:8" x14ac:dyDescent="0.2">
      <c r="A162" s="3">
        <v>3030313003</v>
      </c>
      <c r="B162" s="4" t="s">
        <v>217</v>
      </c>
      <c r="C162" s="4" t="s">
        <v>544</v>
      </c>
      <c r="D162" s="3">
        <v>8</v>
      </c>
      <c r="E162" s="3" t="s">
        <v>16</v>
      </c>
      <c r="F162" s="3" t="s">
        <v>291</v>
      </c>
      <c r="G162" s="3" t="s">
        <v>26</v>
      </c>
      <c r="H162" s="3" t="s">
        <v>226</v>
      </c>
    </row>
    <row r="163" spans="1:8" x14ac:dyDescent="0.2">
      <c r="A163" s="3">
        <v>3020199010</v>
      </c>
      <c r="B163" s="4" t="s">
        <v>239</v>
      </c>
      <c r="C163" s="4" t="s">
        <v>545</v>
      </c>
      <c r="D163" s="3">
        <v>5</v>
      </c>
      <c r="E163" s="3" t="s">
        <v>16</v>
      </c>
      <c r="F163" s="3" t="s">
        <v>297</v>
      </c>
      <c r="G163" s="3" t="s">
        <v>204</v>
      </c>
      <c r="H163" s="3" t="s">
        <v>226</v>
      </c>
    </row>
    <row r="164" spans="1:8" x14ac:dyDescent="0.2">
      <c r="A164" s="3">
        <v>3040326016</v>
      </c>
      <c r="B164" s="4" t="s">
        <v>546</v>
      </c>
      <c r="C164" s="4" t="s">
        <v>536</v>
      </c>
      <c r="D164" s="3">
        <v>2</v>
      </c>
      <c r="E164" s="3" t="s">
        <v>16</v>
      </c>
      <c r="F164" s="3" t="s">
        <v>293</v>
      </c>
      <c r="G164" s="3" t="s">
        <v>29</v>
      </c>
      <c r="H164" s="3" t="s">
        <v>226</v>
      </c>
    </row>
    <row r="165" spans="1:8" x14ac:dyDescent="0.2">
      <c r="A165" s="3">
        <v>3070205004</v>
      </c>
      <c r="B165" s="4" t="s">
        <v>372</v>
      </c>
      <c r="C165" s="4" t="s">
        <v>266</v>
      </c>
      <c r="D165" s="3">
        <v>1</v>
      </c>
      <c r="E165" s="3" t="s">
        <v>16</v>
      </c>
      <c r="F165" s="3" t="s">
        <v>317</v>
      </c>
      <c r="G165" s="3" t="s">
        <v>318</v>
      </c>
      <c r="H165" s="3" t="s">
        <v>226</v>
      </c>
    </row>
    <row r="166" spans="1:8" x14ac:dyDescent="0.2">
      <c r="A166" s="3">
        <v>3070211002</v>
      </c>
      <c r="B166" s="4" t="s">
        <v>373</v>
      </c>
      <c r="C166" s="4" t="s">
        <v>374</v>
      </c>
      <c r="D166" s="3">
        <v>1</v>
      </c>
      <c r="E166" s="3" t="s">
        <v>16</v>
      </c>
      <c r="F166" s="3" t="s">
        <v>317</v>
      </c>
      <c r="G166" s="3" t="s">
        <v>318</v>
      </c>
      <c r="H166" s="3" t="s">
        <v>226</v>
      </c>
    </row>
    <row r="167" spans="1:8" x14ac:dyDescent="0.2">
      <c r="A167" s="3">
        <v>3070216001</v>
      </c>
      <c r="B167" s="4" t="s">
        <v>375</v>
      </c>
      <c r="C167" s="4" t="s">
        <v>376</v>
      </c>
      <c r="D167" s="3">
        <v>1</v>
      </c>
      <c r="E167" s="3" t="s">
        <v>16</v>
      </c>
      <c r="F167" s="3" t="s">
        <v>317</v>
      </c>
      <c r="G167" s="3" t="s">
        <v>318</v>
      </c>
      <c r="H167" s="3" t="s">
        <v>226</v>
      </c>
    </row>
    <row r="168" spans="1:8" x14ac:dyDescent="0.2">
      <c r="A168" s="3">
        <v>3070212001</v>
      </c>
      <c r="B168" s="4" t="s">
        <v>377</v>
      </c>
      <c r="C168" s="4" t="s">
        <v>378</v>
      </c>
      <c r="D168" s="3">
        <v>1</v>
      </c>
      <c r="E168" s="3" t="s">
        <v>16</v>
      </c>
      <c r="F168" s="3" t="s">
        <v>317</v>
      </c>
      <c r="G168" s="3" t="s">
        <v>318</v>
      </c>
      <c r="H168" s="3" t="s">
        <v>226</v>
      </c>
    </row>
    <row r="169" spans="1:8" x14ac:dyDescent="0.2">
      <c r="A169" s="3">
        <v>3070210001</v>
      </c>
      <c r="B169" s="4" t="s">
        <v>379</v>
      </c>
      <c r="C169" s="4" t="s">
        <v>280</v>
      </c>
      <c r="D169" s="3">
        <v>1</v>
      </c>
      <c r="E169" s="3" t="s">
        <v>16</v>
      </c>
      <c r="F169" s="3" t="s">
        <v>317</v>
      </c>
      <c r="G169" s="3" t="s">
        <v>318</v>
      </c>
      <c r="H169" s="3" t="s">
        <v>226</v>
      </c>
    </row>
    <row r="170" spans="1:8" x14ac:dyDescent="0.2">
      <c r="A170" s="3">
        <v>3069901001</v>
      </c>
      <c r="B170" s="4" t="s">
        <v>547</v>
      </c>
      <c r="C170" s="4" t="s">
        <v>548</v>
      </c>
      <c r="D170" s="3">
        <v>1</v>
      </c>
      <c r="E170" s="3" t="s">
        <v>16</v>
      </c>
      <c r="F170" s="3" t="s">
        <v>289</v>
      </c>
      <c r="G170" s="3" t="s">
        <v>23</v>
      </c>
      <c r="H170" s="3" t="s">
        <v>226</v>
      </c>
    </row>
    <row r="171" spans="1:8" x14ac:dyDescent="0.2">
      <c r="A171" s="3">
        <v>3050305019</v>
      </c>
      <c r="B171" s="4" t="s">
        <v>549</v>
      </c>
      <c r="C171" s="4" t="s">
        <v>530</v>
      </c>
      <c r="D171" s="3">
        <v>1</v>
      </c>
      <c r="E171" s="3" t="s">
        <v>16</v>
      </c>
      <c r="F171" s="3" t="s">
        <v>291</v>
      </c>
      <c r="G171" s="3" t="s">
        <v>26</v>
      </c>
      <c r="H171" s="3" t="s">
        <v>226</v>
      </c>
    </row>
    <row r="172" spans="1:8" x14ac:dyDescent="0.2">
      <c r="A172" s="3">
        <v>3050401014</v>
      </c>
      <c r="B172" s="4" t="s">
        <v>222</v>
      </c>
      <c r="C172" s="4" t="s">
        <v>550</v>
      </c>
      <c r="D172" s="3">
        <v>1</v>
      </c>
      <c r="E172" s="3" t="s">
        <v>16</v>
      </c>
      <c r="F172" s="3" t="s">
        <v>291</v>
      </c>
      <c r="G172" s="3" t="s">
        <v>26</v>
      </c>
      <c r="H172" s="3" t="s">
        <v>226</v>
      </c>
    </row>
    <row r="173" spans="1:8" x14ac:dyDescent="0.2">
      <c r="A173" s="3">
        <v>3080401031</v>
      </c>
      <c r="B173" s="4" t="s">
        <v>41</v>
      </c>
      <c r="C173" s="4" t="s">
        <v>551</v>
      </c>
      <c r="D173" s="3">
        <v>1</v>
      </c>
      <c r="E173" s="3" t="s">
        <v>16</v>
      </c>
      <c r="F173" s="3" t="s">
        <v>291</v>
      </c>
      <c r="G173" s="3" t="s">
        <v>26</v>
      </c>
      <c r="H173" s="3" t="s">
        <v>249</v>
      </c>
    </row>
    <row r="174" spans="1:8" x14ac:dyDescent="0.2">
      <c r="A174" s="3">
        <v>3030211001</v>
      </c>
      <c r="B174" s="4" t="s">
        <v>552</v>
      </c>
      <c r="C174" s="4" t="s">
        <v>553</v>
      </c>
      <c r="D174" s="3">
        <v>1</v>
      </c>
      <c r="E174" s="3" t="s">
        <v>16</v>
      </c>
      <c r="F174" s="3" t="s">
        <v>295</v>
      </c>
      <c r="G174" s="3" t="s">
        <v>17</v>
      </c>
      <c r="H174" s="3" t="s">
        <v>249</v>
      </c>
    </row>
    <row r="175" spans="1:8" x14ac:dyDescent="0.2">
      <c r="A175" s="3">
        <v>3080309001</v>
      </c>
      <c r="B175" s="4" t="s">
        <v>554</v>
      </c>
      <c r="C175" s="4" t="s">
        <v>555</v>
      </c>
      <c r="D175" s="3">
        <v>1</v>
      </c>
      <c r="E175" s="3" t="s">
        <v>16</v>
      </c>
      <c r="F175" s="3" t="s">
        <v>295</v>
      </c>
      <c r="G175" s="3" t="s">
        <v>17</v>
      </c>
      <c r="H175" s="3" t="s">
        <v>249</v>
      </c>
    </row>
    <row r="176" spans="1:8" x14ac:dyDescent="0.2">
      <c r="A176" s="3">
        <v>3080107017</v>
      </c>
      <c r="B176" s="4" t="s">
        <v>69</v>
      </c>
      <c r="C176" s="4" t="s">
        <v>251</v>
      </c>
      <c r="D176" s="3">
        <v>2</v>
      </c>
      <c r="E176" s="3" t="s">
        <v>16</v>
      </c>
      <c r="F176" s="3" t="s">
        <v>289</v>
      </c>
      <c r="G176" s="3" t="s">
        <v>23</v>
      </c>
      <c r="H176" s="3" t="s">
        <v>249</v>
      </c>
    </row>
    <row r="177" spans="1:8" x14ac:dyDescent="0.2">
      <c r="A177" s="3">
        <v>3080107017</v>
      </c>
      <c r="B177" s="4" t="s">
        <v>69</v>
      </c>
      <c r="C177" s="4" t="s">
        <v>251</v>
      </c>
      <c r="D177" s="3">
        <v>4</v>
      </c>
      <c r="E177" s="3" t="s">
        <v>16</v>
      </c>
      <c r="F177" s="3" t="s">
        <v>289</v>
      </c>
      <c r="G177" s="3" t="s">
        <v>23</v>
      </c>
      <c r="H177" s="3" t="s">
        <v>249</v>
      </c>
    </row>
    <row r="178" spans="1:8" x14ac:dyDescent="0.2">
      <c r="A178" s="3">
        <v>3080107268</v>
      </c>
      <c r="B178" s="4" t="s">
        <v>69</v>
      </c>
      <c r="C178" s="4" t="s">
        <v>556</v>
      </c>
      <c r="D178" s="3">
        <v>2</v>
      </c>
      <c r="E178" s="3" t="s">
        <v>16</v>
      </c>
      <c r="F178" s="3" t="s">
        <v>291</v>
      </c>
      <c r="G178" s="3" t="s">
        <v>26</v>
      </c>
      <c r="H178" s="3" t="s">
        <v>249</v>
      </c>
    </row>
    <row r="179" spans="1:8" x14ac:dyDescent="0.2">
      <c r="A179" s="3">
        <v>3080107269</v>
      </c>
      <c r="B179" s="4" t="s">
        <v>69</v>
      </c>
      <c r="C179" s="4" t="s">
        <v>557</v>
      </c>
      <c r="D179" s="3">
        <v>2</v>
      </c>
      <c r="E179" s="3" t="s">
        <v>16</v>
      </c>
      <c r="F179" s="3" t="s">
        <v>291</v>
      </c>
      <c r="G179" s="3" t="s">
        <v>26</v>
      </c>
      <c r="H179" s="3" t="s">
        <v>249</v>
      </c>
    </row>
    <row r="180" spans="1:8" x14ac:dyDescent="0.2">
      <c r="A180" s="3">
        <v>3060341001</v>
      </c>
      <c r="B180" s="4" t="s">
        <v>255</v>
      </c>
      <c r="C180" s="4" t="s">
        <v>256</v>
      </c>
      <c r="D180" s="3">
        <v>1</v>
      </c>
      <c r="E180" s="3" t="s">
        <v>16</v>
      </c>
      <c r="F180" s="3" t="s">
        <v>289</v>
      </c>
      <c r="G180" s="3" t="s">
        <v>23</v>
      </c>
      <c r="H180" s="3" t="s">
        <v>254</v>
      </c>
    </row>
    <row r="181" spans="1:8" x14ac:dyDescent="0.2">
      <c r="A181" s="3">
        <v>3030302001</v>
      </c>
      <c r="B181" s="4" t="s">
        <v>558</v>
      </c>
      <c r="C181" s="4" t="s">
        <v>534</v>
      </c>
      <c r="D181" s="3">
        <v>1</v>
      </c>
      <c r="E181" s="3" t="s">
        <v>16</v>
      </c>
      <c r="F181" s="3" t="s">
        <v>295</v>
      </c>
      <c r="G181" s="3" t="s">
        <v>17</v>
      </c>
      <c r="H181" s="3" t="s">
        <v>254</v>
      </c>
    </row>
    <row r="182" spans="1:8" x14ac:dyDescent="0.2">
      <c r="A182" s="3">
        <v>3030306031</v>
      </c>
      <c r="B182" s="4" t="s">
        <v>559</v>
      </c>
      <c r="C182" s="4" t="s">
        <v>560</v>
      </c>
      <c r="D182" s="3">
        <v>1</v>
      </c>
      <c r="E182" s="3" t="s">
        <v>16</v>
      </c>
      <c r="F182" s="3" t="s">
        <v>295</v>
      </c>
      <c r="G182" s="3" t="s">
        <v>17</v>
      </c>
      <c r="H182" s="3" t="s">
        <v>254</v>
      </c>
    </row>
    <row r="183" spans="1:8" x14ac:dyDescent="0.2">
      <c r="A183" s="3">
        <v>3080311002</v>
      </c>
      <c r="B183" s="4" t="s">
        <v>561</v>
      </c>
      <c r="C183" s="4" t="s">
        <v>536</v>
      </c>
      <c r="D183" s="3">
        <v>1</v>
      </c>
      <c r="E183" s="3" t="s">
        <v>16</v>
      </c>
      <c r="F183" s="3" t="s">
        <v>295</v>
      </c>
      <c r="G183" s="3" t="s">
        <v>17</v>
      </c>
      <c r="H183" s="3" t="s">
        <v>254</v>
      </c>
    </row>
    <row r="184" spans="1:8" x14ac:dyDescent="0.2">
      <c r="A184" s="3">
        <v>3030303016</v>
      </c>
      <c r="B184" s="4" t="s">
        <v>562</v>
      </c>
      <c r="C184" s="4" t="s">
        <v>563</v>
      </c>
      <c r="D184" s="3">
        <v>1</v>
      </c>
      <c r="E184" s="3" t="s">
        <v>16</v>
      </c>
      <c r="F184" s="3" t="s">
        <v>295</v>
      </c>
      <c r="G184" s="3" t="s">
        <v>17</v>
      </c>
      <c r="H184" s="3" t="s">
        <v>254</v>
      </c>
    </row>
    <row r="185" spans="1:8" x14ac:dyDescent="0.2">
      <c r="A185" s="3">
        <v>3030303015</v>
      </c>
      <c r="B185" s="4" t="s">
        <v>564</v>
      </c>
      <c r="C185" s="4" t="s">
        <v>563</v>
      </c>
      <c r="D185" s="3">
        <v>1</v>
      </c>
      <c r="E185" s="3" t="s">
        <v>16</v>
      </c>
      <c r="F185" s="3" t="s">
        <v>295</v>
      </c>
      <c r="G185" s="3" t="s">
        <v>17</v>
      </c>
      <c r="H185" s="3" t="s">
        <v>254</v>
      </c>
    </row>
    <row r="186" spans="1:8" x14ac:dyDescent="0.2">
      <c r="A186" s="3">
        <v>3040323001</v>
      </c>
      <c r="B186" s="4" t="s">
        <v>565</v>
      </c>
      <c r="C186" s="4" t="s">
        <v>566</v>
      </c>
      <c r="D186" s="3">
        <v>2</v>
      </c>
      <c r="E186" s="3" t="s">
        <v>16</v>
      </c>
      <c r="F186" s="3" t="s">
        <v>293</v>
      </c>
      <c r="G186" s="3" t="s">
        <v>29</v>
      </c>
      <c r="H186" s="3" t="s">
        <v>254</v>
      </c>
    </row>
    <row r="187" spans="1:8" x14ac:dyDescent="0.2">
      <c r="A187" s="3">
        <v>3040302001</v>
      </c>
      <c r="B187" s="4" t="s">
        <v>567</v>
      </c>
      <c r="C187" s="4" t="s">
        <v>568</v>
      </c>
      <c r="D187" s="3">
        <v>1</v>
      </c>
      <c r="E187" s="3" t="s">
        <v>16</v>
      </c>
      <c r="F187" s="3" t="s">
        <v>293</v>
      </c>
      <c r="G187" s="3" t="s">
        <v>29</v>
      </c>
      <c r="H187" s="3" t="s">
        <v>254</v>
      </c>
    </row>
    <row r="188" spans="1:8" x14ac:dyDescent="0.2">
      <c r="A188" s="3">
        <v>3040302002</v>
      </c>
      <c r="B188" s="4" t="s">
        <v>567</v>
      </c>
      <c r="C188" s="4" t="s">
        <v>569</v>
      </c>
      <c r="D188" s="3">
        <v>1</v>
      </c>
      <c r="E188" s="3" t="s">
        <v>16</v>
      </c>
      <c r="F188" s="3" t="s">
        <v>293</v>
      </c>
      <c r="G188" s="3" t="s">
        <v>29</v>
      </c>
      <c r="H188" s="3" t="s">
        <v>254</v>
      </c>
    </row>
    <row r="189" spans="1:8" x14ac:dyDescent="0.2">
      <c r="A189" s="3">
        <v>3040324004</v>
      </c>
      <c r="B189" s="4" t="s">
        <v>570</v>
      </c>
      <c r="C189" s="4" t="s">
        <v>536</v>
      </c>
      <c r="D189" s="3">
        <v>2</v>
      </c>
      <c r="E189" s="3" t="s">
        <v>16</v>
      </c>
      <c r="F189" s="3" t="s">
        <v>293</v>
      </c>
      <c r="G189" s="3" t="s">
        <v>29</v>
      </c>
      <c r="H189" s="3" t="s">
        <v>254</v>
      </c>
    </row>
    <row r="190" spans="1:8" x14ac:dyDescent="0.2">
      <c r="A190" s="3">
        <v>3030302008</v>
      </c>
      <c r="B190" s="4" t="s">
        <v>571</v>
      </c>
      <c r="C190" s="4" t="s">
        <v>572</v>
      </c>
      <c r="D190" s="3">
        <v>1</v>
      </c>
      <c r="E190" s="3" t="s">
        <v>16</v>
      </c>
      <c r="F190" s="3" t="s">
        <v>295</v>
      </c>
      <c r="G190" s="3" t="s">
        <v>17</v>
      </c>
      <c r="H190" s="3" t="s">
        <v>254</v>
      </c>
    </row>
    <row r="191" spans="1:8" x14ac:dyDescent="0.2">
      <c r="A191" s="3">
        <v>3030302009</v>
      </c>
      <c r="B191" s="4" t="s">
        <v>571</v>
      </c>
      <c r="C191" s="4" t="s">
        <v>573</v>
      </c>
      <c r="D191" s="3">
        <v>1</v>
      </c>
      <c r="E191" s="3" t="s">
        <v>16</v>
      </c>
      <c r="F191" s="3" t="s">
        <v>295</v>
      </c>
      <c r="G191" s="3" t="s">
        <v>17</v>
      </c>
      <c r="H191" s="3" t="s">
        <v>254</v>
      </c>
    </row>
    <row r="192" spans="1:8" x14ac:dyDescent="0.2">
      <c r="A192" s="3">
        <v>3030302004</v>
      </c>
      <c r="B192" s="4" t="s">
        <v>574</v>
      </c>
      <c r="C192" s="4" t="s">
        <v>575</v>
      </c>
      <c r="D192" s="3">
        <v>1</v>
      </c>
      <c r="E192" s="3" t="s">
        <v>16</v>
      </c>
      <c r="F192" s="3" t="s">
        <v>295</v>
      </c>
      <c r="G192" s="3" t="s">
        <v>17</v>
      </c>
      <c r="H192" s="3" t="s">
        <v>254</v>
      </c>
    </row>
    <row r="193" spans="1:8" x14ac:dyDescent="0.2">
      <c r="A193" s="3">
        <v>3030302006</v>
      </c>
      <c r="B193" s="4" t="s">
        <v>576</v>
      </c>
      <c r="C193" s="4" t="s">
        <v>575</v>
      </c>
      <c r="D193" s="3">
        <v>1</v>
      </c>
      <c r="E193" s="3" t="s">
        <v>16</v>
      </c>
      <c r="F193" s="3" t="s">
        <v>295</v>
      </c>
      <c r="G193" s="3" t="s">
        <v>17</v>
      </c>
      <c r="H193" s="3" t="s">
        <v>254</v>
      </c>
    </row>
    <row r="194" spans="1:8" x14ac:dyDescent="0.2">
      <c r="A194" s="3">
        <v>3030314004</v>
      </c>
      <c r="B194" s="4" t="s">
        <v>577</v>
      </c>
      <c r="C194" s="4" t="s">
        <v>575</v>
      </c>
      <c r="D194" s="3">
        <v>1</v>
      </c>
      <c r="E194" s="3" t="s">
        <v>16</v>
      </c>
      <c r="F194" s="3" t="s">
        <v>295</v>
      </c>
      <c r="G194" s="3" t="s">
        <v>17</v>
      </c>
      <c r="H194" s="3" t="s">
        <v>254</v>
      </c>
    </row>
    <row r="195" spans="1:8" x14ac:dyDescent="0.2">
      <c r="A195" s="3">
        <v>3030308001</v>
      </c>
      <c r="B195" s="4" t="s">
        <v>578</v>
      </c>
      <c r="C195" s="4" t="s">
        <v>575</v>
      </c>
      <c r="D195" s="3">
        <v>1</v>
      </c>
      <c r="E195" s="3" t="s">
        <v>16</v>
      </c>
      <c r="F195" s="3" t="s">
        <v>295</v>
      </c>
      <c r="G195" s="3" t="s">
        <v>17</v>
      </c>
      <c r="H195" s="3" t="s">
        <v>254</v>
      </c>
    </row>
    <row r="196" spans="1:8" x14ac:dyDescent="0.2">
      <c r="A196" s="3">
        <v>3030314003</v>
      </c>
      <c r="B196" s="4" t="s">
        <v>579</v>
      </c>
      <c r="C196" s="4" t="s">
        <v>575</v>
      </c>
      <c r="D196" s="3">
        <v>1</v>
      </c>
      <c r="E196" s="3" t="s">
        <v>16</v>
      </c>
      <c r="F196" s="3" t="s">
        <v>295</v>
      </c>
      <c r="G196" s="3" t="s">
        <v>17</v>
      </c>
      <c r="H196" s="3" t="s">
        <v>254</v>
      </c>
    </row>
    <row r="197" spans="1:8" x14ac:dyDescent="0.2">
      <c r="A197" s="3">
        <v>3030308003</v>
      </c>
      <c r="B197" s="4" t="s">
        <v>580</v>
      </c>
      <c r="C197" s="4" t="s">
        <v>581</v>
      </c>
      <c r="D197" s="3">
        <v>1</v>
      </c>
      <c r="E197" s="3" t="s">
        <v>16</v>
      </c>
      <c r="F197" s="3" t="s">
        <v>295</v>
      </c>
      <c r="G197" s="3" t="s">
        <v>17</v>
      </c>
      <c r="H197" s="3" t="s">
        <v>254</v>
      </c>
    </row>
    <row r="198" spans="1:8" x14ac:dyDescent="0.2">
      <c r="A198" s="3">
        <v>3040325007</v>
      </c>
      <c r="B198" s="4" t="s">
        <v>582</v>
      </c>
      <c r="C198" s="4" t="s">
        <v>543</v>
      </c>
      <c r="D198" s="3">
        <v>1</v>
      </c>
      <c r="E198" s="3" t="s">
        <v>16</v>
      </c>
      <c r="F198" s="3" t="s">
        <v>293</v>
      </c>
      <c r="G198" s="3" t="s">
        <v>29</v>
      </c>
      <c r="H198" s="3" t="s">
        <v>254</v>
      </c>
    </row>
    <row r="199" spans="1:8" x14ac:dyDescent="0.2">
      <c r="A199" s="3">
        <v>3040325008</v>
      </c>
      <c r="B199" s="4" t="s">
        <v>582</v>
      </c>
      <c r="C199" s="4" t="s">
        <v>542</v>
      </c>
      <c r="D199" s="3">
        <v>1</v>
      </c>
      <c r="E199" s="3" t="s">
        <v>16</v>
      </c>
      <c r="F199" s="3" t="s">
        <v>293</v>
      </c>
      <c r="G199" s="3" t="s">
        <v>29</v>
      </c>
      <c r="H199" s="3" t="s">
        <v>254</v>
      </c>
    </row>
    <row r="200" spans="1:8" x14ac:dyDescent="0.2">
      <c r="A200" s="3">
        <v>3040308003</v>
      </c>
      <c r="B200" s="4" t="s">
        <v>583</v>
      </c>
      <c r="C200" s="4" t="s">
        <v>536</v>
      </c>
      <c r="D200" s="3">
        <v>2</v>
      </c>
      <c r="E200" s="3" t="s">
        <v>16</v>
      </c>
      <c r="F200" s="3" t="s">
        <v>293</v>
      </c>
      <c r="G200" s="3" t="s">
        <v>29</v>
      </c>
      <c r="H200" s="3" t="s">
        <v>254</v>
      </c>
    </row>
    <row r="201" spans="1:8" x14ac:dyDescent="0.2">
      <c r="A201" s="3">
        <v>3030302007</v>
      </c>
      <c r="B201" s="4" t="s">
        <v>584</v>
      </c>
      <c r="C201" s="4" t="s">
        <v>575</v>
      </c>
      <c r="D201" s="3">
        <v>1</v>
      </c>
      <c r="E201" s="3" t="s">
        <v>16</v>
      </c>
      <c r="F201" s="3" t="s">
        <v>295</v>
      </c>
      <c r="G201" s="3" t="s">
        <v>17</v>
      </c>
      <c r="H201" s="3" t="s">
        <v>254</v>
      </c>
    </row>
    <row r="202" spans="1:8" x14ac:dyDescent="0.2">
      <c r="A202" s="3">
        <v>3070202019</v>
      </c>
      <c r="B202" s="4" t="s">
        <v>388</v>
      </c>
      <c r="C202" s="4" t="s">
        <v>389</v>
      </c>
      <c r="D202" s="3">
        <v>1</v>
      </c>
      <c r="E202" s="3" t="s">
        <v>16</v>
      </c>
      <c r="F202" s="3" t="s">
        <v>317</v>
      </c>
      <c r="G202" s="3" t="s">
        <v>318</v>
      </c>
      <c r="H202" s="3" t="s">
        <v>254</v>
      </c>
    </row>
    <row r="203" spans="1:8" x14ac:dyDescent="0.2">
      <c r="A203" s="3">
        <v>3111601003</v>
      </c>
      <c r="B203" s="4" t="s">
        <v>585</v>
      </c>
      <c r="C203" s="4" t="s">
        <v>586</v>
      </c>
      <c r="D203" s="3">
        <v>2</v>
      </c>
      <c r="E203" s="3" t="s">
        <v>16</v>
      </c>
      <c r="F203" s="3" t="s">
        <v>291</v>
      </c>
      <c r="G203" s="3" t="s">
        <v>26</v>
      </c>
      <c r="H203" s="3" t="s">
        <v>254</v>
      </c>
    </row>
    <row r="204" spans="1:8" x14ac:dyDescent="0.2">
      <c r="A204" s="3">
        <v>3050303006</v>
      </c>
      <c r="B204" s="4" t="s">
        <v>245</v>
      </c>
      <c r="C204" s="4" t="s">
        <v>587</v>
      </c>
      <c r="D204" s="3">
        <v>1</v>
      </c>
      <c r="E204" s="3" t="s">
        <v>16</v>
      </c>
      <c r="F204" s="3" t="s">
        <v>291</v>
      </c>
      <c r="G204" s="3" t="s">
        <v>26</v>
      </c>
      <c r="H204" s="3" t="s">
        <v>254</v>
      </c>
    </row>
    <row r="205" spans="1:8" x14ac:dyDescent="0.2">
      <c r="A205" s="3">
        <v>3080310002</v>
      </c>
      <c r="B205" s="4" t="s">
        <v>592</v>
      </c>
      <c r="C205" s="4" t="s">
        <v>589</v>
      </c>
      <c r="D205" s="3">
        <v>1</v>
      </c>
      <c r="E205" s="3" t="s">
        <v>16</v>
      </c>
      <c r="F205" s="3" t="s">
        <v>295</v>
      </c>
      <c r="G205" s="3" t="s">
        <v>17</v>
      </c>
      <c r="H205" s="3" t="s">
        <v>590</v>
      </c>
    </row>
  </sheetData>
  <sortState xmlns:xlrd2="http://schemas.microsoft.com/office/spreadsheetml/2017/richdata2" ref="A3:H205">
    <sortCondition ref="H3:H205"/>
    <sortCondition ref="B3:B205"/>
  </sortState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32044-59B9-41D5-86FC-CBEF16729744}">
  <dimension ref="A1:H154"/>
  <sheetViews>
    <sheetView workbookViewId="0">
      <selection activeCell="J19" sqref="J19"/>
    </sheetView>
  </sheetViews>
  <sheetFormatPr defaultRowHeight="14.25" x14ac:dyDescent="0.2"/>
  <cols>
    <col min="1" max="1" width="13" customWidth="1"/>
    <col min="2" max="2" width="14" customWidth="1"/>
    <col min="3" max="3" width="18.625" customWidth="1"/>
  </cols>
  <sheetData>
    <row r="1" spans="1:8" x14ac:dyDescent="0.2">
      <c r="A1" s="3" t="s">
        <v>618</v>
      </c>
      <c r="B1" s="4"/>
      <c r="C1" s="4"/>
      <c r="D1" s="3"/>
      <c r="E1" s="3"/>
      <c r="F1" s="3"/>
      <c r="G1" s="3"/>
      <c r="H1" s="3"/>
    </row>
    <row r="2" spans="1:8" ht="28.5" x14ac:dyDescent="0.2">
      <c r="A2" s="1" t="s">
        <v>0</v>
      </c>
      <c r="B2" s="2" t="s">
        <v>1</v>
      </c>
      <c r="C2" s="2" t="s">
        <v>2</v>
      </c>
      <c r="D2" s="1" t="s">
        <v>4</v>
      </c>
      <c r="E2" s="1" t="s">
        <v>3</v>
      </c>
      <c r="F2" s="1" t="s">
        <v>5</v>
      </c>
      <c r="G2" s="1" t="s">
        <v>6</v>
      </c>
      <c r="H2" s="1" t="s">
        <v>7</v>
      </c>
    </row>
    <row r="3" spans="1:8" s="10" customFormat="1" x14ac:dyDescent="0.2">
      <c r="A3" s="8" t="s">
        <v>390</v>
      </c>
      <c r="B3" s="9" t="s">
        <v>8</v>
      </c>
      <c r="C3" s="9" t="s">
        <v>9</v>
      </c>
      <c r="D3" s="12">
        <f>0.2273/0.94</f>
        <v>0.24180851063829789</v>
      </c>
      <c r="E3" s="8" t="s">
        <v>596</v>
      </c>
      <c r="F3" s="8" t="s">
        <v>283</v>
      </c>
      <c r="G3" s="8" t="s">
        <v>13</v>
      </c>
      <c r="H3" s="8" t="s">
        <v>12</v>
      </c>
    </row>
    <row r="4" spans="1:8" x14ac:dyDescent="0.2">
      <c r="A4" s="3">
        <v>3080503020</v>
      </c>
      <c r="B4" s="4" t="s">
        <v>14</v>
      </c>
      <c r="C4" s="4" t="s">
        <v>15</v>
      </c>
      <c r="D4" s="3">
        <v>2</v>
      </c>
      <c r="E4" s="3" t="s">
        <v>16</v>
      </c>
      <c r="F4" s="3" t="s">
        <v>295</v>
      </c>
      <c r="G4" s="3" t="s">
        <v>17</v>
      </c>
      <c r="H4" s="3" t="s">
        <v>18</v>
      </c>
    </row>
    <row r="5" spans="1:8" x14ac:dyDescent="0.2">
      <c r="A5" s="3">
        <v>3080503019</v>
      </c>
      <c r="B5" s="4" t="s">
        <v>14</v>
      </c>
      <c r="C5" s="4" t="s">
        <v>19</v>
      </c>
      <c r="D5" s="3">
        <v>4</v>
      </c>
      <c r="E5" s="3" t="s">
        <v>16</v>
      </c>
      <c r="F5" s="3" t="s">
        <v>295</v>
      </c>
      <c r="G5" s="3" t="s">
        <v>17</v>
      </c>
      <c r="H5" s="3" t="s">
        <v>18</v>
      </c>
    </row>
    <row r="6" spans="1:8" x14ac:dyDescent="0.2">
      <c r="A6" s="3">
        <v>3080503001</v>
      </c>
      <c r="B6" s="4" t="s">
        <v>14</v>
      </c>
      <c r="C6" s="4" t="s">
        <v>20</v>
      </c>
      <c r="D6" s="3">
        <v>4</v>
      </c>
      <c r="E6" s="3" t="s">
        <v>16</v>
      </c>
      <c r="F6" s="3" t="s">
        <v>295</v>
      </c>
      <c r="G6" s="3" t="s">
        <v>17</v>
      </c>
      <c r="H6" s="3" t="s">
        <v>18</v>
      </c>
    </row>
    <row r="7" spans="1:8" x14ac:dyDescent="0.2">
      <c r="A7" s="3">
        <v>3060503002</v>
      </c>
      <c r="B7" s="4" t="s">
        <v>21</v>
      </c>
      <c r="C7" s="4" t="s">
        <v>22</v>
      </c>
      <c r="D7" s="3">
        <v>1</v>
      </c>
      <c r="E7" s="3" t="s">
        <v>16</v>
      </c>
      <c r="F7" s="3" t="s">
        <v>289</v>
      </c>
      <c r="G7" s="3" t="s">
        <v>23</v>
      </c>
      <c r="H7" s="3" t="s">
        <v>18</v>
      </c>
    </row>
    <row r="8" spans="1:8" x14ac:dyDescent="0.2">
      <c r="A8" s="3">
        <v>3030314005</v>
      </c>
      <c r="B8" s="4" t="s">
        <v>394</v>
      </c>
      <c r="C8" s="4" t="s">
        <v>395</v>
      </c>
      <c r="D8" s="3">
        <v>1</v>
      </c>
      <c r="E8" s="3" t="s">
        <v>16</v>
      </c>
      <c r="F8" s="3" t="s">
        <v>291</v>
      </c>
      <c r="G8" s="3" t="s">
        <v>26</v>
      </c>
      <c r="H8" s="3" t="s">
        <v>18</v>
      </c>
    </row>
    <row r="9" spans="1:8" x14ac:dyDescent="0.2">
      <c r="A9" s="3">
        <v>401020118</v>
      </c>
      <c r="B9" s="4" t="s">
        <v>35</v>
      </c>
      <c r="C9" s="4" t="s">
        <v>597</v>
      </c>
      <c r="D9" s="3">
        <v>1</v>
      </c>
      <c r="E9" s="3" t="s">
        <v>16</v>
      </c>
      <c r="F9" s="3" t="s">
        <v>301</v>
      </c>
      <c r="G9" s="3" t="s">
        <v>32</v>
      </c>
      <c r="H9" s="3" t="s">
        <v>33</v>
      </c>
    </row>
    <row r="10" spans="1:8" x14ac:dyDescent="0.2">
      <c r="A10" s="3">
        <v>401040097</v>
      </c>
      <c r="B10" s="4" t="s">
        <v>35</v>
      </c>
      <c r="C10" s="4" t="s">
        <v>598</v>
      </c>
      <c r="D10" s="3">
        <v>1</v>
      </c>
      <c r="E10" s="3" t="s">
        <v>16</v>
      </c>
      <c r="F10" s="3" t="s">
        <v>301</v>
      </c>
      <c r="G10" s="3" t="s">
        <v>32</v>
      </c>
      <c r="H10" s="3" t="s">
        <v>33</v>
      </c>
    </row>
    <row r="11" spans="1:8" x14ac:dyDescent="0.2">
      <c r="A11" s="3">
        <v>3080102003</v>
      </c>
      <c r="B11" s="4" t="s">
        <v>38</v>
      </c>
      <c r="C11" s="4" t="s">
        <v>39</v>
      </c>
      <c r="D11" s="3">
        <v>1</v>
      </c>
      <c r="E11" s="3" t="s">
        <v>16</v>
      </c>
      <c r="F11" s="3" t="s">
        <v>289</v>
      </c>
      <c r="G11" s="3" t="s">
        <v>23</v>
      </c>
      <c r="H11" s="3" t="s">
        <v>40</v>
      </c>
    </row>
    <row r="12" spans="1:8" x14ac:dyDescent="0.2">
      <c r="A12" s="3">
        <v>3080401006</v>
      </c>
      <c r="B12" s="4" t="s">
        <v>41</v>
      </c>
      <c r="C12" s="4" t="s">
        <v>44</v>
      </c>
      <c r="D12" s="3">
        <v>1</v>
      </c>
      <c r="E12" s="3" t="s">
        <v>16</v>
      </c>
      <c r="F12" s="3" t="s">
        <v>295</v>
      </c>
      <c r="G12" s="3" t="s">
        <v>17</v>
      </c>
      <c r="H12" s="3" t="s">
        <v>40</v>
      </c>
    </row>
    <row r="13" spans="1:8" x14ac:dyDescent="0.2">
      <c r="A13" s="3">
        <v>3080401005</v>
      </c>
      <c r="B13" s="4" t="s">
        <v>41</v>
      </c>
      <c r="C13" s="4" t="s">
        <v>43</v>
      </c>
      <c r="D13" s="3">
        <v>12</v>
      </c>
      <c r="E13" s="3" t="s">
        <v>16</v>
      </c>
      <c r="F13" s="3" t="s">
        <v>291</v>
      </c>
      <c r="G13" s="3" t="s">
        <v>26</v>
      </c>
      <c r="H13" s="3" t="s">
        <v>40</v>
      </c>
    </row>
    <row r="14" spans="1:8" x14ac:dyDescent="0.2">
      <c r="A14" s="3">
        <v>3080104050</v>
      </c>
      <c r="B14" s="4" t="s">
        <v>45</v>
      </c>
      <c r="C14" s="4" t="s">
        <v>49</v>
      </c>
      <c r="D14" s="3">
        <v>4</v>
      </c>
      <c r="E14" s="3" t="s">
        <v>16</v>
      </c>
      <c r="F14" s="3" t="s">
        <v>295</v>
      </c>
      <c r="G14" s="3" t="s">
        <v>17</v>
      </c>
      <c r="H14" s="3" t="s">
        <v>40</v>
      </c>
    </row>
    <row r="15" spans="1:8" x14ac:dyDescent="0.2">
      <c r="A15" s="3">
        <v>3080104014</v>
      </c>
      <c r="B15" s="4" t="s">
        <v>45</v>
      </c>
      <c r="C15" s="4" t="s">
        <v>312</v>
      </c>
      <c r="D15" s="3">
        <v>2</v>
      </c>
      <c r="E15" s="3" t="s">
        <v>16</v>
      </c>
      <c r="F15" s="3" t="s">
        <v>293</v>
      </c>
      <c r="G15" s="3" t="s">
        <v>29</v>
      </c>
      <c r="H15" s="3" t="s">
        <v>40</v>
      </c>
    </row>
    <row r="16" spans="1:8" x14ac:dyDescent="0.2">
      <c r="A16" s="3">
        <v>3080104099</v>
      </c>
      <c r="B16" s="4" t="s">
        <v>45</v>
      </c>
      <c r="C16" s="4" t="s">
        <v>419</v>
      </c>
      <c r="D16" s="3">
        <v>2</v>
      </c>
      <c r="E16" s="3" t="s">
        <v>16</v>
      </c>
      <c r="F16" s="3" t="s">
        <v>291</v>
      </c>
      <c r="G16" s="3" t="s">
        <v>26</v>
      </c>
      <c r="H16" s="3" t="s">
        <v>40</v>
      </c>
    </row>
    <row r="17" spans="1:8" x14ac:dyDescent="0.2">
      <c r="A17" s="3">
        <v>3080104020</v>
      </c>
      <c r="B17" s="4" t="s">
        <v>45</v>
      </c>
      <c r="C17" s="4" t="s">
        <v>46</v>
      </c>
      <c r="D17" s="3">
        <v>4</v>
      </c>
      <c r="E17" s="3" t="s">
        <v>16</v>
      </c>
      <c r="F17" s="3" t="s">
        <v>291</v>
      </c>
      <c r="G17" s="3" t="s">
        <v>26</v>
      </c>
      <c r="H17" s="3" t="s">
        <v>40</v>
      </c>
    </row>
    <row r="18" spans="1:8" x14ac:dyDescent="0.2">
      <c r="A18" s="3">
        <v>3080104019</v>
      </c>
      <c r="B18" s="4" t="s">
        <v>45</v>
      </c>
      <c r="C18" s="4" t="s">
        <v>47</v>
      </c>
      <c r="D18" s="3">
        <v>2</v>
      </c>
      <c r="E18" s="3" t="s">
        <v>16</v>
      </c>
      <c r="F18" s="3" t="s">
        <v>291</v>
      </c>
      <c r="G18" s="3" t="s">
        <v>26</v>
      </c>
      <c r="H18" s="3" t="s">
        <v>40</v>
      </c>
    </row>
    <row r="19" spans="1:8" x14ac:dyDescent="0.2">
      <c r="A19" s="3">
        <v>3080105007</v>
      </c>
      <c r="B19" s="4" t="s">
        <v>50</v>
      </c>
      <c r="C19" s="4" t="s">
        <v>52</v>
      </c>
      <c r="D19" s="3">
        <v>2</v>
      </c>
      <c r="E19" s="3" t="s">
        <v>16</v>
      </c>
      <c r="F19" s="3" t="s">
        <v>289</v>
      </c>
      <c r="G19" s="3" t="s">
        <v>23</v>
      </c>
      <c r="H19" s="3" t="s">
        <v>40</v>
      </c>
    </row>
    <row r="20" spans="1:8" x14ac:dyDescent="0.2">
      <c r="A20" s="3">
        <v>3080105114</v>
      </c>
      <c r="B20" s="4" t="s">
        <v>50</v>
      </c>
      <c r="C20" s="4" t="s">
        <v>53</v>
      </c>
      <c r="D20" s="3">
        <v>4</v>
      </c>
      <c r="E20" s="3" t="s">
        <v>16</v>
      </c>
      <c r="F20" s="3" t="s">
        <v>289</v>
      </c>
      <c r="G20" s="3" t="s">
        <v>23</v>
      </c>
      <c r="H20" s="3" t="s">
        <v>40</v>
      </c>
    </row>
    <row r="21" spans="1:8" x14ac:dyDescent="0.2">
      <c r="A21" s="3">
        <v>3080105114</v>
      </c>
      <c r="B21" s="4" t="s">
        <v>50</v>
      </c>
      <c r="C21" s="4" t="s">
        <v>53</v>
      </c>
      <c r="D21" s="3">
        <v>4</v>
      </c>
      <c r="E21" s="3" t="s">
        <v>16</v>
      </c>
      <c r="F21" s="3" t="s">
        <v>289</v>
      </c>
      <c r="G21" s="3" t="s">
        <v>23</v>
      </c>
      <c r="H21" s="3" t="s">
        <v>40</v>
      </c>
    </row>
    <row r="22" spans="1:8" x14ac:dyDescent="0.2">
      <c r="A22" s="3">
        <v>3080105004</v>
      </c>
      <c r="B22" s="4" t="s">
        <v>50</v>
      </c>
      <c r="C22" s="4" t="s">
        <v>54</v>
      </c>
      <c r="D22" s="3">
        <v>1</v>
      </c>
      <c r="E22" s="3" t="s">
        <v>16</v>
      </c>
      <c r="F22" s="3" t="s">
        <v>289</v>
      </c>
      <c r="G22" s="3" t="s">
        <v>23</v>
      </c>
      <c r="H22" s="3" t="s">
        <v>40</v>
      </c>
    </row>
    <row r="23" spans="1:8" x14ac:dyDescent="0.2">
      <c r="A23" s="3">
        <v>3080105007</v>
      </c>
      <c r="B23" s="4" t="s">
        <v>50</v>
      </c>
      <c r="C23" s="4" t="s">
        <v>52</v>
      </c>
      <c r="D23" s="3">
        <v>8</v>
      </c>
      <c r="E23" s="3" t="s">
        <v>16</v>
      </c>
      <c r="F23" s="3" t="s">
        <v>289</v>
      </c>
      <c r="G23" s="3" t="s">
        <v>23</v>
      </c>
      <c r="H23" s="3" t="s">
        <v>40</v>
      </c>
    </row>
    <row r="24" spans="1:8" x14ac:dyDescent="0.2">
      <c r="A24" s="3">
        <v>3080105013</v>
      </c>
      <c r="B24" s="4" t="s">
        <v>50</v>
      </c>
      <c r="C24" s="4" t="s">
        <v>51</v>
      </c>
      <c r="D24" s="3">
        <v>12</v>
      </c>
      <c r="E24" s="3" t="s">
        <v>16</v>
      </c>
      <c r="F24" s="3" t="s">
        <v>293</v>
      </c>
      <c r="G24" s="3" t="s">
        <v>29</v>
      </c>
      <c r="H24" s="3" t="s">
        <v>40</v>
      </c>
    </row>
    <row r="25" spans="1:8" x14ac:dyDescent="0.2">
      <c r="A25" s="3">
        <v>3080105007</v>
      </c>
      <c r="B25" s="4" t="s">
        <v>50</v>
      </c>
      <c r="C25" s="4" t="s">
        <v>52</v>
      </c>
      <c r="D25" s="3">
        <v>2</v>
      </c>
      <c r="E25" s="3" t="s">
        <v>16</v>
      </c>
      <c r="F25" s="3" t="s">
        <v>293</v>
      </c>
      <c r="G25" s="3" t="s">
        <v>29</v>
      </c>
      <c r="H25" s="3" t="s">
        <v>40</v>
      </c>
    </row>
    <row r="26" spans="1:8" x14ac:dyDescent="0.2">
      <c r="A26" s="3">
        <v>3080105068</v>
      </c>
      <c r="B26" s="4" t="s">
        <v>50</v>
      </c>
      <c r="C26" s="4" t="s">
        <v>314</v>
      </c>
      <c r="D26" s="3">
        <v>10</v>
      </c>
      <c r="E26" s="3" t="s">
        <v>16</v>
      </c>
      <c r="F26" s="3" t="s">
        <v>293</v>
      </c>
      <c r="G26" s="3" t="s">
        <v>29</v>
      </c>
      <c r="H26" s="3" t="s">
        <v>40</v>
      </c>
    </row>
    <row r="27" spans="1:8" x14ac:dyDescent="0.2">
      <c r="A27" s="3">
        <v>3080105111</v>
      </c>
      <c r="B27" s="4" t="s">
        <v>50</v>
      </c>
      <c r="C27" s="4" t="s">
        <v>599</v>
      </c>
      <c r="D27" s="3">
        <v>4</v>
      </c>
      <c r="E27" s="3" t="s">
        <v>16</v>
      </c>
      <c r="F27" s="3" t="s">
        <v>291</v>
      </c>
      <c r="G27" s="3" t="s">
        <v>26</v>
      </c>
      <c r="H27" s="3" t="s">
        <v>40</v>
      </c>
    </row>
    <row r="28" spans="1:8" x14ac:dyDescent="0.2">
      <c r="A28" s="3">
        <v>3080502002</v>
      </c>
      <c r="B28" s="4" t="s">
        <v>55</v>
      </c>
      <c r="C28" s="4" t="s">
        <v>56</v>
      </c>
      <c r="D28" s="3">
        <v>4</v>
      </c>
      <c r="E28" s="3" t="s">
        <v>16</v>
      </c>
      <c r="F28" s="3" t="s">
        <v>293</v>
      </c>
      <c r="G28" s="3" t="s">
        <v>29</v>
      </c>
      <c r="H28" s="3" t="s">
        <v>40</v>
      </c>
    </row>
    <row r="29" spans="1:8" x14ac:dyDescent="0.2">
      <c r="A29" s="3">
        <v>3080501013</v>
      </c>
      <c r="B29" s="4" t="s">
        <v>57</v>
      </c>
      <c r="C29" s="4" t="s">
        <v>58</v>
      </c>
      <c r="D29" s="3">
        <v>2</v>
      </c>
      <c r="E29" s="3" t="s">
        <v>16</v>
      </c>
      <c r="F29" s="3" t="s">
        <v>293</v>
      </c>
      <c r="G29" s="3" t="s">
        <v>29</v>
      </c>
      <c r="H29" s="3" t="s">
        <v>40</v>
      </c>
    </row>
    <row r="30" spans="1:8" x14ac:dyDescent="0.2">
      <c r="A30" s="3">
        <v>3080201004</v>
      </c>
      <c r="B30" s="4" t="s">
        <v>60</v>
      </c>
      <c r="C30" s="4" t="s">
        <v>61</v>
      </c>
      <c r="D30" s="3">
        <v>4</v>
      </c>
      <c r="E30" s="3" t="s">
        <v>16</v>
      </c>
      <c r="F30" s="3" t="s">
        <v>295</v>
      </c>
      <c r="G30" s="3" t="s">
        <v>17</v>
      </c>
      <c r="H30" s="3" t="s">
        <v>40</v>
      </c>
    </row>
    <row r="31" spans="1:8" x14ac:dyDescent="0.2">
      <c r="A31" s="3">
        <v>3080201007</v>
      </c>
      <c r="B31" s="4" t="s">
        <v>60</v>
      </c>
      <c r="C31" s="4" t="s">
        <v>62</v>
      </c>
      <c r="D31" s="3">
        <v>1</v>
      </c>
      <c r="E31" s="3" t="s">
        <v>16</v>
      </c>
      <c r="F31" s="3" t="s">
        <v>295</v>
      </c>
      <c r="G31" s="3" t="s">
        <v>17</v>
      </c>
      <c r="H31" s="3" t="s">
        <v>40</v>
      </c>
    </row>
    <row r="32" spans="1:8" x14ac:dyDescent="0.2">
      <c r="A32" s="3">
        <v>3080201008</v>
      </c>
      <c r="B32" s="4" t="s">
        <v>60</v>
      </c>
      <c r="C32" s="4" t="s">
        <v>63</v>
      </c>
      <c r="D32" s="3">
        <v>1</v>
      </c>
      <c r="E32" s="3" t="s">
        <v>16</v>
      </c>
      <c r="F32" s="3" t="s">
        <v>295</v>
      </c>
      <c r="G32" s="3" t="s">
        <v>17</v>
      </c>
      <c r="H32" s="3" t="s">
        <v>40</v>
      </c>
    </row>
    <row r="33" spans="1:8" x14ac:dyDescent="0.2">
      <c r="A33" s="3">
        <v>3080201010</v>
      </c>
      <c r="B33" s="4" t="s">
        <v>60</v>
      </c>
      <c r="C33" s="4" t="s">
        <v>64</v>
      </c>
      <c r="D33" s="3">
        <v>1</v>
      </c>
      <c r="E33" s="3" t="s">
        <v>16</v>
      </c>
      <c r="F33" s="3" t="s">
        <v>295</v>
      </c>
      <c r="G33" s="3" t="s">
        <v>17</v>
      </c>
      <c r="H33" s="3" t="s">
        <v>40</v>
      </c>
    </row>
    <row r="34" spans="1:8" x14ac:dyDescent="0.2">
      <c r="A34" s="3">
        <v>3080201015</v>
      </c>
      <c r="B34" s="4" t="s">
        <v>60</v>
      </c>
      <c r="C34" s="4" t="s">
        <v>65</v>
      </c>
      <c r="D34" s="3">
        <v>2</v>
      </c>
      <c r="E34" s="3" t="s">
        <v>16</v>
      </c>
      <c r="F34" s="3" t="s">
        <v>295</v>
      </c>
      <c r="G34" s="3" t="s">
        <v>17</v>
      </c>
      <c r="H34" s="3" t="s">
        <v>40</v>
      </c>
    </row>
    <row r="35" spans="1:8" x14ac:dyDescent="0.2">
      <c r="A35" s="3">
        <v>3080106009</v>
      </c>
      <c r="B35" s="4" t="s">
        <v>66</v>
      </c>
      <c r="C35" s="4" t="s">
        <v>67</v>
      </c>
      <c r="D35" s="3">
        <v>1</v>
      </c>
      <c r="E35" s="3" t="s">
        <v>16</v>
      </c>
      <c r="F35" s="3" t="s">
        <v>295</v>
      </c>
      <c r="G35" s="3" t="s">
        <v>17</v>
      </c>
      <c r="H35" s="3" t="s">
        <v>40</v>
      </c>
    </row>
    <row r="36" spans="1:8" x14ac:dyDescent="0.2">
      <c r="A36" s="3">
        <v>3080106007</v>
      </c>
      <c r="B36" s="4" t="s">
        <v>66</v>
      </c>
      <c r="C36" s="4" t="s">
        <v>68</v>
      </c>
      <c r="D36" s="3">
        <v>1</v>
      </c>
      <c r="E36" s="3" t="s">
        <v>16</v>
      </c>
      <c r="F36" s="3" t="s">
        <v>295</v>
      </c>
      <c r="G36" s="3" t="s">
        <v>17</v>
      </c>
      <c r="H36" s="3" t="s">
        <v>40</v>
      </c>
    </row>
    <row r="37" spans="1:8" x14ac:dyDescent="0.2">
      <c r="A37" s="3">
        <v>3080107038</v>
      </c>
      <c r="B37" s="4" t="s">
        <v>69</v>
      </c>
      <c r="C37" s="4" t="s">
        <v>72</v>
      </c>
      <c r="D37" s="3">
        <v>2</v>
      </c>
      <c r="E37" s="3" t="s">
        <v>16</v>
      </c>
      <c r="F37" s="3" t="s">
        <v>289</v>
      </c>
      <c r="G37" s="3" t="s">
        <v>23</v>
      </c>
      <c r="H37" s="3" t="s">
        <v>40</v>
      </c>
    </row>
    <row r="38" spans="1:8" x14ac:dyDescent="0.2">
      <c r="A38" s="3">
        <v>3080107031</v>
      </c>
      <c r="B38" s="4" t="s">
        <v>69</v>
      </c>
      <c r="C38" s="4" t="s">
        <v>71</v>
      </c>
      <c r="D38" s="3">
        <v>2</v>
      </c>
      <c r="E38" s="3" t="s">
        <v>16</v>
      </c>
      <c r="F38" s="3" t="s">
        <v>295</v>
      </c>
      <c r="G38" s="3" t="s">
        <v>17</v>
      </c>
      <c r="H38" s="3" t="s">
        <v>40</v>
      </c>
    </row>
    <row r="39" spans="1:8" x14ac:dyDescent="0.2">
      <c r="A39" s="3">
        <v>3080107120</v>
      </c>
      <c r="B39" s="4" t="s">
        <v>69</v>
      </c>
      <c r="C39" s="4" t="s">
        <v>74</v>
      </c>
      <c r="D39" s="3">
        <v>1</v>
      </c>
      <c r="E39" s="3" t="s">
        <v>16</v>
      </c>
      <c r="F39" s="3" t="s">
        <v>295</v>
      </c>
      <c r="G39" s="3" t="s">
        <v>17</v>
      </c>
      <c r="H39" s="3" t="s">
        <v>40</v>
      </c>
    </row>
    <row r="40" spans="1:8" x14ac:dyDescent="0.2">
      <c r="A40" s="3">
        <v>3080107121</v>
      </c>
      <c r="B40" s="4" t="s">
        <v>69</v>
      </c>
      <c r="C40" s="4" t="s">
        <v>75</v>
      </c>
      <c r="D40" s="3">
        <v>1</v>
      </c>
      <c r="E40" s="3" t="s">
        <v>16</v>
      </c>
      <c r="F40" s="3" t="s">
        <v>295</v>
      </c>
      <c r="G40" s="3" t="s">
        <v>17</v>
      </c>
      <c r="H40" s="3" t="s">
        <v>40</v>
      </c>
    </row>
    <row r="41" spans="1:8" x14ac:dyDescent="0.2">
      <c r="A41" s="3">
        <v>3080107031</v>
      </c>
      <c r="B41" s="4" t="s">
        <v>69</v>
      </c>
      <c r="C41" s="4" t="s">
        <v>71</v>
      </c>
      <c r="D41" s="3">
        <v>4</v>
      </c>
      <c r="E41" s="3" t="s">
        <v>16</v>
      </c>
      <c r="F41" s="3" t="s">
        <v>295</v>
      </c>
      <c r="G41" s="3" t="s">
        <v>17</v>
      </c>
      <c r="H41" s="3" t="s">
        <v>40</v>
      </c>
    </row>
    <row r="42" spans="1:8" x14ac:dyDescent="0.2">
      <c r="A42" s="3">
        <v>3080107130</v>
      </c>
      <c r="B42" s="4" t="s">
        <v>69</v>
      </c>
      <c r="C42" s="4" t="s">
        <v>70</v>
      </c>
      <c r="D42" s="3">
        <v>4</v>
      </c>
      <c r="E42" s="3" t="s">
        <v>16</v>
      </c>
      <c r="F42" s="3" t="s">
        <v>293</v>
      </c>
      <c r="G42" s="3" t="s">
        <v>29</v>
      </c>
      <c r="H42" s="3" t="s">
        <v>40</v>
      </c>
    </row>
    <row r="43" spans="1:8" x14ac:dyDescent="0.2">
      <c r="A43" s="3">
        <v>3080107015</v>
      </c>
      <c r="B43" s="4" t="s">
        <v>69</v>
      </c>
      <c r="C43" s="4" t="s">
        <v>73</v>
      </c>
      <c r="D43" s="3">
        <v>6</v>
      </c>
      <c r="E43" s="3" t="s">
        <v>16</v>
      </c>
      <c r="F43" s="3" t="s">
        <v>291</v>
      </c>
      <c r="G43" s="3" t="s">
        <v>26</v>
      </c>
      <c r="H43" s="3" t="s">
        <v>40</v>
      </c>
    </row>
    <row r="44" spans="1:8" x14ac:dyDescent="0.2">
      <c r="A44" s="3">
        <v>3080108003</v>
      </c>
      <c r="B44" s="4" t="s">
        <v>77</v>
      </c>
      <c r="C44" s="4" t="s">
        <v>78</v>
      </c>
      <c r="D44" s="3">
        <v>1</v>
      </c>
      <c r="E44" s="3" t="s">
        <v>16</v>
      </c>
      <c r="F44" s="3" t="s">
        <v>295</v>
      </c>
      <c r="G44" s="3" t="s">
        <v>17</v>
      </c>
      <c r="H44" s="3" t="s">
        <v>40</v>
      </c>
    </row>
    <row r="45" spans="1:8" x14ac:dyDescent="0.2">
      <c r="A45" s="3">
        <v>3080111087</v>
      </c>
      <c r="B45" s="4" t="s">
        <v>79</v>
      </c>
      <c r="C45" s="4" t="s">
        <v>80</v>
      </c>
      <c r="D45" s="3">
        <v>18</v>
      </c>
      <c r="E45" s="3" t="s">
        <v>16</v>
      </c>
      <c r="F45" s="3" t="s">
        <v>291</v>
      </c>
      <c r="G45" s="3" t="s">
        <v>26</v>
      </c>
      <c r="H45" s="3" t="s">
        <v>40</v>
      </c>
    </row>
    <row r="46" spans="1:8" x14ac:dyDescent="0.2">
      <c r="A46" s="3">
        <v>3080111087</v>
      </c>
      <c r="B46" s="4" t="s">
        <v>79</v>
      </c>
      <c r="C46" s="4" t="s">
        <v>80</v>
      </c>
      <c r="D46" s="3">
        <v>1</v>
      </c>
      <c r="E46" s="3" t="s">
        <v>16</v>
      </c>
      <c r="F46" s="3" t="s">
        <v>291</v>
      </c>
      <c r="G46" s="3" t="s">
        <v>26</v>
      </c>
      <c r="H46" s="3" t="s">
        <v>40</v>
      </c>
    </row>
    <row r="47" spans="1:8" x14ac:dyDescent="0.2">
      <c r="A47" s="3">
        <v>407030034</v>
      </c>
      <c r="B47" s="4" t="s">
        <v>81</v>
      </c>
      <c r="C47" s="4" t="s">
        <v>82</v>
      </c>
      <c r="D47" s="3">
        <v>1</v>
      </c>
      <c r="E47" s="3" t="s">
        <v>16</v>
      </c>
      <c r="F47" s="3" t="s">
        <v>301</v>
      </c>
      <c r="G47" s="3" t="s">
        <v>32</v>
      </c>
      <c r="H47" s="3" t="s">
        <v>40</v>
      </c>
    </row>
    <row r="48" spans="1:8" x14ac:dyDescent="0.2">
      <c r="A48" s="3">
        <v>3080112003</v>
      </c>
      <c r="B48" s="4" t="s">
        <v>83</v>
      </c>
      <c r="C48" s="4" t="s">
        <v>85</v>
      </c>
      <c r="D48" s="3">
        <v>1</v>
      </c>
      <c r="E48" s="3" t="s">
        <v>16</v>
      </c>
      <c r="F48" s="3" t="s">
        <v>295</v>
      </c>
      <c r="G48" s="3" t="s">
        <v>17</v>
      </c>
      <c r="H48" s="3" t="s">
        <v>40</v>
      </c>
    </row>
    <row r="49" spans="1:8" x14ac:dyDescent="0.2">
      <c r="A49" s="3">
        <v>3080112015</v>
      </c>
      <c r="B49" s="4" t="s">
        <v>83</v>
      </c>
      <c r="C49" s="4" t="s">
        <v>84</v>
      </c>
      <c r="D49" s="3">
        <v>6</v>
      </c>
      <c r="E49" s="3" t="s">
        <v>16</v>
      </c>
      <c r="F49" s="3" t="s">
        <v>291</v>
      </c>
      <c r="G49" s="3" t="s">
        <v>26</v>
      </c>
      <c r="H49" s="3" t="s">
        <v>40</v>
      </c>
    </row>
    <row r="50" spans="1:8" x14ac:dyDescent="0.2">
      <c r="A50" s="3">
        <v>3080307001</v>
      </c>
      <c r="B50" s="4" t="s">
        <v>86</v>
      </c>
      <c r="C50" s="4" t="s">
        <v>87</v>
      </c>
      <c r="D50" s="3">
        <v>1</v>
      </c>
      <c r="E50" s="3" t="s">
        <v>16</v>
      </c>
      <c r="F50" s="3" t="s">
        <v>295</v>
      </c>
      <c r="G50" s="3" t="s">
        <v>17</v>
      </c>
      <c r="H50" s="3" t="s">
        <v>88</v>
      </c>
    </row>
    <row r="51" spans="1:8" x14ac:dyDescent="0.2">
      <c r="A51" s="3">
        <v>3080506001</v>
      </c>
      <c r="B51" s="4" t="s">
        <v>89</v>
      </c>
      <c r="C51" s="4" t="s">
        <v>90</v>
      </c>
      <c r="D51" s="3">
        <v>1</v>
      </c>
      <c r="E51" s="3" t="s">
        <v>16</v>
      </c>
      <c r="F51" s="3" t="s">
        <v>295</v>
      </c>
      <c r="G51" s="3" t="s">
        <v>17</v>
      </c>
      <c r="H51" s="3" t="s">
        <v>88</v>
      </c>
    </row>
    <row r="52" spans="1:8" x14ac:dyDescent="0.2">
      <c r="A52" s="3">
        <v>3030204002</v>
      </c>
      <c r="B52" s="4" t="s">
        <v>91</v>
      </c>
      <c r="C52" s="4" t="s">
        <v>92</v>
      </c>
      <c r="D52" s="3">
        <v>1</v>
      </c>
      <c r="E52" s="3" t="s">
        <v>16</v>
      </c>
      <c r="F52" s="3" t="s">
        <v>295</v>
      </c>
      <c r="G52" s="3" t="s">
        <v>17</v>
      </c>
      <c r="H52" s="3" t="s">
        <v>88</v>
      </c>
    </row>
    <row r="53" spans="1:8" x14ac:dyDescent="0.2">
      <c r="A53" s="3">
        <v>3030205002</v>
      </c>
      <c r="B53" s="4" t="s">
        <v>93</v>
      </c>
      <c r="C53" s="4" t="s">
        <v>94</v>
      </c>
      <c r="D53" s="3">
        <v>1</v>
      </c>
      <c r="E53" s="3" t="s">
        <v>16</v>
      </c>
      <c r="F53" s="3" t="s">
        <v>295</v>
      </c>
      <c r="G53" s="3" t="s">
        <v>17</v>
      </c>
      <c r="H53" s="3" t="s">
        <v>88</v>
      </c>
    </row>
    <row r="54" spans="1:8" x14ac:dyDescent="0.2">
      <c r="A54" s="3">
        <v>3030208001</v>
      </c>
      <c r="B54" s="4" t="s">
        <v>95</v>
      </c>
      <c r="C54" s="4" t="s">
        <v>96</v>
      </c>
      <c r="D54" s="3">
        <v>1</v>
      </c>
      <c r="E54" s="3" t="s">
        <v>16</v>
      </c>
      <c r="F54" s="3" t="s">
        <v>295</v>
      </c>
      <c r="G54" s="3" t="s">
        <v>17</v>
      </c>
      <c r="H54" s="3" t="s">
        <v>88</v>
      </c>
    </row>
    <row r="55" spans="1:8" x14ac:dyDescent="0.2">
      <c r="A55" s="3">
        <v>3030202005</v>
      </c>
      <c r="B55" s="4" t="s">
        <v>97</v>
      </c>
      <c r="C55" s="4" t="s">
        <v>94</v>
      </c>
      <c r="D55" s="3">
        <v>1</v>
      </c>
      <c r="E55" s="3" t="s">
        <v>16</v>
      </c>
      <c r="F55" s="3" t="s">
        <v>295</v>
      </c>
      <c r="G55" s="3" t="s">
        <v>17</v>
      </c>
      <c r="H55" s="3" t="s">
        <v>88</v>
      </c>
    </row>
    <row r="56" spans="1:8" x14ac:dyDescent="0.2">
      <c r="A56" s="3">
        <v>3080201009</v>
      </c>
      <c r="B56" s="4" t="s">
        <v>60</v>
      </c>
      <c r="C56" s="4" t="s">
        <v>98</v>
      </c>
      <c r="D56" s="3">
        <v>1</v>
      </c>
      <c r="E56" s="3" t="s">
        <v>16</v>
      </c>
      <c r="F56" s="3" t="s">
        <v>295</v>
      </c>
      <c r="G56" s="3" t="s">
        <v>17</v>
      </c>
      <c r="H56" s="3" t="s">
        <v>88</v>
      </c>
    </row>
    <row r="57" spans="1:8" x14ac:dyDescent="0.2">
      <c r="A57" s="3">
        <v>3050205001</v>
      </c>
      <c r="B57" s="4" t="s">
        <v>99</v>
      </c>
      <c r="C57" s="4" t="s">
        <v>100</v>
      </c>
      <c r="D57" s="3">
        <v>2</v>
      </c>
      <c r="E57" s="3" t="s">
        <v>16</v>
      </c>
      <c r="F57" s="3" t="s">
        <v>291</v>
      </c>
      <c r="G57" s="3" t="s">
        <v>26</v>
      </c>
      <c r="H57" s="3" t="s">
        <v>88</v>
      </c>
    </row>
    <row r="58" spans="1:8" x14ac:dyDescent="0.2">
      <c r="A58" s="3">
        <v>3099991203</v>
      </c>
      <c r="B58" s="4" t="s">
        <v>101</v>
      </c>
      <c r="C58" s="4" t="s">
        <v>102</v>
      </c>
      <c r="D58" s="3">
        <v>1</v>
      </c>
      <c r="E58" s="3" t="s">
        <v>16</v>
      </c>
      <c r="F58" s="3" t="s">
        <v>289</v>
      </c>
      <c r="G58" s="3" t="s">
        <v>23</v>
      </c>
      <c r="H58" s="3" t="s">
        <v>103</v>
      </c>
    </row>
    <row r="59" spans="1:8" x14ac:dyDescent="0.2">
      <c r="A59" s="3">
        <v>3099990101</v>
      </c>
      <c r="B59" s="4" t="s">
        <v>104</v>
      </c>
      <c r="C59" s="4" t="s">
        <v>105</v>
      </c>
      <c r="D59" s="3">
        <v>1</v>
      </c>
      <c r="E59" s="3" t="s">
        <v>16</v>
      </c>
      <c r="F59" s="3" t="s">
        <v>299</v>
      </c>
      <c r="G59" s="3" t="s">
        <v>106</v>
      </c>
      <c r="H59" s="3" t="s">
        <v>103</v>
      </c>
    </row>
    <row r="60" spans="1:8" x14ac:dyDescent="0.2">
      <c r="A60" s="3">
        <v>402030029</v>
      </c>
      <c r="B60" s="4" t="s">
        <v>107</v>
      </c>
      <c r="C60" s="4" t="s">
        <v>108</v>
      </c>
      <c r="D60" s="3">
        <v>1</v>
      </c>
      <c r="E60" s="3" t="s">
        <v>16</v>
      </c>
      <c r="F60" s="3" t="s">
        <v>289</v>
      </c>
      <c r="G60" s="3" t="s">
        <v>23</v>
      </c>
      <c r="H60" s="3" t="s">
        <v>109</v>
      </c>
    </row>
    <row r="61" spans="1:8" x14ac:dyDescent="0.2">
      <c r="A61" s="3">
        <v>402030027</v>
      </c>
      <c r="B61" s="4" t="s">
        <v>107</v>
      </c>
      <c r="C61" s="4" t="s">
        <v>110</v>
      </c>
      <c r="D61" s="3">
        <v>1</v>
      </c>
      <c r="E61" s="3" t="s">
        <v>16</v>
      </c>
      <c r="F61" s="3" t="s">
        <v>291</v>
      </c>
      <c r="G61" s="3" t="s">
        <v>26</v>
      </c>
      <c r="H61" s="3" t="s">
        <v>109</v>
      </c>
    </row>
    <row r="62" spans="1:8" x14ac:dyDescent="0.2">
      <c r="A62" s="3">
        <v>402020006</v>
      </c>
      <c r="B62" s="4" t="s">
        <v>111</v>
      </c>
      <c r="C62" s="4" t="s">
        <v>112</v>
      </c>
      <c r="D62" s="3">
        <v>2</v>
      </c>
      <c r="E62" s="3" t="s">
        <v>16</v>
      </c>
      <c r="F62" s="3" t="s">
        <v>293</v>
      </c>
      <c r="G62" s="3" t="s">
        <v>29</v>
      </c>
      <c r="H62" s="3" t="s">
        <v>109</v>
      </c>
    </row>
    <row r="63" spans="1:8" x14ac:dyDescent="0.2">
      <c r="A63" s="3">
        <v>404100028</v>
      </c>
      <c r="B63" s="4" t="s">
        <v>600</v>
      </c>
      <c r="C63" s="4" t="s">
        <v>601</v>
      </c>
      <c r="D63" s="3">
        <v>1</v>
      </c>
      <c r="E63" s="3" t="s">
        <v>16</v>
      </c>
      <c r="F63" s="3" t="s">
        <v>301</v>
      </c>
      <c r="G63" s="3" t="s">
        <v>32</v>
      </c>
      <c r="H63" s="3" t="s">
        <v>109</v>
      </c>
    </row>
    <row r="64" spans="1:8" x14ac:dyDescent="0.2">
      <c r="A64" s="3">
        <v>404100029</v>
      </c>
      <c r="B64" s="4" t="s">
        <v>600</v>
      </c>
      <c r="C64" s="4" t="s">
        <v>602</v>
      </c>
      <c r="D64" s="3">
        <v>1</v>
      </c>
      <c r="E64" s="3" t="s">
        <v>16</v>
      </c>
      <c r="F64" s="3" t="s">
        <v>301</v>
      </c>
      <c r="G64" s="3" t="s">
        <v>32</v>
      </c>
      <c r="H64" s="3" t="s">
        <v>109</v>
      </c>
    </row>
    <row r="65" spans="1:8" x14ac:dyDescent="0.2">
      <c r="A65" s="3">
        <v>3060209002</v>
      </c>
      <c r="B65" s="4" t="s">
        <v>113</v>
      </c>
      <c r="C65" s="4" t="s">
        <v>114</v>
      </c>
      <c r="D65" s="3">
        <v>2</v>
      </c>
      <c r="E65" s="3" t="s">
        <v>16</v>
      </c>
      <c r="F65" s="3" t="s">
        <v>289</v>
      </c>
      <c r="G65" s="3" t="s">
        <v>23</v>
      </c>
      <c r="H65" s="3" t="s">
        <v>115</v>
      </c>
    </row>
    <row r="66" spans="1:8" x14ac:dyDescent="0.2">
      <c r="A66" s="3">
        <v>3030204032</v>
      </c>
      <c r="B66" s="4" t="s">
        <v>116</v>
      </c>
      <c r="C66" s="4" t="s">
        <v>117</v>
      </c>
      <c r="D66" s="3">
        <v>1</v>
      </c>
      <c r="E66" s="3" t="s">
        <v>16</v>
      </c>
      <c r="F66" s="3" t="s">
        <v>295</v>
      </c>
      <c r="G66" s="3" t="s">
        <v>17</v>
      </c>
      <c r="H66" s="3" t="s">
        <v>115</v>
      </c>
    </row>
    <row r="67" spans="1:8" x14ac:dyDescent="0.2">
      <c r="A67" s="3">
        <v>3040113002</v>
      </c>
      <c r="B67" s="4" t="s">
        <v>118</v>
      </c>
      <c r="C67" s="4" t="s">
        <v>119</v>
      </c>
      <c r="D67" s="3">
        <v>2</v>
      </c>
      <c r="E67" s="3" t="s">
        <v>16</v>
      </c>
      <c r="F67" s="3" t="s">
        <v>293</v>
      </c>
      <c r="G67" s="3" t="s">
        <v>29</v>
      </c>
      <c r="H67" s="3" t="s">
        <v>115</v>
      </c>
    </row>
    <row r="68" spans="1:8" x14ac:dyDescent="0.2">
      <c r="A68" s="3">
        <v>3040216001</v>
      </c>
      <c r="B68" s="4" t="s">
        <v>328</v>
      </c>
      <c r="C68" s="4" t="s">
        <v>329</v>
      </c>
      <c r="D68" s="3">
        <v>4</v>
      </c>
      <c r="E68" s="3" t="s">
        <v>16</v>
      </c>
      <c r="F68" s="3" t="s">
        <v>293</v>
      </c>
      <c r="G68" s="3" t="s">
        <v>29</v>
      </c>
      <c r="H68" s="3" t="s">
        <v>115</v>
      </c>
    </row>
    <row r="69" spans="1:8" x14ac:dyDescent="0.2">
      <c r="A69" s="3">
        <v>3030204006</v>
      </c>
      <c r="B69" s="4" t="s">
        <v>120</v>
      </c>
      <c r="C69" s="4" t="s">
        <v>121</v>
      </c>
      <c r="D69" s="3">
        <v>2</v>
      </c>
      <c r="E69" s="3" t="s">
        <v>16</v>
      </c>
      <c r="F69" s="3" t="s">
        <v>295</v>
      </c>
      <c r="G69" s="3" t="s">
        <v>17</v>
      </c>
      <c r="H69" s="3" t="s">
        <v>115</v>
      </c>
    </row>
    <row r="70" spans="1:8" x14ac:dyDescent="0.2">
      <c r="A70" s="3">
        <v>3030204008</v>
      </c>
      <c r="B70" s="4" t="s">
        <v>122</v>
      </c>
      <c r="C70" s="4" t="s">
        <v>123</v>
      </c>
      <c r="D70" s="3">
        <v>1</v>
      </c>
      <c r="E70" s="3" t="s">
        <v>16</v>
      </c>
      <c r="F70" s="3" t="s">
        <v>291</v>
      </c>
      <c r="G70" s="3" t="s">
        <v>26</v>
      </c>
      <c r="H70" s="3" t="s">
        <v>115</v>
      </c>
    </row>
    <row r="71" spans="1:8" x14ac:dyDescent="0.2">
      <c r="A71" s="3">
        <v>3030204010</v>
      </c>
      <c r="B71" s="4" t="s">
        <v>124</v>
      </c>
      <c r="C71" s="4" t="s">
        <v>125</v>
      </c>
      <c r="D71" s="3">
        <v>1</v>
      </c>
      <c r="E71" s="3" t="s">
        <v>16</v>
      </c>
      <c r="F71" s="3" t="s">
        <v>295</v>
      </c>
      <c r="G71" s="3" t="s">
        <v>17</v>
      </c>
      <c r="H71" s="3" t="s">
        <v>115</v>
      </c>
    </row>
    <row r="72" spans="1:8" x14ac:dyDescent="0.2">
      <c r="A72" s="3">
        <v>3030204012</v>
      </c>
      <c r="B72" s="4" t="s">
        <v>126</v>
      </c>
      <c r="C72" s="4" t="s">
        <v>127</v>
      </c>
      <c r="D72" s="3">
        <v>1</v>
      </c>
      <c r="E72" s="3" t="s">
        <v>16</v>
      </c>
      <c r="F72" s="3" t="s">
        <v>295</v>
      </c>
      <c r="G72" s="3" t="s">
        <v>17</v>
      </c>
      <c r="H72" s="3" t="s">
        <v>115</v>
      </c>
    </row>
    <row r="73" spans="1:8" x14ac:dyDescent="0.2">
      <c r="A73" s="3">
        <v>3030404003</v>
      </c>
      <c r="B73" s="4" t="s">
        <v>130</v>
      </c>
      <c r="C73" s="4" t="s">
        <v>131</v>
      </c>
      <c r="D73" s="3">
        <v>2</v>
      </c>
      <c r="E73" s="3" t="s">
        <v>16</v>
      </c>
      <c r="F73" s="3" t="s">
        <v>291</v>
      </c>
      <c r="G73" s="3" t="s">
        <v>26</v>
      </c>
      <c r="H73" s="3" t="s">
        <v>132</v>
      </c>
    </row>
    <row r="74" spans="1:8" x14ac:dyDescent="0.2">
      <c r="A74" s="3">
        <v>404040025</v>
      </c>
      <c r="B74" s="4" t="s">
        <v>30</v>
      </c>
      <c r="C74" s="4" t="s">
        <v>133</v>
      </c>
      <c r="D74" s="3">
        <v>2</v>
      </c>
      <c r="E74" s="3" t="s">
        <v>16</v>
      </c>
      <c r="F74" s="3" t="s">
        <v>291</v>
      </c>
      <c r="G74" s="3" t="s">
        <v>26</v>
      </c>
      <c r="H74" s="3" t="s">
        <v>134</v>
      </c>
    </row>
    <row r="75" spans="1:8" x14ac:dyDescent="0.2">
      <c r="A75" s="3">
        <v>404020073</v>
      </c>
      <c r="B75" s="4" t="s">
        <v>30</v>
      </c>
      <c r="C75" s="4" t="s">
        <v>135</v>
      </c>
      <c r="D75" s="3">
        <v>1</v>
      </c>
      <c r="E75" s="3" t="s">
        <v>16</v>
      </c>
      <c r="F75" s="3" t="s">
        <v>291</v>
      </c>
      <c r="G75" s="3" t="s">
        <v>26</v>
      </c>
      <c r="H75" s="3" t="s">
        <v>134</v>
      </c>
    </row>
    <row r="76" spans="1:8" x14ac:dyDescent="0.2">
      <c r="A76" s="3">
        <v>401040441</v>
      </c>
      <c r="B76" s="4" t="s">
        <v>35</v>
      </c>
      <c r="C76" s="4" t="s">
        <v>603</v>
      </c>
      <c r="D76" s="3">
        <v>1</v>
      </c>
      <c r="E76" s="3" t="s">
        <v>16</v>
      </c>
      <c r="F76" s="3" t="s">
        <v>291</v>
      </c>
      <c r="G76" s="3" t="s">
        <v>26</v>
      </c>
      <c r="H76" s="3" t="s">
        <v>134</v>
      </c>
    </row>
    <row r="77" spans="1:8" x14ac:dyDescent="0.2">
      <c r="A77" s="3">
        <v>3990207001</v>
      </c>
      <c r="B77" s="4" t="s">
        <v>140</v>
      </c>
      <c r="C77" s="4" t="s">
        <v>141</v>
      </c>
      <c r="D77" s="3">
        <v>1</v>
      </c>
      <c r="E77" s="3" t="s">
        <v>16</v>
      </c>
      <c r="F77" s="3" t="s">
        <v>285</v>
      </c>
      <c r="G77" s="3" t="s">
        <v>142</v>
      </c>
      <c r="H77" s="3" t="s">
        <v>143</v>
      </c>
    </row>
    <row r="78" spans="1:8" x14ac:dyDescent="0.2">
      <c r="A78" s="3">
        <v>3030301005</v>
      </c>
      <c r="B78" s="4" t="s">
        <v>144</v>
      </c>
      <c r="C78" s="4" t="s">
        <v>145</v>
      </c>
      <c r="D78" s="3">
        <v>2</v>
      </c>
      <c r="E78" s="3" t="s">
        <v>16</v>
      </c>
      <c r="F78" s="3" t="s">
        <v>291</v>
      </c>
      <c r="G78" s="3" t="s">
        <v>26</v>
      </c>
      <c r="H78" s="3" t="s">
        <v>143</v>
      </c>
    </row>
    <row r="79" spans="1:8" x14ac:dyDescent="0.2">
      <c r="A79" s="3">
        <v>3990205001</v>
      </c>
      <c r="B79" s="4" t="s">
        <v>146</v>
      </c>
      <c r="C79" s="4" t="s">
        <v>147</v>
      </c>
      <c r="D79" s="3">
        <v>1</v>
      </c>
      <c r="E79" s="3" t="s">
        <v>16</v>
      </c>
      <c r="F79" s="3" t="s">
        <v>287</v>
      </c>
      <c r="G79" s="3" t="s">
        <v>148</v>
      </c>
      <c r="H79" s="3" t="s">
        <v>143</v>
      </c>
    </row>
    <row r="80" spans="1:8" x14ac:dyDescent="0.2">
      <c r="A80" s="3">
        <v>407010093</v>
      </c>
      <c r="B80" s="4" t="s">
        <v>149</v>
      </c>
      <c r="C80" s="4" t="s">
        <v>604</v>
      </c>
      <c r="D80" s="3">
        <v>1</v>
      </c>
      <c r="E80" s="3" t="s">
        <v>16</v>
      </c>
      <c r="F80" s="3" t="s">
        <v>289</v>
      </c>
      <c r="G80" s="3" t="s">
        <v>23</v>
      </c>
      <c r="H80" s="3" t="s">
        <v>151</v>
      </c>
    </row>
    <row r="81" spans="1:8" x14ac:dyDescent="0.2">
      <c r="A81" s="3">
        <v>3070103002</v>
      </c>
      <c r="B81" s="4" t="s">
        <v>152</v>
      </c>
      <c r="C81" s="4" t="s">
        <v>153</v>
      </c>
      <c r="D81" s="3">
        <v>1</v>
      </c>
      <c r="E81" s="3" t="s">
        <v>16</v>
      </c>
      <c r="F81" s="3" t="s">
        <v>289</v>
      </c>
      <c r="G81" s="3" t="s">
        <v>23</v>
      </c>
      <c r="H81" s="3" t="s">
        <v>154</v>
      </c>
    </row>
    <row r="82" spans="1:8" x14ac:dyDescent="0.2">
      <c r="A82" s="3">
        <v>3030203004</v>
      </c>
      <c r="B82" s="4" t="s">
        <v>155</v>
      </c>
      <c r="C82" s="4" t="s">
        <v>156</v>
      </c>
      <c r="D82" s="3">
        <v>1</v>
      </c>
      <c r="E82" s="3" t="s">
        <v>16</v>
      </c>
      <c r="F82" s="3" t="s">
        <v>295</v>
      </c>
      <c r="G82" s="3" t="s">
        <v>17</v>
      </c>
      <c r="H82" s="3" t="s">
        <v>154</v>
      </c>
    </row>
    <row r="83" spans="1:8" x14ac:dyDescent="0.2">
      <c r="A83" s="3">
        <v>3040211002</v>
      </c>
      <c r="B83" s="4" t="s">
        <v>157</v>
      </c>
      <c r="C83" s="4" t="s">
        <v>158</v>
      </c>
      <c r="D83" s="3">
        <v>2</v>
      </c>
      <c r="E83" s="3" t="s">
        <v>16</v>
      </c>
      <c r="F83" s="3" t="s">
        <v>293</v>
      </c>
      <c r="G83" s="3" t="s">
        <v>29</v>
      </c>
      <c r="H83" s="3" t="s">
        <v>154</v>
      </c>
    </row>
    <row r="84" spans="1:8" x14ac:dyDescent="0.2">
      <c r="A84" s="3">
        <v>3040217003</v>
      </c>
      <c r="B84" s="4" t="s">
        <v>159</v>
      </c>
      <c r="C84" s="4" t="s">
        <v>160</v>
      </c>
      <c r="D84" s="3">
        <v>2</v>
      </c>
      <c r="E84" s="3" t="s">
        <v>16</v>
      </c>
      <c r="F84" s="3" t="s">
        <v>293</v>
      </c>
      <c r="G84" s="3" t="s">
        <v>29</v>
      </c>
      <c r="H84" s="3" t="s">
        <v>154</v>
      </c>
    </row>
    <row r="85" spans="1:8" x14ac:dyDescent="0.2">
      <c r="A85" s="3">
        <v>3030310010</v>
      </c>
      <c r="B85" s="4" t="s">
        <v>161</v>
      </c>
      <c r="C85" s="4" t="s">
        <v>162</v>
      </c>
      <c r="D85" s="3">
        <v>1</v>
      </c>
      <c r="E85" s="3" t="s">
        <v>16</v>
      </c>
      <c r="F85" s="3" t="s">
        <v>295</v>
      </c>
      <c r="G85" s="3" t="s">
        <v>17</v>
      </c>
      <c r="H85" s="3" t="s">
        <v>154</v>
      </c>
    </row>
    <row r="86" spans="1:8" x14ac:dyDescent="0.2">
      <c r="A86" s="3">
        <v>3060306001</v>
      </c>
      <c r="B86" s="4" t="s">
        <v>163</v>
      </c>
      <c r="C86" s="4" t="s">
        <v>164</v>
      </c>
      <c r="D86" s="3">
        <v>1</v>
      </c>
      <c r="E86" s="3" t="s">
        <v>16</v>
      </c>
      <c r="F86" s="3" t="s">
        <v>289</v>
      </c>
      <c r="G86" s="3" t="s">
        <v>23</v>
      </c>
      <c r="H86" s="3" t="s">
        <v>165</v>
      </c>
    </row>
    <row r="87" spans="1:8" x14ac:dyDescent="0.2">
      <c r="A87" s="3">
        <v>3110103002</v>
      </c>
      <c r="B87" s="4" t="s">
        <v>473</v>
      </c>
      <c r="C87" s="4" t="s">
        <v>474</v>
      </c>
      <c r="D87" s="3">
        <v>1</v>
      </c>
      <c r="E87" s="3" t="s">
        <v>16</v>
      </c>
      <c r="F87" s="3" t="s">
        <v>291</v>
      </c>
      <c r="G87" s="3" t="s">
        <v>26</v>
      </c>
      <c r="H87" s="3" t="s">
        <v>165</v>
      </c>
    </row>
    <row r="88" spans="1:8" x14ac:dyDescent="0.2">
      <c r="A88" s="3">
        <v>3030303067</v>
      </c>
      <c r="B88" s="4" t="s">
        <v>166</v>
      </c>
      <c r="C88" s="4" t="s">
        <v>167</v>
      </c>
      <c r="D88" s="3">
        <v>1</v>
      </c>
      <c r="E88" s="3" t="s">
        <v>16</v>
      </c>
      <c r="F88" s="3" t="s">
        <v>295</v>
      </c>
      <c r="G88" s="3" t="s">
        <v>17</v>
      </c>
      <c r="H88" s="3" t="s">
        <v>165</v>
      </c>
    </row>
    <row r="89" spans="1:8" x14ac:dyDescent="0.2">
      <c r="A89" s="3">
        <v>3060310001</v>
      </c>
      <c r="B89" s="4" t="s">
        <v>171</v>
      </c>
      <c r="C89" s="4" t="s">
        <v>172</v>
      </c>
      <c r="D89" s="3">
        <v>1</v>
      </c>
      <c r="E89" s="3" t="s">
        <v>16</v>
      </c>
      <c r="F89" s="3" t="s">
        <v>289</v>
      </c>
      <c r="G89" s="3" t="s">
        <v>23</v>
      </c>
      <c r="H89" s="3" t="s">
        <v>173</v>
      </c>
    </row>
    <row r="90" spans="1:8" x14ac:dyDescent="0.2">
      <c r="A90" s="3">
        <v>3060311001</v>
      </c>
      <c r="B90" s="4" t="s">
        <v>174</v>
      </c>
      <c r="C90" s="4" t="s">
        <v>172</v>
      </c>
      <c r="D90" s="3">
        <v>1</v>
      </c>
      <c r="E90" s="3" t="s">
        <v>16</v>
      </c>
      <c r="F90" s="3" t="s">
        <v>289</v>
      </c>
      <c r="G90" s="3" t="s">
        <v>23</v>
      </c>
      <c r="H90" s="3" t="s">
        <v>173</v>
      </c>
    </row>
    <row r="91" spans="1:8" x14ac:dyDescent="0.2">
      <c r="A91" s="3">
        <v>3030303003</v>
      </c>
      <c r="B91" s="4" t="s">
        <v>175</v>
      </c>
      <c r="C91" s="4" t="s">
        <v>176</v>
      </c>
      <c r="D91" s="3">
        <v>1</v>
      </c>
      <c r="E91" s="3" t="s">
        <v>16</v>
      </c>
      <c r="F91" s="3" t="s">
        <v>295</v>
      </c>
      <c r="G91" s="3" t="s">
        <v>17</v>
      </c>
      <c r="H91" s="3" t="s">
        <v>173</v>
      </c>
    </row>
    <row r="92" spans="1:8" x14ac:dyDescent="0.2">
      <c r="A92" s="3">
        <v>3030303005</v>
      </c>
      <c r="B92" s="4" t="s">
        <v>177</v>
      </c>
      <c r="C92" s="4" t="s">
        <v>176</v>
      </c>
      <c r="D92" s="3">
        <v>1</v>
      </c>
      <c r="E92" s="3" t="s">
        <v>16</v>
      </c>
      <c r="F92" s="3" t="s">
        <v>291</v>
      </c>
      <c r="G92" s="3" t="s">
        <v>26</v>
      </c>
      <c r="H92" s="3" t="s">
        <v>173</v>
      </c>
    </row>
    <row r="93" spans="1:8" x14ac:dyDescent="0.2">
      <c r="A93" s="3">
        <v>3040328006</v>
      </c>
      <c r="B93" s="4" t="s">
        <v>267</v>
      </c>
      <c r="C93" s="4" t="s">
        <v>605</v>
      </c>
      <c r="D93" s="3">
        <v>2</v>
      </c>
      <c r="E93" s="3" t="s">
        <v>16</v>
      </c>
      <c r="F93" s="3" t="s">
        <v>293</v>
      </c>
      <c r="G93" s="3" t="s">
        <v>29</v>
      </c>
      <c r="H93" s="3" t="s">
        <v>173</v>
      </c>
    </row>
    <row r="94" spans="1:8" x14ac:dyDescent="0.2">
      <c r="A94" s="3">
        <v>3040309001</v>
      </c>
      <c r="B94" s="4" t="s">
        <v>346</v>
      </c>
      <c r="C94" s="4" t="s">
        <v>347</v>
      </c>
      <c r="D94" s="3">
        <v>8</v>
      </c>
      <c r="E94" s="3" t="s">
        <v>16</v>
      </c>
      <c r="F94" s="3" t="s">
        <v>293</v>
      </c>
      <c r="G94" s="3" t="s">
        <v>29</v>
      </c>
      <c r="H94" s="3" t="s">
        <v>173</v>
      </c>
    </row>
    <row r="95" spans="1:8" x14ac:dyDescent="0.2">
      <c r="A95" s="3">
        <v>3030310007</v>
      </c>
      <c r="B95" s="4" t="s">
        <v>178</v>
      </c>
      <c r="C95" s="4" t="s">
        <v>179</v>
      </c>
      <c r="D95" s="3">
        <v>1</v>
      </c>
      <c r="E95" s="3" t="s">
        <v>16</v>
      </c>
      <c r="F95" s="3" t="s">
        <v>295</v>
      </c>
      <c r="G95" s="3" t="s">
        <v>17</v>
      </c>
      <c r="H95" s="3" t="s">
        <v>173</v>
      </c>
    </row>
    <row r="96" spans="1:8" x14ac:dyDescent="0.2">
      <c r="A96" s="3">
        <v>3030310009</v>
      </c>
      <c r="B96" s="4" t="s">
        <v>180</v>
      </c>
      <c r="C96" s="4" t="s">
        <v>179</v>
      </c>
      <c r="D96" s="3">
        <v>1</v>
      </c>
      <c r="E96" s="3" t="s">
        <v>16</v>
      </c>
      <c r="F96" s="3" t="s">
        <v>295</v>
      </c>
      <c r="G96" s="3" t="s">
        <v>17</v>
      </c>
      <c r="H96" s="3" t="s">
        <v>173</v>
      </c>
    </row>
    <row r="97" spans="1:8" x14ac:dyDescent="0.2">
      <c r="A97" s="3">
        <v>3050304001</v>
      </c>
      <c r="B97" s="4" t="s">
        <v>181</v>
      </c>
      <c r="C97" s="4" t="s">
        <v>182</v>
      </c>
      <c r="D97" s="3">
        <v>1</v>
      </c>
      <c r="E97" s="3" t="s">
        <v>16</v>
      </c>
      <c r="F97" s="3" t="s">
        <v>291</v>
      </c>
      <c r="G97" s="3" t="s">
        <v>26</v>
      </c>
      <c r="H97" s="3" t="s">
        <v>173</v>
      </c>
    </row>
    <row r="98" spans="1:8" x14ac:dyDescent="0.2">
      <c r="A98" s="3">
        <v>3020501014</v>
      </c>
      <c r="B98" s="4" t="s">
        <v>183</v>
      </c>
      <c r="C98" s="4" t="s">
        <v>350</v>
      </c>
      <c r="D98" s="3">
        <v>1</v>
      </c>
      <c r="E98" s="3" t="s">
        <v>16</v>
      </c>
      <c r="F98" s="3" t="s">
        <v>291</v>
      </c>
      <c r="G98" s="3" t="s">
        <v>26</v>
      </c>
      <c r="H98" s="3" t="s">
        <v>185</v>
      </c>
    </row>
    <row r="99" spans="1:8" x14ac:dyDescent="0.2">
      <c r="A99" s="3">
        <v>3990201009</v>
      </c>
      <c r="B99" s="4" t="s">
        <v>186</v>
      </c>
      <c r="C99" s="4" t="s">
        <v>606</v>
      </c>
      <c r="D99" s="3">
        <v>1</v>
      </c>
      <c r="E99" s="3" t="s">
        <v>16</v>
      </c>
      <c r="F99" s="3" t="s">
        <v>295</v>
      </c>
      <c r="G99" s="3" t="s">
        <v>17</v>
      </c>
      <c r="H99" s="3" t="s">
        <v>187</v>
      </c>
    </row>
    <row r="100" spans="1:8" x14ac:dyDescent="0.2">
      <c r="A100" s="3">
        <v>3990202008</v>
      </c>
      <c r="B100" s="4" t="s">
        <v>188</v>
      </c>
      <c r="C100" s="4" t="s">
        <v>606</v>
      </c>
      <c r="D100" s="3">
        <v>1</v>
      </c>
      <c r="E100" s="3" t="s">
        <v>16</v>
      </c>
      <c r="F100" s="3" t="s">
        <v>295</v>
      </c>
      <c r="G100" s="3" t="s">
        <v>17</v>
      </c>
      <c r="H100" s="3" t="s">
        <v>187</v>
      </c>
    </row>
    <row r="101" spans="1:8" x14ac:dyDescent="0.2">
      <c r="A101" s="3">
        <v>3990203004</v>
      </c>
      <c r="B101" s="4" t="s">
        <v>189</v>
      </c>
      <c r="C101" s="4" t="s">
        <v>606</v>
      </c>
      <c r="D101" s="3">
        <v>1</v>
      </c>
      <c r="E101" s="3" t="s">
        <v>16</v>
      </c>
      <c r="F101" s="3" t="s">
        <v>291</v>
      </c>
      <c r="G101" s="3" t="s">
        <v>26</v>
      </c>
      <c r="H101" s="3" t="s">
        <v>187</v>
      </c>
    </row>
    <row r="102" spans="1:8" x14ac:dyDescent="0.2">
      <c r="A102" s="3">
        <v>3030401002</v>
      </c>
      <c r="B102" s="4" t="s">
        <v>190</v>
      </c>
      <c r="C102" s="4" t="s">
        <v>191</v>
      </c>
      <c r="D102" s="3">
        <v>1</v>
      </c>
      <c r="E102" s="3" t="s">
        <v>16</v>
      </c>
      <c r="F102" s="3" t="s">
        <v>295</v>
      </c>
      <c r="G102" s="3" t="s">
        <v>17</v>
      </c>
      <c r="H102" s="3" t="s">
        <v>192</v>
      </c>
    </row>
    <row r="103" spans="1:8" x14ac:dyDescent="0.2">
      <c r="A103" s="3">
        <v>3040402001</v>
      </c>
      <c r="B103" s="4" t="s">
        <v>193</v>
      </c>
      <c r="C103" s="4" t="s">
        <v>194</v>
      </c>
      <c r="D103" s="3">
        <v>1</v>
      </c>
      <c r="E103" s="3" t="s">
        <v>16</v>
      </c>
      <c r="F103" s="3" t="s">
        <v>293</v>
      </c>
      <c r="G103" s="3" t="s">
        <v>29</v>
      </c>
      <c r="H103" s="3" t="s">
        <v>192</v>
      </c>
    </row>
    <row r="104" spans="1:8" x14ac:dyDescent="0.2">
      <c r="A104" s="3">
        <v>3040402002</v>
      </c>
      <c r="B104" s="4" t="s">
        <v>193</v>
      </c>
      <c r="C104" s="4" t="s">
        <v>195</v>
      </c>
      <c r="D104" s="3">
        <v>1</v>
      </c>
      <c r="E104" s="3" t="s">
        <v>16</v>
      </c>
      <c r="F104" s="3" t="s">
        <v>293</v>
      </c>
      <c r="G104" s="3" t="s">
        <v>29</v>
      </c>
      <c r="H104" s="3" t="s">
        <v>192</v>
      </c>
    </row>
    <row r="105" spans="1:8" x14ac:dyDescent="0.2">
      <c r="A105" s="3">
        <v>404020035</v>
      </c>
      <c r="B105" s="4" t="s">
        <v>30</v>
      </c>
      <c r="C105" s="4" t="s">
        <v>199</v>
      </c>
      <c r="D105" s="3">
        <v>1</v>
      </c>
      <c r="E105" s="3" t="s">
        <v>16</v>
      </c>
      <c r="F105" s="3" t="s">
        <v>291</v>
      </c>
      <c r="G105" s="3" t="s">
        <v>26</v>
      </c>
      <c r="H105" s="3" t="s">
        <v>198</v>
      </c>
    </row>
    <row r="106" spans="1:8" x14ac:dyDescent="0.2">
      <c r="A106" s="3">
        <v>401070022</v>
      </c>
      <c r="B106" s="4" t="s">
        <v>35</v>
      </c>
      <c r="C106" s="4" t="s">
        <v>203</v>
      </c>
      <c r="D106" s="3">
        <v>1</v>
      </c>
      <c r="E106" s="3" t="s">
        <v>16</v>
      </c>
      <c r="F106" s="3" t="s">
        <v>297</v>
      </c>
      <c r="G106" s="3" t="s">
        <v>204</v>
      </c>
      <c r="H106" s="3" t="s">
        <v>198</v>
      </c>
    </row>
    <row r="107" spans="1:8" x14ac:dyDescent="0.2">
      <c r="A107" s="3">
        <v>401070018</v>
      </c>
      <c r="B107" s="4" t="s">
        <v>35</v>
      </c>
      <c r="C107" s="4" t="s">
        <v>202</v>
      </c>
      <c r="D107" s="3">
        <v>1</v>
      </c>
      <c r="E107" s="3" t="s">
        <v>16</v>
      </c>
      <c r="F107" s="3" t="s">
        <v>291</v>
      </c>
      <c r="G107" s="3" t="s">
        <v>26</v>
      </c>
      <c r="H107" s="3" t="s">
        <v>198</v>
      </c>
    </row>
    <row r="108" spans="1:8" x14ac:dyDescent="0.2">
      <c r="A108" s="3">
        <v>3992002001</v>
      </c>
      <c r="B108" s="4" t="s">
        <v>212</v>
      </c>
      <c r="C108" s="4" t="s">
        <v>213</v>
      </c>
      <c r="D108" s="3">
        <v>2</v>
      </c>
      <c r="E108" s="3" t="s">
        <v>16</v>
      </c>
      <c r="F108" s="3" t="s">
        <v>295</v>
      </c>
      <c r="G108" s="3" t="s">
        <v>17</v>
      </c>
      <c r="H108" s="3" t="s">
        <v>214</v>
      </c>
    </row>
    <row r="109" spans="1:8" x14ac:dyDescent="0.2">
      <c r="A109" s="3">
        <v>3992001001</v>
      </c>
      <c r="B109" s="4" t="s">
        <v>215</v>
      </c>
      <c r="C109" s="4" t="s">
        <v>213</v>
      </c>
      <c r="D109" s="3">
        <v>2</v>
      </c>
      <c r="E109" s="3" t="s">
        <v>16</v>
      </c>
      <c r="F109" s="3" t="s">
        <v>295</v>
      </c>
      <c r="G109" s="3" t="s">
        <v>17</v>
      </c>
      <c r="H109" s="3" t="s">
        <v>214</v>
      </c>
    </row>
    <row r="110" spans="1:8" x14ac:dyDescent="0.2">
      <c r="A110" s="3">
        <v>3030201004</v>
      </c>
      <c r="B110" s="4" t="s">
        <v>216</v>
      </c>
      <c r="C110" s="4" t="s">
        <v>213</v>
      </c>
      <c r="D110" s="3">
        <v>2</v>
      </c>
      <c r="E110" s="3" t="s">
        <v>16</v>
      </c>
      <c r="F110" s="3" t="s">
        <v>295</v>
      </c>
      <c r="G110" s="3" t="s">
        <v>17</v>
      </c>
      <c r="H110" s="3" t="s">
        <v>214</v>
      </c>
    </row>
    <row r="111" spans="1:8" x14ac:dyDescent="0.2">
      <c r="A111" s="3">
        <v>3049904001</v>
      </c>
      <c r="B111" s="4" t="s">
        <v>354</v>
      </c>
      <c r="C111" s="4" t="s">
        <v>355</v>
      </c>
      <c r="D111" s="3">
        <v>4</v>
      </c>
      <c r="E111" s="3" t="s">
        <v>16</v>
      </c>
      <c r="F111" s="3" t="s">
        <v>293</v>
      </c>
      <c r="G111" s="3" t="s">
        <v>29</v>
      </c>
      <c r="H111" s="3" t="s">
        <v>214</v>
      </c>
    </row>
    <row r="112" spans="1:8" x14ac:dyDescent="0.2">
      <c r="A112" s="3">
        <v>3049902005</v>
      </c>
      <c r="B112" s="4" t="s">
        <v>356</v>
      </c>
      <c r="C112" s="4" t="s">
        <v>357</v>
      </c>
      <c r="D112" s="3">
        <v>2</v>
      </c>
      <c r="E112" s="3" t="s">
        <v>16</v>
      </c>
      <c r="F112" s="3" t="s">
        <v>293</v>
      </c>
      <c r="G112" s="3" t="s">
        <v>29</v>
      </c>
      <c r="H112" s="3" t="s">
        <v>214</v>
      </c>
    </row>
    <row r="113" spans="1:8" x14ac:dyDescent="0.2">
      <c r="A113" s="3">
        <v>3030201005</v>
      </c>
      <c r="B113" s="4" t="s">
        <v>217</v>
      </c>
      <c r="C113" s="4" t="s">
        <v>218</v>
      </c>
      <c r="D113" s="3">
        <v>12</v>
      </c>
      <c r="E113" s="3" t="s">
        <v>16</v>
      </c>
      <c r="F113" s="3" t="s">
        <v>295</v>
      </c>
      <c r="G113" s="3" t="s">
        <v>17</v>
      </c>
      <c r="H113" s="3" t="s">
        <v>214</v>
      </c>
    </row>
    <row r="114" spans="1:8" x14ac:dyDescent="0.2">
      <c r="A114" s="3">
        <v>3030403001</v>
      </c>
      <c r="B114" s="4" t="s">
        <v>219</v>
      </c>
      <c r="C114" s="4" t="s">
        <v>220</v>
      </c>
      <c r="D114" s="3">
        <v>1</v>
      </c>
      <c r="E114" s="3" t="s">
        <v>16</v>
      </c>
      <c r="F114" s="3" t="s">
        <v>295</v>
      </c>
      <c r="G114" s="3" t="s">
        <v>17</v>
      </c>
      <c r="H114" s="3" t="s">
        <v>221</v>
      </c>
    </row>
    <row r="115" spans="1:8" x14ac:dyDescent="0.2">
      <c r="A115" s="3">
        <v>3020301001</v>
      </c>
      <c r="B115" s="4" t="s">
        <v>209</v>
      </c>
      <c r="C115" s="4" t="s">
        <v>365</v>
      </c>
      <c r="D115" s="3">
        <v>1</v>
      </c>
      <c r="E115" s="3" t="s">
        <v>16</v>
      </c>
      <c r="F115" s="3" t="s">
        <v>291</v>
      </c>
      <c r="G115" s="3" t="s">
        <v>26</v>
      </c>
      <c r="H115" s="3" t="s">
        <v>221</v>
      </c>
    </row>
    <row r="116" spans="1:8" x14ac:dyDescent="0.2">
      <c r="A116" s="3">
        <v>403030051</v>
      </c>
      <c r="B116" s="4" t="s">
        <v>366</v>
      </c>
      <c r="C116" s="4" t="s">
        <v>367</v>
      </c>
      <c r="D116" s="3">
        <v>3</v>
      </c>
      <c r="E116" s="3" t="s">
        <v>16</v>
      </c>
      <c r="F116" s="3" t="s">
        <v>301</v>
      </c>
      <c r="G116" s="3" t="s">
        <v>32</v>
      </c>
      <c r="H116" s="3" t="s">
        <v>221</v>
      </c>
    </row>
    <row r="117" spans="1:8" x14ac:dyDescent="0.2">
      <c r="A117" s="3">
        <v>403030005</v>
      </c>
      <c r="B117" s="4" t="s">
        <v>366</v>
      </c>
      <c r="C117" s="4" t="s">
        <v>368</v>
      </c>
      <c r="D117" s="3">
        <v>2</v>
      </c>
      <c r="E117" s="3" t="s">
        <v>16</v>
      </c>
      <c r="F117" s="3" t="s">
        <v>301</v>
      </c>
      <c r="G117" s="3" t="s">
        <v>32</v>
      </c>
      <c r="H117" s="3" t="s">
        <v>221</v>
      </c>
    </row>
    <row r="118" spans="1:8" x14ac:dyDescent="0.2">
      <c r="A118" s="3">
        <v>3050401001</v>
      </c>
      <c r="B118" s="4" t="s">
        <v>222</v>
      </c>
      <c r="C118" s="4" t="s">
        <v>223</v>
      </c>
      <c r="D118" s="3">
        <v>1</v>
      </c>
      <c r="E118" s="3" t="s">
        <v>16</v>
      </c>
      <c r="F118" s="3" t="s">
        <v>291</v>
      </c>
      <c r="G118" s="3" t="s">
        <v>26</v>
      </c>
      <c r="H118" s="3" t="s">
        <v>221</v>
      </c>
    </row>
    <row r="119" spans="1:8" x14ac:dyDescent="0.2">
      <c r="A119" s="3">
        <v>402050001</v>
      </c>
      <c r="B119" s="4" t="s">
        <v>522</v>
      </c>
      <c r="C119" s="4" t="s">
        <v>523</v>
      </c>
      <c r="D119" s="3">
        <v>1</v>
      </c>
      <c r="E119" s="3" t="s">
        <v>16</v>
      </c>
      <c r="F119" s="3" t="s">
        <v>289</v>
      </c>
      <c r="G119" s="3" t="s">
        <v>23</v>
      </c>
      <c r="H119" s="3" t="s">
        <v>524</v>
      </c>
    </row>
    <row r="120" spans="1:8" x14ac:dyDescent="0.2">
      <c r="A120" s="3">
        <v>3040502058</v>
      </c>
      <c r="B120" s="4" t="s">
        <v>136</v>
      </c>
      <c r="C120" s="4" t="s">
        <v>607</v>
      </c>
      <c r="D120" s="3">
        <v>1</v>
      </c>
      <c r="E120" s="3" t="s">
        <v>16</v>
      </c>
      <c r="F120" s="3" t="s">
        <v>293</v>
      </c>
      <c r="G120" s="3" t="s">
        <v>29</v>
      </c>
      <c r="H120" s="3" t="s">
        <v>370</v>
      </c>
    </row>
    <row r="121" spans="1:8" x14ac:dyDescent="0.2">
      <c r="A121" s="3">
        <v>3040502059</v>
      </c>
      <c r="B121" s="4" t="s">
        <v>136</v>
      </c>
      <c r="C121" s="4" t="s">
        <v>608</v>
      </c>
      <c r="D121" s="3">
        <v>1</v>
      </c>
      <c r="E121" s="3" t="s">
        <v>16</v>
      </c>
      <c r="F121" s="3" t="s">
        <v>293</v>
      </c>
      <c r="G121" s="3" t="s">
        <v>29</v>
      </c>
      <c r="H121" s="3" t="s">
        <v>370</v>
      </c>
    </row>
    <row r="122" spans="1:8" x14ac:dyDescent="0.2">
      <c r="A122" s="3">
        <v>3060501005</v>
      </c>
      <c r="B122" s="4" t="s">
        <v>224</v>
      </c>
      <c r="C122" s="4" t="s">
        <v>225</v>
      </c>
      <c r="D122" s="3">
        <v>1</v>
      </c>
      <c r="E122" s="3" t="s">
        <v>16</v>
      </c>
      <c r="F122" s="3" t="s">
        <v>289</v>
      </c>
      <c r="G122" s="3" t="s">
        <v>23</v>
      </c>
      <c r="H122" s="3" t="s">
        <v>226</v>
      </c>
    </row>
    <row r="123" spans="1:8" x14ac:dyDescent="0.2">
      <c r="A123" s="3">
        <v>3060333002</v>
      </c>
      <c r="B123" s="4" t="s">
        <v>227</v>
      </c>
      <c r="C123" s="4" t="s">
        <v>228</v>
      </c>
      <c r="D123" s="3">
        <v>1</v>
      </c>
      <c r="E123" s="3" t="s">
        <v>16</v>
      </c>
      <c r="F123" s="3" t="s">
        <v>289</v>
      </c>
      <c r="G123" s="3" t="s">
        <v>23</v>
      </c>
      <c r="H123" s="3" t="s">
        <v>226</v>
      </c>
    </row>
    <row r="124" spans="1:8" x14ac:dyDescent="0.2">
      <c r="A124" s="3">
        <v>3060308002</v>
      </c>
      <c r="B124" s="4" t="s">
        <v>229</v>
      </c>
      <c r="C124" s="4" t="s">
        <v>230</v>
      </c>
      <c r="D124" s="3">
        <v>1</v>
      </c>
      <c r="E124" s="3" t="s">
        <v>16</v>
      </c>
      <c r="F124" s="3" t="s">
        <v>289</v>
      </c>
      <c r="G124" s="3" t="s">
        <v>23</v>
      </c>
      <c r="H124" s="3" t="s">
        <v>226</v>
      </c>
    </row>
    <row r="125" spans="1:8" x14ac:dyDescent="0.2">
      <c r="A125" s="3">
        <v>3060303001</v>
      </c>
      <c r="B125" s="4" t="s">
        <v>231</v>
      </c>
      <c r="C125" s="4" t="s">
        <v>232</v>
      </c>
      <c r="D125" s="3">
        <v>1</v>
      </c>
      <c r="E125" s="3" t="s">
        <v>16</v>
      </c>
      <c r="F125" s="3" t="s">
        <v>289</v>
      </c>
      <c r="G125" s="3" t="s">
        <v>23</v>
      </c>
      <c r="H125" s="3" t="s">
        <v>226</v>
      </c>
    </row>
    <row r="126" spans="1:8" x14ac:dyDescent="0.2">
      <c r="A126" s="3">
        <v>3060335004</v>
      </c>
      <c r="B126" s="4" t="s">
        <v>233</v>
      </c>
      <c r="C126" s="4" t="s">
        <v>234</v>
      </c>
      <c r="D126" s="3">
        <v>1</v>
      </c>
      <c r="E126" s="3" t="s">
        <v>16</v>
      </c>
      <c r="F126" s="3" t="s">
        <v>289</v>
      </c>
      <c r="G126" s="3" t="s">
        <v>23</v>
      </c>
      <c r="H126" s="3" t="s">
        <v>226</v>
      </c>
    </row>
    <row r="127" spans="1:8" x14ac:dyDescent="0.2">
      <c r="A127" s="3">
        <v>3050305016</v>
      </c>
      <c r="B127" s="4" t="s">
        <v>527</v>
      </c>
      <c r="C127" s="4" t="s">
        <v>528</v>
      </c>
      <c r="D127" s="3">
        <v>1</v>
      </c>
      <c r="E127" s="3" t="s">
        <v>16</v>
      </c>
      <c r="F127" s="3" t="s">
        <v>291</v>
      </c>
      <c r="G127" s="3" t="s">
        <v>26</v>
      </c>
      <c r="H127" s="3" t="s">
        <v>226</v>
      </c>
    </row>
    <row r="128" spans="1:8" x14ac:dyDescent="0.2">
      <c r="A128" s="3">
        <v>3050305015</v>
      </c>
      <c r="B128" s="4" t="s">
        <v>529</v>
      </c>
      <c r="C128" s="4" t="s">
        <v>530</v>
      </c>
      <c r="D128" s="3">
        <v>1</v>
      </c>
      <c r="E128" s="3" t="s">
        <v>16</v>
      </c>
      <c r="F128" s="3" t="s">
        <v>291</v>
      </c>
      <c r="G128" s="3" t="s">
        <v>26</v>
      </c>
      <c r="H128" s="3" t="s">
        <v>226</v>
      </c>
    </row>
    <row r="129" spans="1:8" x14ac:dyDescent="0.2">
      <c r="A129" s="3">
        <v>3050306011</v>
      </c>
      <c r="B129" s="4" t="s">
        <v>531</v>
      </c>
      <c r="C129" s="4" t="s">
        <v>609</v>
      </c>
      <c r="D129" s="3">
        <v>1</v>
      </c>
      <c r="E129" s="3" t="s">
        <v>16</v>
      </c>
      <c r="F129" s="3" t="s">
        <v>291</v>
      </c>
      <c r="G129" s="3" t="s">
        <v>26</v>
      </c>
      <c r="H129" s="3" t="s">
        <v>226</v>
      </c>
    </row>
    <row r="130" spans="1:8" x14ac:dyDescent="0.2">
      <c r="A130" s="3">
        <v>3030306008</v>
      </c>
      <c r="B130" s="4" t="s">
        <v>235</v>
      </c>
      <c r="C130" s="4" t="s">
        <v>236</v>
      </c>
      <c r="D130" s="3">
        <v>1</v>
      </c>
      <c r="E130" s="3" t="s">
        <v>16</v>
      </c>
      <c r="F130" s="3" t="s">
        <v>295</v>
      </c>
      <c r="G130" s="3" t="s">
        <v>17</v>
      </c>
      <c r="H130" s="3" t="s">
        <v>226</v>
      </c>
    </row>
    <row r="131" spans="1:8" x14ac:dyDescent="0.2">
      <c r="A131" s="3">
        <v>3030314001</v>
      </c>
      <c r="B131" s="4" t="s">
        <v>237</v>
      </c>
      <c r="C131" s="4" t="s">
        <v>238</v>
      </c>
      <c r="D131" s="3">
        <v>1</v>
      </c>
      <c r="E131" s="3" t="s">
        <v>16</v>
      </c>
      <c r="F131" s="3" t="s">
        <v>291</v>
      </c>
      <c r="G131" s="3" t="s">
        <v>26</v>
      </c>
      <c r="H131" s="3" t="s">
        <v>226</v>
      </c>
    </row>
    <row r="132" spans="1:8" x14ac:dyDescent="0.2">
      <c r="A132" s="3">
        <v>3020101005</v>
      </c>
      <c r="B132" s="4" t="s">
        <v>239</v>
      </c>
      <c r="C132" s="4" t="s">
        <v>610</v>
      </c>
      <c r="D132" s="3">
        <v>5</v>
      </c>
      <c r="E132" s="3" t="s">
        <v>16</v>
      </c>
      <c r="F132" s="3" t="s">
        <v>297</v>
      </c>
      <c r="G132" s="3" t="s">
        <v>204</v>
      </c>
      <c r="H132" s="3" t="s">
        <v>226</v>
      </c>
    </row>
    <row r="133" spans="1:8" x14ac:dyDescent="0.2">
      <c r="A133" s="3">
        <v>3030303011</v>
      </c>
      <c r="B133" s="4" t="s">
        <v>611</v>
      </c>
      <c r="C133" s="4" t="s">
        <v>612</v>
      </c>
      <c r="D133" s="3">
        <v>2</v>
      </c>
      <c r="E133" s="3" t="s">
        <v>16</v>
      </c>
      <c r="F133" s="3" t="s">
        <v>291</v>
      </c>
      <c r="G133" s="3" t="s">
        <v>26</v>
      </c>
      <c r="H133" s="3" t="s">
        <v>226</v>
      </c>
    </row>
    <row r="134" spans="1:8" x14ac:dyDescent="0.2">
      <c r="A134" s="3">
        <v>3080401031</v>
      </c>
      <c r="B134" s="4" t="s">
        <v>41</v>
      </c>
      <c r="C134" s="4" t="s">
        <v>551</v>
      </c>
      <c r="D134" s="3">
        <v>1</v>
      </c>
      <c r="E134" s="3" t="s">
        <v>16</v>
      </c>
      <c r="F134" s="3" t="s">
        <v>291</v>
      </c>
      <c r="G134" s="3" t="s">
        <v>26</v>
      </c>
      <c r="H134" s="3" t="s">
        <v>249</v>
      </c>
    </row>
    <row r="135" spans="1:8" x14ac:dyDescent="0.2">
      <c r="A135" s="3">
        <v>3080301002</v>
      </c>
      <c r="B135" s="4" t="s">
        <v>247</v>
      </c>
      <c r="C135" s="4" t="s">
        <v>248</v>
      </c>
      <c r="D135" s="3">
        <v>1</v>
      </c>
      <c r="E135" s="3" t="s">
        <v>16</v>
      </c>
      <c r="F135" s="3" t="s">
        <v>295</v>
      </c>
      <c r="G135" s="3" t="s">
        <v>17</v>
      </c>
      <c r="H135" s="3" t="s">
        <v>249</v>
      </c>
    </row>
    <row r="136" spans="1:8" x14ac:dyDescent="0.2">
      <c r="A136" s="3">
        <v>3080107017</v>
      </c>
      <c r="B136" s="4" t="s">
        <v>69</v>
      </c>
      <c r="C136" s="4" t="s">
        <v>251</v>
      </c>
      <c r="D136" s="3">
        <v>4</v>
      </c>
      <c r="E136" s="3" t="s">
        <v>16</v>
      </c>
      <c r="F136" s="3" t="s">
        <v>289</v>
      </c>
      <c r="G136" s="3" t="s">
        <v>23</v>
      </c>
      <c r="H136" s="3" t="s">
        <v>249</v>
      </c>
    </row>
    <row r="137" spans="1:8" x14ac:dyDescent="0.2">
      <c r="A137" s="3">
        <v>3080107017</v>
      </c>
      <c r="B137" s="4" t="s">
        <v>69</v>
      </c>
      <c r="C137" s="4" t="s">
        <v>251</v>
      </c>
      <c r="D137" s="3">
        <v>2</v>
      </c>
      <c r="E137" s="3" t="s">
        <v>16</v>
      </c>
      <c r="F137" s="3" t="s">
        <v>289</v>
      </c>
      <c r="G137" s="3" t="s">
        <v>23</v>
      </c>
      <c r="H137" s="3" t="s">
        <v>249</v>
      </c>
    </row>
    <row r="138" spans="1:8" x14ac:dyDescent="0.2">
      <c r="A138" s="3">
        <v>3080107017</v>
      </c>
      <c r="B138" s="4" t="s">
        <v>69</v>
      </c>
      <c r="C138" s="4" t="s">
        <v>251</v>
      </c>
      <c r="D138" s="3">
        <v>4</v>
      </c>
      <c r="E138" s="3" t="s">
        <v>16</v>
      </c>
      <c r="F138" s="3" t="s">
        <v>295</v>
      </c>
      <c r="G138" s="3" t="s">
        <v>17</v>
      </c>
      <c r="H138" s="3" t="s">
        <v>249</v>
      </c>
    </row>
    <row r="139" spans="1:8" x14ac:dyDescent="0.2">
      <c r="A139" s="3">
        <v>3060309001</v>
      </c>
      <c r="B139" s="4" t="s">
        <v>252</v>
      </c>
      <c r="C139" s="4" t="s">
        <v>253</v>
      </c>
      <c r="D139" s="3">
        <v>1</v>
      </c>
      <c r="E139" s="3" t="s">
        <v>16</v>
      </c>
      <c r="F139" s="3" t="s">
        <v>289</v>
      </c>
      <c r="G139" s="3" t="s">
        <v>23</v>
      </c>
      <c r="H139" s="3" t="s">
        <v>254</v>
      </c>
    </row>
    <row r="140" spans="1:8" x14ac:dyDescent="0.2">
      <c r="A140" s="3">
        <v>3060341001</v>
      </c>
      <c r="B140" s="4" t="s">
        <v>255</v>
      </c>
      <c r="C140" s="4" t="s">
        <v>256</v>
      </c>
      <c r="D140" s="3">
        <v>1</v>
      </c>
      <c r="E140" s="3" t="s">
        <v>16</v>
      </c>
      <c r="F140" s="3" t="s">
        <v>289</v>
      </c>
      <c r="G140" s="3" t="s">
        <v>23</v>
      </c>
      <c r="H140" s="3" t="s">
        <v>254</v>
      </c>
    </row>
    <row r="141" spans="1:8" x14ac:dyDescent="0.2">
      <c r="A141" s="3">
        <v>3030315001</v>
      </c>
      <c r="B141" s="4" t="s">
        <v>257</v>
      </c>
      <c r="C141" s="4" t="s">
        <v>258</v>
      </c>
      <c r="D141" s="3">
        <v>2</v>
      </c>
      <c r="E141" s="3" t="s">
        <v>16</v>
      </c>
      <c r="F141" s="3" t="s">
        <v>295</v>
      </c>
      <c r="G141" s="3" t="s">
        <v>17</v>
      </c>
      <c r="H141" s="3" t="s">
        <v>254</v>
      </c>
    </row>
    <row r="142" spans="1:8" x14ac:dyDescent="0.2">
      <c r="A142" s="3">
        <v>3030304002</v>
      </c>
      <c r="B142" s="4" t="s">
        <v>259</v>
      </c>
      <c r="C142" s="4" t="s">
        <v>258</v>
      </c>
      <c r="D142" s="3">
        <v>1</v>
      </c>
      <c r="E142" s="3" t="s">
        <v>16</v>
      </c>
      <c r="F142" s="3" t="s">
        <v>295</v>
      </c>
      <c r="G142" s="3" t="s">
        <v>17</v>
      </c>
      <c r="H142" s="3" t="s">
        <v>254</v>
      </c>
    </row>
    <row r="143" spans="1:8" x14ac:dyDescent="0.2">
      <c r="A143" s="3">
        <v>3030304004</v>
      </c>
      <c r="B143" s="4" t="s">
        <v>260</v>
      </c>
      <c r="C143" s="4" t="s">
        <v>258</v>
      </c>
      <c r="D143" s="3">
        <v>1</v>
      </c>
      <c r="E143" s="3" t="s">
        <v>16</v>
      </c>
      <c r="F143" s="3" t="s">
        <v>295</v>
      </c>
      <c r="G143" s="3" t="s">
        <v>17</v>
      </c>
      <c r="H143" s="3" t="s">
        <v>254</v>
      </c>
    </row>
    <row r="144" spans="1:8" x14ac:dyDescent="0.2">
      <c r="A144" s="3">
        <v>3030316001</v>
      </c>
      <c r="B144" s="4" t="s">
        <v>261</v>
      </c>
      <c r="C144" s="4" t="s">
        <v>262</v>
      </c>
      <c r="D144" s="3">
        <v>3</v>
      </c>
      <c r="E144" s="3" t="s">
        <v>16</v>
      </c>
      <c r="F144" s="3" t="s">
        <v>295</v>
      </c>
      <c r="G144" s="3" t="s">
        <v>17</v>
      </c>
      <c r="H144" s="3" t="s">
        <v>254</v>
      </c>
    </row>
    <row r="145" spans="1:8" x14ac:dyDescent="0.2">
      <c r="A145" s="3">
        <v>3040312007</v>
      </c>
      <c r="B145" s="4" t="s">
        <v>263</v>
      </c>
      <c r="C145" s="4" t="s">
        <v>264</v>
      </c>
      <c r="D145" s="3">
        <v>2</v>
      </c>
      <c r="E145" s="3" t="s">
        <v>16</v>
      </c>
      <c r="F145" s="3" t="s">
        <v>293</v>
      </c>
      <c r="G145" s="3" t="s">
        <v>29</v>
      </c>
      <c r="H145" s="3" t="s">
        <v>254</v>
      </c>
    </row>
    <row r="146" spans="1:8" x14ac:dyDescent="0.2">
      <c r="A146" s="3">
        <v>3040303001</v>
      </c>
      <c r="B146" s="4" t="s">
        <v>265</v>
      </c>
      <c r="C146" s="4" t="s">
        <v>266</v>
      </c>
      <c r="D146" s="3">
        <v>2</v>
      </c>
      <c r="E146" s="3" t="s">
        <v>16</v>
      </c>
      <c r="F146" s="3" t="s">
        <v>293</v>
      </c>
      <c r="G146" s="3" t="s">
        <v>29</v>
      </c>
      <c r="H146" s="3" t="s">
        <v>254</v>
      </c>
    </row>
    <row r="147" spans="1:8" x14ac:dyDescent="0.2">
      <c r="A147" s="3">
        <v>3049902004</v>
      </c>
      <c r="B147" s="4" t="s">
        <v>383</v>
      </c>
      <c r="C147" s="4" t="s">
        <v>384</v>
      </c>
      <c r="D147" s="3">
        <v>2</v>
      </c>
      <c r="E147" s="3" t="s">
        <v>16</v>
      </c>
      <c r="F147" s="3" t="s">
        <v>293</v>
      </c>
      <c r="G147" s="3" t="s">
        <v>29</v>
      </c>
      <c r="H147" s="3" t="s">
        <v>254</v>
      </c>
    </row>
    <row r="148" spans="1:8" x14ac:dyDescent="0.2">
      <c r="A148" s="3">
        <v>3040326018</v>
      </c>
      <c r="B148" s="4" t="s">
        <v>385</v>
      </c>
      <c r="C148" s="4" t="s">
        <v>384</v>
      </c>
      <c r="D148" s="3">
        <v>2</v>
      </c>
      <c r="E148" s="3" t="s">
        <v>16</v>
      </c>
      <c r="F148" s="3" t="s">
        <v>293</v>
      </c>
      <c r="G148" s="3" t="s">
        <v>29</v>
      </c>
      <c r="H148" s="3" t="s">
        <v>254</v>
      </c>
    </row>
    <row r="149" spans="1:8" x14ac:dyDescent="0.2">
      <c r="A149" s="3">
        <v>3040320003</v>
      </c>
      <c r="B149" s="4" t="s">
        <v>269</v>
      </c>
      <c r="C149" s="4" t="s">
        <v>270</v>
      </c>
      <c r="D149" s="3">
        <v>2</v>
      </c>
      <c r="E149" s="3" t="s">
        <v>16</v>
      </c>
      <c r="F149" s="3" t="s">
        <v>293</v>
      </c>
      <c r="G149" s="3" t="s">
        <v>29</v>
      </c>
      <c r="H149" s="3" t="s">
        <v>254</v>
      </c>
    </row>
    <row r="150" spans="1:8" x14ac:dyDescent="0.2">
      <c r="A150" s="3">
        <v>3040314001</v>
      </c>
      <c r="B150" s="4" t="s">
        <v>271</v>
      </c>
      <c r="C150" s="4" t="s">
        <v>272</v>
      </c>
      <c r="D150" s="3">
        <v>2</v>
      </c>
      <c r="E150" s="3" t="s">
        <v>16</v>
      </c>
      <c r="F150" s="3" t="s">
        <v>293</v>
      </c>
      <c r="G150" s="3" t="s">
        <v>29</v>
      </c>
      <c r="H150" s="3" t="s">
        <v>254</v>
      </c>
    </row>
    <row r="151" spans="1:8" x14ac:dyDescent="0.2">
      <c r="A151" s="3">
        <v>3030310004</v>
      </c>
      <c r="B151" s="4" t="s">
        <v>273</v>
      </c>
      <c r="C151" s="4" t="s">
        <v>274</v>
      </c>
      <c r="D151" s="3">
        <v>1</v>
      </c>
      <c r="E151" s="3" t="s">
        <v>16</v>
      </c>
      <c r="F151" s="3" t="s">
        <v>295</v>
      </c>
      <c r="G151" s="3" t="s">
        <v>17</v>
      </c>
      <c r="H151" s="3" t="s">
        <v>254</v>
      </c>
    </row>
    <row r="152" spans="1:8" x14ac:dyDescent="0.2">
      <c r="A152" s="3">
        <v>3030313004</v>
      </c>
      <c r="B152" s="4" t="s">
        <v>275</v>
      </c>
      <c r="C152" s="4" t="s">
        <v>258</v>
      </c>
      <c r="D152" s="3">
        <v>1</v>
      </c>
      <c r="E152" s="3" t="s">
        <v>16</v>
      </c>
      <c r="F152" s="3" t="s">
        <v>295</v>
      </c>
      <c r="G152" s="3" t="s">
        <v>17</v>
      </c>
      <c r="H152" s="3" t="s">
        <v>254</v>
      </c>
    </row>
    <row r="153" spans="1:8" x14ac:dyDescent="0.2">
      <c r="A153" s="3">
        <v>3080308001</v>
      </c>
      <c r="B153" s="4" t="s">
        <v>276</v>
      </c>
      <c r="C153" s="4" t="s">
        <v>258</v>
      </c>
      <c r="D153" s="3">
        <v>1</v>
      </c>
      <c r="E153" s="3" t="s">
        <v>16</v>
      </c>
      <c r="F153" s="3" t="s">
        <v>295</v>
      </c>
      <c r="G153" s="3" t="s">
        <v>17</v>
      </c>
      <c r="H153" s="3" t="s">
        <v>254</v>
      </c>
    </row>
    <row r="154" spans="1:8" x14ac:dyDescent="0.2">
      <c r="A154" s="3">
        <v>3050303018</v>
      </c>
      <c r="B154" s="4" t="s">
        <v>245</v>
      </c>
      <c r="C154" s="4" t="s">
        <v>613</v>
      </c>
      <c r="D154" s="3">
        <v>1</v>
      </c>
      <c r="E154" s="3" t="s">
        <v>16</v>
      </c>
      <c r="F154" s="3" t="s">
        <v>291</v>
      </c>
      <c r="G154" s="3" t="s">
        <v>26</v>
      </c>
      <c r="H154" s="3" t="s">
        <v>254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AF0E6-4488-49DB-9951-9A89037F66B8}">
  <dimension ref="A1:H171"/>
  <sheetViews>
    <sheetView workbookViewId="0">
      <selection activeCell="K23" sqref="K22:K23"/>
    </sheetView>
  </sheetViews>
  <sheetFormatPr defaultRowHeight="14.25" x14ac:dyDescent="0.2"/>
  <cols>
    <col min="1" max="1" width="11.75" customWidth="1"/>
    <col min="2" max="2" width="13.5" customWidth="1"/>
    <col min="3" max="3" width="21.125" customWidth="1"/>
  </cols>
  <sheetData>
    <row r="1" spans="1:8" x14ac:dyDescent="0.2">
      <c r="A1" s="3" t="s">
        <v>623</v>
      </c>
      <c r="B1" s="4"/>
      <c r="C1" s="4"/>
      <c r="D1" s="3"/>
      <c r="E1" s="3"/>
      <c r="F1" s="3"/>
      <c r="G1" s="3"/>
      <c r="H1" s="3"/>
    </row>
    <row r="2" spans="1:8" ht="28.5" x14ac:dyDescent="0.2">
      <c r="A2" s="1" t="s">
        <v>0</v>
      </c>
      <c r="B2" s="2" t="s">
        <v>1</v>
      </c>
      <c r="C2" s="2" t="s">
        <v>2</v>
      </c>
      <c r="D2" s="1" t="s">
        <v>4</v>
      </c>
      <c r="E2" s="1" t="s">
        <v>3</v>
      </c>
      <c r="F2" s="1" t="s">
        <v>5</v>
      </c>
      <c r="G2" s="1" t="s">
        <v>6</v>
      </c>
      <c r="H2" s="1" t="s">
        <v>7</v>
      </c>
    </row>
    <row r="3" spans="1:8" s="10" customFormat="1" x14ac:dyDescent="0.2">
      <c r="A3" s="8" t="s">
        <v>390</v>
      </c>
      <c r="B3" s="9" t="s">
        <v>8</v>
      </c>
      <c r="C3" s="9" t="s">
        <v>9</v>
      </c>
      <c r="D3" s="12">
        <f>0.2623/0.94</f>
        <v>0.27904255319148935</v>
      </c>
      <c r="E3" s="8" t="s">
        <v>596</v>
      </c>
      <c r="F3" s="8" t="s">
        <v>283</v>
      </c>
      <c r="G3" s="8" t="s">
        <v>13</v>
      </c>
      <c r="H3" s="8" t="s">
        <v>12</v>
      </c>
    </row>
    <row r="4" spans="1:8" x14ac:dyDescent="0.2">
      <c r="A4" s="3">
        <v>402030028</v>
      </c>
      <c r="B4" s="4" t="s">
        <v>107</v>
      </c>
      <c r="C4" s="4" t="s">
        <v>305</v>
      </c>
      <c r="D4" s="3">
        <v>1</v>
      </c>
      <c r="E4" s="3" t="s">
        <v>16</v>
      </c>
      <c r="F4" s="3" t="s">
        <v>289</v>
      </c>
      <c r="G4" s="3" t="s">
        <v>23</v>
      </c>
      <c r="H4" s="3" t="s">
        <v>306</v>
      </c>
    </row>
    <row r="5" spans="1:8" x14ac:dyDescent="0.2">
      <c r="A5" s="3">
        <v>3080503020</v>
      </c>
      <c r="B5" s="4" t="s">
        <v>14</v>
      </c>
      <c r="C5" s="4" t="s">
        <v>15</v>
      </c>
      <c r="D5" s="3">
        <v>2</v>
      </c>
      <c r="E5" s="3" t="s">
        <v>16</v>
      </c>
      <c r="F5" s="3" t="s">
        <v>295</v>
      </c>
      <c r="G5" s="3" t="s">
        <v>17</v>
      </c>
      <c r="H5" s="3" t="s">
        <v>18</v>
      </c>
    </row>
    <row r="6" spans="1:8" x14ac:dyDescent="0.2">
      <c r="A6" s="3">
        <v>3080503019</v>
      </c>
      <c r="B6" s="4" t="s">
        <v>14</v>
      </c>
      <c r="C6" s="4" t="s">
        <v>19</v>
      </c>
      <c r="D6" s="3">
        <v>4</v>
      </c>
      <c r="E6" s="3" t="s">
        <v>16</v>
      </c>
      <c r="F6" s="3" t="s">
        <v>295</v>
      </c>
      <c r="G6" s="3" t="s">
        <v>17</v>
      </c>
      <c r="H6" s="3" t="s">
        <v>18</v>
      </c>
    </row>
    <row r="7" spans="1:8" x14ac:dyDescent="0.2">
      <c r="A7" s="3">
        <v>3080503001</v>
      </c>
      <c r="B7" s="4" t="s">
        <v>14</v>
      </c>
      <c r="C7" s="4" t="s">
        <v>20</v>
      </c>
      <c r="D7" s="3">
        <v>4</v>
      </c>
      <c r="E7" s="3" t="s">
        <v>16</v>
      </c>
      <c r="F7" s="3" t="s">
        <v>295</v>
      </c>
      <c r="G7" s="3" t="s">
        <v>17</v>
      </c>
      <c r="H7" s="3" t="s">
        <v>18</v>
      </c>
    </row>
    <row r="8" spans="1:8" x14ac:dyDescent="0.2">
      <c r="A8" s="3">
        <v>3060503002</v>
      </c>
      <c r="B8" s="4" t="s">
        <v>21</v>
      </c>
      <c r="C8" s="4" t="s">
        <v>22</v>
      </c>
      <c r="D8" s="3">
        <v>1</v>
      </c>
      <c r="E8" s="3" t="s">
        <v>16</v>
      </c>
      <c r="F8" s="3" t="s">
        <v>289</v>
      </c>
      <c r="G8" s="3" t="s">
        <v>23</v>
      </c>
      <c r="H8" s="3" t="s">
        <v>18</v>
      </c>
    </row>
    <row r="9" spans="1:8" x14ac:dyDescent="0.2">
      <c r="A9" s="3">
        <v>3030314005</v>
      </c>
      <c r="B9" s="4" t="s">
        <v>394</v>
      </c>
      <c r="C9" s="4" t="s">
        <v>395</v>
      </c>
      <c r="D9" s="3">
        <v>1</v>
      </c>
      <c r="E9" s="3" t="s">
        <v>16</v>
      </c>
      <c r="F9" s="3" t="s">
        <v>291</v>
      </c>
      <c r="G9" s="3" t="s">
        <v>26</v>
      </c>
      <c r="H9" s="3" t="s">
        <v>18</v>
      </c>
    </row>
    <row r="10" spans="1:8" x14ac:dyDescent="0.2">
      <c r="A10" s="3">
        <v>401020084</v>
      </c>
      <c r="B10" s="4" t="s">
        <v>35</v>
      </c>
      <c r="C10" s="4" t="s">
        <v>309</v>
      </c>
      <c r="D10" s="3">
        <v>1</v>
      </c>
      <c r="E10" s="3" t="s">
        <v>16</v>
      </c>
      <c r="F10" s="3" t="s">
        <v>301</v>
      </c>
      <c r="G10" s="3" t="s">
        <v>32</v>
      </c>
      <c r="H10" s="3" t="s">
        <v>33</v>
      </c>
    </row>
    <row r="11" spans="1:8" x14ac:dyDescent="0.2">
      <c r="A11" s="3">
        <v>3080102003</v>
      </c>
      <c r="B11" s="4" t="s">
        <v>38</v>
      </c>
      <c r="C11" s="4" t="s">
        <v>39</v>
      </c>
      <c r="D11" s="3">
        <v>1</v>
      </c>
      <c r="E11" s="3" t="s">
        <v>16</v>
      </c>
      <c r="F11" s="3" t="s">
        <v>289</v>
      </c>
      <c r="G11" s="3" t="s">
        <v>23</v>
      </c>
      <c r="H11" s="3" t="s">
        <v>40</v>
      </c>
    </row>
    <row r="12" spans="1:8" x14ac:dyDescent="0.2">
      <c r="A12" s="3">
        <v>3080401006</v>
      </c>
      <c r="B12" s="4" t="s">
        <v>41</v>
      </c>
      <c r="C12" s="4" t="s">
        <v>44</v>
      </c>
      <c r="D12" s="3">
        <v>1</v>
      </c>
      <c r="E12" s="3" t="s">
        <v>16</v>
      </c>
      <c r="F12" s="3" t="s">
        <v>295</v>
      </c>
      <c r="G12" s="3" t="s">
        <v>17</v>
      </c>
      <c r="H12" s="3" t="s">
        <v>40</v>
      </c>
    </row>
    <row r="13" spans="1:8" x14ac:dyDescent="0.2">
      <c r="A13" s="3">
        <v>3080401005</v>
      </c>
      <c r="B13" s="4" t="s">
        <v>41</v>
      </c>
      <c r="C13" s="4" t="s">
        <v>43</v>
      </c>
      <c r="D13" s="3">
        <v>12</v>
      </c>
      <c r="E13" s="3" t="s">
        <v>16</v>
      </c>
      <c r="F13" s="3" t="s">
        <v>291</v>
      </c>
      <c r="G13" s="3" t="s">
        <v>26</v>
      </c>
      <c r="H13" s="3" t="s">
        <v>40</v>
      </c>
    </row>
    <row r="14" spans="1:8" x14ac:dyDescent="0.2">
      <c r="A14" s="3">
        <v>3080104050</v>
      </c>
      <c r="B14" s="4" t="s">
        <v>45</v>
      </c>
      <c r="C14" s="4" t="s">
        <v>49</v>
      </c>
      <c r="D14" s="3">
        <v>4</v>
      </c>
      <c r="E14" s="3" t="s">
        <v>16</v>
      </c>
      <c r="F14" s="3" t="s">
        <v>295</v>
      </c>
      <c r="G14" s="3" t="s">
        <v>17</v>
      </c>
      <c r="H14" s="3" t="s">
        <v>40</v>
      </c>
    </row>
    <row r="15" spans="1:8" x14ac:dyDescent="0.2">
      <c r="A15" s="3">
        <v>3080104014</v>
      </c>
      <c r="B15" s="4" t="s">
        <v>45</v>
      </c>
      <c r="C15" s="4" t="s">
        <v>312</v>
      </c>
      <c r="D15" s="3">
        <v>2</v>
      </c>
      <c r="E15" s="3" t="s">
        <v>16</v>
      </c>
      <c r="F15" s="3" t="s">
        <v>293</v>
      </c>
      <c r="G15" s="3" t="s">
        <v>29</v>
      </c>
      <c r="H15" s="3" t="s">
        <v>40</v>
      </c>
    </row>
    <row r="16" spans="1:8" x14ac:dyDescent="0.2">
      <c r="A16" s="3">
        <v>3080104099</v>
      </c>
      <c r="B16" s="4" t="s">
        <v>45</v>
      </c>
      <c r="C16" s="4" t="s">
        <v>419</v>
      </c>
      <c r="D16" s="3">
        <v>2</v>
      </c>
      <c r="E16" s="3" t="s">
        <v>16</v>
      </c>
      <c r="F16" s="3" t="s">
        <v>291</v>
      </c>
      <c r="G16" s="3" t="s">
        <v>26</v>
      </c>
      <c r="H16" s="3" t="s">
        <v>40</v>
      </c>
    </row>
    <row r="17" spans="1:8" x14ac:dyDescent="0.2">
      <c r="A17" s="3">
        <v>3080104020</v>
      </c>
      <c r="B17" s="4" t="s">
        <v>45</v>
      </c>
      <c r="C17" s="4" t="s">
        <v>46</v>
      </c>
      <c r="D17" s="3">
        <v>4</v>
      </c>
      <c r="E17" s="3" t="s">
        <v>16</v>
      </c>
      <c r="F17" s="3" t="s">
        <v>291</v>
      </c>
      <c r="G17" s="3" t="s">
        <v>26</v>
      </c>
      <c r="H17" s="3" t="s">
        <v>40</v>
      </c>
    </row>
    <row r="18" spans="1:8" x14ac:dyDescent="0.2">
      <c r="A18" s="3">
        <v>3080104019</v>
      </c>
      <c r="B18" s="4" t="s">
        <v>45</v>
      </c>
      <c r="C18" s="4" t="s">
        <v>47</v>
      </c>
      <c r="D18" s="3">
        <v>2</v>
      </c>
      <c r="E18" s="3" t="s">
        <v>16</v>
      </c>
      <c r="F18" s="3" t="s">
        <v>291</v>
      </c>
      <c r="G18" s="3" t="s">
        <v>26</v>
      </c>
      <c r="H18" s="3" t="s">
        <v>40</v>
      </c>
    </row>
    <row r="19" spans="1:8" x14ac:dyDescent="0.2">
      <c r="A19" s="3">
        <v>3080105007</v>
      </c>
      <c r="B19" s="4" t="s">
        <v>50</v>
      </c>
      <c r="C19" s="4" t="s">
        <v>52</v>
      </c>
      <c r="D19" s="3">
        <v>2</v>
      </c>
      <c r="E19" s="3" t="s">
        <v>16</v>
      </c>
      <c r="F19" s="3" t="s">
        <v>289</v>
      </c>
      <c r="G19" s="3" t="s">
        <v>23</v>
      </c>
      <c r="H19" s="3" t="s">
        <v>40</v>
      </c>
    </row>
    <row r="20" spans="1:8" x14ac:dyDescent="0.2">
      <c r="A20" s="3">
        <v>3080105114</v>
      </c>
      <c r="B20" s="4" t="s">
        <v>50</v>
      </c>
      <c r="C20" s="4" t="s">
        <v>53</v>
      </c>
      <c r="D20" s="3">
        <v>4</v>
      </c>
      <c r="E20" s="3" t="s">
        <v>16</v>
      </c>
      <c r="F20" s="3" t="s">
        <v>289</v>
      </c>
      <c r="G20" s="3" t="s">
        <v>23</v>
      </c>
      <c r="H20" s="3" t="s">
        <v>40</v>
      </c>
    </row>
    <row r="21" spans="1:8" x14ac:dyDescent="0.2">
      <c r="A21" s="3">
        <v>3080105114</v>
      </c>
      <c r="B21" s="4" t="s">
        <v>50</v>
      </c>
      <c r="C21" s="4" t="s">
        <v>53</v>
      </c>
      <c r="D21" s="3">
        <v>4</v>
      </c>
      <c r="E21" s="3" t="s">
        <v>16</v>
      </c>
      <c r="F21" s="3" t="s">
        <v>289</v>
      </c>
      <c r="G21" s="3" t="s">
        <v>23</v>
      </c>
      <c r="H21" s="3" t="s">
        <v>40</v>
      </c>
    </row>
    <row r="22" spans="1:8" x14ac:dyDescent="0.2">
      <c r="A22" s="3">
        <v>3080105007</v>
      </c>
      <c r="B22" s="4" t="s">
        <v>50</v>
      </c>
      <c r="C22" s="4" t="s">
        <v>52</v>
      </c>
      <c r="D22" s="3">
        <v>8</v>
      </c>
      <c r="E22" s="3" t="s">
        <v>16</v>
      </c>
      <c r="F22" s="3" t="s">
        <v>289</v>
      </c>
      <c r="G22" s="3" t="s">
        <v>23</v>
      </c>
      <c r="H22" s="3" t="s">
        <v>40</v>
      </c>
    </row>
    <row r="23" spans="1:8" x14ac:dyDescent="0.2">
      <c r="A23" s="3">
        <v>3080105013</v>
      </c>
      <c r="B23" s="4" t="s">
        <v>50</v>
      </c>
      <c r="C23" s="4" t="s">
        <v>51</v>
      </c>
      <c r="D23" s="3">
        <v>12</v>
      </c>
      <c r="E23" s="3" t="s">
        <v>16</v>
      </c>
      <c r="F23" s="3" t="s">
        <v>293</v>
      </c>
      <c r="G23" s="3" t="s">
        <v>29</v>
      </c>
      <c r="H23" s="3" t="s">
        <v>40</v>
      </c>
    </row>
    <row r="24" spans="1:8" x14ac:dyDescent="0.2">
      <c r="A24" s="3">
        <v>3080105007</v>
      </c>
      <c r="B24" s="4" t="s">
        <v>50</v>
      </c>
      <c r="C24" s="4" t="s">
        <v>52</v>
      </c>
      <c r="D24" s="3">
        <v>2</v>
      </c>
      <c r="E24" s="3" t="s">
        <v>16</v>
      </c>
      <c r="F24" s="3" t="s">
        <v>293</v>
      </c>
      <c r="G24" s="3" t="s">
        <v>29</v>
      </c>
      <c r="H24" s="3" t="s">
        <v>40</v>
      </c>
    </row>
    <row r="25" spans="1:8" x14ac:dyDescent="0.2">
      <c r="A25" s="3">
        <v>3080105068</v>
      </c>
      <c r="B25" s="4" t="s">
        <v>50</v>
      </c>
      <c r="C25" s="4" t="s">
        <v>314</v>
      </c>
      <c r="D25" s="3">
        <v>10</v>
      </c>
      <c r="E25" s="3" t="s">
        <v>16</v>
      </c>
      <c r="F25" s="3" t="s">
        <v>293</v>
      </c>
      <c r="G25" s="3" t="s">
        <v>29</v>
      </c>
      <c r="H25" s="3" t="s">
        <v>40</v>
      </c>
    </row>
    <row r="26" spans="1:8" x14ac:dyDescent="0.2">
      <c r="A26" s="3">
        <v>3080105121</v>
      </c>
      <c r="B26" s="4" t="s">
        <v>50</v>
      </c>
      <c r="C26" s="4" t="s">
        <v>316</v>
      </c>
      <c r="D26" s="3">
        <v>2</v>
      </c>
      <c r="E26" s="3" t="s">
        <v>16</v>
      </c>
      <c r="F26" s="3" t="s">
        <v>317</v>
      </c>
      <c r="G26" s="3" t="s">
        <v>318</v>
      </c>
      <c r="H26" s="3" t="s">
        <v>40</v>
      </c>
    </row>
    <row r="27" spans="1:8" x14ac:dyDescent="0.2">
      <c r="A27" s="3">
        <v>3080105021</v>
      </c>
      <c r="B27" s="4" t="s">
        <v>50</v>
      </c>
      <c r="C27" s="4" t="s">
        <v>319</v>
      </c>
      <c r="D27" s="3">
        <v>8</v>
      </c>
      <c r="E27" s="3" t="s">
        <v>16</v>
      </c>
      <c r="F27" s="3" t="s">
        <v>317</v>
      </c>
      <c r="G27" s="3" t="s">
        <v>318</v>
      </c>
      <c r="H27" s="3" t="s">
        <v>40</v>
      </c>
    </row>
    <row r="28" spans="1:8" x14ac:dyDescent="0.2">
      <c r="A28" s="3">
        <v>3080105111</v>
      </c>
      <c r="B28" s="4" t="s">
        <v>50</v>
      </c>
      <c r="C28" s="4" t="s">
        <v>599</v>
      </c>
      <c r="D28" s="3">
        <v>4</v>
      </c>
      <c r="E28" s="3" t="s">
        <v>16</v>
      </c>
      <c r="F28" s="3" t="s">
        <v>291</v>
      </c>
      <c r="G28" s="3" t="s">
        <v>26</v>
      </c>
      <c r="H28" s="3" t="s">
        <v>40</v>
      </c>
    </row>
    <row r="29" spans="1:8" x14ac:dyDescent="0.2">
      <c r="A29" s="3">
        <v>3080502002</v>
      </c>
      <c r="B29" s="4" t="s">
        <v>55</v>
      </c>
      <c r="C29" s="4" t="s">
        <v>56</v>
      </c>
      <c r="D29" s="3">
        <v>4</v>
      </c>
      <c r="E29" s="3" t="s">
        <v>16</v>
      </c>
      <c r="F29" s="3" t="s">
        <v>293</v>
      </c>
      <c r="G29" s="3" t="s">
        <v>29</v>
      </c>
      <c r="H29" s="3" t="s">
        <v>40</v>
      </c>
    </row>
    <row r="30" spans="1:8" x14ac:dyDescent="0.2">
      <c r="A30" s="3">
        <v>3080501013</v>
      </c>
      <c r="B30" s="4" t="s">
        <v>57</v>
      </c>
      <c r="C30" s="4" t="s">
        <v>58</v>
      </c>
      <c r="D30" s="3">
        <v>2</v>
      </c>
      <c r="E30" s="3" t="s">
        <v>16</v>
      </c>
      <c r="F30" s="3" t="s">
        <v>293</v>
      </c>
      <c r="G30" s="3" t="s">
        <v>29</v>
      </c>
      <c r="H30" s="3" t="s">
        <v>40</v>
      </c>
    </row>
    <row r="31" spans="1:8" x14ac:dyDescent="0.2">
      <c r="A31" s="3">
        <v>3080201004</v>
      </c>
      <c r="B31" s="4" t="s">
        <v>60</v>
      </c>
      <c r="C31" s="4" t="s">
        <v>61</v>
      </c>
      <c r="D31" s="3">
        <v>4</v>
      </c>
      <c r="E31" s="3" t="s">
        <v>16</v>
      </c>
      <c r="F31" s="3" t="s">
        <v>295</v>
      </c>
      <c r="G31" s="3" t="s">
        <v>17</v>
      </c>
      <c r="H31" s="3" t="s">
        <v>40</v>
      </c>
    </row>
    <row r="32" spans="1:8" x14ac:dyDescent="0.2">
      <c r="A32" s="3">
        <v>3080201007</v>
      </c>
      <c r="B32" s="4" t="s">
        <v>60</v>
      </c>
      <c r="C32" s="4" t="s">
        <v>62</v>
      </c>
      <c r="D32" s="3">
        <v>1</v>
      </c>
      <c r="E32" s="3" t="s">
        <v>16</v>
      </c>
      <c r="F32" s="3" t="s">
        <v>295</v>
      </c>
      <c r="G32" s="3" t="s">
        <v>17</v>
      </c>
      <c r="H32" s="3" t="s">
        <v>40</v>
      </c>
    </row>
    <row r="33" spans="1:8" x14ac:dyDescent="0.2">
      <c r="A33" s="3">
        <v>3080201008</v>
      </c>
      <c r="B33" s="4" t="s">
        <v>60</v>
      </c>
      <c r="C33" s="4" t="s">
        <v>63</v>
      </c>
      <c r="D33" s="3">
        <v>1</v>
      </c>
      <c r="E33" s="3" t="s">
        <v>16</v>
      </c>
      <c r="F33" s="3" t="s">
        <v>295</v>
      </c>
      <c r="G33" s="3" t="s">
        <v>17</v>
      </c>
      <c r="H33" s="3" t="s">
        <v>40</v>
      </c>
    </row>
    <row r="34" spans="1:8" x14ac:dyDescent="0.2">
      <c r="A34" s="3">
        <v>3080201010</v>
      </c>
      <c r="B34" s="4" t="s">
        <v>60</v>
      </c>
      <c r="C34" s="4" t="s">
        <v>64</v>
      </c>
      <c r="D34" s="3">
        <v>1</v>
      </c>
      <c r="E34" s="3" t="s">
        <v>16</v>
      </c>
      <c r="F34" s="3" t="s">
        <v>295</v>
      </c>
      <c r="G34" s="3" t="s">
        <v>17</v>
      </c>
      <c r="H34" s="3" t="s">
        <v>40</v>
      </c>
    </row>
    <row r="35" spans="1:8" x14ac:dyDescent="0.2">
      <c r="A35" s="3">
        <v>3080201015</v>
      </c>
      <c r="B35" s="4" t="s">
        <v>60</v>
      </c>
      <c r="C35" s="4" t="s">
        <v>65</v>
      </c>
      <c r="D35" s="3">
        <v>2</v>
      </c>
      <c r="E35" s="3" t="s">
        <v>16</v>
      </c>
      <c r="F35" s="3" t="s">
        <v>295</v>
      </c>
      <c r="G35" s="3" t="s">
        <v>17</v>
      </c>
      <c r="H35" s="3" t="s">
        <v>40</v>
      </c>
    </row>
    <row r="36" spans="1:8" x14ac:dyDescent="0.2">
      <c r="A36" s="3">
        <v>3080201012</v>
      </c>
      <c r="B36" s="4" t="s">
        <v>60</v>
      </c>
      <c r="C36" s="4" t="s">
        <v>320</v>
      </c>
      <c r="D36" s="3">
        <v>1</v>
      </c>
      <c r="E36" s="3" t="s">
        <v>16</v>
      </c>
      <c r="F36" s="3" t="s">
        <v>317</v>
      </c>
      <c r="G36" s="3" t="s">
        <v>318</v>
      </c>
      <c r="H36" s="3" t="s">
        <v>40</v>
      </c>
    </row>
    <row r="37" spans="1:8" x14ac:dyDescent="0.2">
      <c r="A37" s="3">
        <v>3080106009</v>
      </c>
      <c r="B37" s="4" t="s">
        <v>66</v>
      </c>
      <c r="C37" s="4" t="s">
        <v>67</v>
      </c>
      <c r="D37" s="3">
        <v>1</v>
      </c>
      <c r="E37" s="3" t="s">
        <v>16</v>
      </c>
      <c r="F37" s="3" t="s">
        <v>295</v>
      </c>
      <c r="G37" s="3" t="s">
        <v>17</v>
      </c>
      <c r="H37" s="3" t="s">
        <v>40</v>
      </c>
    </row>
    <row r="38" spans="1:8" x14ac:dyDescent="0.2">
      <c r="A38" s="3">
        <v>3080106007</v>
      </c>
      <c r="B38" s="4" t="s">
        <v>66</v>
      </c>
      <c r="C38" s="4" t="s">
        <v>68</v>
      </c>
      <c r="D38" s="3">
        <v>1</v>
      </c>
      <c r="E38" s="3" t="s">
        <v>16</v>
      </c>
      <c r="F38" s="3" t="s">
        <v>295</v>
      </c>
      <c r="G38" s="3" t="s">
        <v>17</v>
      </c>
      <c r="H38" s="3" t="s">
        <v>40</v>
      </c>
    </row>
    <row r="39" spans="1:8" x14ac:dyDescent="0.2">
      <c r="A39" s="3">
        <v>3080107038</v>
      </c>
      <c r="B39" s="4" t="s">
        <v>69</v>
      </c>
      <c r="C39" s="4" t="s">
        <v>72</v>
      </c>
      <c r="D39" s="3">
        <v>2</v>
      </c>
      <c r="E39" s="3" t="s">
        <v>16</v>
      </c>
      <c r="F39" s="3" t="s">
        <v>289</v>
      </c>
      <c r="G39" s="3" t="s">
        <v>23</v>
      </c>
      <c r="H39" s="3" t="s">
        <v>40</v>
      </c>
    </row>
    <row r="40" spans="1:8" x14ac:dyDescent="0.2">
      <c r="A40" s="3">
        <v>3080107031</v>
      </c>
      <c r="B40" s="4" t="s">
        <v>69</v>
      </c>
      <c r="C40" s="4" t="s">
        <v>71</v>
      </c>
      <c r="D40" s="3">
        <v>2</v>
      </c>
      <c r="E40" s="3" t="s">
        <v>16</v>
      </c>
      <c r="F40" s="3" t="s">
        <v>295</v>
      </c>
      <c r="G40" s="3" t="s">
        <v>17</v>
      </c>
      <c r="H40" s="3" t="s">
        <v>40</v>
      </c>
    </row>
    <row r="41" spans="1:8" x14ac:dyDescent="0.2">
      <c r="A41" s="3">
        <v>3080107120</v>
      </c>
      <c r="B41" s="4" t="s">
        <v>69</v>
      </c>
      <c r="C41" s="4" t="s">
        <v>74</v>
      </c>
      <c r="D41" s="3">
        <v>1</v>
      </c>
      <c r="E41" s="3" t="s">
        <v>16</v>
      </c>
      <c r="F41" s="3" t="s">
        <v>295</v>
      </c>
      <c r="G41" s="3" t="s">
        <v>17</v>
      </c>
      <c r="H41" s="3" t="s">
        <v>40</v>
      </c>
    </row>
    <row r="42" spans="1:8" x14ac:dyDescent="0.2">
      <c r="A42" s="3">
        <v>3080107121</v>
      </c>
      <c r="B42" s="4" t="s">
        <v>69</v>
      </c>
      <c r="C42" s="4" t="s">
        <v>75</v>
      </c>
      <c r="D42" s="3">
        <v>1</v>
      </c>
      <c r="E42" s="3" t="s">
        <v>16</v>
      </c>
      <c r="F42" s="3" t="s">
        <v>295</v>
      </c>
      <c r="G42" s="3" t="s">
        <v>17</v>
      </c>
      <c r="H42" s="3" t="s">
        <v>40</v>
      </c>
    </row>
    <row r="43" spans="1:8" x14ac:dyDescent="0.2">
      <c r="A43" s="3">
        <v>3080107031</v>
      </c>
      <c r="B43" s="4" t="s">
        <v>69</v>
      </c>
      <c r="C43" s="4" t="s">
        <v>71</v>
      </c>
      <c r="D43" s="3">
        <v>4</v>
      </c>
      <c r="E43" s="3" t="s">
        <v>16</v>
      </c>
      <c r="F43" s="3" t="s">
        <v>295</v>
      </c>
      <c r="G43" s="3" t="s">
        <v>17</v>
      </c>
      <c r="H43" s="3" t="s">
        <v>40</v>
      </c>
    </row>
    <row r="44" spans="1:8" x14ac:dyDescent="0.2">
      <c r="A44" s="3">
        <v>3080107130</v>
      </c>
      <c r="B44" s="4" t="s">
        <v>69</v>
      </c>
      <c r="C44" s="4" t="s">
        <v>70</v>
      </c>
      <c r="D44" s="3">
        <v>4</v>
      </c>
      <c r="E44" s="3" t="s">
        <v>16</v>
      </c>
      <c r="F44" s="3" t="s">
        <v>293</v>
      </c>
      <c r="G44" s="3" t="s">
        <v>29</v>
      </c>
      <c r="H44" s="3" t="s">
        <v>40</v>
      </c>
    </row>
    <row r="45" spans="1:8" x14ac:dyDescent="0.2">
      <c r="A45" s="3">
        <v>3080107059</v>
      </c>
      <c r="B45" s="4" t="s">
        <v>69</v>
      </c>
      <c r="C45" s="4" t="s">
        <v>321</v>
      </c>
      <c r="D45" s="3">
        <v>1</v>
      </c>
      <c r="E45" s="3" t="s">
        <v>16</v>
      </c>
      <c r="F45" s="3" t="s">
        <v>317</v>
      </c>
      <c r="G45" s="3" t="s">
        <v>318</v>
      </c>
      <c r="H45" s="3" t="s">
        <v>40</v>
      </c>
    </row>
    <row r="46" spans="1:8" x14ac:dyDescent="0.2">
      <c r="A46" s="3">
        <v>3080107014</v>
      </c>
      <c r="B46" s="4" t="s">
        <v>69</v>
      </c>
      <c r="C46" s="4" t="s">
        <v>322</v>
      </c>
      <c r="D46" s="3">
        <v>2</v>
      </c>
      <c r="E46" s="3" t="s">
        <v>16</v>
      </c>
      <c r="F46" s="3" t="s">
        <v>317</v>
      </c>
      <c r="G46" s="3" t="s">
        <v>318</v>
      </c>
      <c r="H46" s="3" t="s">
        <v>40</v>
      </c>
    </row>
    <row r="47" spans="1:8" x14ac:dyDescent="0.2">
      <c r="A47" s="3">
        <v>3080107015</v>
      </c>
      <c r="B47" s="4" t="s">
        <v>69</v>
      </c>
      <c r="C47" s="4" t="s">
        <v>73</v>
      </c>
      <c r="D47" s="3">
        <v>6</v>
      </c>
      <c r="E47" s="3" t="s">
        <v>16</v>
      </c>
      <c r="F47" s="3" t="s">
        <v>291</v>
      </c>
      <c r="G47" s="3" t="s">
        <v>26</v>
      </c>
      <c r="H47" s="3" t="s">
        <v>40</v>
      </c>
    </row>
    <row r="48" spans="1:8" x14ac:dyDescent="0.2">
      <c r="A48" s="3">
        <v>3080108003</v>
      </c>
      <c r="B48" s="4" t="s">
        <v>77</v>
      </c>
      <c r="C48" s="4" t="s">
        <v>78</v>
      </c>
      <c r="D48" s="3">
        <v>1</v>
      </c>
      <c r="E48" s="3" t="s">
        <v>16</v>
      </c>
      <c r="F48" s="3" t="s">
        <v>295</v>
      </c>
      <c r="G48" s="3" t="s">
        <v>17</v>
      </c>
      <c r="H48" s="3" t="s">
        <v>40</v>
      </c>
    </row>
    <row r="49" spans="1:8" x14ac:dyDescent="0.2">
      <c r="A49" s="3">
        <v>3080108019</v>
      </c>
      <c r="B49" s="4" t="s">
        <v>77</v>
      </c>
      <c r="C49" s="4" t="s">
        <v>325</v>
      </c>
      <c r="D49" s="3">
        <v>2</v>
      </c>
      <c r="E49" s="3" t="s">
        <v>16</v>
      </c>
      <c r="F49" s="3" t="s">
        <v>317</v>
      </c>
      <c r="G49" s="3" t="s">
        <v>318</v>
      </c>
      <c r="H49" s="3" t="s">
        <v>40</v>
      </c>
    </row>
    <row r="50" spans="1:8" x14ac:dyDescent="0.2">
      <c r="A50" s="3">
        <v>3080111087</v>
      </c>
      <c r="B50" s="4" t="s">
        <v>79</v>
      </c>
      <c r="C50" s="4" t="s">
        <v>80</v>
      </c>
      <c r="D50" s="3">
        <v>18</v>
      </c>
      <c r="E50" s="3" t="s">
        <v>16</v>
      </c>
      <c r="F50" s="3" t="s">
        <v>291</v>
      </c>
      <c r="G50" s="3" t="s">
        <v>26</v>
      </c>
      <c r="H50" s="3" t="s">
        <v>40</v>
      </c>
    </row>
    <row r="51" spans="1:8" x14ac:dyDescent="0.2">
      <c r="A51" s="3">
        <v>3080111087</v>
      </c>
      <c r="B51" s="4" t="s">
        <v>79</v>
      </c>
      <c r="C51" s="4" t="s">
        <v>80</v>
      </c>
      <c r="D51" s="3">
        <v>1</v>
      </c>
      <c r="E51" s="3" t="s">
        <v>16</v>
      </c>
      <c r="F51" s="3" t="s">
        <v>291</v>
      </c>
      <c r="G51" s="3" t="s">
        <v>26</v>
      </c>
      <c r="H51" s="3" t="s">
        <v>40</v>
      </c>
    </row>
    <row r="52" spans="1:8" x14ac:dyDescent="0.2">
      <c r="A52" s="3">
        <v>407030034</v>
      </c>
      <c r="B52" s="4" t="s">
        <v>81</v>
      </c>
      <c r="C52" s="4" t="s">
        <v>82</v>
      </c>
      <c r="D52" s="3">
        <v>1</v>
      </c>
      <c r="E52" s="3" t="s">
        <v>16</v>
      </c>
      <c r="F52" s="3" t="s">
        <v>301</v>
      </c>
      <c r="G52" s="3" t="s">
        <v>32</v>
      </c>
      <c r="H52" s="3" t="s">
        <v>40</v>
      </c>
    </row>
    <row r="53" spans="1:8" x14ac:dyDescent="0.2">
      <c r="A53" s="3">
        <v>3080112003</v>
      </c>
      <c r="B53" s="4" t="s">
        <v>83</v>
      </c>
      <c r="C53" s="4" t="s">
        <v>85</v>
      </c>
      <c r="D53" s="3">
        <v>1</v>
      </c>
      <c r="E53" s="3" t="s">
        <v>16</v>
      </c>
      <c r="F53" s="3" t="s">
        <v>295</v>
      </c>
      <c r="G53" s="3" t="s">
        <v>17</v>
      </c>
      <c r="H53" s="3" t="s">
        <v>40</v>
      </c>
    </row>
    <row r="54" spans="1:8" x14ac:dyDescent="0.2">
      <c r="A54" s="3">
        <v>3080112015</v>
      </c>
      <c r="B54" s="4" t="s">
        <v>83</v>
      </c>
      <c r="C54" s="4" t="s">
        <v>84</v>
      </c>
      <c r="D54" s="3">
        <v>6</v>
      </c>
      <c r="E54" s="3" t="s">
        <v>16</v>
      </c>
      <c r="F54" s="3" t="s">
        <v>291</v>
      </c>
      <c r="G54" s="3" t="s">
        <v>26</v>
      </c>
      <c r="H54" s="3" t="s">
        <v>40</v>
      </c>
    </row>
    <row r="55" spans="1:8" x14ac:dyDescent="0.2">
      <c r="A55" s="3">
        <v>3080307001</v>
      </c>
      <c r="B55" s="4" t="s">
        <v>86</v>
      </c>
      <c r="C55" s="4" t="s">
        <v>87</v>
      </c>
      <c r="D55" s="3">
        <v>1</v>
      </c>
      <c r="E55" s="3" t="s">
        <v>16</v>
      </c>
      <c r="F55" s="3" t="s">
        <v>295</v>
      </c>
      <c r="G55" s="3" t="s">
        <v>17</v>
      </c>
      <c r="H55" s="3" t="s">
        <v>88</v>
      </c>
    </row>
    <row r="56" spans="1:8" x14ac:dyDescent="0.2">
      <c r="A56" s="3">
        <v>3080506001</v>
      </c>
      <c r="B56" s="4" t="s">
        <v>89</v>
      </c>
      <c r="C56" s="4" t="s">
        <v>90</v>
      </c>
      <c r="D56" s="3">
        <v>1</v>
      </c>
      <c r="E56" s="3" t="s">
        <v>16</v>
      </c>
      <c r="F56" s="3" t="s">
        <v>295</v>
      </c>
      <c r="G56" s="3" t="s">
        <v>17</v>
      </c>
      <c r="H56" s="3" t="s">
        <v>88</v>
      </c>
    </row>
    <row r="57" spans="1:8" x14ac:dyDescent="0.2">
      <c r="A57" s="3">
        <v>3030204002</v>
      </c>
      <c r="B57" s="4" t="s">
        <v>91</v>
      </c>
      <c r="C57" s="4" t="s">
        <v>92</v>
      </c>
      <c r="D57" s="3">
        <v>1</v>
      </c>
      <c r="E57" s="3" t="s">
        <v>16</v>
      </c>
      <c r="F57" s="3" t="s">
        <v>295</v>
      </c>
      <c r="G57" s="3" t="s">
        <v>17</v>
      </c>
      <c r="H57" s="3" t="s">
        <v>88</v>
      </c>
    </row>
    <row r="58" spans="1:8" x14ac:dyDescent="0.2">
      <c r="A58" s="3">
        <v>3030205002</v>
      </c>
      <c r="B58" s="4" t="s">
        <v>93</v>
      </c>
      <c r="C58" s="4" t="s">
        <v>94</v>
      </c>
      <c r="D58" s="3">
        <v>1</v>
      </c>
      <c r="E58" s="3" t="s">
        <v>16</v>
      </c>
      <c r="F58" s="3" t="s">
        <v>295</v>
      </c>
      <c r="G58" s="3" t="s">
        <v>17</v>
      </c>
      <c r="H58" s="3" t="s">
        <v>88</v>
      </c>
    </row>
    <row r="59" spans="1:8" x14ac:dyDescent="0.2">
      <c r="A59" s="3">
        <v>3030208001</v>
      </c>
      <c r="B59" s="4" t="s">
        <v>95</v>
      </c>
      <c r="C59" s="4" t="s">
        <v>96</v>
      </c>
      <c r="D59" s="3">
        <v>1</v>
      </c>
      <c r="E59" s="3" t="s">
        <v>16</v>
      </c>
      <c r="F59" s="3" t="s">
        <v>295</v>
      </c>
      <c r="G59" s="3" t="s">
        <v>17</v>
      </c>
      <c r="H59" s="3" t="s">
        <v>88</v>
      </c>
    </row>
    <row r="60" spans="1:8" x14ac:dyDescent="0.2">
      <c r="A60" s="3">
        <v>3030202005</v>
      </c>
      <c r="B60" s="4" t="s">
        <v>97</v>
      </c>
      <c r="C60" s="4" t="s">
        <v>94</v>
      </c>
      <c r="D60" s="3">
        <v>1</v>
      </c>
      <c r="E60" s="3" t="s">
        <v>16</v>
      </c>
      <c r="F60" s="3" t="s">
        <v>295</v>
      </c>
      <c r="G60" s="3" t="s">
        <v>17</v>
      </c>
      <c r="H60" s="3" t="s">
        <v>88</v>
      </c>
    </row>
    <row r="61" spans="1:8" x14ac:dyDescent="0.2">
      <c r="A61" s="3">
        <v>3080201009</v>
      </c>
      <c r="B61" s="4" t="s">
        <v>60</v>
      </c>
      <c r="C61" s="4" t="s">
        <v>98</v>
      </c>
      <c r="D61" s="3">
        <v>1</v>
      </c>
      <c r="E61" s="3" t="s">
        <v>16</v>
      </c>
      <c r="F61" s="3" t="s">
        <v>295</v>
      </c>
      <c r="G61" s="3" t="s">
        <v>17</v>
      </c>
      <c r="H61" s="3" t="s">
        <v>88</v>
      </c>
    </row>
    <row r="62" spans="1:8" x14ac:dyDescent="0.2">
      <c r="A62" s="3">
        <v>3050205001</v>
      </c>
      <c r="B62" s="4" t="s">
        <v>99</v>
      </c>
      <c r="C62" s="4" t="s">
        <v>100</v>
      </c>
      <c r="D62" s="3">
        <v>2</v>
      </c>
      <c r="E62" s="3" t="s">
        <v>16</v>
      </c>
      <c r="F62" s="3" t="s">
        <v>291</v>
      </c>
      <c r="G62" s="3" t="s">
        <v>26</v>
      </c>
      <c r="H62" s="3" t="s">
        <v>88</v>
      </c>
    </row>
    <row r="63" spans="1:8" x14ac:dyDescent="0.2">
      <c r="A63" s="3">
        <v>3099991203</v>
      </c>
      <c r="B63" s="4" t="s">
        <v>101</v>
      </c>
      <c r="C63" s="4" t="s">
        <v>102</v>
      </c>
      <c r="D63" s="3">
        <v>1</v>
      </c>
      <c r="E63" s="3" t="s">
        <v>16</v>
      </c>
      <c r="F63" s="3" t="s">
        <v>289</v>
      </c>
      <c r="G63" s="3" t="s">
        <v>23</v>
      </c>
      <c r="H63" s="3" t="s">
        <v>103</v>
      </c>
    </row>
    <row r="64" spans="1:8" x14ac:dyDescent="0.2">
      <c r="A64" s="3">
        <v>3099990101</v>
      </c>
      <c r="B64" s="4" t="s">
        <v>104</v>
      </c>
      <c r="C64" s="4" t="s">
        <v>105</v>
      </c>
      <c r="D64" s="3">
        <v>1</v>
      </c>
      <c r="E64" s="3" t="s">
        <v>16</v>
      </c>
      <c r="F64" s="3" t="s">
        <v>299</v>
      </c>
      <c r="G64" s="3" t="s">
        <v>106</v>
      </c>
      <c r="H64" s="3" t="s">
        <v>103</v>
      </c>
    </row>
    <row r="65" spans="1:8" x14ac:dyDescent="0.2">
      <c r="A65" s="3">
        <v>402030027</v>
      </c>
      <c r="B65" s="4" t="s">
        <v>107</v>
      </c>
      <c r="C65" s="4" t="s">
        <v>110</v>
      </c>
      <c r="D65" s="3">
        <v>1</v>
      </c>
      <c r="E65" s="3" t="s">
        <v>16</v>
      </c>
      <c r="F65" s="3" t="s">
        <v>291</v>
      </c>
      <c r="G65" s="3" t="s">
        <v>26</v>
      </c>
      <c r="H65" s="3" t="s">
        <v>109</v>
      </c>
    </row>
    <row r="66" spans="1:8" x14ac:dyDescent="0.2">
      <c r="A66" s="3">
        <v>404100009</v>
      </c>
      <c r="B66" s="4" t="s">
        <v>326</v>
      </c>
      <c r="C66" s="4" t="s">
        <v>327</v>
      </c>
      <c r="D66" s="3">
        <v>1</v>
      </c>
      <c r="E66" s="3" t="s">
        <v>16</v>
      </c>
      <c r="F66" s="3" t="s">
        <v>301</v>
      </c>
      <c r="G66" s="3" t="s">
        <v>32</v>
      </c>
      <c r="H66" s="3" t="s">
        <v>109</v>
      </c>
    </row>
    <row r="67" spans="1:8" x14ac:dyDescent="0.2">
      <c r="A67" s="3">
        <v>402020006</v>
      </c>
      <c r="B67" s="4" t="s">
        <v>111</v>
      </c>
      <c r="C67" s="4" t="s">
        <v>112</v>
      </c>
      <c r="D67" s="3">
        <v>2</v>
      </c>
      <c r="E67" s="3" t="s">
        <v>16</v>
      </c>
      <c r="F67" s="3" t="s">
        <v>293</v>
      </c>
      <c r="G67" s="3" t="s">
        <v>29</v>
      </c>
      <c r="H67" s="3" t="s">
        <v>109</v>
      </c>
    </row>
    <row r="68" spans="1:8" x14ac:dyDescent="0.2">
      <c r="A68" s="3">
        <v>404100028</v>
      </c>
      <c r="B68" s="4" t="s">
        <v>600</v>
      </c>
      <c r="C68" s="4" t="s">
        <v>601</v>
      </c>
      <c r="D68" s="3">
        <v>1</v>
      </c>
      <c r="E68" s="3" t="s">
        <v>16</v>
      </c>
      <c r="F68" s="3" t="s">
        <v>301</v>
      </c>
      <c r="G68" s="3" t="s">
        <v>32</v>
      </c>
      <c r="H68" s="3" t="s">
        <v>109</v>
      </c>
    </row>
    <row r="69" spans="1:8" x14ac:dyDescent="0.2">
      <c r="A69" s="3">
        <v>404100029</v>
      </c>
      <c r="B69" s="4" t="s">
        <v>600</v>
      </c>
      <c r="C69" s="4" t="s">
        <v>602</v>
      </c>
      <c r="D69" s="3">
        <v>1</v>
      </c>
      <c r="E69" s="3" t="s">
        <v>16</v>
      </c>
      <c r="F69" s="3" t="s">
        <v>301</v>
      </c>
      <c r="G69" s="3" t="s">
        <v>32</v>
      </c>
      <c r="H69" s="3" t="s">
        <v>109</v>
      </c>
    </row>
    <row r="70" spans="1:8" x14ac:dyDescent="0.2">
      <c r="A70" s="3">
        <v>3060209002</v>
      </c>
      <c r="B70" s="4" t="s">
        <v>113</v>
      </c>
      <c r="C70" s="4" t="s">
        <v>114</v>
      </c>
      <c r="D70" s="3">
        <v>2</v>
      </c>
      <c r="E70" s="3" t="s">
        <v>16</v>
      </c>
      <c r="F70" s="3" t="s">
        <v>289</v>
      </c>
      <c r="G70" s="3" t="s">
        <v>23</v>
      </c>
      <c r="H70" s="3" t="s">
        <v>115</v>
      </c>
    </row>
    <row r="71" spans="1:8" x14ac:dyDescent="0.2">
      <c r="A71" s="3">
        <v>3030204032</v>
      </c>
      <c r="B71" s="4" t="s">
        <v>116</v>
      </c>
      <c r="C71" s="4" t="s">
        <v>117</v>
      </c>
      <c r="D71" s="3">
        <v>1</v>
      </c>
      <c r="E71" s="3" t="s">
        <v>16</v>
      </c>
      <c r="F71" s="3" t="s">
        <v>295</v>
      </c>
      <c r="G71" s="3" t="s">
        <v>17</v>
      </c>
      <c r="H71" s="3" t="s">
        <v>115</v>
      </c>
    </row>
    <row r="72" spans="1:8" x14ac:dyDescent="0.2">
      <c r="A72" s="3">
        <v>3040113002</v>
      </c>
      <c r="B72" s="4" t="s">
        <v>118</v>
      </c>
      <c r="C72" s="4" t="s">
        <v>119</v>
      </c>
      <c r="D72" s="3">
        <v>2</v>
      </c>
      <c r="E72" s="3" t="s">
        <v>16</v>
      </c>
      <c r="F72" s="3" t="s">
        <v>293</v>
      </c>
      <c r="G72" s="3" t="s">
        <v>29</v>
      </c>
      <c r="H72" s="3" t="s">
        <v>115</v>
      </c>
    </row>
    <row r="73" spans="1:8" x14ac:dyDescent="0.2">
      <c r="A73" s="3">
        <v>3040216001</v>
      </c>
      <c r="B73" s="4" t="s">
        <v>328</v>
      </c>
      <c r="C73" s="4" t="s">
        <v>329</v>
      </c>
      <c r="D73" s="3">
        <v>4</v>
      </c>
      <c r="E73" s="3" t="s">
        <v>16</v>
      </c>
      <c r="F73" s="3" t="s">
        <v>293</v>
      </c>
      <c r="G73" s="3" t="s">
        <v>29</v>
      </c>
      <c r="H73" s="3" t="s">
        <v>115</v>
      </c>
    </row>
    <row r="74" spans="1:8" x14ac:dyDescent="0.2">
      <c r="A74" s="3">
        <v>3030204006</v>
      </c>
      <c r="B74" s="4" t="s">
        <v>120</v>
      </c>
      <c r="C74" s="4" t="s">
        <v>121</v>
      </c>
      <c r="D74" s="3">
        <v>2</v>
      </c>
      <c r="E74" s="3" t="s">
        <v>16</v>
      </c>
      <c r="F74" s="3" t="s">
        <v>295</v>
      </c>
      <c r="G74" s="3" t="s">
        <v>17</v>
      </c>
      <c r="H74" s="3" t="s">
        <v>115</v>
      </c>
    </row>
    <row r="75" spans="1:8" x14ac:dyDescent="0.2">
      <c r="A75" s="3">
        <v>3030204008</v>
      </c>
      <c r="B75" s="4" t="s">
        <v>122</v>
      </c>
      <c r="C75" s="4" t="s">
        <v>123</v>
      </c>
      <c r="D75" s="3">
        <v>1</v>
      </c>
      <c r="E75" s="3" t="s">
        <v>16</v>
      </c>
      <c r="F75" s="3" t="s">
        <v>291</v>
      </c>
      <c r="G75" s="3" t="s">
        <v>26</v>
      </c>
      <c r="H75" s="3" t="s">
        <v>115</v>
      </c>
    </row>
    <row r="76" spans="1:8" x14ac:dyDescent="0.2">
      <c r="A76" s="3">
        <v>3030204010</v>
      </c>
      <c r="B76" s="4" t="s">
        <v>124</v>
      </c>
      <c r="C76" s="4" t="s">
        <v>125</v>
      </c>
      <c r="D76" s="3">
        <v>1</v>
      </c>
      <c r="E76" s="3" t="s">
        <v>16</v>
      </c>
      <c r="F76" s="3" t="s">
        <v>295</v>
      </c>
      <c r="G76" s="3" t="s">
        <v>17</v>
      </c>
      <c r="H76" s="3" t="s">
        <v>115</v>
      </c>
    </row>
    <row r="77" spans="1:8" x14ac:dyDescent="0.2">
      <c r="A77" s="3">
        <v>3030204012</v>
      </c>
      <c r="B77" s="4" t="s">
        <v>126</v>
      </c>
      <c r="C77" s="4" t="s">
        <v>127</v>
      </c>
      <c r="D77" s="3">
        <v>1</v>
      </c>
      <c r="E77" s="3" t="s">
        <v>16</v>
      </c>
      <c r="F77" s="3" t="s">
        <v>295</v>
      </c>
      <c r="G77" s="3" t="s">
        <v>17</v>
      </c>
      <c r="H77" s="3" t="s">
        <v>115</v>
      </c>
    </row>
    <row r="78" spans="1:8" x14ac:dyDescent="0.2">
      <c r="A78" s="3">
        <v>3070104005</v>
      </c>
      <c r="B78" s="4" t="s">
        <v>128</v>
      </c>
      <c r="C78" s="4" t="s">
        <v>330</v>
      </c>
      <c r="D78" s="3">
        <v>1</v>
      </c>
      <c r="E78" s="3" t="s">
        <v>16</v>
      </c>
      <c r="F78" s="3" t="s">
        <v>317</v>
      </c>
      <c r="G78" s="3" t="s">
        <v>318</v>
      </c>
      <c r="H78" s="3" t="s">
        <v>115</v>
      </c>
    </row>
    <row r="79" spans="1:8" x14ac:dyDescent="0.2">
      <c r="A79" s="3">
        <v>3070104001</v>
      </c>
      <c r="B79" s="4" t="s">
        <v>331</v>
      </c>
      <c r="C79" s="4" t="s">
        <v>332</v>
      </c>
      <c r="D79" s="3">
        <v>1</v>
      </c>
      <c r="E79" s="3" t="s">
        <v>16</v>
      </c>
      <c r="F79" s="3" t="s">
        <v>317</v>
      </c>
      <c r="G79" s="3" t="s">
        <v>318</v>
      </c>
      <c r="H79" s="3" t="s">
        <v>115</v>
      </c>
    </row>
    <row r="80" spans="1:8" x14ac:dyDescent="0.2">
      <c r="A80" s="3">
        <v>3030404003</v>
      </c>
      <c r="B80" s="4" t="s">
        <v>130</v>
      </c>
      <c r="C80" s="4" t="s">
        <v>131</v>
      </c>
      <c r="D80" s="3">
        <v>2</v>
      </c>
      <c r="E80" s="3" t="s">
        <v>16</v>
      </c>
      <c r="F80" s="3" t="s">
        <v>291</v>
      </c>
      <c r="G80" s="3" t="s">
        <v>26</v>
      </c>
      <c r="H80" s="3" t="s">
        <v>132</v>
      </c>
    </row>
    <row r="81" spans="1:8" x14ac:dyDescent="0.2">
      <c r="A81" s="3">
        <v>404040025</v>
      </c>
      <c r="B81" s="4" t="s">
        <v>30</v>
      </c>
      <c r="C81" s="4" t="s">
        <v>133</v>
      </c>
      <c r="D81" s="3">
        <v>2</v>
      </c>
      <c r="E81" s="3" t="s">
        <v>16</v>
      </c>
      <c r="F81" s="3" t="s">
        <v>291</v>
      </c>
      <c r="G81" s="3" t="s">
        <v>26</v>
      </c>
      <c r="H81" s="3" t="s">
        <v>134</v>
      </c>
    </row>
    <row r="82" spans="1:8" x14ac:dyDescent="0.2">
      <c r="A82" s="3">
        <v>404020073</v>
      </c>
      <c r="B82" s="4" t="s">
        <v>30</v>
      </c>
      <c r="C82" s="4" t="s">
        <v>135</v>
      </c>
      <c r="D82" s="3">
        <v>1</v>
      </c>
      <c r="E82" s="3" t="s">
        <v>16</v>
      </c>
      <c r="F82" s="3" t="s">
        <v>291</v>
      </c>
      <c r="G82" s="3" t="s">
        <v>26</v>
      </c>
      <c r="H82" s="3" t="s">
        <v>134</v>
      </c>
    </row>
    <row r="83" spans="1:8" x14ac:dyDescent="0.2">
      <c r="A83" s="3">
        <v>401040093</v>
      </c>
      <c r="B83" s="4" t="s">
        <v>35</v>
      </c>
      <c r="C83" s="4" t="s">
        <v>619</v>
      </c>
      <c r="D83" s="3">
        <v>1</v>
      </c>
      <c r="E83" s="3" t="s">
        <v>16</v>
      </c>
      <c r="F83" s="3" t="s">
        <v>291</v>
      </c>
      <c r="G83" s="3" t="s">
        <v>26</v>
      </c>
      <c r="H83" s="3" t="s">
        <v>134</v>
      </c>
    </row>
    <row r="84" spans="1:8" x14ac:dyDescent="0.2">
      <c r="A84" s="3">
        <v>3990207001</v>
      </c>
      <c r="B84" s="4" t="s">
        <v>140</v>
      </c>
      <c r="C84" s="4" t="s">
        <v>141</v>
      </c>
      <c r="D84" s="3">
        <v>1</v>
      </c>
      <c r="E84" s="3" t="s">
        <v>16</v>
      </c>
      <c r="F84" s="3" t="s">
        <v>285</v>
      </c>
      <c r="G84" s="3" t="s">
        <v>142</v>
      </c>
      <c r="H84" s="3" t="s">
        <v>143</v>
      </c>
    </row>
    <row r="85" spans="1:8" x14ac:dyDescent="0.2">
      <c r="A85" s="3">
        <v>3030301005</v>
      </c>
      <c r="B85" s="4" t="s">
        <v>144</v>
      </c>
      <c r="C85" s="4" t="s">
        <v>145</v>
      </c>
      <c r="D85" s="3">
        <v>2</v>
      </c>
      <c r="E85" s="3" t="s">
        <v>16</v>
      </c>
      <c r="F85" s="3" t="s">
        <v>291</v>
      </c>
      <c r="G85" s="3" t="s">
        <v>26</v>
      </c>
      <c r="H85" s="3" t="s">
        <v>143</v>
      </c>
    </row>
    <row r="86" spans="1:8" x14ac:dyDescent="0.2">
      <c r="A86" s="3">
        <v>3990204002</v>
      </c>
      <c r="B86" s="4" t="s">
        <v>333</v>
      </c>
      <c r="C86" s="4" t="s">
        <v>334</v>
      </c>
      <c r="D86" s="3">
        <v>1</v>
      </c>
      <c r="E86" s="3" t="s">
        <v>16</v>
      </c>
      <c r="F86" s="3" t="s">
        <v>335</v>
      </c>
      <c r="G86" s="3" t="s">
        <v>336</v>
      </c>
      <c r="H86" s="3" t="s">
        <v>143</v>
      </c>
    </row>
    <row r="87" spans="1:8" x14ac:dyDescent="0.2">
      <c r="A87" s="3">
        <v>3990205001</v>
      </c>
      <c r="B87" s="4" t="s">
        <v>146</v>
      </c>
      <c r="C87" s="4" t="s">
        <v>147</v>
      </c>
      <c r="D87" s="3">
        <v>1</v>
      </c>
      <c r="E87" s="3" t="s">
        <v>16</v>
      </c>
      <c r="F87" s="3" t="s">
        <v>287</v>
      </c>
      <c r="G87" s="3" t="s">
        <v>148</v>
      </c>
      <c r="H87" s="3" t="s">
        <v>143</v>
      </c>
    </row>
    <row r="88" spans="1:8" x14ac:dyDescent="0.2">
      <c r="A88" s="3">
        <v>407010091</v>
      </c>
      <c r="B88" s="4" t="s">
        <v>149</v>
      </c>
      <c r="C88" s="4" t="s">
        <v>620</v>
      </c>
      <c r="D88" s="3">
        <v>1</v>
      </c>
      <c r="E88" s="3" t="s">
        <v>16</v>
      </c>
      <c r="F88" s="3" t="s">
        <v>289</v>
      </c>
      <c r="G88" s="3" t="s">
        <v>23</v>
      </c>
      <c r="H88" s="3" t="s">
        <v>151</v>
      </c>
    </row>
    <row r="89" spans="1:8" x14ac:dyDescent="0.2">
      <c r="A89" s="3">
        <v>3070103002</v>
      </c>
      <c r="B89" s="4" t="s">
        <v>152</v>
      </c>
      <c r="C89" s="4" t="s">
        <v>153</v>
      </c>
      <c r="D89" s="3">
        <v>1</v>
      </c>
      <c r="E89" s="3" t="s">
        <v>16</v>
      </c>
      <c r="F89" s="3" t="s">
        <v>289</v>
      </c>
      <c r="G89" s="3" t="s">
        <v>23</v>
      </c>
      <c r="H89" s="3" t="s">
        <v>154</v>
      </c>
    </row>
    <row r="90" spans="1:8" x14ac:dyDescent="0.2">
      <c r="A90" s="3">
        <v>3030203004</v>
      </c>
      <c r="B90" s="4" t="s">
        <v>155</v>
      </c>
      <c r="C90" s="4" t="s">
        <v>156</v>
      </c>
      <c r="D90" s="3">
        <v>1</v>
      </c>
      <c r="E90" s="3" t="s">
        <v>16</v>
      </c>
      <c r="F90" s="3" t="s">
        <v>295</v>
      </c>
      <c r="G90" s="3" t="s">
        <v>17</v>
      </c>
      <c r="H90" s="3" t="s">
        <v>154</v>
      </c>
    </row>
    <row r="91" spans="1:8" x14ac:dyDescent="0.2">
      <c r="A91" s="3">
        <v>3040211002</v>
      </c>
      <c r="B91" s="4" t="s">
        <v>157</v>
      </c>
      <c r="C91" s="4" t="s">
        <v>158</v>
      </c>
      <c r="D91" s="3">
        <v>2</v>
      </c>
      <c r="E91" s="3" t="s">
        <v>16</v>
      </c>
      <c r="F91" s="3" t="s">
        <v>293</v>
      </c>
      <c r="G91" s="3" t="s">
        <v>29</v>
      </c>
      <c r="H91" s="3" t="s">
        <v>154</v>
      </c>
    </row>
    <row r="92" spans="1:8" x14ac:dyDescent="0.2">
      <c r="A92" s="3">
        <v>3040217003</v>
      </c>
      <c r="B92" s="4" t="s">
        <v>159</v>
      </c>
      <c r="C92" s="4" t="s">
        <v>160</v>
      </c>
      <c r="D92" s="3">
        <v>2</v>
      </c>
      <c r="E92" s="3" t="s">
        <v>16</v>
      </c>
      <c r="F92" s="3" t="s">
        <v>293</v>
      </c>
      <c r="G92" s="3" t="s">
        <v>29</v>
      </c>
      <c r="H92" s="3" t="s">
        <v>154</v>
      </c>
    </row>
    <row r="93" spans="1:8" x14ac:dyDescent="0.2">
      <c r="A93" s="3">
        <v>3030310010</v>
      </c>
      <c r="B93" s="4" t="s">
        <v>161</v>
      </c>
      <c r="C93" s="4" t="s">
        <v>162</v>
      </c>
      <c r="D93" s="3">
        <v>1</v>
      </c>
      <c r="E93" s="3" t="s">
        <v>16</v>
      </c>
      <c r="F93" s="3" t="s">
        <v>295</v>
      </c>
      <c r="G93" s="3" t="s">
        <v>17</v>
      </c>
      <c r="H93" s="3" t="s">
        <v>154</v>
      </c>
    </row>
    <row r="94" spans="1:8" x14ac:dyDescent="0.2">
      <c r="A94" s="3">
        <v>3060306001</v>
      </c>
      <c r="B94" s="4" t="s">
        <v>163</v>
      </c>
      <c r="C94" s="4" t="s">
        <v>164</v>
      </c>
      <c r="D94" s="3">
        <v>1</v>
      </c>
      <c r="E94" s="3" t="s">
        <v>16</v>
      </c>
      <c r="F94" s="3" t="s">
        <v>289</v>
      </c>
      <c r="G94" s="3" t="s">
        <v>23</v>
      </c>
      <c r="H94" s="3" t="s">
        <v>165</v>
      </c>
    </row>
    <row r="95" spans="1:8" x14ac:dyDescent="0.2">
      <c r="A95" s="3">
        <v>3110103002</v>
      </c>
      <c r="B95" s="4" t="s">
        <v>473</v>
      </c>
      <c r="C95" s="4" t="s">
        <v>474</v>
      </c>
      <c r="D95" s="3">
        <v>1</v>
      </c>
      <c r="E95" s="3" t="s">
        <v>16</v>
      </c>
      <c r="F95" s="3" t="s">
        <v>291</v>
      </c>
      <c r="G95" s="3" t="s">
        <v>26</v>
      </c>
      <c r="H95" s="3" t="s">
        <v>165</v>
      </c>
    </row>
    <row r="96" spans="1:8" x14ac:dyDescent="0.2">
      <c r="A96" s="3">
        <v>3030303067</v>
      </c>
      <c r="B96" s="4" t="s">
        <v>166</v>
      </c>
      <c r="C96" s="4" t="s">
        <v>167</v>
      </c>
      <c r="D96" s="3">
        <v>1</v>
      </c>
      <c r="E96" s="3" t="s">
        <v>16</v>
      </c>
      <c r="F96" s="3" t="s">
        <v>295</v>
      </c>
      <c r="G96" s="3" t="s">
        <v>17</v>
      </c>
      <c r="H96" s="3" t="s">
        <v>165</v>
      </c>
    </row>
    <row r="97" spans="1:8" x14ac:dyDescent="0.2">
      <c r="A97" s="3">
        <v>3060310001</v>
      </c>
      <c r="B97" s="4" t="s">
        <v>171</v>
      </c>
      <c r="C97" s="4" t="s">
        <v>172</v>
      </c>
      <c r="D97" s="3">
        <v>1</v>
      </c>
      <c r="E97" s="3" t="s">
        <v>16</v>
      </c>
      <c r="F97" s="3" t="s">
        <v>289</v>
      </c>
      <c r="G97" s="3" t="s">
        <v>23</v>
      </c>
      <c r="H97" s="3" t="s">
        <v>173</v>
      </c>
    </row>
    <row r="98" spans="1:8" x14ac:dyDescent="0.2">
      <c r="A98" s="3">
        <v>3060311001</v>
      </c>
      <c r="B98" s="4" t="s">
        <v>174</v>
      </c>
      <c r="C98" s="4" t="s">
        <v>172</v>
      </c>
      <c r="D98" s="3">
        <v>1</v>
      </c>
      <c r="E98" s="3" t="s">
        <v>16</v>
      </c>
      <c r="F98" s="3" t="s">
        <v>289</v>
      </c>
      <c r="G98" s="3" t="s">
        <v>23</v>
      </c>
      <c r="H98" s="3" t="s">
        <v>173</v>
      </c>
    </row>
    <row r="99" spans="1:8" x14ac:dyDescent="0.2">
      <c r="A99" s="3">
        <v>3030303003</v>
      </c>
      <c r="B99" s="4" t="s">
        <v>175</v>
      </c>
      <c r="C99" s="4" t="s">
        <v>176</v>
      </c>
      <c r="D99" s="3">
        <v>1</v>
      </c>
      <c r="E99" s="3" t="s">
        <v>16</v>
      </c>
      <c r="F99" s="3" t="s">
        <v>295</v>
      </c>
      <c r="G99" s="3" t="s">
        <v>17</v>
      </c>
      <c r="H99" s="3" t="s">
        <v>173</v>
      </c>
    </row>
    <row r="100" spans="1:8" x14ac:dyDescent="0.2">
      <c r="A100" s="3">
        <v>3030303005</v>
      </c>
      <c r="B100" s="4" t="s">
        <v>177</v>
      </c>
      <c r="C100" s="4" t="s">
        <v>176</v>
      </c>
      <c r="D100" s="3">
        <v>1</v>
      </c>
      <c r="E100" s="3" t="s">
        <v>16</v>
      </c>
      <c r="F100" s="3" t="s">
        <v>291</v>
      </c>
      <c r="G100" s="3" t="s">
        <v>26</v>
      </c>
      <c r="H100" s="3" t="s">
        <v>173</v>
      </c>
    </row>
    <row r="101" spans="1:8" x14ac:dyDescent="0.2">
      <c r="A101" s="3">
        <v>3040328006</v>
      </c>
      <c r="B101" s="4" t="s">
        <v>267</v>
      </c>
      <c r="C101" s="4" t="s">
        <v>605</v>
      </c>
      <c r="D101" s="3">
        <v>2</v>
      </c>
      <c r="E101" s="3" t="s">
        <v>16</v>
      </c>
      <c r="F101" s="3" t="s">
        <v>293</v>
      </c>
      <c r="G101" s="3" t="s">
        <v>29</v>
      </c>
      <c r="H101" s="3" t="s">
        <v>173</v>
      </c>
    </row>
    <row r="102" spans="1:8" x14ac:dyDescent="0.2">
      <c r="A102" s="3">
        <v>3040309001</v>
      </c>
      <c r="B102" s="4" t="s">
        <v>346</v>
      </c>
      <c r="C102" s="4" t="s">
        <v>347</v>
      </c>
      <c r="D102" s="3">
        <v>8</v>
      </c>
      <c r="E102" s="3" t="s">
        <v>16</v>
      </c>
      <c r="F102" s="3" t="s">
        <v>293</v>
      </c>
      <c r="G102" s="3" t="s">
        <v>29</v>
      </c>
      <c r="H102" s="3" t="s">
        <v>173</v>
      </c>
    </row>
    <row r="103" spans="1:8" x14ac:dyDescent="0.2">
      <c r="A103" s="3">
        <v>3070201002</v>
      </c>
      <c r="B103" s="4" t="s">
        <v>348</v>
      </c>
      <c r="C103" s="4" t="s">
        <v>349</v>
      </c>
      <c r="D103" s="3">
        <v>1</v>
      </c>
      <c r="E103" s="3" t="s">
        <v>16</v>
      </c>
      <c r="F103" s="3" t="s">
        <v>317</v>
      </c>
      <c r="G103" s="3" t="s">
        <v>318</v>
      </c>
      <c r="H103" s="3" t="s">
        <v>173</v>
      </c>
    </row>
    <row r="104" spans="1:8" x14ac:dyDescent="0.2">
      <c r="A104" s="3">
        <v>3030310007</v>
      </c>
      <c r="B104" s="4" t="s">
        <v>178</v>
      </c>
      <c r="C104" s="4" t="s">
        <v>179</v>
      </c>
      <c r="D104" s="3">
        <v>1</v>
      </c>
      <c r="E104" s="3" t="s">
        <v>16</v>
      </c>
      <c r="F104" s="3" t="s">
        <v>295</v>
      </c>
      <c r="G104" s="3" t="s">
        <v>17</v>
      </c>
      <c r="H104" s="3" t="s">
        <v>173</v>
      </c>
    </row>
    <row r="105" spans="1:8" x14ac:dyDescent="0.2">
      <c r="A105" s="3">
        <v>3030310009</v>
      </c>
      <c r="B105" s="4" t="s">
        <v>180</v>
      </c>
      <c r="C105" s="4" t="s">
        <v>179</v>
      </c>
      <c r="D105" s="3">
        <v>1</v>
      </c>
      <c r="E105" s="3" t="s">
        <v>16</v>
      </c>
      <c r="F105" s="3" t="s">
        <v>295</v>
      </c>
      <c r="G105" s="3" t="s">
        <v>17</v>
      </c>
      <c r="H105" s="3" t="s">
        <v>173</v>
      </c>
    </row>
    <row r="106" spans="1:8" x14ac:dyDescent="0.2">
      <c r="A106" s="3">
        <v>3050304001</v>
      </c>
      <c r="B106" s="4" t="s">
        <v>181</v>
      </c>
      <c r="C106" s="4" t="s">
        <v>182</v>
      </c>
      <c r="D106" s="3">
        <v>1</v>
      </c>
      <c r="E106" s="3" t="s">
        <v>16</v>
      </c>
      <c r="F106" s="3" t="s">
        <v>291</v>
      </c>
      <c r="G106" s="3" t="s">
        <v>26</v>
      </c>
      <c r="H106" s="3" t="s">
        <v>173</v>
      </c>
    </row>
    <row r="107" spans="1:8" x14ac:dyDescent="0.2">
      <c r="A107" s="3">
        <v>3020501014</v>
      </c>
      <c r="B107" s="4" t="s">
        <v>183</v>
      </c>
      <c r="C107" s="4" t="s">
        <v>350</v>
      </c>
      <c r="D107" s="3">
        <v>1</v>
      </c>
      <c r="E107" s="3" t="s">
        <v>16</v>
      </c>
      <c r="F107" s="3" t="s">
        <v>291</v>
      </c>
      <c r="G107" s="3" t="s">
        <v>26</v>
      </c>
      <c r="H107" s="3" t="s">
        <v>185</v>
      </c>
    </row>
    <row r="108" spans="1:8" x14ac:dyDescent="0.2">
      <c r="A108" s="3">
        <v>3990201009</v>
      </c>
      <c r="B108" s="4" t="s">
        <v>186</v>
      </c>
      <c r="C108" s="4" t="s">
        <v>606</v>
      </c>
      <c r="D108" s="3">
        <v>1</v>
      </c>
      <c r="E108" s="3" t="s">
        <v>16</v>
      </c>
      <c r="F108" s="3" t="s">
        <v>295</v>
      </c>
      <c r="G108" s="3" t="s">
        <v>17</v>
      </c>
      <c r="H108" s="3" t="s">
        <v>187</v>
      </c>
    </row>
    <row r="109" spans="1:8" x14ac:dyDescent="0.2">
      <c r="A109" s="3">
        <v>3990202008</v>
      </c>
      <c r="B109" s="4" t="s">
        <v>188</v>
      </c>
      <c r="C109" s="4" t="s">
        <v>606</v>
      </c>
      <c r="D109" s="3">
        <v>1</v>
      </c>
      <c r="E109" s="3" t="s">
        <v>16</v>
      </c>
      <c r="F109" s="3" t="s">
        <v>295</v>
      </c>
      <c r="G109" s="3" t="s">
        <v>17</v>
      </c>
      <c r="H109" s="3" t="s">
        <v>187</v>
      </c>
    </row>
    <row r="110" spans="1:8" x14ac:dyDescent="0.2">
      <c r="A110" s="3">
        <v>3990203004</v>
      </c>
      <c r="B110" s="4" t="s">
        <v>189</v>
      </c>
      <c r="C110" s="4" t="s">
        <v>606</v>
      </c>
      <c r="D110" s="3">
        <v>1</v>
      </c>
      <c r="E110" s="3" t="s">
        <v>16</v>
      </c>
      <c r="F110" s="3" t="s">
        <v>291</v>
      </c>
      <c r="G110" s="3" t="s">
        <v>26</v>
      </c>
      <c r="H110" s="3" t="s">
        <v>187</v>
      </c>
    </row>
    <row r="111" spans="1:8" x14ac:dyDescent="0.2">
      <c r="A111" s="3">
        <v>3030401002</v>
      </c>
      <c r="B111" s="4" t="s">
        <v>190</v>
      </c>
      <c r="C111" s="4" t="s">
        <v>191</v>
      </c>
      <c r="D111" s="3">
        <v>1</v>
      </c>
      <c r="E111" s="3" t="s">
        <v>16</v>
      </c>
      <c r="F111" s="3" t="s">
        <v>295</v>
      </c>
      <c r="G111" s="3" t="s">
        <v>17</v>
      </c>
      <c r="H111" s="3" t="s">
        <v>192</v>
      </c>
    </row>
    <row r="112" spans="1:8" x14ac:dyDescent="0.2">
      <c r="A112" s="3">
        <v>3040402001</v>
      </c>
      <c r="B112" s="4" t="s">
        <v>193</v>
      </c>
      <c r="C112" s="4" t="s">
        <v>194</v>
      </c>
      <c r="D112" s="3">
        <v>1</v>
      </c>
      <c r="E112" s="3" t="s">
        <v>16</v>
      </c>
      <c r="F112" s="3" t="s">
        <v>293</v>
      </c>
      <c r="G112" s="3" t="s">
        <v>29</v>
      </c>
      <c r="H112" s="3" t="s">
        <v>192</v>
      </c>
    </row>
    <row r="113" spans="1:8" x14ac:dyDescent="0.2">
      <c r="A113" s="3">
        <v>3040402002</v>
      </c>
      <c r="B113" s="4" t="s">
        <v>193</v>
      </c>
      <c r="C113" s="4" t="s">
        <v>195</v>
      </c>
      <c r="D113" s="3">
        <v>1</v>
      </c>
      <c r="E113" s="3" t="s">
        <v>16</v>
      </c>
      <c r="F113" s="3" t="s">
        <v>293</v>
      </c>
      <c r="G113" s="3" t="s">
        <v>29</v>
      </c>
      <c r="H113" s="3" t="s">
        <v>192</v>
      </c>
    </row>
    <row r="114" spans="1:8" x14ac:dyDescent="0.2">
      <c r="A114" s="3">
        <v>404100024</v>
      </c>
      <c r="B114" s="4" t="s">
        <v>196</v>
      </c>
      <c r="C114" s="4" t="s">
        <v>621</v>
      </c>
      <c r="D114" s="3">
        <v>1</v>
      </c>
      <c r="E114" s="3" t="s">
        <v>16</v>
      </c>
      <c r="F114" s="3" t="s">
        <v>301</v>
      </c>
      <c r="G114" s="3" t="s">
        <v>32</v>
      </c>
      <c r="H114" s="3" t="s">
        <v>198</v>
      </c>
    </row>
    <row r="115" spans="1:8" x14ac:dyDescent="0.2">
      <c r="A115" s="3">
        <v>404060019</v>
      </c>
      <c r="B115" s="4" t="s">
        <v>30</v>
      </c>
      <c r="C115" s="4" t="s">
        <v>352</v>
      </c>
      <c r="D115" s="3">
        <v>1</v>
      </c>
      <c r="E115" s="3" t="s">
        <v>16</v>
      </c>
      <c r="F115" s="3" t="s">
        <v>291</v>
      </c>
      <c r="G115" s="3" t="s">
        <v>26</v>
      </c>
      <c r="H115" s="3" t="s">
        <v>198</v>
      </c>
    </row>
    <row r="116" spans="1:8" x14ac:dyDescent="0.2">
      <c r="A116" s="3">
        <v>404020035</v>
      </c>
      <c r="B116" s="4" t="s">
        <v>30</v>
      </c>
      <c r="C116" s="4" t="s">
        <v>199</v>
      </c>
      <c r="D116" s="3">
        <v>1</v>
      </c>
      <c r="E116" s="3" t="s">
        <v>16</v>
      </c>
      <c r="F116" s="3" t="s">
        <v>291</v>
      </c>
      <c r="G116" s="3" t="s">
        <v>26</v>
      </c>
      <c r="H116" s="3" t="s">
        <v>198</v>
      </c>
    </row>
    <row r="117" spans="1:8" x14ac:dyDescent="0.2">
      <c r="A117" s="3">
        <v>404100031</v>
      </c>
      <c r="B117" s="4" t="s">
        <v>200</v>
      </c>
      <c r="C117" s="4" t="s">
        <v>622</v>
      </c>
      <c r="D117" s="3">
        <v>1</v>
      </c>
      <c r="E117" s="3" t="s">
        <v>16</v>
      </c>
      <c r="F117" s="3" t="s">
        <v>301</v>
      </c>
      <c r="G117" s="3" t="s">
        <v>32</v>
      </c>
      <c r="H117" s="3" t="s">
        <v>198</v>
      </c>
    </row>
    <row r="118" spans="1:8" x14ac:dyDescent="0.2">
      <c r="A118" s="3">
        <v>401070018</v>
      </c>
      <c r="B118" s="4" t="s">
        <v>35</v>
      </c>
      <c r="C118" s="4" t="s">
        <v>202</v>
      </c>
      <c r="D118" s="3">
        <v>1</v>
      </c>
      <c r="E118" s="3" t="s">
        <v>16</v>
      </c>
      <c r="F118" s="3" t="s">
        <v>291</v>
      </c>
      <c r="G118" s="3" t="s">
        <v>26</v>
      </c>
      <c r="H118" s="3" t="s">
        <v>198</v>
      </c>
    </row>
    <row r="119" spans="1:8" x14ac:dyDescent="0.2">
      <c r="A119" s="3">
        <v>3992002001</v>
      </c>
      <c r="B119" s="4" t="s">
        <v>212</v>
      </c>
      <c r="C119" s="4" t="s">
        <v>213</v>
      </c>
      <c r="D119" s="3">
        <v>2</v>
      </c>
      <c r="E119" s="3" t="s">
        <v>16</v>
      </c>
      <c r="F119" s="3" t="s">
        <v>295</v>
      </c>
      <c r="G119" s="3" t="s">
        <v>17</v>
      </c>
      <c r="H119" s="3" t="s">
        <v>214</v>
      </c>
    </row>
    <row r="120" spans="1:8" x14ac:dyDescent="0.2">
      <c r="A120" s="3">
        <v>3992001001</v>
      </c>
      <c r="B120" s="4" t="s">
        <v>215</v>
      </c>
      <c r="C120" s="4" t="s">
        <v>213</v>
      </c>
      <c r="D120" s="3">
        <v>2</v>
      </c>
      <c r="E120" s="3" t="s">
        <v>16</v>
      </c>
      <c r="F120" s="3" t="s">
        <v>295</v>
      </c>
      <c r="G120" s="3" t="s">
        <v>17</v>
      </c>
      <c r="H120" s="3" t="s">
        <v>214</v>
      </c>
    </row>
    <row r="121" spans="1:8" x14ac:dyDescent="0.2">
      <c r="A121" s="3">
        <v>3030201004</v>
      </c>
      <c r="B121" s="4" t="s">
        <v>216</v>
      </c>
      <c r="C121" s="4" t="s">
        <v>213</v>
      </c>
      <c r="D121" s="3">
        <v>2</v>
      </c>
      <c r="E121" s="3" t="s">
        <v>16</v>
      </c>
      <c r="F121" s="3" t="s">
        <v>295</v>
      </c>
      <c r="G121" s="3" t="s">
        <v>17</v>
      </c>
      <c r="H121" s="3" t="s">
        <v>214</v>
      </c>
    </row>
    <row r="122" spans="1:8" x14ac:dyDescent="0.2">
      <c r="A122" s="3">
        <v>3049904001</v>
      </c>
      <c r="B122" s="4" t="s">
        <v>354</v>
      </c>
      <c r="C122" s="4" t="s">
        <v>355</v>
      </c>
      <c r="D122" s="3">
        <v>4</v>
      </c>
      <c r="E122" s="3" t="s">
        <v>16</v>
      </c>
      <c r="F122" s="3" t="s">
        <v>293</v>
      </c>
      <c r="G122" s="3" t="s">
        <v>29</v>
      </c>
      <c r="H122" s="3" t="s">
        <v>214</v>
      </c>
    </row>
    <row r="123" spans="1:8" x14ac:dyDescent="0.2">
      <c r="A123" s="3">
        <v>3049902005</v>
      </c>
      <c r="B123" s="4" t="s">
        <v>356</v>
      </c>
      <c r="C123" s="4" t="s">
        <v>357</v>
      </c>
      <c r="D123" s="3">
        <v>2</v>
      </c>
      <c r="E123" s="3" t="s">
        <v>16</v>
      </c>
      <c r="F123" s="3" t="s">
        <v>293</v>
      </c>
      <c r="G123" s="3" t="s">
        <v>29</v>
      </c>
      <c r="H123" s="3" t="s">
        <v>214</v>
      </c>
    </row>
    <row r="124" spans="1:8" x14ac:dyDescent="0.2">
      <c r="A124" s="3">
        <v>3030201005</v>
      </c>
      <c r="B124" s="4" t="s">
        <v>217</v>
      </c>
      <c r="C124" s="4" t="s">
        <v>218</v>
      </c>
      <c r="D124" s="3">
        <v>12</v>
      </c>
      <c r="E124" s="3" t="s">
        <v>16</v>
      </c>
      <c r="F124" s="3" t="s">
        <v>295</v>
      </c>
      <c r="G124" s="3" t="s">
        <v>17</v>
      </c>
      <c r="H124" s="3" t="s">
        <v>214</v>
      </c>
    </row>
    <row r="125" spans="1:8" x14ac:dyDescent="0.2">
      <c r="A125" s="3">
        <v>3070105007</v>
      </c>
      <c r="B125" s="4" t="s">
        <v>360</v>
      </c>
      <c r="C125" s="4" t="s">
        <v>361</v>
      </c>
      <c r="D125" s="3">
        <v>1</v>
      </c>
      <c r="E125" s="3" t="s">
        <v>16</v>
      </c>
      <c r="F125" s="3" t="s">
        <v>317</v>
      </c>
      <c r="G125" s="3" t="s">
        <v>318</v>
      </c>
      <c r="H125" s="3" t="s">
        <v>214</v>
      </c>
    </row>
    <row r="126" spans="1:8" x14ac:dyDescent="0.2">
      <c r="A126" s="3">
        <v>3070105008</v>
      </c>
      <c r="B126" s="4" t="s">
        <v>362</v>
      </c>
      <c r="C126" s="4" t="s">
        <v>361</v>
      </c>
      <c r="D126" s="3">
        <v>1</v>
      </c>
      <c r="E126" s="3" t="s">
        <v>16</v>
      </c>
      <c r="F126" s="3" t="s">
        <v>317</v>
      </c>
      <c r="G126" s="3" t="s">
        <v>318</v>
      </c>
      <c r="H126" s="3" t="s">
        <v>214</v>
      </c>
    </row>
    <row r="127" spans="1:8" x14ac:dyDescent="0.2">
      <c r="A127" s="3">
        <v>3030403001</v>
      </c>
      <c r="B127" s="4" t="s">
        <v>219</v>
      </c>
      <c r="C127" s="4" t="s">
        <v>220</v>
      </c>
      <c r="D127" s="3">
        <v>1</v>
      </c>
      <c r="E127" s="3" t="s">
        <v>16</v>
      </c>
      <c r="F127" s="3" t="s">
        <v>295</v>
      </c>
      <c r="G127" s="3" t="s">
        <v>17</v>
      </c>
      <c r="H127" s="3" t="s">
        <v>221</v>
      </c>
    </row>
    <row r="128" spans="1:8" x14ac:dyDescent="0.2">
      <c r="A128" s="3">
        <v>3020301001</v>
      </c>
      <c r="B128" s="4" t="s">
        <v>209</v>
      </c>
      <c r="C128" s="4" t="s">
        <v>365</v>
      </c>
      <c r="D128" s="3">
        <v>1</v>
      </c>
      <c r="E128" s="3" t="s">
        <v>16</v>
      </c>
      <c r="F128" s="3" t="s">
        <v>291</v>
      </c>
      <c r="G128" s="3" t="s">
        <v>26</v>
      </c>
      <c r="H128" s="3" t="s">
        <v>221</v>
      </c>
    </row>
    <row r="129" spans="1:8" x14ac:dyDescent="0.2">
      <c r="A129" s="3">
        <v>403030051</v>
      </c>
      <c r="B129" s="4" t="s">
        <v>366</v>
      </c>
      <c r="C129" s="4" t="s">
        <v>367</v>
      </c>
      <c r="D129" s="3">
        <v>3</v>
      </c>
      <c r="E129" s="3" t="s">
        <v>16</v>
      </c>
      <c r="F129" s="3" t="s">
        <v>301</v>
      </c>
      <c r="G129" s="3" t="s">
        <v>32</v>
      </c>
      <c r="H129" s="3" t="s">
        <v>221</v>
      </c>
    </row>
    <row r="130" spans="1:8" x14ac:dyDescent="0.2">
      <c r="A130" s="3">
        <v>403030005</v>
      </c>
      <c r="B130" s="4" t="s">
        <v>366</v>
      </c>
      <c r="C130" s="4" t="s">
        <v>368</v>
      </c>
      <c r="D130" s="3">
        <v>2</v>
      </c>
      <c r="E130" s="3" t="s">
        <v>16</v>
      </c>
      <c r="F130" s="3" t="s">
        <v>301</v>
      </c>
      <c r="G130" s="3" t="s">
        <v>32</v>
      </c>
      <c r="H130" s="3" t="s">
        <v>221</v>
      </c>
    </row>
    <row r="131" spans="1:8" x14ac:dyDescent="0.2">
      <c r="A131" s="3">
        <v>3050401001</v>
      </c>
      <c r="B131" s="4" t="s">
        <v>222</v>
      </c>
      <c r="C131" s="4" t="s">
        <v>223</v>
      </c>
      <c r="D131" s="3">
        <v>1</v>
      </c>
      <c r="E131" s="3" t="s">
        <v>16</v>
      </c>
      <c r="F131" s="3" t="s">
        <v>291</v>
      </c>
      <c r="G131" s="3" t="s">
        <v>26</v>
      </c>
      <c r="H131" s="3" t="s">
        <v>221</v>
      </c>
    </row>
    <row r="132" spans="1:8" x14ac:dyDescent="0.2">
      <c r="A132" s="3">
        <v>402050001</v>
      </c>
      <c r="B132" s="4" t="s">
        <v>522</v>
      </c>
      <c r="C132" s="4" t="s">
        <v>523</v>
      </c>
      <c r="D132" s="3">
        <v>1</v>
      </c>
      <c r="E132" s="3" t="s">
        <v>16</v>
      </c>
      <c r="F132" s="3" t="s">
        <v>289</v>
      </c>
      <c r="G132" s="3" t="s">
        <v>23</v>
      </c>
      <c r="H132" s="3" t="s">
        <v>524</v>
      </c>
    </row>
    <row r="133" spans="1:8" x14ac:dyDescent="0.2">
      <c r="A133" s="3">
        <v>3040502058</v>
      </c>
      <c r="B133" s="4" t="s">
        <v>136</v>
      </c>
      <c r="C133" s="4" t="s">
        <v>607</v>
      </c>
      <c r="D133" s="3">
        <v>1</v>
      </c>
      <c r="E133" s="3" t="s">
        <v>16</v>
      </c>
      <c r="F133" s="3" t="s">
        <v>293</v>
      </c>
      <c r="G133" s="3" t="s">
        <v>29</v>
      </c>
      <c r="H133" s="3" t="s">
        <v>370</v>
      </c>
    </row>
    <row r="134" spans="1:8" x14ac:dyDescent="0.2">
      <c r="A134" s="3">
        <v>3040502059</v>
      </c>
      <c r="B134" s="4" t="s">
        <v>136</v>
      </c>
      <c r="C134" s="4" t="s">
        <v>608</v>
      </c>
      <c r="D134" s="3">
        <v>1</v>
      </c>
      <c r="E134" s="3" t="s">
        <v>16</v>
      </c>
      <c r="F134" s="3" t="s">
        <v>293</v>
      </c>
      <c r="G134" s="3" t="s">
        <v>29</v>
      </c>
      <c r="H134" s="3" t="s">
        <v>370</v>
      </c>
    </row>
    <row r="135" spans="1:8" x14ac:dyDescent="0.2">
      <c r="A135" s="3">
        <v>3060501005</v>
      </c>
      <c r="B135" s="4" t="s">
        <v>224</v>
      </c>
      <c r="C135" s="4" t="s">
        <v>225</v>
      </c>
      <c r="D135" s="3">
        <v>1</v>
      </c>
      <c r="E135" s="3" t="s">
        <v>16</v>
      </c>
      <c r="F135" s="3" t="s">
        <v>289</v>
      </c>
      <c r="G135" s="3" t="s">
        <v>23</v>
      </c>
      <c r="H135" s="3" t="s">
        <v>226</v>
      </c>
    </row>
    <row r="136" spans="1:8" x14ac:dyDescent="0.2">
      <c r="A136" s="3">
        <v>3060333002</v>
      </c>
      <c r="B136" s="4" t="s">
        <v>227</v>
      </c>
      <c r="C136" s="4" t="s">
        <v>228</v>
      </c>
      <c r="D136" s="3">
        <v>1</v>
      </c>
      <c r="E136" s="3" t="s">
        <v>16</v>
      </c>
      <c r="F136" s="3" t="s">
        <v>289</v>
      </c>
      <c r="G136" s="3" t="s">
        <v>23</v>
      </c>
      <c r="H136" s="3" t="s">
        <v>226</v>
      </c>
    </row>
    <row r="137" spans="1:8" x14ac:dyDescent="0.2">
      <c r="A137" s="3">
        <v>3060303001</v>
      </c>
      <c r="B137" s="4" t="s">
        <v>231</v>
      </c>
      <c r="C137" s="4" t="s">
        <v>232</v>
      </c>
      <c r="D137" s="3">
        <v>1</v>
      </c>
      <c r="E137" s="3" t="s">
        <v>16</v>
      </c>
      <c r="F137" s="3" t="s">
        <v>289</v>
      </c>
      <c r="G137" s="3" t="s">
        <v>23</v>
      </c>
      <c r="H137" s="3" t="s">
        <v>226</v>
      </c>
    </row>
    <row r="138" spans="1:8" x14ac:dyDescent="0.2">
      <c r="A138" s="3">
        <v>3060335004</v>
      </c>
      <c r="B138" s="4" t="s">
        <v>233</v>
      </c>
      <c r="C138" s="4" t="s">
        <v>234</v>
      </c>
      <c r="D138" s="3">
        <v>1</v>
      </c>
      <c r="E138" s="3" t="s">
        <v>16</v>
      </c>
      <c r="F138" s="3" t="s">
        <v>289</v>
      </c>
      <c r="G138" s="3" t="s">
        <v>23</v>
      </c>
      <c r="H138" s="3" t="s">
        <v>226</v>
      </c>
    </row>
    <row r="139" spans="1:8" x14ac:dyDescent="0.2">
      <c r="A139" s="3">
        <v>3050305016</v>
      </c>
      <c r="B139" s="4" t="s">
        <v>527</v>
      </c>
      <c r="C139" s="4" t="s">
        <v>528</v>
      </c>
      <c r="D139" s="3">
        <v>1</v>
      </c>
      <c r="E139" s="3" t="s">
        <v>16</v>
      </c>
      <c r="F139" s="3" t="s">
        <v>291</v>
      </c>
      <c r="G139" s="3" t="s">
        <v>26</v>
      </c>
      <c r="H139" s="3" t="s">
        <v>226</v>
      </c>
    </row>
    <row r="140" spans="1:8" x14ac:dyDescent="0.2">
      <c r="A140" s="3">
        <v>3050305015</v>
      </c>
      <c r="B140" s="4" t="s">
        <v>529</v>
      </c>
      <c r="C140" s="4" t="s">
        <v>530</v>
      </c>
      <c r="D140" s="3">
        <v>1</v>
      </c>
      <c r="E140" s="3" t="s">
        <v>16</v>
      </c>
      <c r="F140" s="3" t="s">
        <v>291</v>
      </c>
      <c r="G140" s="3" t="s">
        <v>26</v>
      </c>
      <c r="H140" s="3" t="s">
        <v>226</v>
      </c>
    </row>
    <row r="141" spans="1:8" x14ac:dyDescent="0.2">
      <c r="A141" s="3">
        <v>3050306011</v>
      </c>
      <c r="B141" s="4" t="s">
        <v>531</v>
      </c>
      <c r="C141" s="4" t="s">
        <v>609</v>
      </c>
      <c r="D141" s="3">
        <v>1</v>
      </c>
      <c r="E141" s="3" t="s">
        <v>16</v>
      </c>
      <c r="F141" s="3" t="s">
        <v>291</v>
      </c>
      <c r="G141" s="3" t="s">
        <v>26</v>
      </c>
      <c r="H141" s="3" t="s">
        <v>226</v>
      </c>
    </row>
    <row r="142" spans="1:8" x14ac:dyDescent="0.2">
      <c r="A142" s="3">
        <v>3030306008</v>
      </c>
      <c r="B142" s="4" t="s">
        <v>235</v>
      </c>
      <c r="C142" s="4" t="s">
        <v>236</v>
      </c>
      <c r="D142" s="3">
        <v>1</v>
      </c>
      <c r="E142" s="3" t="s">
        <v>16</v>
      </c>
      <c r="F142" s="3" t="s">
        <v>295</v>
      </c>
      <c r="G142" s="3" t="s">
        <v>17</v>
      </c>
      <c r="H142" s="3" t="s">
        <v>226</v>
      </c>
    </row>
    <row r="143" spans="1:8" x14ac:dyDescent="0.2">
      <c r="A143" s="3">
        <v>3030314001</v>
      </c>
      <c r="B143" s="4" t="s">
        <v>237</v>
      </c>
      <c r="C143" s="4" t="s">
        <v>238</v>
      </c>
      <c r="D143" s="3">
        <v>1</v>
      </c>
      <c r="E143" s="3" t="s">
        <v>16</v>
      </c>
      <c r="F143" s="3" t="s">
        <v>291</v>
      </c>
      <c r="G143" s="3" t="s">
        <v>26</v>
      </c>
      <c r="H143" s="3" t="s">
        <v>226</v>
      </c>
    </row>
    <row r="144" spans="1:8" x14ac:dyDescent="0.2">
      <c r="A144" s="3">
        <v>3020101005</v>
      </c>
      <c r="B144" s="4" t="s">
        <v>239</v>
      </c>
      <c r="C144" s="4" t="s">
        <v>610</v>
      </c>
      <c r="D144" s="3">
        <v>5</v>
      </c>
      <c r="E144" s="3" t="s">
        <v>16</v>
      </c>
      <c r="F144" s="3" t="s">
        <v>297</v>
      </c>
      <c r="G144" s="3" t="s">
        <v>204</v>
      </c>
      <c r="H144" s="3" t="s">
        <v>226</v>
      </c>
    </row>
    <row r="145" spans="1:8" x14ac:dyDescent="0.2">
      <c r="A145" s="3">
        <v>3030303011</v>
      </c>
      <c r="B145" s="4" t="s">
        <v>611</v>
      </c>
      <c r="C145" s="4" t="s">
        <v>612</v>
      </c>
      <c r="D145" s="3">
        <v>2</v>
      </c>
      <c r="E145" s="3" t="s">
        <v>16</v>
      </c>
      <c r="F145" s="3" t="s">
        <v>291</v>
      </c>
      <c r="G145" s="3" t="s">
        <v>26</v>
      </c>
      <c r="H145" s="3" t="s">
        <v>226</v>
      </c>
    </row>
    <row r="146" spans="1:8" x14ac:dyDescent="0.2">
      <c r="A146" s="3">
        <v>3070205004</v>
      </c>
      <c r="B146" s="4" t="s">
        <v>372</v>
      </c>
      <c r="C146" s="4" t="s">
        <v>266</v>
      </c>
      <c r="D146" s="3">
        <v>1</v>
      </c>
      <c r="E146" s="3" t="s">
        <v>16</v>
      </c>
      <c r="F146" s="3" t="s">
        <v>317</v>
      </c>
      <c r="G146" s="3" t="s">
        <v>318</v>
      </c>
      <c r="H146" s="3" t="s">
        <v>226</v>
      </c>
    </row>
    <row r="147" spans="1:8" x14ac:dyDescent="0.2">
      <c r="A147" s="3">
        <v>3070211002</v>
      </c>
      <c r="B147" s="4" t="s">
        <v>373</v>
      </c>
      <c r="C147" s="4" t="s">
        <v>374</v>
      </c>
      <c r="D147" s="3">
        <v>1</v>
      </c>
      <c r="E147" s="3" t="s">
        <v>16</v>
      </c>
      <c r="F147" s="3" t="s">
        <v>317</v>
      </c>
      <c r="G147" s="3" t="s">
        <v>318</v>
      </c>
      <c r="H147" s="3" t="s">
        <v>226</v>
      </c>
    </row>
    <row r="148" spans="1:8" x14ac:dyDescent="0.2">
      <c r="A148" s="3">
        <v>3070216001</v>
      </c>
      <c r="B148" s="4" t="s">
        <v>375</v>
      </c>
      <c r="C148" s="4" t="s">
        <v>376</v>
      </c>
      <c r="D148" s="3">
        <v>1</v>
      </c>
      <c r="E148" s="3" t="s">
        <v>16</v>
      </c>
      <c r="F148" s="3" t="s">
        <v>317</v>
      </c>
      <c r="G148" s="3" t="s">
        <v>318</v>
      </c>
      <c r="H148" s="3" t="s">
        <v>226</v>
      </c>
    </row>
    <row r="149" spans="1:8" x14ac:dyDescent="0.2">
      <c r="A149" s="3">
        <v>3070212001</v>
      </c>
      <c r="B149" s="4" t="s">
        <v>377</v>
      </c>
      <c r="C149" s="4" t="s">
        <v>378</v>
      </c>
      <c r="D149" s="3">
        <v>1</v>
      </c>
      <c r="E149" s="3" t="s">
        <v>16</v>
      </c>
      <c r="F149" s="3" t="s">
        <v>317</v>
      </c>
      <c r="G149" s="3" t="s">
        <v>318</v>
      </c>
      <c r="H149" s="3" t="s">
        <v>226</v>
      </c>
    </row>
    <row r="150" spans="1:8" x14ac:dyDescent="0.2">
      <c r="A150" s="3">
        <v>3070210001</v>
      </c>
      <c r="B150" s="4" t="s">
        <v>379</v>
      </c>
      <c r="C150" s="4" t="s">
        <v>280</v>
      </c>
      <c r="D150" s="3">
        <v>1</v>
      </c>
      <c r="E150" s="3" t="s">
        <v>16</v>
      </c>
      <c r="F150" s="3" t="s">
        <v>317</v>
      </c>
      <c r="G150" s="3" t="s">
        <v>318</v>
      </c>
      <c r="H150" s="3" t="s">
        <v>226</v>
      </c>
    </row>
    <row r="151" spans="1:8" x14ac:dyDescent="0.2">
      <c r="A151" s="3">
        <v>3080401031</v>
      </c>
      <c r="B151" s="4" t="s">
        <v>41</v>
      </c>
      <c r="C151" s="4" t="s">
        <v>551</v>
      </c>
      <c r="D151" s="3">
        <v>1</v>
      </c>
      <c r="E151" s="3" t="s">
        <v>16</v>
      </c>
      <c r="F151" s="3" t="s">
        <v>291</v>
      </c>
      <c r="G151" s="3" t="s">
        <v>26</v>
      </c>
      <c r="H151" s="3" t="s">
        <v>249</v>
      </c>
    </row>
    <row r="152" spans="1:8" x14ac:dyDescent="0.2">
      <c r="A152" s="3">
        <v>3080301002</v>
      </c>
      <c r="B152" s="4" t="s">
        <v>247</v>
      </c>
      <c r="C152" s="4" t="s">
        <v>248</v>
      </c>
      <c r="D152" s="3">
        <v>1</v>
      </c>
      <c r="E152" s="3" t="s">
        <v>16</v>
      </c>
      <c r="F152" s="3" t="s">
        <v>295</v>
      </c>
      <c r="G152" s="3" t="s">
        <v>17</v>
      </c>
      <c r="H152" s="3" t="s">
        <v>249</v>
      </c>
    </row>
    <row r="153" spans="1:8" x14ac:dyDescent="0.2">
      <c r="A153" s="3">
        <v>3080107017</v>
      </c>
      <c r="B153" s="4" t="s">
        <v>69</v>
      </c>
      <c r="C153" s="4" t="s">
        <v>251</v>
      </c>
      <c r="D153" s="3">
        <v>4</v>
      </c>
      <c r="E153" s="3" t="s">
        <v>16</v>
      </c>
      <c r="F153" s="3" t="s">
        <v>289</v>
      </c>
      <c r="G153" s="3" t="s">
        <v>23</v>
      </c>
      <c r="H153" s="3" t="s">
        <v>249</v>
      </c>
    </row>
    <row r="154" spans="1:8" x14ac:dyDescent="0.2">
      <c r="A154" s="3">
        <v>3080107017</v>
      </c>
      <c r="B154" s="4" t="s">
        <v>69</v>
      </c>
      <c r="C154" s="4" t="s">
        <v>251</v>
      </c>
      <c r="D154" s="3">
        <v>2</v>
      </c>
      <c r="E154" s="3" t="s">
        <v>16</v>
      </c>
      <c r="F154" s="3" t="s">
        <v>289</v>
      </c>
      <c r="G154" s="3" t="s">
        <v>23</v>
      </c>
      <c r="H154" s="3" t="s">
        <v>249</v>
      </c>
    </row>
    <row r="155" spans="1:8" x14ac:dyDescent="0.2">
      <c r="A155" s="3">
        <v>3080107017</v>
      </c>
      <c r="B155" s="4" t="s">
        <v>69</v>
      </c>
      <c r="C155" s="4" t="s">
        <v>251</v>
      </c>
      <c r="D155" s="3">
        <v>4</v>
      </c>
      <c r="E155" s="3" t="s">
        <v>16</v>
      </c>
      <c r="F155" s="3" t="s">
        <v>295</v>
      </c>
      <c r="G155" s="3" t="s">
        <v>17</v>
      </c>
      <c r="H155" s="3" t="s">
        <v>249</v>
      </c>
    </row>
    <row r="156" spans="1:8" x14ac:dyDescent="0.2">
      <c r="A156" s="3">
        <v>3060341001</v>
      </c>
      <c r="B156" s="4" t="s">
        <v>255</v>
      </c>
      <c r="C156" s="4" t="s">
        <v>256</v>
      </c>
      <c r="D156" s="3">
        <v>1</v>
      </c>
      <c r="E156" s="3" t="s">
        <v>16</v>
      </c>
      <c r="F156" s="3" t="s">
        <v>289</v>
      </c>
      <c r="G156" s="3" t="s">
        <v>23</v>
      </c>
      <c r="H156" s="3" t="s">
        <v>254</v>
      </c>
    </row>
    <row r="157" spans="1:8" x14ac:dyDescent="0.2">
      <c r="A157" s="3">
        <v>3030315001</v>
      </c>
      <c r="B157" s="4" t="s">
        <v>257</v>
      </c>
      <c r="C157" s="4" t="s">
        <v>258</v>
      </c>
      <c r="D157" s="3">
        <v>2</v>
      </c>
      <c r="E157" s="3" t="s">
        <v>16</v>
      </c>
      <c r="F157" s="3" t="s">
        <v>295</v>
      </c>
      <c r="G157" s="3" t="s">
        <v>17</v>
      </c>
      <c r="H157" s="3" t="s">
        <v>254</v>
      </c>
    </row>
    <row r="158" spans="1:8" x14ac:dyDescent="0.2">
      <c r="A158" s="3">
        <v>3030304002</v>
      </c>
      <c r="B158" s="4" t="s">
        <v>259</v>
      </c>
      <c r="C158" s="4" t="s">
        <v>258</v>
      </c>
      <c r="D158" s="3">
        <v>1</v>
      </c>
      <c r="E158" s="3" t="s">
        <v>16</v>
      </c>
      <c r="F158" s="3" t="s">
        <v>295</v>
      </c>
      <c r="G158" s="3" t="s">
        <v>17</v>
      </c>
      <c r="H158" s="3" t="s">
        <v>254</v>
      </c>
    </row>
    <row r="159" spans="1:8" x14ac:dyDescent="0.2">
      <c r="A159" s="3">
        <v>3030304004</v>
      </c>
      <c r="B159" s="4" t="s">
        <v>260</v>
      </c>
      <c r="C159" s="4" t="s">
        <v>258</v>
      </c>
      <c r="D159" s="3">
        <v>1</v>
      </c>
      <c r="E159" s="3" t="s">
        <v>16</v>
      </c>
      <c r="F159" s="3" t="s">
        <v>295</v>
      </c>
      <c r="G159" s="3" t="s">
        <v>17</v>
      </c>
      <c r="H159" s="3" t="s">
        <v>254</v>
      </c>
    </row>
    <row r="160" spans="1:8" x14ac:dyDescent="0.2">
      <c r="A160" s="3">
        <v>3030316001</v>
      </c>
      <c r="B160" s="4" t="s">
        <v>261</v>
      </c>
      <c r="C160" s="4" t="s">
        <v>262</v>
      </c>
      <c r="D160" s="3">
        <v>3</v>
      </c>
      <c r="E160" s="3" t="s">
        <v>16</v>
      </c>
      <c r="F160" s="3" t="s">
        <v>295</v>
      </c>
      <c r="G160" s="3" t="s">
        <v>17</v>
      </c>
      <c r="H160" s="3" t="s">
        <v>254</v>
      </c>
    </row>
    <row r="161" spans="1:8" x14ac:dyDescent="0.2">
      <c r="A161" s="3">
        <v>3040312007</v>
      </c>
      <c r="B161" s="4" t="s">
        <v>263</v>
      </c>
      <c r="C161" s="4" t="s">
        <v>264</v>
      </c>
      <c r="D161" s="3">
        <v>2</v>
      </c>
      <c r="E161" s="3" t="s">
        <v>16</v>
      </c>
      <c r="F161" s="3" t="s">
        <v>293</v>
      </c>
      <c r="G161" s="3" t="s">
        <v>29</v>
      </c>
      <c r="H161" s="3" t="s">
        <v>254</v>
      </c>
    </row>
    <row r="162" spans="1:8" x14ac:dyDescent="0.2">
      <c r="A162" s="3">
        <v>3040303001</v>
      </c>
      <c r="B162" s="4" t="s">
        <v>265</v>
      </c>
      <c r="C162" s="4" t="s">
        <v>266</v>
      </c>
      <c r="D162" s="3">
        <v>2</v>
      </c>
      <c r="E162" s="3" t="s">
        <v>16</v>
      </c>
      <c r="F162" s="3" t="s">
        <v>293</v>
      </c>
      <c r="G162" s="3" t="s">
        <v>29</v>
      </c>
      <c r="H162" s="3" t="s">
        <v>254</v>
      </c>
    </row>
    <row r="163" spans="1:8" x14ac:dyDescent="0.2">
      <c r="A163" s="3">
        <v>3049902004</v>
      </c>
      <c r="B163" s="4" t="s">
        <v>383</v>
      </c>
      <c r="C163" s="4" t="s">
        <v>384</v>
      </c>
      <c r="D163" s="3">
        <v>2</v>
      </c>
      <c r="E163" s="3" t="s">
        <v>16</v>
      </c>
      <c r="F163" s="3" t="s">
        <v>293</v>
      </c>
      <c r="G163" s="3" t="s">
        <v>29</v>
      </c>
      <c r="H163" s="3" t="s">
        <v>254</v>
      </c>
    </row>
    <row r="164" spans="1:8" x14ac:dyDescent="0.2">
      <c r="A164" s="3">
        <v>3040326018</v>
      </c>
      <c r="B164" s="4" t="s">
        <v>385</v>
      </c>
      <c r="C164" s="4" t="s">
        <v>384</v>
      </c>
      <c r="D164" s="3">
        <v>2</v>
      </c>
      <c r="E164" s="3" t="s">
        <v>16</v>
      </c>
      <c r="F164" s="3" t="s">
        <v>293</v>
      </c>
      <c r="G164" s="3" t="s">
        <v>29</v>
      </c>
      <c r="H164" s="3" t="s">
        <v>254</v>
      </c>
    </row>
    <row r="165" spans="1:8" x14ac:dyDescent="0.2">
      <c r="A165" s="3">
        <v>3040320003</v>
      </c>
      <c r="B165" s="4" t="s">
        <v>269</v>
      </c>
      <c r="C165" s="4" t="s">
        <v>270</v>
      </c>
      <c r="D165" s="3">
        <v>2</v>
      </c>
      <c r="E165" s="3" t="s">
        <v>16</v>
      </c>
      <c r="F165" s="3" t="s">
        <v>293</v>
      </c>
      <c r="G165" s="3" t="s">
        <v>29</v>
      </c>
      <c r="H165" s="3" t="s">
        <v>254</v>
      </c>
    </row>
    <row r="166" spans="1:8" x14ac:dyDescent="0.2">
      <c r="A166" s="3">
        <v>3040314001</v>
      </c>
      <c r="B166" s="4" t="s">
        <v>271</v>
      </c>
      <c r="C166" s="4" t="s">
        <v>272</v>
      </c>
      <c r="D166" s="3">
        <v>2</v>
      </c>
      <c r="E166" s="3" t="s">
        <v>16</v>
      </c>
      <c r="F166" s="3" t="s">
        <v>293</v>
      </c>
      <c r="G166" s="3" t="s">
        <v>29</v>
      </c>
      <c r="H166" s="3" t="s">
        <v>254</v>
      </c>
    </row>
    <row r="167" spans="1:8" x14ac:dyDescent="0.2">
      <c r="A167" s="3">
        <v>3030310004</v>
      </c>
      <c r="B167" s="4" t="s">
        <v>273</v>
      </c>
      <c r="C167" s="4" t="s">
        <v>274</v>
      </c>
      <c r="D167" s="3">
        <v>1</v>
      </c>
      <c r="E167" s="3" t="s">
        <v>16</v>
      </c>
      <c r="F167" s="3" t="s">
        <v>295</v>
      </c>
      <c r="G167" s="3" t="s">
        <v>17</v>
      </c>
      <c r="H167" s="3" t="s">
        <v>254</v>
      </c>
    </row>
    <row r="168" spans="1:8" x14ac:dyDescent="0.2">
      <c r="A168" s="3">
        <v>3030313004</v>
      </c>
      <c r="B168" s="4" t="s">
        <v>275</v>
      </c>
      <c r="C168" s="4" t="s">
        <v>258</v>
      </c>
      <c r="D168" s="3">
        <v>1</v>
      </c>
      <c r="E168" s="3" t="s">
        <v>16</v>
      </c>
      <c r="F168" s="3" t="s">
        <v>295</v>
      </c>
      <c r="G168" s="3" t="s">
        <v>17</v>
      </c>
      <c r="H168" s="3" t="s">
        <v>254</v>
      </c>
    </row>
    <row r="169" spans="1:8" x14ac:dyDescent="0.2">
      <c r="A169" s="3">
        <v>3080308001</v>
      </c>
      <c r="B169" s="4" t="s">
        <v>276</v>
      </c>
      <c r="C169" s="4" t="s">
        <v>258</v>
      </c>
      <c r="D169" s="3">
        <v>1</v>
      </c>
      <c r="E169" s="3" t="s">
        <v>16</v>
      </c>
      <c r="F169" s="3" t="s">
        <v>295</v>
      </c>
      <c r="G169" s="3" t="s">
        <v>17</v>
      </c>
      <c r="H169" s="3" t="s">
        <v>254</v>
      </c>
    </row>
    <row r="170" spans="1:8" x14ac:dyDescent="0.2">
      <c r="A170" s="3">
        <v>3070202019</v>
      </c>
      <c r="B170" s="4" t="s">
        <v>388</v>
      </c>
      <c r="C170" s="4" t="s">
        <v>389</v>
      </c>
      <c r="D170" s="3">
        <v>1</v>
      </c>
      <c r="E170" s="3" t="s">
        <v>16</v>
      </c>
      <c r="F170" s="3" t="s">
        <v>317</v>
      </c>
      <c r="G170" s="3" t="s">
        <v>318</v>
      </c>
      <c r="H170" s="3" t="s">
        <v>254</v>
      </c>
    </row>
    <row r="171" spans="1:8" x14ac:dyDescent="0.2">
      <c r="A171" s="3">
        <v>3050303018</v>
      </c>
      <c r="B171" s="4" t="s">
        <v>245</v>
      </c>
      <c r="C171" s="4" t="s">
        <v>613</v>
      </c>
      <c r="D171" s="3">
        <v>1</v>
      </c>
      <c r="E171" s="3" t="s">
        <v>16</v>
      </c>
      <c r="F171" s="3" t="s">
        <v>291</v>
      </c>
      <c r="G171" s="3" t="s">
        <v>26</v>
      </c>
      <c r="H171" s="3" t="s">
        <v>254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B08DD-8989-450B-A88C-5A8A25096614}">
  <dimension ref="A1:H106"/>
  <sheetViews>
    <sheetView workbookViewId="0">
      <selection activeCell="D3" sqref="D3"/>
    </sheetView>
  </sheetViews>
  <sheetFormatPr defaultRowHeight="14.25" x14ac:dyDescent="0.2"/>
  <cols>
    <col min="1" max="1" width="11.75" customWidth="1"/>
    <col min="2" max="2" width="16.25" customWidth="1"/>
    <col min="3" max="3" width="19.5" customWidth="1"/>
  </cols>
  <sheetData>
    <row r="1" spans="1:8" x14ac:dyDescent="0.2">
      <c r="A1" s="3" t="s">
        <v>662</v>
      </c>
      <c r="B1" s="4"/>
      <c r="C1" s="4"/>
      <c r="D1" s="3"/>
      <c r="E1" s="3"/>
      <c r="F1" s="3"/>
      <c r="G1" s="3"/>
      <c r="H1" s="3"/>
    </row>
    <row r="2" spans="1:8" ht="28.5" x14ac:dyDescent="0.2">
      <c r="A2" s="1" t="s">
        <v>0</v>
      </c>
      <c r="B2" s="2" t="s">
        <v>1</v>
      </c>
      <c r="C2" s="2" t="s">
        <v>2</v>
      </c>
      <c r="D2" s="1" t="s">
        <v>4</v>
      </c>
      <c r="E2" s="1" t="s">
        <v>3</v>
      </c>
      <c r="F2" s="1" t="s">
        <v>5</v>
      </c>
      <c r="G2" s="1" t="s">
        <v>6</v>
      </c>
      <c r="H2" s="1" t="s">
        <v>7</v>
      </c>
    </row>
    <row r="3" spans="1:8" s="10" customFormat="1" x14ac:dyDescent="0.2">
      <c r="A3" s="8" t="s">
        <v>390</v>
      </c>
      <c r="B3" s="9" t="s">
        <v>8</v>
      </c>
      <c r="C3" s="9" t="s">
        <v>9</v>
      </c>
      <c r="D3" s="12">
        <f>0.2914/0.94</f>
        <v>0.31</v>
      </c>
      <c r="E3" s="8" t="s">
        <v>596</v>
      </c>
      <c r="F3" s="8" t="s">
        <v>283</v>
      </c>
      <c r="G3" s="8" t="s">
        <v>13</v>
      </c>
      <c r="H3" s="8" t="s">
        <v>12</v>
      </c>
    </row>
    <row r="4" spans="1:8" x14ac:dyDescent="0.2">
      <c r="A4" s="3">
        <v>402030028</v>
      </c>
      <c r="B4" s="4" t="s">
        <v>107</v>
      </c>
      <c r="C4" s="4" t="s">
        <v>305</v>
      </c>
      <c r="D4" s="3">
        <v>1</v>
      </c>
      <c r="E4" s="3" t="s">
        <v>16</v>
      </c>
      <c r="F4" s="3" t="s">
        <v>289</v>
      </c>
      <c r="G4" s="3" t="s">
        <v>23</v>
      </c>
      <c r="H4" s="3" t="s">
        <v>306</v>
      </c>
    </row>
    <row r="5" spans="1:8" x14ac:dyDescent="0.2">
      <c r="A5" s="3">
        <v>3060503002</v>
      </c>
      <c r="B5" s="4" t="s">
        <v>21</v>
      </c>
      <c r="C5" s="4" t="s">
        <v>22</v>
      </c>
      <c r="D5" s="3">
        <v>1</v>
      </c>
      <c r="E5" s="3" t="s">
        <v>16</v>
      </c>
      <c r="F5" s="3" t="s">
        <v>289</v>
      </c>
      <c r="G5" s="3" t="s">
        <v>23</v>
      </c>
      <c r="H5" s="3" t="s">
        <v>18</v>
      </c>
    </row>
    <row r="6" spans="1:8" x14ac:dyDescent="0.2">
      <c r="A6" s="3">
        <v>3030314005</v>
      </c>
      <c r="B6" s="4" t="s">
        <v>394</v>
      </c>
      <c r="C6" s="4" t="s">
        <v>395</v>
      </c>
      <c r="D6" s="3">
        <v>1</v>
      </c>
      <c r="E6" s="3" t="s">
        <v>16</v>
      </c>
      <c r="F6" s="3" t="s">
        <v>291</v>
      </c>
      <c r="G6" s="3" t="s">
        <v>26</v>
      </c>
      <c r="H6" s="3" t="s">
        <v>18</v>
      </c>
    </row>
    <row r="7" spans="1:8" x14ac:dyDescent="0.2">
      <c r="A7" s="3">
        <v>404010128</v>
      </c>
      <c r="B7" s="4" t="s">
        <v>30</v>
      </c>
      <c r="C7" s="4" t="s">
        <v>624</v>
      </c>
      <c r="D7" s="3">
        <v>1</v>
      </c>
      <c r="E7" s="3" t="s">
        <v>16</v>
      </c>
      <c r="F7" s="3" t="s">
        <v>289</v>
      </c>
      <c r="G7" s="3" t="s">
        <v>23</v>
      </c>
      <c r="H7" s="3" t="s">
        <v>33</v>
      </c>
    </row>
    <row r="8" spans="1:8" x14ac:dyDescent="0.2">
      <c r="A8" s="3">
        <v>404090103</v>
      </c>
      <c r="B8" s="4" t="s">
        <v>30</v>
      </c>
      <c r="C8" s="4" t="s">
        <v>625</v>
      </c>
      <c r="D8" s="3">
        <v>1</v>
      </c>
      <c r="E8" s="3" t="s">
        <v>16</v>
      </c>
      <c r="F8" s="3" t="s">
        <v>301</v>
      </c>
      <c r="G8" s="3" t="s">
        <v>32</v>
      </c>
      <c r="H8" s="3" t="s">
        <v>33</v>
      </c>
    </row>
    <row r="9" spans="1:8" x14ac:dyDescent="0.2">
      <c r="A9" s="3">
        <v>401020306</v>
      </c>
      <c r="B9" s="4" t="s">
        <v>35</v>
      </c>
      <c r="C9" s="4" t="s">
        <v>626</v>
      </c>
      <c r="D9" s="3">
        <v>1</v>
      </c>
      <c r="E9" s="3" t="s">
        <v>16</v>
      </c>
      <c r="F9" s="3" t="s">
        <v>301</v>
      </c>
      <c r="G9" s="3" t="s">
        <v>32</v>
      </c>
      <c r="H9" s="3" t="s">
        <v>33</v>
      </c>
    </row>
    <row r="10" spans="1:8" x14ac:dyDescent="0.2">
      <c r="A10" s="3">
        <v>3080102003</v>
      </c>
      <c r="B10" s="4" t="s">
        <v>38</v>
      </c>
      <c r="C10" s="4" t="s">
        <v>39</v>
      </c>
      <c r="D10" s="3">
        <v>1</v>
      </c>
      <c r="E10" s="3" t="s">
        <v>16</v>
      </c>
      <c r="F10" s="3" t="s">
        <v>289</v>
      </c>
      <c r="G10" s="3" t="s">
        <v>23</v>
      </c>
      <c r="H10" s="3" t="s">
        <v>40</v>
      </c>
    </row>
    <row r="11" spans="1:8" x14ac:dyDescent="0.2">
      <c r="A11" s="3">
        <v>3080401014</v>
      </c>
      <c r="B11" s="4" t="s">
        <v>41</v>
      </c>
      <c r="C11" s="4" t="s">
        <v>417</v>
      </c>
      <c r="D11" s="3">
        <v>4</v>
      </c>
      <c r="E11" s="3" t="s">
        <v>16</v>
      </c>
      <c r="F11" s="3" t="s">
        <v>291</v>
      </c>
      <c r="G11" s="3" t="s">
        <v>26</v>
      </c>
      <c r="H11" s="3" t="s">
        <v>40</v>
      </c>
    </row>
    <row r="12" spans="1:8" x14ac:dyDescent="0.2">
      <c r="A12" s="3">
        <v>3080104014</v>
      </c>
      <c r="B12" s="4" t="s">
        <v>45</v>
      </c>
      <c r="C12" s="4" t="s">
        <v>312</v>
      </c>
      <c r="D12" s="3">
        <v>2</v>
      </c>
      <c r="E12" s="3" t="s">
        <v>16</v>
      </c>
      <c r="F12" s="3" t="s">
        <v>293</v>
      </c>
      <c r="G12" s="3" t="s">
        <v>29</v>
      </c>
      <c r="H12" s="3" t="s">
        <v>40</v>
      </c>
    </row>
    <row r="13" spans="1:8" x14ac:dyDescent="0.2">
      <c r="A13" s="3">
        <v>3080104079</v>
      </c>
      <c r="B13" s="4" t="s">
        <v>45</v>
      </c>
      <c r="C13" s="4" t="s">
        <v>627</v>
      </c>
      <c r="D13" s="3">
        <v>4</v>
      </c>
      <c r="E13" s="3" t="s">
        <v>16</v>
      </c>
      <c r="F13" s="3" t="s">
        <v>291</v>
      </c>
      <c r="G13" s="3" t="s">
        <v>26</v>
      </c>
      <c r="H13" s="3" t="s">
        <v>40</v>
      </c>
    </row>
    <row r="14" spans="1:8" x14ac:dyDescent="0.2">
      <c r="A14" s="3">
        <v>3080104099</v>
      </c>
      <c r="B14" s="4" t="s">
        <v>45</v>
      </c>
      <c r="C14" s="4" t="s">
        <v>419</v>
      </c>
      <c r="D14" s="3">
        <v>2</v>
      </c>
      <c r="E14" s="3" t="s">
        <v>16</v>
      </c>
      <c r="F14" s="3" t="s">
        <v>291</v>
      </c>
      <c r="G14" s="3" t="s">
        <v>26</v>
      </c>
      <c r="H14" s="3" t="s">
        <v>40</v>
      </c>
    </row>
    <row r="15" spans="1:8" x14ac:dyDescent="0.2">
      <c r="A15" s="3">
        <v>3080105004</v>
      </c>
      <c r="B15" s="4" t="s">
        <v>50</v>
      </c>
      <c r="C15" s="4" t="s">
        <v>54</v>
      </c>
      <c r="D15" s="3">
        <v>1</v>
      </c>
      <c r="E15" s="3" t="s">
        <v>16</v>
      </c>
      <c r="F15" s="3" t="s">
        <v>289</v>
      </c>
      <c r="G15" s="3" t="s">
        <v>23</v>
      </c>
      <c r="H15" s="3" t="s">
        <v>40</v>
      </c>
    </row>
    <row r="16" spans="1:8" x14ac:dyDescent="0.2">
      <c r="A16" s="3">
        <v>3080105114</v>
      </c>
      <c r="B16" s="4" t="s">
        <v>50</v>
      </c>
      <c r="C16" s="4" t="s">
        <v>53</v>
      </c>
      <c r="D16" s="3">
        <v>4</v>
      </c>
      <c r="E16" s="3" t="s">
        <v>16</v>
      </c>
      <c r="F16" s="3" t="s">
        <v>289</v>
      </c>
      <c r="G16" s="3" t="s">
        <v>23</v>
      </c>
      <c r="H16" s="3" t="s">
        <v>40</v>
      </c>
    </row>
    <row r="17" spans="1:8" x14ac:dyDescent="0.2">
      <c r="A17" s="3">
        <v>3080105114</v>
      </c>
      <c r="B17" s="4" t="s">
        <v>50</v>
      </c>
      <c r="C17" s="4" t="s">
        <v>53</v>
      </c>
      <c r="D17" s="3">
        <v>4</v>
      </c>
      <c r="E17" s="3" t="s">
        <v>16</v>
      </c>
      <c r="F17" s="3" t="s">
        <v>289</v>
      </c>
      <c r="G17" s="3" t="s">
        <v>23</v>
      </c>
      <c r="H17" s="3" t="s">
        <v>40</v>
      </c>
    </row>
    <row r="18" spans="1:8" x14ac:dyDescent="0.2">
      <c r="A18" s="3">
        <v>3080105007</v>
      </c>
      <c r="B18" s="4" t="s">
        <v>50</v>
      </c>
      <c r="C18" s="4" t="s">
        <v>52</v>
      </c>
      <c r="D18" s="3">
        <v>8</v>
      </c>
      <c r="E18" s="3" t="s">
        <v>16</v>
      </c>
      <c r="F18" s="3" t="s">
        <v>289</v>
      </c>
      <c r="G18" s="3" t="s">
        <v>23</v>
      </c>
      <c r="H18" s="3" t="s">
        <v>40</v>
      </c>
    </row>
    <row r="19" spans="1:8" x14ac:dyDescent="0.2">
      <c r="A19" s="3">
        <v>3080105007</v>
      </c>
      <c r="B19" s="4" t="s">
        <v>50</v>
      </c>
      <c r="C19" s="4" t="s">
        <v>52</v>
      </c>
      <c r="D19" s="3">
        <v>2</v>
      </c>
      <c r="E19" s="3" t="s">
        <v>16</v>
      </c>
      <c r="F19" s="3" t="s">
        <v>293</v>
      </c>
      <c r="G19" s="3" t="s">
        <v>29</v>
      </c>
      <c r="H19" s="3" t="s">
        <v>40</v>
      </c>
    </row>
    <row r="20" spans="1:8" x14ac:dyDescent="0.2">
      <c r="A20" s="3">
        <v>3080105068</v>
      </c>
      <c r="B20" s="4" t="s">
        <v>50</v>
      </c>
      <c r="C20" s="4" t="s">
        <v>314</v>
      </c>
      <c r="D20" s="3">
        <v>10</v>
      </c>
      <c r="E20" s="3" t="s">
        <v>16</v>
      </c>
      <c r="F20" s="3" t="s">
        <v>293</v>
      </c>
      <c r="G20" s="3" t="s">
        <v>29</v>
      </c>
      <c r="H20" s="3" t="s">
        <v>40</v>
      </c>
    </row>
    <row r="21" spans="1:8" x14ac:dyDescent="0.2">
      <c r="A21" s="3">
        <v>3080105033</v>
      </c>
      <c r="B21" s="4" t="s">
        <v>50</v>
      </c>
      <c r="C21" s="4" t="s">
        <v>628</v>
      </c>
      <c r="D21" s="3">
        <v>4</v>
      </c>
      <c r="E21" s="3" t="s">
        <v>16</v>
      </c>
      <c r="F21" s="3" t="s">
        <v>293</v>
      </c>
      <c r="G21" s="3" t="s">
        <v>29</v>
      </c>
      <c r="H21" s="3" t="s">
        <v>40</v>
      </c>
    </row>
    <row r="22" spans="1:8" x14ac:dyDescent="0.2">
      <c r="A22" s="3">
        <v>3080105040</v>
      </c>
      <c r="B22" s="4" t="s">
        <v>50</v>
      </c>
      <c r="C22" s="4" t="s">
        <v>421</v>
      </c>
      <c r="D22" s="3">
        <v>2</v>
      </c>
      <c r="E22" s="3" t="s">
        <v>16</v>
      </c>
      <c r="F22" s="3" t="s">
        <v>291</v>
      </c>
      <c r="G22" s="3" t="s">
        <v>26</v>
      </c>
      <c r="H22" s="3" t="s">
        <v>40</v>
      </c>
    </row>
    <row r="23" spans="1:8" x14ac:dyDescent="0.2">
      <c r="A23" s="3">
        <v>3080105043</v>
      </c>
      <c r="B23" s="4" t="s">
        <v>50</v>
      </c>
      <c r="C23" s="4" t="s">
        <v>629</v>
      </c>
      <c r="D23" s="3">
        <v>6</v>
      </c>
      <c r="E23" s="3" t="s">
        <v>16</v>
      </c>
      <c r="F23" s="3" t="s">
        <v>291</v>
      </c>
      <c r="G23" s="3" t="s">
        <v>26</v>
      </c>
      <c r="H23" s="3" t="s">
        <v>40</v>
      </c>
    </row>
    <row r="24" spans="1:8" x14ac:dyDescent="0.2">
      <c r="A24" s="3">
        <v>3080501013</v>
      </c>
      <c r="B24" s="4" t="s">
        <v>57</v>
      </c>
      <c r="C24" s="4" t="s">
        <v>58</v>
      </c>
      <c r="D24" s="3">
        <v>2</v>
      </c>
      <c r="E24" s="3" t="s">
        <v>16</v>
      </c>
      <c r="F24" s="3" t="s">
        <v>293</v>
      </c>
      <c r="G24" s="3" t="s">
        <v>29</v>
      </c>
      <c r="H24" s="3" t="s">
        <v>40</v>
      </c>
    </row>
    <row r="25" spans="1:8" x14ac:dyDescent="0.2">
      <c r="A25" s="3">
        <v>3080501003</v>
      </c>
      <c r="B25" s="4" t="s">
        <v>57</v>
      </c>
      <c r="C25" s="4" t="s">
        <v>630</v>
      </c>
      <c r="D25" s="3">
        <v>2</v>
      </c>
      <c r="E25" s="3" t="s">
        <v>16</v>
      </c>
      <c r="F25" s="3" t="s">
        <v>291</v>
      </c>
      <c r="G25" s="3" t="s">
        <v>26</v>
      </c>
      <c r="H25" s="3" t="s">
        <v>40</v>
      </c>
    </row>
    <row r="26" spans="1:8" x14ac:dyDescent="0.2">
      <c r="A26" s="3">
        <v>3080106015</v>
      </c>
      <c r="B26" s="4" t="s">
        <v>66</v>
      </c>
      <c r="C26" s="4" t="s">
        <v>631</v>
      </c>
      <c r="D26" s="3">
        <v>4</v>
      </c>
      <c r="E26" s="3" t="s">
        <v>16</v>
      </c>
      <c r="F26" s="3" t="s">
        <v>291</v>
      </c>
      <c r="G26" s="3" t="s">
        <v>26</v>
      </c>
      <c r="H26" s="3" t="s">
        <v>40</v>
      </c>
    </row>
    <row r="27" spans="1:8" x14ac:dyDescent="0.2">
      <c r="A27" s="3">
        <v>3080107038</v>
      </c>
      <c r="B27" s="4" t="s">
        <v>69</v>
      </c>
      <c r="C27" s="4" t="s">
        <v>72</v>
      </c>
      <c r="D27" s="3">
        <v>2</v>
      </c>
      <c r="E27" s="3" t="s">
        <v>16</v>
      </c>
      <c r="F27" s="3" t="s">
        <v>289</v>
      </c>
      <c r="G27" s="3" t="s">
        <v>23</v>
      </c>
      <c r="H27" s="3" t="s">
        <v>40</v>
      </c>
    </row>
    <row r="28" spans="1:8" x14ac:dyDescent="0.2">
      <c r="A28" s="3">
        <v>3080107014</v>
      </c>
      <c r="B28" s="4" t="s">
        <v>69</v>
      </c>
      <c r="C28" s="4" t="s">
        <v>322</v>
      </c>
      <c r="D28" s="3">
        <v>2</v>
      </c>
      <c r="E28" s="3" t="s">
        <v>16</v>
      </c>
      <c r="F28" s="3" t="s">
        <v>291</v>
      </c>
      <c r="G28" s="3" t="s">
        <v>26</v>
      </c>
      <c r="H28" s="3" t="s">
        <v>40</v>
      </c>
    </row>
    <row r="29" spans="1:8" x14ac:dyDescent="0.2">
      <c r="A29" s="3">
        <v>3080107072</v>
      </c>
      <c r="B29" s="4" t="s">
        <v>69</v>
      </c>
      <c r="C29" s="4" t="s">
        <v>435</v>
      </c>
      <c r="D29" s="3">
        <v>4</v>
      </c>
      <c r="E29" s="3" t="s">
        <v>16</v>
      </c>
      <c r="F29" s="3" t="s">
        <v>291</v>
      </c>
      <c r="G29" s="3" t="s">
        <v>26</v>
      </c>
      <c r="H29" s="3" t="s">
        <v>40</v>
      </c>
    </row>
    <row r="30" spans="1:8" x14ac:dyDescent="0.2">
      <c r="A30" s="3">
        <v>3080110010</v>
      </c>
      <c r="B30" s="4" t="s">
        <v>632</v>
      </c>
      <c r="C30" s="4" t="s">
        <v>633</v>
      </c>
      <c r="D30" s="3">
        <v>2</v>
      </c>
      <c r="E30" s="3" t="s">
        <v>16</v>
      </c>
      <c r="F30" s="3" t="s">
        <v>291</v>
      </c>
      <c r="G30" s="3" t="s">
        <v>26</v>
      </c>
      <c r="H30" s="3" t="s">
        <v>40</v>
      </c>
    </row>
    <row r="31" spans="1:8" x14ac:dyDescent="0.2">
      <c r="A31" s="3">
        <v>3080111087</v>
      </c>
      <c r="B31" s="4" t="s">
        <v>79</v>
      </c>
      <c r="C31" s="4" t="s">
        <v>80</v>
      </c>
      <c r="D31" s="3">
        <v>7</v>
      </c>
      <c r="E31" s="3" t="s">
        <v>16</v>
      </c>
      <c r="F31" s="3" t="s">
        <v>291</v>
      </c>
      <c r="G31" s="3" t="s">
        <v>26</v>
      </c>
      <c r="H31" s="3" t="s">
        <v>40</v>
      </c>
    </row>
    <row r="32" spans="1:8" x14ac:dyDescent="0.2">
      <c r="A32" s="3">
        <v>3080111087</v>
      </c>
      <c r="B32" s="4" t="s">
        <v>79</v>
      </c>
      <c r="C32" s="4" t="s">
        <v>80</v>
      </c>
      <c r="D32" s="3">
        <v>9</v>
      </c>
      <c r="E32" s="3" t="s">
        <v>16</v>
      </c>
      <c r="F32" s="3" t="s">
        <v>291</v>
      </c>
      <c r="G32" s="3" t="s">
        <v>26</v>
      </c>
      <c r="H32" s="3" t="s">
        <v>40</v>
      </c>
    </row>
    <row r="33" spans="1:8" x14ac:dyDescent="0.2">
      <c r="A33" s="3">
        <v>3080111087</v>
      </c>
      <c r="B33" s="4" t="s">
        <v>79</v>
      </c>
      <c r="C33" s="4" t="s">
        <v>80</v>
      </c>
      <c r="D33" s="3">
        <v>4</v>
      </c>
      <c r="E33" s="3" t="s">
        <v>16</v>
      </c>
      <c r="F33" s="3" t="s">
        <v>291</v>
      </c>
      <c r="G33" s="3" t="s">
        <v>26</v>
      </c>
      <c r="H33" s="3" t="s">
        <v>40</v>
      </c>
    </row>
    <row r="34" spans="1:8" x14ac:dyDescent="0.2">
      <c r="A34" s="3">
        <v>3080111074</v>
      </c>
      <c r="B34" s="4" t="s">
        <v>79</v>
      </c>
      <c r="C34" s="4" t="s">
        <v>634</v>
      </c>
      <c r="D34" s="3">
        <v>4</v>
      </c>
      <c r="E34" s="3" t="s">
        <v>16</v>
      </c>
      <c r="F34" s="3" t="s">
        <v>291</v>
      </c>
      <c r="G34" s="3" t="s">
        <v>26</v>
      </c>
      <c r="H34" s="3" t="s">
        <v>40</v>
      </c>
    </row>
    <row r="35" spans="1:8" x14ac:dyDescent="0.2">
      <c r="A35" s="3">
        <v>407030075</v>
      </c>
      <c r="B35" s="4" t="s">
        <v>81</v>
      </c>
      <c r="C35" s="4" t="s">
        <v>635</v>
      </c>
      <c r="D35" s="3">
        <v>1</v>
      </c>
      <c r="E35" s="3" t="s">
        <v>16</v>
      </c>
      <c r="F35" s="3" t="s">
        <v>301</v>
      </c>
      <c r="G35" s="3" t="s">
        <v>32</v>
      </c>
      <c r="H35" s="3" t="s">
        <v>40</v>
      </c>
    </row>
    <row r="36" spans="1:8" x14ac:dyDescent="0.2">
      <c r="A36" s="3">
        <v>3030101051</v>
      </c>
      <c r="B36" s="4" t="s">
        <v>636</v>
      </c>
      <c r="C36" s="4" t="s">
        <v>637</v>
      </c>
      <c r="D36" s="3">
        <v>1</v>
      </c>
      <c r="E36" s="3" t="s">
        <v>16</v>
      </c>
      <c r="F36" s="3" t="s">
        <v>291</v>
      </c>
      <c r="G36" s="3" t="s">
        <v>26</v>
      </c>
      <c r="H36" s="3" t="s">
        <v>88</v>
      </c>
    </row>
    <row r="37" spans="1:8" x14ac:dyDescent="0.2">
      <c r="A37" s="3">
        <v>3099990104</v>
      </c>
      <c r="B37" s="4" t="s">
        <v>104</v>
      </c>
      <c r="C37" s="4" t="s">
        <v>448</v>
      </c>
      <c r="D37" s="3">
        <v>1</v>
      </c>
      <c r="E37" s="3" t="s">
        <v>16</v>
      </c>
      <c r="F37" s="3" t="s">
        <v>299</v>
      </c>
      <c r="G37" s="3" t="s">
        <v>106</v>
      </c>
      <c r="H37" s="3" t="s">
        <v>103</v>
      </c>
    </row>
    <row r="38" spans="1:8" x14ac:dyDescent="0.2">
      <c r="A38" s="3">
        <v>3099990704</v>
      </c>
      <c r="B38" s="4" t="s">
        <v>449</v>
      </c>
      <c r="C38" s="4" t="s">
        <v>450</v>
      </c>
      <c r="D38" s="3">
        <v>1</v>
      </c>
      <c r="E38" s="3" t="s">
        <v>16</v>
      </c>
      <c r="F38" s="3" t="s">
        <v>299</v>
      </c>
      <c r="G38" s="3" t="s">
        <v>106</v>
      </c>
      <c r="H38" s="3" t="s">
        <v>103</v>
      </c>
    </row>
    <row r="39" spans="1:8" x14ac:dyDescent="0.2">
      <c r="A39" s="3">
        <v>3099990604</v>
      </c>
      <c r="B39" s="4" t="s">
        <v>451</v>
      </c>
      <c r="C39" s="4" t="s">
        <v>450</v>
      </c>
      <c r="D39" s="3">
        <v>1</v>
      </c>
      <c r="E39" s="3" t="s">
        <v>16</v>
      </c>
      <c r="F39" s="3" t="s">
        <v>299</v>
      </c>
      <c r="G39" s="3" t="s">
        <v>106</v>
      </c>
      <c r="H39" s="3" t="s">
        <v>103</v>
      </c>
    </row>
    <row r="40" spans="1:8" x14ac:dyDescent="0.2">
      <c r="A40" s="3">
        <v>402030019</v>
      </c>
      <c r="B40" s="4" t="s">
        <v>107</v>
      </c>
      <c r="C40" s="4" t="s">
        <v>638</v>
      </c>
      <c r="D40" s="3">
        <v>2</v>
      </c>
      <c r="E40" s="3" t="s">
        <v>16</v>
      </c>
      <c r="F40" s="3" t="s">
        <v>293</v>
      </c>
      <c r="G40" s="3" t="s">
        <v>29</v>
      </c>
      <c r="H40" s="3" t="s">
        <v>109</v>
      </c>
    </row>
    <row r="41" spans="1:8" x14ac:dyDescent="0.2">
      <c r="A41" s="3">
        <v>402030027</v>
      </c>
      <c r="B41" s="4" t="s">
        <v>107</v>
      </c>
      <c r="C41" s="4" t="s">
        <v>110</v>
      </c>
      <c r="D41" s="3">
        <v>1</v>
      </c>
      <c r="E41" s="3" t="s">
        <v>16</v>
      </c>
      <c r="F41" s="3" t="s">
        <v>291</v>
      </c>
      <c r="G41" s="3" t="s">
        <v>26</v>
      </c>
      <c r="H41" s="3" t="s">
        <v>109</v>
      </c>
    </row>
    <row r="42" spans="1:8" x14ac:dyDescent="0.2">
      <c r="A42" s="3">
        <v>3060209002</v>
      </c>
      <c r="B42" s="4" t="s">
        <v>113</v>
      </c>
      <c r="C42" s="4" t="s">
        <v>114</v>
      </c>
      <c r="D42" s="3">
        <v>2</v>
      </c>
      <c r="E42" s="3" t="s">
        <v>16</v>
      </c>
      <c r="F42" s="3" t="s">
        <v>289</v>
      </c>
      <c r="G42" s="3" t="s">
        <v>23</v>
      </c>
      <c r="H42" s="3" t="s">
        <v>115</v>
      </c>
    </row>
    <row r="43" spans="1:8" x14ac:dyDescent="0.2">
      <c r="A43" s="3">
        <v>3040113002</v>
      </c>
      <c r="B43" s="4" t="s">
        <v>118</v>
      </c>
      <c r="C43" s="4" t="s">
        <v>119</v>
      </c>
      <c r="D43" s="3">
        <v>2</v>
      </c>
      <c r="E43" s="3" t="s">
        <v>16</v>
      </c>
      <c r="F43" s="3" t="s">
        <v>293</v>
      </c>
      <c r="G43" s="3" t="s">
        <v>29</v>
      </c>
      <c r="H43" s="3" t="s">
        <v>115</v>
      </c>
    </row>
    <row r="44" spans="1:8" x14ac:dyDescent="0.2">
      <c r="A44" s="3">
        <v>3040216001</v>
      </c>
      <c r="B44" s="4" t="s">
        <v>328</v>
      </c>
      <c r="C44" s="4" t="s">
        <v>329</v>
      </c>
      <c r="D44" s="3">
        <v>4</v>
      </c>
      <c r="E44" s="3" t="s">
        <v>16</v>
      </c>
      <c r="F44" s="3" t="s">
        <v>293</v>
      </c>
      <c r="G44" s="3" t="s">
        <v>29</v>
      </c>
      <c r="H44" s="3" t="s">
        <v>115</v>
      </c>
    </row>
    <row r="45" spans="1:8" x14ac:dyDescent="0.2">
      <c r="A45" s="3">
        <v>3050203003</v>
      </c>
      <c r="B45" s="4" t="s">
        <v>120</v>
      </c>
      <c r="C45" s="4" t="s">
        <v>457</v>
      </c>
      <c r="D45" s="3">
        <v>2</v>
      </c>
      <c r="E45" s="3" t="s">
        <v>16</v>
      </c>
      <c r="F45" s="3" t="s">
        <v>291</v>
      </c>
      <c r="G45" s="3" t="s">
        <v>26</v>
      </c>
      <c r="H45" s="3" t="s">
        <v>115</v>
      </c>
    </row>
    <row r="46" spans="1:8" x14ac:dyDescent="0.2">
      <c r="A46" s="3">
        <v>3030204008</v>
      </c>
      <c r="B46" s="4" t="s">
        <v>122</v>
      </c>
      <c r="C46" s="4" t="s">
        <v>123</v>
      </c>
      <c r="D46" s="3">
        <v>1</v>
      </c>
      <c r="E46" s="3" t="s">
        <v>16</v>
      </c>
      <c r="F46" s="3" t="s">
        <v>291</v>
      </c>
      <c r="G46" s="3" t="s">
        <v>26</v>
      </c>
      <c r="H46" s="3" t="s">
        <v>115</v>
      </c>
    </row>
    <row r="47" spans="1:8" x14ac:dyDescent="0.2">
      <c r="A47" s="3">
        <v>401040438</v>
      </c>
      <c r="B47" s="4" t="s">
        <v>35</v>
      </c>
      <c r="C47" s="4" t="s">
        <v>639</v>
      </c>
      <c r="D47" s="3">
        <v>1</v>
      </c>
      <c r="E47" s="3" t="s">
        <v>16</v>
      </c>
      <c r="F47" s="3" t="s">
        <v>291</v>
      </c>
      <c r="G47" s="3" t="s">
        <v>26</v>
      </c>
      <c r="H47" s="3" t="s">
        <v>134</v>
      </c>
    </row>
    <row r="48" spans="1:8" x14ac:dyDescent="0.2">
      <c r="A48" s="3">
        <v>3990207001</v>
      </c>
      <c r="B48" s="4" t="s">
        <v>140</v>
      </c>
      <c r="C48" s="4" t="s">
        <v>141</v>
      </c>
      <c r="D48" s="3">
        <v>1</v>
      </c>
      <c r="E48" s="3" t="s">
        <v>16</v>
      </c>
      <c r="F48" s="3" t="s">
        <v>285</v>
      </c>
      <c r="G48" s="3" t="s">
        <v>142</v>
      </c>
      <c r="H48" s="3" t="s">
        <v>143</v>
      </c>
    </row>
    <row r="49" spans="1:8" x14ac:dyDescent="0.2">
      <c r="A49" s="3">
        <v>3030301005</v>
      </c>
      <c r="B49" s="4" t="s">
        <v>144</v>
      </c>
      <c r="C49" s="4" t="s">
        <v>145</v>
      </c>
      <c r="D49" s="3">
        <v>2</v>
      </c>
      <c r="E49" s="3" t="s">
        <v>16</v>
      </c>
      <c r="F49" s="3" t="s">
        <v>291</v>
      </c>
      <c r="G49" s="3" t="s">
        <v>26</v>
      </c>
      <c r="H49" s="3" t="s">
        <v>143</v>
      </c>
    </row>
    <row r="50" spans="1:8" x14ac:dyDescent="0.2">
      <c r="A50" s="3">
        <v>3990205003</v>
      </c>
      <c r="B50" s="4" t="s">
        <v>146</v>
      </c>
      <c r="C50" s="4" t="s">
        <v>460</v>
      </c>
      <c r="D50" s="3">
        <v>1</v>
      </c>
      <c r="E50" s="3" t="s">
        <v>16</v>
      </c>
      <c r="F50" s="3" t="s">
        <v>287</v>
      </c>
      <c r="G50" s="3" t="s">
        <v>148</v>
      </c>
      <c r="H50" s="3" t="s">
        <v>143</v>
      </c>
    </row>
    <row r="51" spans="1:8" x14ac:dyDescent="0.2">
      <c r="A51" s="3">
        <v>3070103002</v>
      </c>
      <c r="B51" s="4" t="s">
        <v>152</v>
      </c>
      <c r="C51" s="4" t="s">
        <v>153</v>
      </c>
      <c r="D51" s="3">
        <v>1</v>
      </c>
      <c r="E51" s="3" t="s">
        <v>16</v>
      </c>
      <c r="F51" s="3" t="s">
        <v>289</v>
      </c>
      <c r="G51" s="3" t="s">
        <v>23</v>
      </c>
      <c r="H51" s="3" t="s">
        <v>154</v>
      </c>
    </row>
    <row r="52" spans="1:8" x14ac:dyDescent="0.2">
      <c r="A52" s="3">
        <v>3080507001</v>
      </c>
      <c r="B52" s="4" t="s">
        <v>466</v>
      </c>
      <c r="C52" s="4" t="s">
        <v>467</v>
      </c>
      <c r="D52" s="3">
        <v>4</v>
      </c>
      <c r="E52" s="3" t="s">
        <v>16</v>
      </c>
      <c r="F52" s="3" t="s">
        <v>291</v>
      </c>
      <c r="G52" s="3" t="s">
        <v>26</v>
      </c>
      <c r="H52" s="3" t="s">
        <v>154</v>
      </c>
    </row>
    <row r="53" spans="1:8" x14ac:dyDescent="0.2">
      <c r="A53" s="3">
        <v>3050206006</v>
      </c>
      <c r="B53" s="4" t="s">
        <v>640</v>
      </c>
      <c r="C53" s="4" t="s">
        <v>641</v>
      </c>
      <c r="D53" s="3">
        <v>1</v>
      </c>
      <c r="E53" s="3" t="s">
        <v>16</v>
      </c>
      <c r="F53" s="3" t="s">
        <v>291</v>
      </c>
      <c r="G53" s="3" t="s">
        <v>26</v>
      </c>
      <c r="H53" s="3" t="s">
        <v>154</v>
      </c>
    </row>
    <row r="54" spans="1:8" x14ac:dyDescent="0.2">
      <c r="A54" s="3">
        <v>3060501013</v>
      </c>
      <c r="B54" s="4" t="s">
        <v>224</v>
      </c>
      <c r="C54" s="4" t="s">
        <v>642</v>
      </c>
      <c r="D54" s="3">
        <v>1</v>
      </c>
      <c r="E54" s="3" t="s">
        <v>16</v>
      </c>
      <c r="F54" s="3" t="s">
        <v>289</v>
      </c>
      <c r="G54" s="3" t="s">
        <v>23</v>
      </c>
      <c r="H54" s="3" t="s">
        <v>165</v>
      </c>
    </row>
    <row r="55" spans="1:8" x14ac:dyDescent="0.2">
      <c r="A55" s="3">
        <v>3060306001</v>
      </c>
      <c r="B55" s="4" t="s">
        <v>163</v>
      </c>
      <c r="C55" s="4" t="s">
        <v>164</v>
      </c>
      <c r="D55" s="3">
        <v>1</v>
      </c>
      <c r="E55" s="3" t="s">
        <v>16</v>
      </c>
      <c r="F55" s="3" t="s">
        <v>289</v>
      </c>
      <c r="G55" s="3" t="s">
        <v>23</v>
      </c>
      <c r="H55" s="3" t="s">
        <v>165</v>
      </c>
    </row>
    <row r="56" spans="1:8" x14ac:dyDescent="0.2">
      <c r="A56" s="3">
        <v>3110103002</v>
      </c>
      <c r="B56" s="4" t="s">
        <v>473</v>
      </c>
      <c r="C56" s="4" t="s">
        <v>474</v>
      </c>
      <c r="D56" s="3">
        <v>1</v>
      </c>
      <c r="E56" s="3" t="s">
        <v>16</v>
      </c>
      <c r="F56" s="3" t="s">
        <v>291</v>
      </c>
      <c r="G56" s="3" t="s">
        <v>26</v>
      </c>
      <c r="H56" s="3" t="s">
        <v>165</v>
      </c>
    </row>
    <row r="57" spans="1:8" x14ac:dyDescent="0.2">
      <c r="A57" s="3">
        <v>3030314007</v>
      </c>
      <c r="B57" s="4" t="s">
        <v>477</v>
      </c>
      <c r="C57" s="4" t="s">
        <v>478</v>
      </c>
      <c r="D57" s="3">
        <v>1</v>
      </c>
      <c r="E57" s="3" t="s">
        <v>16</v>
      </c>
      <c r="F57" s="3" t="s">
        <v>291</v>
      </c>
      <c r="G57" s="3" t="s">
        <v>26</v>
      </c>
      <c r="H57" s="3" t="s">
        <v>165</v>
      </c>
    </row>
    <row r="58" spans="1:8" x14ac:dyDescent="0.2">
      <c r="A58" s="3">
        <v>3030308013</v>
      </c>
      <c r="B58" s="4" t="s">
        <v>479</v>
      </c>
      <c r="C58" s="4" t="s">
        <v>478</v>
      </c>
      <c r="D58" s="3">
        <v>1</v>
      </c>
      <c r="E58" s="3" t="s">
        <v>16</v>
      </c>
      <c r="F58" s="3" t="s">
        <v>291</v>
      </c>
      <c r="G58" s="3" t="s">
        <v>26</v>
      </c>
      <c r="H58" s="3" t="s">
        <v>165</v>
      </c>
    </row>
    <row r="59" spans="1:8" x14ac:dyDescent="0.2">
      <c r="A59" s="3">
        <v>3010106010</v>
      </c>
      <c r="B59" s="4" t="s">
        <v>481</v>
      </c>
      <c r="C59" s="4" t="s">
        <v>482</v>
      </c>
      <c r="D59" s="3">
        <v>0.03</v>
      </c>
      <c r="E59" s="3" t="s">
        <v>10</v>
      </c>
      <c r="F59" s="3" t="s">
        <v>284</v>
      </c>
      <c r="G59" s="3" t="s">
        <v>11</v>
      </c>
      <c r="H59" s="3" t="s">
        <v>483</v>
      </c>
    </row>
    <row r="60" spans="1:8" x14ac:dyDescent="0.2">
      <c r="A60" s="3">
        <v>3060310001</v>
      </c>
      <c r="B60" s="4" t="s">
        <v>171</v>
      </c>
      <c r="C60" s="4" t="s">
        <v>172</v>
      </c>
      <c r="D60" s="3">
        <v>1</v>
      </c>
      <c r="E60" s="3" t="s">
        <v>16</v>
      </c>
      <c r="F60" s="3" t="s">
        <v>289</v>
      </c>
      <c r="G60" s="3" t="s">
        <v>23</v>
      </c>
      <c r="H60" s="3" t="s">
        <v>173</v>
      </c>
    </row>
    <row r="61" spans="1:8" x14ac:dyDescent="0.2">
      <c r="A61" s="3">
        <v>3060311001</v>
      </c>
      <c r="B61" s="4" t="s">
        <v>174</v>
      </c>
      <c r="C61" s="4" t="s">
        <v>172</v>
      </c>
      <c r="D61" s="3">
        <v>1</v>
      </c>
      <c r="E61" s="3" t="s">
        <v>16</v>
      </c>
      <c r="F61" s="3" t="s">
        <v>289</v>
      </c>
      <c r="G61" s="3" t="s">
        <v>23</v>
      </c>
      <c r="H61" s="3" t="s">
        <v>173</v>
      </c>
    </row>
    <row r="62" spans="1:8" x14ac:dyDescent="0.2">
      <c r="A62" s="3">
        <v>3040309001</v>
      </c>
      <c r="B62" s="4" t="s">
        <v>346</v>
      </c>
      <c r="C62" s="4" t="s">
        <v>347</v>
      </c>
      <c r="D62" s="3">
        <v>8</v>
      </c>
      <c r="E62" s="3" t="s">
        <v>16</v>
      </c>
      <c r="F62" s="3" t="s">
        <v>293</v>
      </c>
      <c r="G62" s="3" t="s">
        <v>29</v>
      </c>
      <c r="H62" s="3" t="s">
        <v>173</v>
      </c>
    </row>
    <row r="63" spans="1:8" x14ac:dyDescent="0.2">
      <c r="A63" s="3">
        <v>3050304006</v>
      </c>
      <c r="B63" s="4" t="s">
        <v>181</v>
      </c>
      <c r="C63" s="4" t="s">
        <v>491</v>
      </c>
      <c r="D63" s="3">
        <v>1</v>
      </c>
      <c r="E63" s="3" t="s">
        <v>16</v>
      </c>
      <c r="F63" s="3" t="s">
        <v>291</v>
      </c>
      <c r="G63" s="3" t="s">
        <v>26</v>
      </c>
      <c r="H63" s="3" t="s">
        <v>173</v>
      </c>
    </row>
    <row r="64" spans="1:8" x14ac:dyDescent="0.2">
      <c r="A64" s="3">
        <v>3020502023</v>
      </c>
      <c r="B64" s="4" t="s">
        <v>183</v>
      </c>
      <c r="C64" s="4" t="s">
        <v>184</v>
      </c>
      <c r="D64" s="3">
        <v>1</v>
      </c>
      <c r="E64" s="3" t="s">
        <v>16</v>
      </c>
      <c r="F64" s="3" t="s">
        <v>291</v>
      </c>
      <c r="G64" s="3" t="s">
        <v>26</v>
      </c>
      <c r="H64" s="3" t="s">
        <v>185</v>
      </c>
    </row>
    <row r="65" spans="1:8" x14ac:dyDescent="0.2">
      <c r="A65" s="3">
        <v>3110203003</v>
      </c>
      <c r="B65" s="4" t="s">
        <v>189</v>
      </c>
      <c r="C65" s="4" t="s">
        <v>643</v>
      </c>
      <c r="D65" s="3">
        <v>1</v>
      </c>
      <c r="E65" s="3" t="s">
        <v>16</v>
      </c>
      <c r="F65" s="3" t="s">
        <v>291</v>
      </c>
      <c r="G65" s="3" t="s">
        <v>26</v>
      </c>
      <c r="H65" s="3" t="s">
        <v>187</v>
      </c>
    </row>
    <row r="66" spans="1:8" x14ac:dyDescent="0.2">
      <c r="A66" s="3">
        <v>404110034</v>
      </c>
      <c r="B66" s="4" t="s">
        <v>504</v>
      </c>
      <c r="C66" s="4" t="s">
        <v>644</v>
      </c>
      <c r="D66" s="3">
        <v>1</v>
      </c>
      <c r="E66" s="3" t="s">
        <v>16</v>
      </c>
      <c r="F66" s="3" t="s">
        <v>301</v>
      </c>
      <c r="G66" s="3" t="s">
        <v>32</v>
      </c>
      <c r="H66" s="3" t="s">
        <v>198</v>
      </c>
    </row>
    <row r="67" spans="1:8" x14ac:dyDescent="0.2">
      <c r="A67" s="3">
        <v>404110034</v>
      </c>
      <c r="B67" s="4" t="s">
        <v>504</v>
      </c>
      <c r="C67" s="4" t="s">
        <v>644</v>
      </c>
      <c r="D67" s="3">
        <v>1</v>
      </c>
      <c r="E67" s="3" t="s">
        <v>16</v>
      </c>
      <c r="F67" s="3" t="s">
        <v>301</v>
      </c>
      <c r="G67" s="3" t="s">
        <v>32</v>
      </c>
      <c r="H67" s="3" t="s">
        <v>198</v>
      </c>
    </row>
    <row r="68" spans="1:8" x14ac:dyDescent="0.2">
      <c r="A68" s="3">
        <v>401040473</v>
      </c>
      <c r="B68" s="4" t="s">
        <v>35</v>
      </c>
      <c r="C68" s="4" t="s">
        <v>645</v>
      </c>
      <c r="D68" s="3">
        <v>1</v>
      </c>
      <c r="E68" s="3" t="s">
        <v>16</v>
      </c>
      <c r="F68" s="3" t="s">
        <v>293</v>
      </c>
      <c r="G68" s="3" t="s">
        <v>29</v>
      </c>
      <c r="H68" s="3" t="s">
        <v>198</v>
      </c>
    </row>
    <row r="69" spans="1:8" x14ac:dyDescent="0.2">
      <c r="A69" s="3">
        <v>401070022</v>
      </c>
      <c r="B69" s="4" t="s">
        <v>35</v>
      </c>
      <c r="C69" s="4" t="s">
        <v>203</v>
      </c>
      <c r="D69" s="3">
        <v>1</v>
      </c>
      <c r="E69" s="3" t="s">
        <v>16</v>
      </c>
      <c r="F69" s="3" t="s">
        <v>297</v>
      </c>
      <c r="G69" s="3" t="s">
        <v>204</v>
      </c>
      <c r="H69" s="3" t="s">
        <v>198</v>
      </c>
    </row>
    <row r="70" spans="1:8" x14ac:dyDescent="0.2">
      <c r="A70" s="3">
        <v>401070018</v>
      </c>
      <c r="B70" s="4" t="s">
        <v>35</v>
      </c>
      <c r="C70" s="4" t="s">
        <v>202</v>
      </c>
      <c r="D70" s="3">
        <v>1</v>
      </c>
      <c r="E70" s="3" t="s">
        <v>16</v>
      </c>
      <c r="F70" s="3" t="s">
        <v>291</v>
      </c>
      <c r="G70" s="3" t="s">
        <v>26</v>
      </c>
      <c r="H70" s="3" t="s">
        <v>198</v>
      </c>
    </row>
    <row r="71" spans="1:8" x14ac:dyDescent="0.2">
      <c r="A71" s="3">
        <v>3020302013</v>
      </c>
      <c r="B71" s="4" t="s">
        <v>209</v>
      </c>
      <c r="C71" s="4" t="s">
        <v>210</v>
      </c>
      <c r="D71" s="3">
        <v>1</v>
      </c>
      <c r="E71" s="3" t="s">
        <v>16</v>
      </c>
      <c r="F71" s="3" t="s">
        <v>301</v>
      </c>
      <c r="G71" s="3" t="s">
        <v>32</v>
      </c>
      <c r="H71" s="3" t="s">
        <v>211</v>
      </c>
    </row>
    <row r="72" spans="1:8" x14ac:dyDescent="0.2">
      <c r="A72" s="3">
        <v>3049904001</v>
      </c>
      <c r="B72" s="4" t="s">
        <v>354</v>
      </c>
      <c r="C72" s="4" t="s">
        <v>355</v>
      </c>
      <c r="D72" s="3">
        <v>4</v>
      </c>
      <c r="E72" s="3" t="s">
        <v>16</v>
      </c>
      <c r="F72" s="3" t="s">
        <v>293</v>
      </c>
      <c r="G72" s="3" t="s">
        <v>29</v>
      </c>
      <c r="H72" s="3" t="s">
        <v>214</v>
      </c>
    </row>
    <row r="73" spans="1:8" x14ac:dyDescent="0.2">
      <c r="A73" s="3">
        <v>3049902012</v>
      </c>
      <c r="B73" s="4" t="s">
        <v>518</v>
      </c>
      <c r="C73" s="4" t="s">
        <v>646</v>
      </c>
      <c r="D73" s="3">
        <v>2</v>
      </c>
      <c r="E73" s="3" t="s">
        <v>16</v>
      </c>
      <c r="F73" s="3" t="s">
        <v>293</v>
      </c>
      <c r="G73" s="3" t="s">
        <v>29</v>
      </c>
      <c r="H73" s="3" t="s">
        <v>214</v>
      </c>
    </row>
    <row r="74" spans="1:8" x14ac:dyDescent="0.2">
      <c r="A74" s="3">
        <v>3049902005</v>
      </c>
      <c r="B74" s="4" t="s">
        <v>356</v>
      </c>
      <c r="C74" s="4" t="s">
        <v>357</v>
      </c>
      <c r="D74" s="3">
        <v>2</v>
      </c>
      <c r="E74" s="3" t="s">
        <v>16</v>
      </c>
      <c r="F74" s="3" t="s">
        <v>293</v>
      </c>
      <c r="G74" s="3" t="s">
        <v>29</v>
      </c>
      <c r="H74" s="3" t="s">
        <v>214</v>
      </c>
    </row>
    <row r="75" spans="1:8" x14ac:dyDescent="0.2">
      <c r="A75" s="3">
        <v>402050001</v>
      </c>
      <c r="B75" s="4" t="s">
        <v>522</v>
      </c>
      <c r="C75" s="4" t="s">
        <v>523</v>
      </c>
      <c r="D75" s="3">
        <v>1</v>
      </c>
      <c r="E75" s="3" t="s">
        <v>16</v>
      </c>
      <c r="F75" s="3" t="s">
        <v>289</v>
      </c>
      <c r="G75" s="3" t="s">
        <v>23</v>
      </c>
      <c r="H75" s="3" t="s">
        <v>524</v>
      </c>
    </row>
    <row r="76" spans="1:8" x14ac:dyDescent="0.2">
      <c r="A76" s="3">
        <v>407010186</v>
      </c>
      <c r="B76" s="4" t="s">
        <v>149</v>
      </c>
      <c r="C76" s="4" t="s">
        <v>647</v>
      </c>
      <c r="D76" s="3">
        <v>1</v>
      </c>
      <c r="E76" s="3" t="s">
        <v>16</v>
      </c>
      <c r="F76" s="3" t="s">
        <v>289</v>
      </c>
      <c r="G76" s="3" t="s">
        <v>23</v>
      </c>
      <c r="H76" s="3" t="s">
        <v>524</v>
      </c>
    </row>
    <row r="77" spans="1:8" x14ac:dyDescent="0.2">
      <c r="A77" s="3">
        <v>3040502063</v>
      </c>
      <c r="B77" s="4" t="s">
        <v>136</v>
      </c>
      <c r="C77" s="4" t="s">
        <v>648</v>
      </c>
      <c r="D77" s="3">
        <v>2</v>
      </c>
      <c r="E77" s="3" t="s">
        <v>16</v>
      </c>
      <c r="F77" s="3" t="s">
        <v>293</v>
      </c>
      <c r="G77" s="3" t="s">
        <v>29</v>
      </c>
      <c r="H77" s="3" t="s">
        <v>370</v>
      </c>
    </row>
    <row r="78" spans="1:8" x14ac:dyDescent="0.2">
      <c r="A78" s="3">
        <v>3060333002</v>
      </c>
      <c r="B78" s="4" t="s">
        <v>227</v>
      </c>
      <c r="C78" s="4" t="s">
        <v>228</v>
      </c>
      <c r="D78" s="3">
        <v>1</v>
      </c>
      <c r="E78" s="3" t="s">
        <v>16</v>
      </c>
      <c r="F78" s="3" t="s">
        <v>289</v>
      </c>
      <c r="G78" s="3" t="s">
        <v>23</v>
      </c>
      <c r="H78" s="3" t="s">
        <v>226</v>
      </c>
    </row>
    <row r="79" spans="1:8" x14ac:dyDescent="0.2">
      <c r="A79" s="3">
        <v>3060308002</v>
      </c>
      <c r="B79" s="4" t="s">
        <v>229</v>
      </c>
      <c r="C79" s="4" t="s">
        <v>230</v>
      </c>
      <c r="D79" s="3">
        <v>1</v>
      </c>
      <c r="E79" s="3" t="s">
        <v>16</v>
      </c>
      <c r="F79" s="3" t="s">
        <v>289</v>
      </c>
      <c r="G79" s="3" t="s">
        <v>23</v>
      </c>
      <c r="H79" s="3" t="s">
        <v>226</v>
      </c>
    </row>
    <row r="80" spans="1:8" x14ac:dyDescent="0.2">
      <c r="A80" s="3">
        <v>3060303001</v>
      </c>
      <c r="B80" s="4" t="s">
        <v>231</v>
      </c>
      <c r="C80" s="4" t="s">
        <v>232</v>
      </c>
      <c r="D80" s="3">
        <v>1</v>
      </c>
      <c r="E80" s="3" t="s">
        <v>16</v>
      </c>
      <c r="F80" s="3" t="s">
        <v>289</v>
      </c>
      <c r="G80" s="3" t="s">
        <v>23</v>
      </c>
      <c r="H80" s="3" t="s">
        <v>226</v>
      </c>
    </row>
    <row r="81" spans="1:8" x14ac:dyDescent="0.2">
      <c r="A81" s="3">
        <v>3060335004</v>
      </c>
      <c r="B81" s="4" t="s">
        <v>233</v>
      </c>
      <c r="C81" s="4" t="s">
        <v>234</v>
      </c>
      <c r="D81" s="3">
        <v>1</v>
      </c>
      <c r="E81" s="3" t="s">
        <v>16</v>
      </c>
      <c r="F81" s="3" t="s">
        <v>289</v>
      </c>
      <c r="G81" s="3" t="s">
        <v>23</v>
      </c>
      <c r="H81" s="3" t="s">
        <v>226</v>
      </c>
    </row>
    <row r="82" spans="1:8" x14ac:dyDescent="0.2">
      <c r="A82" s="3">
        <v>3050305016</v>
      </c>
      <c r="B82" s="4" t="s">
        <v>527</v>
      </c>
      <c r="C82" s="4" t="s">
        <v>528</v>
      </c>
      <c r="D82" s="3">
        <v>1</v>
      </c>
      <c r="E82" s="3" t="s">
        <v>16</v>
      </c>
      <c r="F82" s="3" t="s">
        <v>291</v>
      </c>
      <c r="G82" s="3" t="s">
        <v>26</v>
      </c>
      <c r="H82" s="3" t="s">
        <v>226</v>
      </c>
    </row>
    <row r="83" spans="1:8" x14ac:dyDescent="0.2">
      <c r="A83" s="3">
        <v>3050305015</v>
      </c>
      <c r="B83" s="4" t="s">
        <v>529</v>
      </c>
      <c r="C83" s="4" t="s">
        <v>530</v>
      </c>
      <c r="D83" s="3">
        <v>1</v>
      </c>
      <c r="E83" s="3" t="s">
        <v>16</v>
      </c>
      <c r="F83" s="3" t="s">
        <v>291</v>
      </c>
      <c r="G83" s="3" t="s">
        <v>26</v>
      </c>
      <c r="H83" s="3" t="s">
        <v>226</v>
      </c>
    </row>
    <row r="84" spans="1:8" x14ac:dyDescent="0.2">
      <c r="A84" s="3">
        <v>3050306011</v>
      </c>
      <c r="B84" s="4" t="s">
        <v>531</v>
      </c>
      <c r="C84" s="4" t="s">
        <v>609</v>
      </c>
      <c r="D84" s="3">
        <v>1</v>
      </c>
      <c r="E84" s="3" t="s">
        <v>16</v>
      </c>
      <c r="F84" s="3" t="s">
        <v>291</v>
      </c>
      <c r="G84" s="3" t="s">
        <v>26</v>
      </c>
      <c r="H84" s="3" t="s">
        <v>226</v>
      </c>
    </row>
    <row r="85" spans="1:8" x14ac:dyDescent="0.2">
      <c r="A85" s="3">
        <v>3030303046</v>
      </c>
      <c r="B85" s="4" t="s">
        <v>649</v>
      </c>
      <c r="C85" s="4" t="s">
        <v>650</v>
      </c>
      <c r="D85" s="3">
        <v>1</v>
      </c>
      <c r="E85" s="3" t="s">
        <v>16</v>
      </c>
      <c r="F85" s="3" t="s">
        <v>291</v>
      </c>
      <c r="G85" s="3" t="s">
        <v>26</v>
      </c>
      <c r="H85" s="3" t="s">
        <v>226</v>
      </c>
    </row>
    <row r="86" spans="1:8" x14ac:dyDescent="0.2">
      <c r="A86" s="3">
        <v>3030303047</v>
      </c>
      <c r="B86" s="4" t="s">
        <v>651</v>
      </c>
      <c r="C86" s="4" t="s">
        <v>650</v>
      </c>
      <c r="D86" s="3">
        <v>1</v>
      </c>
      <c r="E86" s="3" t="s">
        <v>16</v>
      </c>
      <c r="F86" s="3" t="s">
        <v>291</v>
      </c>
      <c r="G86" s="3" t="s">
        <v>26</v>
      </c>
      <c r="H86" s="3" t="s">
        <v>226</v>
      </c>
    </row>
    <row r="87" spans="1:8" x14ac:dyDescent="0.2">
      <c r="A87" s="3">
        <v>3040312026</v>
      </c>
      <c r="B87" s="4" t="s">
        <v>263</v>
      </c>
      <c r="C87" s="4" t="s">
        <v>652</v>
      </c>
      <c r="D87" s="3">
        <v>2</v>
      </c>
      <c r="E87" s="3" t="s">
        <v>16</v>
      </c>
      <c r="F87" s="3" t="s">
        <v>293</v>
      </c>
      <c r="G87" s="3" t="s">
        <v>29</v>
      </c>
      <c r="H87" s="3" t="s">
        <v>226</v>
      </c>
    </row>
    <row r="88" spans="1:8" x14ac:dyDescent="0.2">
      <c r="A88" s="3">
        <v>3040303008</v>
      </c>
      <c r="B88" s="4" t="s">
        <v>265</v>
      </c>
      <c r="C88" s="4" t="s">
        <v>653</v>
      </c>
      <c r="D88" s="3">
        <v>2</v>
      </c>
      <c r="E88" s="3" t="s">
        <v>16</v>
      </c>
      <c r="F88" s="3" t="s">
        <v>293</v>
      </c>
      <c r="G88" s="3" t="s">
        <v>29</v>
      </c>
      <c r="H88" s="3" t="s">
        <v>226</v>
      </c>
    </row>
    <row r="89" spans="1:8" x14ac:dyDescent="0.2">
      <c r="A89" s="3">
        <v>3040320017</v>
      </c>
      <c r="B89" s="4" t="s">
        <v>269</v>
      </c>
      <c r="C89" s="4" t="s">
        <v>654</v>
      </c>
      <c r="D89" s="3">
        <v>1</v>
      </c>
      <c r="E89" s="3" t="s">
        <v>16</v>
      </c>
      <c r="F89" s="3" t="s">
        <v>293</v>
      </c>
      <c r="G89" s="3" t="s">
        <v>29</v>
      </c>
      <c r="H89" s="3" t="s">
        <v>226</v>
      </c>
    </row>
    <row r="90" spans="1:8" x14ac:dyDescent="0.2">
      <c r="A90" s="3">
        <v>3040320016</v>
      </c>
      <c r="B90" s="4" t="s">
        <v>269</v>
      </c>
      <c r="C90" s="4" t="s">
        <v>655</v>
      </c>
      <c r="D90" s="3">
        <v>1</v>
      </c>
      <c r="E90" s="3" t="s">
        <v>16</v>
      </c>
      <c r="F90" s="3" t="s">
        <v>293</v>
      </c>
      <c r="G90" s="3" t="s">
        <v>29</v>
      </c>
      <c r="H90" s="3" t="s">
        <v>226</v>
      </c>
    </row>
    <row r="91" spans="1:8" x14ac:dyDescent="0.2">
      <c r="A91" s="3">
        <v>3040113006</v>
      </c>
      <c r="B91" s="4" t="s">
        <v>500</v>
      </c>
      <c r="C91" s="4" t="s">
        <v>656</v>
      </c>
      <c r="D91" s="3">
        <v>1</v>
      </c>
      <c r="E91" s="3" t="s">
        <v>16</v>
      </c>
      <c r="F91" s="3" t="s">
        <v>293</v>
      </c>
      <c r="G91" s="3" t="s">
        <v>29</v>
      </c>
      <c r="H91" s="3" t="s">
        <v>226</v>
      </c>
    </row>
    <row r="92" spans="1:8" x14ac:dyDescent="0.2">
      <c r="A92" s="3">
        <v>3040113007</v>
      </c>
      <c r="B92" s="4" t="s">
        <v>500</v>
      </c>
      <c r="C92" s="4" t="s">
        <v>657</v>
      </c>
      <c r="D92" s="3">
        <v>1</v>
      </c>
      <c r="E92" s="3" t="s">
        <v>16</v>
      </c>
      <c r="F92" s="3" t="s">
        <v>293</v>
      </c>
      <c r="G92" s="3" t="s">
        <v>29</v>
      </c>
      <c r="H92" s="3" t="s">
        <v>226</v>
      </c>
    </row>
    <row r="93" spans="1:8" x14ac:dyDescent="0.2">
      <c r="A93" s="3">
        <v>3030313003</v>
      </c>
      <c r="B93" s="4" t="s">
        <v>217</v>
      </c>
      <c r="C93" s="4" t="s">
        <v>544</v>
      </c>
      <c r="D93" s="3">
        <v>8</v>
      </c>
      <c r="E93" s="3" t="s">
        <v>16</v>
      </c>
      <c r="F93" s="3" t="s">
        <v>291</v>
      </c>
      <c r="G93" s="3" t="s">
        <v>26</v>
      </c>
      <c r="H93" s="3" t="s">
        <v>226</v>
      </c>
    </row>
    <row r="94" spans="1:8" x14ac:dyDescent="0.2">
      <c r="A94" s="3">
        <v>3020199010</v>
      </c>
      <c r="B94" s="4" t="s">
        <v>239</v>
      </c>
      <c r="C94" s="4" t="s">
        <v>545</v>
      </c>
      <c r="D94" s="3">
        <v>5</v>
      </c>
      <c r="E94" s="3" t="s">
        <v>16</v>
      </c>
      <c r="F94" s="3" t="s">
        <v>297</v>
      </c>
      <c r="G94" s="3" t="s">
        <v>204</v>
      </c>
      <c r="H94" s="3" t="s">
        <v>226</v>
      </c>
    </row>
    <row r="95" spans="1:8" x14ac:dyDescent="0.2">
      <c r="A95" s="3">
        <v>3050305019</v>
      </c>
      <c r="B95" s="4" t="s">
        <v>549</v>
      </c>
      <c r="C95" s="4" t="s">
        <v>530</v>
      </c>
      <c r="D95" s="3">
        <v>1</v>
      </c>
      <c r="E95" s="3" t="s">
        <v>16</v>
      </c>
      <c r="F95" s="3" t="s">
        <v>291</v>
      </c>
      <c r="G95" s="3" t="s">
        <v>26</v>
      </c>
      <c r="H95" s="3" t="s">
        <v>226</v>
      </c>
    </row>
    <row r="96" spans="1:8" x14ac:dyDescent="0.2">
      <c r="A96" s="3">
        <v>3050401019</v>
      </c>
      <c r="B96" s="4" t="s">
        <v>222</v>
      </c>
      <c r="C96" s="4" t="s">
        <v>658</v>
      </c>
      <c r="D96" s="3">
        <v>1</v>
      </c>
      <c r="E96" s="3" t="s">
        <v>16</v>
      </c>
      <c r="F96" s="3" t="s">
        <v>291</v>
      </c>
      <c r="G96" s="3" t="s">
        <v>26</v>
      </c>
      <c r="H96" s="3" t="s">
        <v>226</v>
      </c>
    </row>
    <row r="97" spans="1:8" x14ac:dyDescent="0.2">
      <c r="A97" s="3">
        <v>3050305026</v>
      </c>
      <c r="B97" s="4" t="s">
        <v>659</v>
      </c>
      <c r="C97" s="4" t="s">
        <v>660</v>
      </c>
      <c r="D97" s="3">
        <v>1</v>
      </c>
      <c r="E97" s="3" t="s">
        <v>16</v>
      </c>
      <c r="F97" s="3" t="s">
        <v>291</v>
      </c>
      <c r="G97" s="3" t="s">
        <v>26</v>
      </c>
      <c r="H97" s="3" t="s">
        <v>226</v>
      </c>
    </row>
    <row r="98" spans="1:8" x14ac:dyDescent="0.2">
      <c r="A98" s="3">
        <v>3050305027</v>
      </c>
      <c r="B98" s="4" t="s">
        <v>659</v>
      </c>
      <c r="C98" s="4" t="s">
        <v>661</v>
      </c>
      <c r="D98" s="3">
        <v>1</v>
      </c>
      <c r="E98" s="3" t="s">
        <v>16</v>
      </c>
      <c r="F98" s="3" t="s">
        <v>291</v>
      </c>
      <c r="G98" s="3" t="s">
        <v>26</v>
      </c>
      <c r="H98" s="3" t="s">
        <v>226</v>
      </c>
    </row>
    <row r="99" spans="1:8" x14ac:dyDescent="0.2">
      <c r="A99" s="3">
        <v>3080401031</v>
      </c>
      <c r="B99" s="4" t="s">
        <v>41</v>
      </c>
      <c r="C99" s="4" t="s">
        <v>551</v>
      </c>
      <c r="D99" s="3">
        <v>1</v>
      </c>
      <c r="E99" s="3" t="s">
        <v>16</v>
      </c>
      <c r="F99" s="3" t="s">
        <v>291</v>
      </c>
      <c r="G99" s="3" t="s">
        <v>26</v>
      </c>
      <c r="H99" s="3" t="s">
        <v>249</v>
      </c>
    </row>
    <row r="100" spans="1:8" x14ac:dyDescent="0.2">
      <c r="A100" s="3">
        <v>3080107017</v>
      </c>
      <c r="B100" s="4" t="s">
        <v>69</v>
      </c>
      <c r="C100" s="4" t="s">
        <v>251</v>
      </c>
      <c r="D100" s="3">
        <v>4</v>
      </c>
      <c r="E100" s="3" t="s">
        <v>16</v>
      </c>
      <c r="F100" s="3" t="s">
        <v>289</v>
      </c>
      <c r="G100" s="3" t="s">
        <v>23</v>
      </c>
      <c r="H100" s="3" t="s">
        <v>249</v>
      </c>
    </row>
    <row r="101" spans="1:8" x14ac:dyDescent="0.2">
      <c r="A101" s="3">
        <v>3080107017</v>
      </c>
      <c r="B101" s="4" t="s">
        <v>69</v>
      </c>
      <c r="C101" s="4" t="s">
        <v>251</v>
      </c>
      <c r="D101" s="3">
        <v>2</v>
      </c>
      <c r="E101" s="3" t="s">
        <v>16</v>
      </c>
      <c r="F101" s="3" t="s">
        <v>289</v>
      </c>
      <c r="G101" s="3" t="s">
        <v>23</v>
      </c>
      <c r="H101" s="3" t="s">
        <v>249</v>
      </c>
    </row>
    <row r="102" spans="1:8" x14ac:dyDescent="0.2">
      <c r="A102" s="3">
        <v>3060309001</v>
      </c>
      <c r="B102" s="4" t="s">
        <v>252</v>
      </c>
      <c r="C102" s="4" t="s">
        <v>253</v>
      </c>
      <c r="D102" s="3">
        <v>1</v>
      </c>
      <c r="E102" s="3" t="s">
        <v>16</v>
      </c>
      <c r="F102" s="3" t="s">
        <v>289</v>
      </c>
      <c r="G102" s="3" t="s">
        <v>23</v>
      </c>
      <c r="H102" s="3" t="s">
        <v>254</v>
      </c>
    </row>
    <row r="103" spans="1:8" x14ac:dyDescent="0.2">
      <c r="A103" s="3">
        <v>3060341001</v>
      </c>
      <c r="B103" s="4" t="s">
        <v>255</v>
      </c>
      <c r="C103" s="4" t="s">
        <v>256</v>
      </c>
      <c r="D103" s="3">
        <v>1</v>
      </c>
      <c r="E103" s="3" t="s">
        <v>16</v>
      </c>
      <c r="F103" s="3" t="s">
        <v>289</v>
      </c>
      <c r="G103" s="3" t="s">
        <v>23</v>
      </c>
      <c r="H103" s="3" t="s">
        <v>254</v>
      </c>
    </row>
    <row r="104" spans="1:8" x14ac:dyDescent="0.2">
      <c r="A104" s="3">
        <v>3049902004</v>
      </c>
      <c r="B104" s="4" t="s">
        <v>383</v>
      </c>
      <c r="C104" s="4" t="s">
        <v>384</v>
      </c>
      <c r="D104" s="3">
        <v>2</v>
      </c>
      <c r="E104" s="3" t="s">
        <v>16</v>
      </c>
      <c r="F104" s="3" t="s">
        <v>293</v>
      </c>
      <c r="G104" s="3" t="s">
        <v>29</v>
      </c>
      <c r="H104" s="3" t="s">
        <v>254</v>
      </c>
    </row>
    <row r="105" spans="1:8" x14ac:dyDescent="0.2">
      <c r="A105" s="3">
        <v>3040326018</v>
      </c>
      <c r="B105" s="4" t="s">
        <v>385</v>
      </c>
      <c r="C105" s="4" t="s">
        <v>384</v>
      </c>
      <c r="D105" s="3">
        <v>2</v>
      </c>
      <c r="E105" s="3" t="s">
        <v>16</v>
      </c>
      <c r="F105" s="3" t="s">
        <v>293</v>
      </c>
      <c r="G105" s="3" t="s">
        <v>29</v>
      </c>
      <c r="H105" s="3" t="s">
        <v>254</v>
      </c>
    </row>
    <row r="106" spans="1:8" x14ac:dyDescent="0.2">
      <c r="A106" s="3">
        <v>3050303006</v>
      </c>
      <c r="B106" s="4" t="s">
        <v>245</v>
      </c>
      <c r="C106" s="4" t="s">
        <v>587</v>
      </c>
      <c r="D106" s="3">
        <v>1</v>
      </c>
      <c r="E106" s="3" t="s">
        <v>16</v>
      </c>
      <c r="F106" s="3" t="s">
        <v>291</v>
      </c>
      <c r="G106" s="3" t="s">
        <v>26</v>
      </c>
      <c r="H106" s="3" t="s">
        <v>254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FFB73-9EF4-4454-9626-0DD81BC009EA}">
  <dimension ref="A1:H88"/>
  <sheetViews>
    <sheetView workbookViewId="0">
      <selection activeCell="L15" sqref="L15"/>
    </sheetView>
  </sheetViews>
  <sheetFormatPr defaultRowHeight="14.25" x14ac:dyDescent="0.2"/>
  <cols>
    <col min="1" max="1" width="11.5" customWidth="1"/>
    <col min="2" max="2" width="13.375" customWidth="1"/>
    <col min="3" max="3" width="18.25" customWidth="1"/>
  </cols>
  <sheetData>
    <row r="1" spans="1:8" x14ac:dyDescent="0.2">
      <c r="A1" s="3" t="s">
        <v>691</v>
      </c>
      <c r="B1" s="4"/>
      <c r="C1" s="4"/>
      <c r="D1" s="3"/>
      <c r="E1" s="3"/>
      <c r="F1" s="3"/>
      <c r="G1" s="3"/>
      <c r="H1" s="3"/>
    </row>
    <row r="2" spans="1:8" ht="28.5" x14ac:dyDescent="0.2">
      <c r="A2" s="1" t="s">
        <v>0</v>
      </c>
      <c r="B2" s="2" t="s">
        <v>1</v>
      </c>
      <c r="C2" s="2" t="s">
        <v>2</v>
      </c>
      <c r="D2" s="1" t="s">
        <v>4</v>
      </c>
      <c r="E2" s="1" t="s">
        <v>3</v>
      </c>
      <c r="F2" s="1" t="s">
        <v>5</v>
      </c>
      <c r="G2" s="1" t="s">
        <v>6</v>
      </c>
      <c r="H2" s="1" t="s">
        <v>7</v>
      </c>
    </row>
    <row r="3" spans="1:8" s="10" customFormat="1" x14ac:dyDescent="0.2">
      <c r="A3" s="8" t="s">
        <v>390</v>
      </c>
      <c r="B3" s="9" t="s">
        <v>8</v>
      </c>
      <c r="C3" s="9" t="s">
        <v>9</v>
      </c>
      <c r="D3" s="12">
        <f>0.2273/0.94</f>
        <v>0.24180851063829789</v>
      </c>
      <c r="E3" s="8" t="s">
        <v>596</v>
      </c>
      <c r="F3" s="8" t="s">
        <v>283</v>
      </c>
      <c r="G3" s="8" t="s">
        <v>13</v>
      </c>
      <c r="H3" s="8" t="s">
        <v>12</v>
      </c>
    </row>
    <row r="4" spans="1:8" x14ac:dyDescent="0.2">
      <c r="A4" s="3">
        <v>3060201009</v>
      </c>
      <c r="B4" s="4" t="s">
        <v>663</v>
      </c>
      <c r="C4" s="4" t="s">
        <v>664</v>
      </c>
      <c r="D4" s="3">
        <v>1</v>
      </c>
      <c r="E4" s="3" t="s">
        <v>16</v>
      </c>
      <c r="F4" s="3" t="s">
        <v>289</v>
      </c>
      <c r="G4" s="3" t="s">
        <v>23</v>
      </c>
      <c r="H4" s="3" t="s">
        <v>18</v>
      </c>
    </row>
    <row r="5" spans="1:8" x14ac:dyDescent="0.2">
      <c r="A5" s="3">
        <v>3060503002</v>
      </c>
      <c r="B5" s="4" t="s">
        <v>21</v>
      </c>
      <c r="C5" s="4" t="s">
        <v>22</v>
      </c>
      <c r="D5" s="3">
        <v>1</v>
      </c>
      <c r="E5" s="3" t="s">
        <v>16</v>
      </c>
      <c r="F5" s="3" t="s">
        <v>289</v>
      </c>
      <c r="G5" s="3" t="s">
        <v>23</v>
      </c>
      <c r="H5" s="3" t="s">
        <v>18</v>
      </c>
    </row>
    <row r="6" spans="1:8" x14ac:dyDescent="0.2">
      <c r="A6" s="3">
        <v>3040207001</v>
      </c>
      <c r="B6" s="4" t="s">
        <v>665</v>
      </c>
      <c r="C6" s="4" t="s">
        <v>666</v>
      </c>
      <c r="D6" s="3">
        <v>2</v>
      </c>
      <c r="E6" s="3" t="s">
        <v>16</v>
      </c>
      <c r="F6" s="3" t="s">
        <v>293</v>
      </c>
      <c r="G6" s="3" t="s">
        <v>29</v>
      </c>
      <c r="H6" s="3" t="s">
        <v>18</v>
      </c>
    </row>
    <row r="7" spans="1:8" x14ac:dyDescent="0.2">
      <c r="A7" s="3">
        <v>404020029</v>
      </c>
      <c r="B7" s="4" t="s">
        <v>30</v>
      </c>
      <c r="C7" s="4" t="s">
        <v>31</v>
      </c>
      <c r="D7" s="3">
        <v>3</v>
      </c>
      <c r="E7" s="3" t="s">
        <v>16</v>
      </c>
      <c r="F7" s="3" t="s">
        <v>301</v>
      </c>
      <c r="G7" s="3" t="s">
        <v>32</v>
      </c>
      <c r="H7" s="3" t="s">
        <v>33</v>
      </c>
    </row>
    <row r="8" spans="1:8" x14ac:dyDescent="0.2">
      <c r="A8" s="3">
        <v>401020324</v>
      </c>
      <c r="B8" s="4" t="s">
        <v>35</v>
      </c>
      <c r="C8" s="4" t="s">
        <v>667</v>
      </c>
      <c r="D8" s="3">
        <v>1</v>
      </c>
      <c r="E8" s="3" t="s">
        <v>16</v>
      </c>
      <c r="F8" s="3" t="s">
        <v>301</v>
      </c>
      <c r="G8" s="3" t="s">
        <v>32</v>
      </c>
      <c r="H8" s="3" t="s">
        <v>33</v>
      </c>
    </row>
    <row r="9" spans="1:8" x14ac:dyDescent="0.2">
      <c r="A9" s="3">
        <v>401040027</v>
      </c>
      <c r="B9" s="4" t="s">
        <v>35</v>
      </c>
      <c r="C9" s="4" t="s">
        <v>311</v>
      </c>
      <c r="D9" s="3">
        <v>1</v>
      </c>
      <c r="E9" s="3" t="s">
        <v>16</v>
      </c>
      <c r="F9" s="3" t="s">
        <v>291</v>
      </c>
      <c r="G9" s="3" t="s">
        <v>26</v>
      </c>
      <c r="H9" s="3" t="s">
        <v>33</v>
      </c>
    </row>
    <row r="10" spans="1:8" x14ac:dyDescent="0.2">
      <c r="A10" s="3">
        <v>409010006</v>
      </c>
      <c r="B10" s="4" t="s">
        <v>668</v>
      </c>
      <c r="C10" s="4" t="s">
        <v>669</v>
      </c>
      <c r="D10" s="3">
        <v>1</v>
      </c>
      <c r="E10" s="3" t="s">
        <v>16</v>
      </c>
      <c r="F10" s="3" t="s">
        <v>291</v>
      </c>
      <c r="G10" s="3" t="s">
        <v>26</v>
      </c>
      <c r="H10" s="3" t="s">
        <v>40</v>
      </c>
    </row>
    <row r="11" spans="1:8" x14ac:dyDescent="0.2">
      <c r="A11" s="3">
        <v>409010007</v>
      </c>
      <c r="B11" s="4" t="s">
        <v>670</v>
      </c>
      <c r="C11" s="4" t="s">
        <v>671</v>
      </c>
      <c r="D11" s="3">
        <v>1</v>
      </c>
      <c r="E11" s="3" t="s">
        <v>16</v>
      </c>
      <c r="F11" s="3" t="s">
        <v>291</v>
      </c>
      <c r="G11" s="3" t="s">
        <v>26</v>
      </c>
      <c r="H11" s="3" t="s">
        <v>40</v>
      </c>
    </row>
    <row r="12" spans="1:8" x14ac:dyDescent="0.2">
      <c r="A12" s="3">
        <v>409010058</v>
      </c>
      <c r="B12" s="4" t="s">
        <v>672</v>
      </c>
      <c r="C12" s="4" t="s">
        <v>673</v>
      </c>
      <c r="D12" s="3">
        <v>1</v>
      </c>
      <c r="E12" s="3" t="s">
        <v>16</v>
      </c>
      <c r="F12" s="3" t="s">
        <v>291</v>
      </c>
      <c r="G12" s="3" t="s">
        <v>26</v>
      </c>
      <c r="H12" s="3" t="s">
        <v>40</v>
      </c>
    </row>
    <row r="13" spans="1:8" x14ac:dyDescent="0.2">
      <c r="A13" s="3">
        <v>3080102003</v>
      </c>
      <c r="B13" s="4" t="s">
        <v>38</v>
      </c>
      <c r="C13" s="4" t="s">
        <v>39</v>
      </c>
      <c r="D13" s="3">
        <v>1</v>
      </c>
      <c r="E13" s="3" t="s">
        <v>16</v>
      </c>
      <c r="F13" s="3" t="s">
        <v>289</v>
      </c>
      <c r="G13" s="3" t="s">
        <v>23</v>
      </c>
      <c r="H13" s="3" t="s">
        <v>40</v>
      </c>
    </row>
    <row r="14" spans="1:8" x14ac:dyDescent="0.2">
      <c r="A14" s="3">
        <v>3080104020</v>
      </c>
      <c r="B14" s="4" t="s">
        <v>45</v>
      </c>
      <c r="C14" s="4" t="s">
        <v>46</v>
      </c>
      <c r="D14" s="3">
        <v>2</v>
      </c>
      <c r="E14" s="3" t="s">
        <v>16</v>
      </c>
      <c r="F14" s="3" t="s">
        <v>291</v>
      </c>
      <c r="G14" s="3" t="s">
        <v>26</v>
      </c>
      <c r="H14" s="3" t="s">
        <v>40</v>
      </c>
    </row>
    <row r="15" spans="1:8" x14ac:dyDescent="0.2">
      <c r="A15" s="3">
        <v>3080105007</v>
      </c>
      <c r="B15" s="4" t="s">
        <v>50</v>
      </c>
      <c r="C15" s="4" t="s">
        <v>52</v>
      </c>
      <c r="D15" s="3">
        <v>2</v>
      </c>
      <c r="E15" s="3" t="s">
        <v>16</v>
      </c>
      <c r="F15" s="3" t="s">
        <v>289</v>
      </c>
      <c r="G15" s="3" t="s">
        <v>23</v>
      </c>
      <c r="H15" s="3" t="s">
        <v>40</v>
      </c>
    </row>
    <row r="16" spans="1:8" x14ac:dyDescent="0.2">
      <c r="A16" s="3">
        <v>3080105024</v>
      </c>
      <c r="B16" s="4" t="s">
        <v>50</v>
      </c>
      <c r="C16" s="4" t="s">
        <v>420</v>
      </c>
      <c r="D16" s="3">
        <v>8</v>
      </c>
      <c r="E16" s="3" t="s">
        <v>16</v>
      </c>
      <c r="F16" s="3" t="s">
        <v>289</v>
      </c>
      <c r="G16" s="3" t="s">
        <v>23</v>
      </c>
      <c r="H16" s="3" t="s">
        <v>40</v>
      </c>
    </row>
    <row r="17" spans="1:8" x14ac:dyDescent="0.2">
      <c r="A17" s="3">
        <v>3080105114</v>
      </c>
      <c r="B17" s="4" t="s">
        <v>50</v>
      </c>
      <c r="C17" s="4" t="s">
        <v>53</v>
      </c>
      <c r="D17" s="3">
        <v>4</v>
      </c>
      <c r="E17" s="3" t="s">
        <v>16</v>
      </c>
      <c r="F17" s="3" t="s">
        <v>289</v>
      </c>
      <c r="G17" s="3" t="s">
        <v>23</v>
      </c>
      <c r="H17" s="3" t="s">
        <v>40</v>
      </c>
    </row>
    <row r="18" spans="1:8" x14ac:dyDescent="0.2">
      <c r="A18" s="3">
        <v>3080105114</v>
      </c>
      <c r="B18" s="4" t="s">
        <v>50</v>
      </c>
      <c r="C18" s="4" t="s">
        <v>53</v>
      </c>
      <c r="D18" s="3">
        <v>4</v>
      </c>
      <c r="E18" s="3" t="s">
        <v>16</v>
      </c>
      <c r="F18" s="3" t="s">
        <v>289</v>
      </c>
      <c r="G18" s="3" t="s">
        <v>23</v>
      </c>
      <c r="H18" s="3" t="s">
        <v>40</v>
      </c>
    </row>
    <row r="19" spans="1:8" x14ac:dyDescent="0.2">
      <c r="A19" s="3">
        <v>3080105007</v>
      </c>
      <c r="B19" s="4" t="s">
        <v>50</v>
      </c>
      <c r="C19" s="4" t="s">
        <v>52</v>
      </c>
      <c r="D19" s="3">
        <v>8</v>
      </c>
      <c r="E19" s="3" t="s">
        <v>16</v>
      </c>
      <c r="F19" s="3" t="s">
        <v>289</v>
      </c>
      <c r="G19" s="3" t="s">
        <v>23</v>
      </c>
      <c r="H19" s="3" t="s">
        <v>40</v>
      </c>
    </row>
    <row r="20" spans="1:8" x14ac:dyDescent="0.2">
      <c r="A20" s="3">
        <v>3080105004</v>
      </c>
      <c r="B20" s="4" t="s">
        <v>50</v>
      </c>
      <c r="C20" s="4" t="s">
        <v>54</v>
      </c>
      <c r="D20" s="3">
        <v>1</v>
      </c>
      <c r="E20" s="3" t="s">
        <v>16</v>
      </c>
      <c r="F20" s="3" t="s">
        <v>289</v>
      </c>
      <c r="G20" s="3" t="s">
        <v>23</v>
      </c>
      <c r="H20" s="3" t="s">
        <v>40</v>
      </c>
    </row>
    <row r="21" spans="1:8" x14ac:dyDescent="0.2">
      <c r="A21" s="3">
        <v>3080105007</v>
      </c>
      <c r="B21" s="4" t="s">
        <v>50</v>
      </c>
      <c r="C21" s="4" t="s">
        <v>52</v>
      </c>
      <c r="D21" s="3">
        <v>2</v>
      </c>
      <c r="E21" s="3" t="s">
        <v>16</v>
      </c>
      <c r="F21" s="3" t="s">
        <v>293</v>
      </c>
      <c r="G21" s="3" t="s">
        <v>29</v>
      </c>
      <c r="H21" s="3" t="s">
        <v>40</v>
      </c>
    </row>
    <row r="22" spans="1:8" x14ac:dyDescent="0.2">
      <c r="A22" s="3">
        <v>3080105013</v>
      </c>
      <c r="B22" s="4" t="s">
        <v>50</v>
      </c>
      <c r="C22" s="4" t="s">
        <v>51</v>
      </c>
      <c r="D22" s="3">
        <v>12</v>
      </c>
      <c r="E22" s="3" t="s">
        <v>16</v>
      </c>
      <c r="F22" s="3" t="s">
        <v>293</v>
      </c>
      <c r="G22" s="3" t="s">
        <v>29</v>
      </c>
      <c r="H22" s="3" t="s">
        <v>40</v>
      </c>
    </row>
    <row r="23" spans="1:8" x14ac:dyDescent="0.2">
      <c r="A23" s="3">
        <v>3080105111</v>
      </c>
      <c r="B23" s="4" t="s">
        <v>50</v>
      </c>
      <c r="C23" s="4" t="s">
        <v>599</v>
      </c>
      <c r="D23" s="3">
        <v>4</v>
      </c>
      <c r="E23" s="3" t="s">
        <v>16</v>
      </c>
      <c r="F23" s="3" t="s">
        <v>291</v>
      </c>
      <c r="G23" s="3" t="s">
        <v>26</v>
      </c>
      <c r="H23" s="3" t="s">
        <v>40</v>
      </c>
    </row>
    <row r="24" spans="1:8" x14ac:dyDescent="0.2">
      <c r="A24" s="3">
        <v>3080105012</v>
      </c>
      <c r="B24" s="4" t="s">
        <v>50</v>
      </c>
      <c r="C24" s="4" t="s">
        <v>674</v>
      </c>
      <c r="D24" s="3">
        <v>2</v>
      </c>
      <c r="E24" s="3" t="s">
        <v>16</v>
      </c>
      <c r="F24" s="3" t="s">
        <v>291</v>
      </c>
      <c r="G24" s="3" t="s">
        <v>26</v>
      </c>
      <c r="H24" s="3" t="s">
        <v>40</v>
      </c>
    </row>
    <row r="25" spans="1:8" x14ac:dyDescent="0.2">
      <c r="A25" s="3">
        <v>3080502002</v>
      </c>
      <c r="B25" s="4" t="s">
        <v>55</v>
      </c>
      <c r="C25" s="4" t="s">
        <v>56</v>
      </c>
      <c r="D25" s="3">
        <v>4</v>
      </c>
      <c r="E25" s="3" t="s">
        <v>16</v>
      </c>
      <c r="F25" s="3" t="s">
        <v>293</v>
      </c>
      <c r="G25" s="3" t="s">
        <v>29</v>
      </c>
      <c r="H25" s="3" t="s">
        <v>40</v>
      </c>
    </row>
    <row r="26" spans="1:8" x14ac:dyDescent="0.2">
      <c r="A26" s="3">
        <v>3080501013</v>
      </c>
      <c r="B26" s="4" t="s">
        <v>57</v>
      </c>
      <c r="C26" s="4" t="s">
        <v>58</v>
      </c>
      <c r="D26" s="3">
        <v>2</v>
      </c>
      <c r="E26" s="3" t="s">
        <v>16</v>
      </c>
      <c r="F26" s="3" t="s">
        <v>293</v>
      </c>
      <c r="G26" s="3" t="s">
        <v>29</v>
      </c>
      <c r="H26" s="3" t="s">
        <v>40</v>
      </c>
    </row>
    <row r="27" spans="1:8" x14ac:dyDescent="0.2">
      <c r="A27" s="3">
        <v>3080501003</v>
      </c>
      <c r="B27" s="4" t="s">
        <v>57</v>
      </c>
      <c r="C27" s="4" t="s">
        <v>630</v>
      </c>
      <c r="D27" s="3">
        <v>8</v>
      </c>
      <c r="E27" s="3" t="s">
        <v>16</v>
      </c>
      <c r="F27" s="3" t="s">
        <v>291</v>
      </c>
      <c r="G27" s="3" t="s">
        <v>26</v>
      </c>
      <c r="H27" s="3" t="s">
        <v>40</v>
      </c>
    </row>
    <row r="28" spans="1:8" x14ac:dyDescent="0.2">
      <c r="A28" s="3">
        <v>3080201004</v>
      </c>
      <c r="B28" s="4" t="s">
        <v>60</v>
      </c>
      <c r="C28" s="4" t="s">
        <v>61</v>
      </c>
      <c r="D28" s="3">
        <v>4</v>
      </c>
      <c r="E28" s="3" t="s">
        <v>16</v>
      </c>
      <c r="F28" s="3" t="s">
        <v>291</v>
      </c>
      <c r="G28" s="3" t="s">
        <v>26</v>
      </c>
      <c r="H28" s="3" t="s">
        <v>40</v>
      </c>
    </row>
    <row r="29" spans="1:8" x14ac:dyDescent="0.2">
      <c r="A29" s="3">
        <v>3080107038</v>
      </c>
      <c r="B29" s="4" t="s">
        <v>69</v>
      </c>
      <c r="C29" s="4" t="s">
        <v>72</v>
      </c>
      <c r="D29" s="3">
        <v>2</v>
      </c>
      <c r="E29" s="3" t="s">
        <v>16</v>
      </c>
      <c r="F29" s="3" t="s">
        <v>289</v>
      </c>
      <c r="G29" s="3" t="s">
        <v>23</v>
      </c>
      <c r="H29" s="3" t="s">
        <v>40</v>
      </c>
    </row>
    <row r="30" spans="1:8" x14ac:dyDescent="0.2">
      <c r="A30" s="3">
        <v>3080107130</v>
      </c>
      <c r="B30" s="4" t="s">
        <v>69</v>
      </c>
      <c r="C30" s="4" t="s">
        <v>70</v>
      </c>
      <c r="D30" s="3">
        <v>4</v>
      </c>
      <c r="E30" s="3" t="s">
        <v>16</v>
      </c>
      <c r="F30" s="3" t="s">
        <v>293</v>
      </c>
      <c r="G30" s="3" t="s">
        <v>29</v>
      </c>
      <c r="H30" s="3" t="s">
        <v>40</v>
      </c>
    </row>
    <row r="31" spans="1:8" x14ac:dyDescent="0.2">
      <c r="A31" s="3">
        <v>3080107035</v>
      </c>
      <c r="B31" s="4" t="s">
        <v>69</v>
      </c>
      <c r="C31" s="4" t="s">
        <v>675</v>
      </c>
      <c r="D31" s="3">
        <v>4</v>
      </c>
      <c r="E31" s="3" t="s">
        <v>16</v>
      </c>
      <c r="F31" s="3" t="s">
        <v>293</v>
      </c>
      <c r="G31" s="3" t="s">
        <v>29</v>
      </c>
      <c r="H31" s="3" t="s">
        <v>40</v>
      </c>
    </row>
    <row r="32" spans="1:8" x14ac:dyDescent="0.2">
      <c r="A32" s="3">
        <v>3080107015</v>
      </c>
      <c r="B32" s="4" t="s">
        <v>69</v>
      </c>
      <c r="C32" s="4" t="s">
        <v>73</v>
      </c>
      <c r="D32" s="3">
        <v>6</v>
      </c>
      <c r="E32" s="3" t="s">
        <v>16</v>
      </c>
      <c r="F32" s="3" t="s">
        <v>291</v>
      </c>
      <c r="G32" s="3" t="s">
        <v>26</v>
      </c>
      <c r="H32" s="3" t="s">
        <v>40</v>
      </c>
    </row>
    <row r="33" spans="1:8" x14ac:dyDescent="0.2">
      <c r="A33" s="3">
        <v>3080107022</v>
      </c>
      <c r="B33" s="4" t="s">
        <v>69</v>
      </c>
      <c r="C33" s="4" t="s">
        <v>676</v>
      </c>
      <c r="D33" s="3">
        <v>4</v>
      </c>
      <c r="E33" s="3" t="s">
        <v>16</v>
      </c>
      <c r="F33" s="3" t="s">
        <v>291</v>
      </c>
      <c r="G33" s="3" t="s">
        <v>26</v>
      </c>
      <c r="H33" s="3" t="s">
        <v>40</v>
      </c>
    </row>
    <row r="34" spans="1:8" x14ac:dyDescent="0.2">
      <c r="A34" s="3">
        <v>3080111087</v>
      </c>
      <c r="B34" s="4" t="s">
        <v>79</v>
      </c>
      <c r="C34" s="4" t="s">
        <v>80</v>
      </c>
      <c r="D34" s="3">
        <v>18</v>
      </c>
      <c r="E34" s="3" t="s">
        <v>16</v>
      </c>
      <c r="F34" s="3" t="s">
        <v>291</v>
      </c>
      <c r="G34" s="3" t="s">
        <v>26</v>
      </c>
      <c r="H34" s="3" t="s">
        <v>40</v>
      </c>
    </row>
    <row r="35" spans="1:8" x14ac:dyDescent="0.2">
      <c r="A35" s="3">
        <v>3080111087</v>
      </c>
      <c r="B35" s="4" t="s">
        <v>79</v>
      </c>
      <c r="C35" s="4" t="s">
        <v>80</v>
      </c>
      <c r="D35" s="3">
        <v>1</v>
      </c>
      <c r="E35" s="3" t="s">
        <v>16</v>
      </c>
      <c r="F35" s="3" t="s">
        <v>291</v>
      </c>
      <c r="G35" s="3" t="s">
        <v>26</v>
      </c>
      <c r="H35" s="3" t="s">
        <v>40</v>
      </c>
    </row>
    <row r="36" spans="1:8" x14ac:dyDescent="0.2">
      <c r="A36" s="3">
        <v>3030101002</v>
      </c>
      <c r="B36" s="4" t="s">
        <v>636</v>
      </c>
      <c r="C36" s="4" t="s">
        <v>677</v>
      </c>
      <c r="D36" s="3">
        <v>1</v>
      </c>
      <c r="E36" s="3" t="s">
        <v>16</v>
      </c>
      <c r="F36" s="3" t="s">
        <v>291</v>
      </c>
      <c r="G36" s="3" t="s">
        <v>26</v>
      </c>
      <c r="H36" s="3" t="s">
        <v>88</v>
      </c>
    </row>
    <row r="37" spans="1:8" x14ac:dyDescent="0.2">
      <c r="A37" s="3">
        <v>3099991203</v>
      </c>
      <c r="B37" s="4" t="s">
        <v>101</v>
      </c>
      <c r="C37" s="4" t="s">
        <v>102</v>
      </c>
      <c r="D37" s="3">
        <v>1</v>
      </c>
      <c r="E37" s="3" t="s">
        <v>16</v>
      </c>
      <c r="F37" s="3" t="s">
        <v>289</v>
      </c>
      <c r="G37" s="3" t="s">
        <v>23</v>
      </c>
      <c r="H37" s="3" t="s">
        <v>103</v>
      </c>
    </row>
    <row r="38" spans="1:8" x14ac:dyDescent="0.2">
      <c r="A38" s="3">
        <v>3099990101</v>
      </c>
      <c r="B38" s="4" t="s">
        <v>104</v>
      </c>
      <c r="C38" s="4" t="s">
        <v>105</v>
      </c>
      <c r="D38" s="3">
        <v>1</v>
      </c>
      <c r="E38" s="3" t="s">
        <v>16</v>
      </c>
      <c r="F38" s="3" t="s">
        <v>299</v>
      </c>
      <c r="G38" s="3" t="s">
        <v>106</v>
      </c>
      <c r="H38" s="3" t="s">
        <v>103</v>
      </c>
    </row>
    <row r="39" spans="1:8" x14ac:dyDescent="0.2">
      <c r="A39" s="3">
        <v>402030029</v>
      </c>
      <c r="B39" s="4" t="s">
        <v>107</v>
      </c>
      <c r="C39" s="4" t="s">
        <v>108</v>
      </c>
      <c r="D39" s="3">
        <v>1</v>
      </c>
      <c r="E39" s="3" t="s">
        <v>16</v>
      </c>
      <c r="F39" s="3" t="s">
        <v>289</v>
      </c>
      <c r="G39" s="3" t="s">
        <v>23</v>
      </c>
      <c r="H39" s="3" t="s">
        <v>109</v>
      </c>
    </row>
    <row r="40" spans="1:8" x14ac:dyDescent="0.2">
      <c r="A40" s="3">
        <v>402030027</v>
      </c>
      <c r="B40" s="4" t="s">
        <v>107</v>
      </c>
      <c r="C40" s="4" t="s">
        <v>110</v>
      </c>
      <c r="D40" s="3">
        <v>1</v>
      </c>
      <c r="E40" s="3" t="s">
        <v>16</v>
      </c>
      <c r="F40" s="3" t="s">
        <v>291</v>
      </c>
      <c r="G40" s="3" t="s">
        <v>26</v>
      </c>
      <c r="H40" s="3" t="s">
        <v>109</v>
      </c>
    </row>
    <row r="41" spans="1:8" x14ac:dyDescent="0.2">
      <c r="A41" s="3">
        <v>402020006</v>
      </c>
      <c r="B41" s="4" t="s">
        <v>111</v>
      </c>
      <c r="C41" s="4" t="s">
        <v>112</v>
      </c>
      <c r="D41" s="3">
        <v>2</v>
      </c>
      <c r="E41" s="3" t="s">
        <v>16</v>
      </c>
      <c r="F41" s="3" t="s">
        <v>293</v>
      </c>
      <c r="G41" s="3" t="s">
        <v>29</v>
      </c>
      <c r="H41" s="3" t="s">
        <v>109</v>
      </c>
    </row>
    <row r="42" spans="1:8" x14ac:dyDescent="0.2">
      <c r="A42" s="3">
        <v>3060209002</v>
      </c>
      <c r="B42" s="4" t="s">
        <v>113</v>
      </c>
      <c r="C42" s="4" t="s">
        <v>114</v>
      </c>
      <c r="D42" s="3">
        <v>2</v>
      </c>
      <c r="E42" s="3" t="s">
        <v>16</v>
      </c>
      <c r="F42" s="3" t="s">
        <v>289</v>
      </c>
      <c r="G42" s="3" t="s">
        <v>23</v>
      </c>
      <c r="H42" s="3" t="s">
        <v>115</v>
      </c>
    </row>
    <row r="43" spans="1:8" x14ac:dyDescent="0.2">
      <c r="A43" s="3">
        <v>3040113002</v>
      </c>
      <c r="B43" s="4" t="s">
        <v>118</v>
      </c>
      <c r="C43" s="4" t="s">
        <v>119</v>
      </c>
      <c r="D43" s="3">
        <v>2</v>
      </c>
      <c r="E43" s="3" t="s">
        <v>16</v>
      </c>
      <c r="F43" s="3" t="s">
        <v>293</v>
      </c>
      <c r="G43" s="3" t="s">
        <v>29</v>
      </c>
      <c r="H43" s="3" t="s">
        <v>115</v>
      </c>
    </row>
    <row r="44" spans="1:8" x14ac:dyDescent="0.2">
      <c r="A44" s="3">
        <v>404020073</v>
      </c>
      <c r="B44" s="4" t="s">
        <v>30</v>
      </c>
      <c r="C44" s="4" t="s">
        <v>135</v>
      </c>
      <c r="D44" s="3">
        <v>1</v>
      </c>
      <c r="E44" s="3" t="s">
        <v>16</v>
      </c>
      <c r="F44" s="3" t="s">
        <v>291</v>
      </c>
      <c r="G44" s="3" t="s">
        <v>26</v>
      </c>
      <c r="H44" s="3" t="s">
        <v>134</v>
      </c>
    </row>
    <row r="45" spans="1:8" x14ac:dyDescent="0.2">
      <c r="A45" s="3">
        <v>404040025</v>
      </c>
      <c r="B45" s="4" t="s">
        <v>30</v>
      </c>
      <c r="C45" s="4" t="s">
        <v>133</v>
      </c>
      <c r="D45" s="3">
        <v>2</v>
      </c>
      <c r="E45" s="3" t="s">
        <v>16</v>
      </c>
      <c r="F45" s="3" t="s">
        <v>291</v>
      </c>
      <c r="G45" s="3" t="s">
        <v>26</v>
      </c>
      <c r="H45" s="3" t="s">
        <v>134</v>
      </c>
    </row>
    <row r="46" spans="1:8" x14ac:dyDescent="0.2">
      <c r="A46" s="3">
        <v>3040502001</v>
      </c>
      <c r="B46" s="4" t="s">
        <v>136</v>
      </c>
      <c r="C46" s="4" t="s">
        <v>678</v>
      </c>
      <c r="D46" s="3">
        <v>1</v>
      </c>
      <c r="E46" s="3" t="s">
        <v>16</v>
      </c>
      <c r="F46" s="3" t="s">
        <v>293</v>
      </c>
      <c r="G46" s="3" t="s">
        <v>29</v>
      </c>
      <c r="H46" s="3" t="s">
        <v>138</v>
      </c>
    </row>
    <row r="47" spans="1:8" x14ac:dyDescent="0.2">
      <c r="A47" s="3">
        <v>3040502040</v>
      </c>
      <c r="B47" s="4" t="s">
        <v>136</v>
      </c>
      <c r="C47" s="4" t="s">
        <v>679</v>
      </c>
      <c r="D47" s="3">
        <v>1</v>
      </c>
      <c r="E47" s="3" t="s">
        <v>16</v>
      </c>
      <c r="F47" s="3" t="s">
        <v>293</v>
      </c>
      <c r="G47" s="3" t="s">
        <v>29</v>
      </c>
      <c r="H47" s="3" t="s">
        <v>138</v>
      </c>
    </row>
    <row r="48" spans="1:8" x14ac:dyDescent="0.2">
      <c r="A48" s="3">
        <v>3990207001</v>
      </c>
      <c r="B48" s="4" t="s">
        <v>140</v>
      </c>
      <c r="C48" s="4" t="s">
        <v>141</v>
      </c>
      <c r="D48" s="3">
        <v>1</v>
      </c>
      <c r="E48" s="3" t="s">
        <v>16</v>
      </c>
      <c r="F48" s="3" t="s">
        <v>285</v>
      </c>
      <c r="G48" s="3" t="s">
        <v>142</v>
      </c>
      <c r="H48" s="3" t="s">
        <v>143</v>
      </c>
    </row>
    <row r="49" spans="1:8" x14ac:dyDescent="0.2">
      <c r="A49" s="3">
        <v>3990205001</v>
      </c>
      <c r="B49" s="4" t="s">
        <v>146</v>
      </c>
      <c r="C49" s="4" t="s">
        <v>147</v>
      </c>
      <c r="D49" s="3">
        <v>1</v>
      </c>
      <c r="E49" s="3" t="s">
        <v>16</v>
      </c>
      <c r="F49" s="3" t="s">
        <v>287</v>
      </c>
      <c r="G49" s="3" t="s">
        <v>148</v>
      </c>
      <c r="H49" s="3" t="s">
        <v>143</v>
      </c>
    </row>
    <row r="50" spans="1:8" x14ac:dyDescent="0.2">
      <c r="A50" s="3">
        <v>407020013</v>
      </c>
      <c r="B50" s="4" t="s">
        <v>680</v>
      </c>
      <c r="C50" s="4" t="s">
        <v>681</v>
      </c>
      <c r="D50" s="3">
        <v>1</v>
      </c>
      <c r="E50" s="3" t="s">
        <v>16</v>
      </c>
      <c r="F50" s="3" t="s">
        <v>289</v>
      </c>
      <c r="G50" s="3" t="s">
        <v>23</v>
      </c>
      <c r="H50" s="3" t="s">
        <v>151</v>
      </c>
    </row>
    <row r="51" spans="1:8" x14ac:dyDescent="0.2">
      <c r="A51" s="3">
        <v>3070103002</v>
      </c>
      <c r="B51" s="4" t="s">
        <v>152</v>
      </c>
      <c r="C51" s="4" t="s">
        <v>153</v>
      </c>
      <c r="D51" s="3">
        <v>1</v>
      </c>
      <c r="E51" s="3" t="s">
        <v>16</v>
      </c>
      <c r="F51" s="3" t="s">
        <v>289</v>
      </c>
      <c r="G51" s="3" t="s">
        <v>23</v>
      </c>
      <c r="H51" s="3" t="s">
        <v>154</v>
      </c>
    </row>
    <row r="52" spans="1:8" x14ac:dyDescent="0.2">
      <c r="A52" s="3">
        <v>3040211002</v>
      </c>
      <c r="B52" s="4" t="s">
        <v>157</v>
      </c>
      <c r="C52" s="4" t="s">
        <v>158</v>
      </c>
      <c r="D52" s="3">
        <v>2</v>
      </c>
      <c r="E52" s="3" t="s">
        <v>16</v>
      </c>
      <c r="F52" s="3" t="s">
        <v>293</v>
      </c>
      <c r="G52" s="3" t="s">
        <v>29</v>
      </c>
      <c r="H52" s="3" t="s">
        <v>154</v>
      </c>
    </row>
    <row r="53" spans="1:8" x14ac:dyDescent="0.2">
      <c r="A53" s="3">
        <v>3040217003</v>
      </c>
      <c r="B53" s="4" t="s">
        <v>159</v>
      </c>
      <c r="C53" s="4" t="s">
        <v>160</v>
      </c>
      <c r="D53" s="3">
        <v>2</v>
      </c>
      <c r="E53" s="3" t="s">
        <v>16</v>
      </c>
      <c r="F53" s="3" t="s">
        <v>293</v>
      </c>
      <c r="G53" s="3" t="s">
        <v>29</v>
      </c>
      <c r="H53" s="3" t="s">
        <v>154</v>
      </c>
    </row>
    <row r="54" spans="1:8" x14ac:dyDescent="0.2">
      <c r="A54" s="3">
        <v>3060306001</v>
      </c>
      <c r="B54" s="4" t="s">
        <v>163</v>
      </c>
      <c r="C54" s="4" t="s">
        <v>164</v>
      </c>
      <c r="D54" s="3">
        <v>1</v>
      </c>
      <c r="E54" s="3" t="s">
        <v>16</v>
      </c>
      <c r="F54" s="3" t="s">
        <v>289</v>
      </c>
      <c r="G54" s="3" t="s">
        <v>23</v>
      </c>
      <c r="H54" s="3" t="s">
        <v>165</v>
      </c>
    </row>
    <row r="55" spans="1:8" x14ac:dyDescent="0.2">
      <c r="A55" s="3">
        <v>3060344003</v>
      </c>
      <c r="B55" s="4" t="s">
        <v>682</v>
      </c>
      <c r="C55" s="4" t="s">
        <v>683</v>
      </c>
      <c r="D55" s="3">
        <v>1</v>
      </c>
      <c r="E55" s="3" t="s">
        <v>16</v>
      </c>
      <c r="F55" s="3" t="s">
        <v>291</v>
      </c>
      <c r="G55" s="3" t="s">
        <v>26</v>
      </c>
      <c r="H55" s="3" t="s">
        <v>173</v>
      </c>
    </row>
    <row r="56" spans="1:8" x14ac:dyDescent="0.2">
      <c r="A56" s="3">
        <v>3060310001</v>
      </c>
      <c r="B56" s="4" t="s">
        <v>171</v>
      </c>
      <c r="C56" s="4" t="s">
        <v>172</v>
      </c>
      <c r="D56" s="3">
        <v>1</v>
      </c>
      <c r="E56" s="3" t="s">
        <v>16</v>
      </c>
      <c r="F56" s="3" t="s">
        <v>289</v>
      </c>
      <c r="G56" s="3" t="s">
        <v>23</v>
      </c>
      <c r="H56" s="3" t="s">
        <v>173</v>
      </c>
    </row>
    <row r="57" spans="1:8" x14ac:dyDescent="0.2">
      <c r="A57" s="3">
        <v>3060311001</v>
      </c>
      <c r="B57" s="4" t="s">
        <v>174</v>
      </c>
      <c r="C57" s="4" t="s">
        <v>172</v>
      </c>
      <c r="D57" s="3">
        <v>1</v>
      </c>
      <c r="E57" s="3" t="s">
        <v>16</v>
      </c>
      <c r="F57" s="3" t="s">
        <v>289</v>
      </c>
      <c r="G57" s="3" t="s">
        <v>23</v>
      </c>
      <c r="H57" s="3" t="s">
        <v>173</v>
      </c>
    </row>
    <row r="58" spans="1:8" x14ac:dyDescent="0.2">
      <c r="A58" s="3">
        <v>3050304001</v>
      </c>
      <c r="B58" s="4" t="s">
        <v>181</v>
      </c>
      <c r="C58" s="4" t="s">
        <v>182</v>
      </c>
      <c r="D58" s="3">
        <v>1</v>
      </c>
      <c r="E58" s="3" t="s">
        <v>16</v>
      </c>
      <c r="F58" s="3" t="s">
        <v>291</v>
      </c>
      <c r="G58" s="3" t="s">
        <v>26</v>
      </c>
      <c r="H58" s="3" t="s">
        <v>173</v>
      </c>
    </row>
    <row r="59" spans="1:8" x14ac:dyDescent="0.2">
      <c r="A59" s="3">
        <v>3020502023</v>
      </c>
      <c r="B59" s="4" t="s">
        <v>183</v>
      </c>
      <c r="C59" s="4" t="s">
        <v>184</v>
      </c>
      <c r="D59" s="3">
        <v>1</v>
      </c>
      <c r="E59" s="3" t="s">
        <v>16</v>
      </c>
      <c r="F59" s="3" t="s">
        <v>291</v>
      </c>
      <c r="G59" s="3" t="s">
        <v>26</v>
      </c>
      <c r="H59" s="3" t="s">
        <v>185</v>
      </c>
    </row>
    <row r="60" spans="1:8" x14ac:dyDescent="0.2">
      <c r="A60" s="3">
        <v>3040402001</v>
      </c>
      <c r="B60" s="4" t="s">
        <v>193</v>
      </c>
      <c r="C60" s="4" t="s">
        <v>194</v>
      </c>
      <c r="D60" s="3">
        <v>1</v>
      </c>
      <c r="E60" s="3" t="s">
        <v>16</v>
      </c>
      <c r="F60" s="3" t="s">
        <v>293</v>
      </c>
      <c r="G60" s="3" t="s">
        <v>29</v>
      </c>
      <c r="H60" s="3" t="s">
        <v>192</v>
      </c>
    </row>
    <row r="61" spans="1:8" x14ac:dyDescent="0.2">
      <c r="A61" s="3">
        <v>3040402002</v>
      </c>
      <c r="B61" s="4" t="s">
        <v>193</v>
      </c>
      <c r="C61" s="4" t="s">
        <v>195</v>
      </c>
      <c r="D61" s="3">
        <v>1</v>
      </c>
      <c r="E61" s="3" t="s">
        <v>16</v>
      </c>
      <c r="F61" s="3" t="s">
        <v>293</v>
      </c>
      <c r="G61" s="3" t="s">
        <v>29</v>
      </c>
      <c r="H61" s="3" t="s">
        <v>192</v>
      </c>
    </row>
    <row r="62" spans="1:8" x14ac:dyDescent="0.2">
      <c r="A62" s="3">
        <v>403010047</v>
      </c>
      <c r="B62" s="4" t="s">
        <v>684</v>
      </c>
      <c r="C62" s="4" t="s">
        <v>685</v>
      </c>
      <c r="D62" s="3">
        <v>1</v>
      </c>
      <c r="E62" s="3" t="s">
        <v>16</v>
      </c>
      <c r="F62" s="3" t="s">
        <v>301</v>
      </c>
      <c r="G62" s="3" t="s">
        <v>32</v>
      </c>
      <c r="H62" s="3" t="s">
        <v>198</v>
      </c>
    </row>
    <row r="63" spans="1:8" x14ac:dyDescent="0.2">
      <c r="A63" s="3">
        <v>403010031</v>
      </c>
      <c r="B63" s="4" t="s">
        <v>684</v>
      </c>
      <c r="C63" s="4" t="s">
        <v>686</v>
      </c>
      <c r="D63" s="3">
        <v>1</v>
      </c>
      <c r="E63" s="3" t="s">
        <v>16</v>
      </c>
      <c r="F63" s="3" t="s">
        <v>301</v>
      </c>
      <c r="G63" s="3" t="s">
        <v>32</v>
      </c>
      <c r="H63" s="3" t="s">
        <v>198</v>
      </c>
    </row>
    <row r="64" spans="1:8" x14ac:dyDescent="0.2">
      <c r="A64" s="3">
        <v>403010198</v>
      </c>
      <c r="B64" s="4" t="s">
        <v>684</v>
      </c>
      <c r="C64" s="4" t="s">
        <v>687</v>
      </c>
      <c r="D64" s="3">
        <v>1</v>
      </c>
      <c r="E64" s="3" t="s">
        <v>16</v>
      </c>
      <c r="F64" s="3" t="s">
        <v>291</v>
      </c>
      <c r="G64" s="3" t="s">
        <v>26</v>
      </c>
      <c r="H64" s="3" t="s">
        <v>198</v>
      </c>
    </row>
    <row r="65" spans="1:8" x14ac:dyDescent="0.2">
      <c r="A65" s="3">
        <v>403010197</v>
      </c>
      <c r="B65" s="4" t="s">
        <v>684</v>
      </c>
      <c r="C65" s="4" t="s">
        <v>688</v>
      </c>
      <c r="D65" s="3">
        <v>1</v>
      </c>
      <c r="E65" s="3" t="s">
        <v>16</v>
      </c>
      <c r="F65" s="3" t="s">
        <v>291</v>
      </c>
      <c r="G65" s="3" t="s">
        <v>26</v>
      </c>
      <c r="H65" s="3" t="s">
        <v>198</v>
      </c>
    </row>
    <row r="66" spans="1:8" x14ac:dyDescent="0.2">
      <c r="A66" s="3">
        <v>404030020</v>
      </c>
      <c r="B66" s="4" t="s">
        <v>30</v>
      </c>
      <c r="C66" s="4" t="s">
        <v>689</v>
      </c>
      <c r="D66" s="3">
        <v>1</v>
      </c>
      <c r="E66" s="3" t="s">
        <v>16</v>
      </c>
      <c r="F66" s="3" t="s">
        <v>289</v>
      </c>
      <c r="G66" s="3" t="s">
        <v>23</v>
      </c>
      <c r="H66" s="3" t="s">
        <v>198</v>
      </c>
    </row>
    <row r="67" spans="1:8" x14ac:dyDescent="0.2">
      <c r="A67" s="3">
        <v>404020035</v>
      </c>
      <c r="B67" s="4" t="s">
        <v>30</v>
      </c>
      <c r="C67" s="4" t="s">
        <v>199</v>
      </c>
      <c r="D67" s="3">
        <v>1</v>
      </c>
      <c r="E67" s="3" t="s">
        <v>16</v>
      </c>
      <c r="F67" s="3" t="s">
        <v>291</v>
      </c>
      <c r="G67" s="3" t="s">
        <v>26</v>
      </c>
      <c r="H67" s="3" t="s">
        <v>198</v>
      </c>
    </row>
    <row r="68" spans="1:8" x14ac:dyDescent="0.2">
      <c r="A68" s="3">
        <v>401070022</v>
      </c>
      <c r="B68" s="4" t="s">
        <v>35</v>
      </c>
      <c r="C68" s="4" t="s">
        <v>203</v>
      </c>
      <c r="D68" s="3">
        <v>1</v>
      </c>
      <c r="E68" s="3" t="s">
        <v>16</v>
      </c>
      <c r="F68" s="3" t="s">
        <v>297</v>
      </c>
      <c r="G68" s="3" t="s">
        <v>204</v>
      </c>
      <c r="H68" s="3" t="s">
        <v>198</v>
      </c>
    </row>
    <row r="69" spans="1:8" x14ac:dyDescent="0.2">
      <c r="A69" s="3">
        <v>401070018</v>
      </c>
      <c r="B69" s="4" t="s">
        <v>35</v>
      </c>
      <c r="C69" s="4" t="s">
        <v>202</v>
      </c>
      <c r="D69" s="3">
        <v>1</v>
      </c>
      <c r="E69" s="3" t="s">
        <v>16</v>
      </c>
      <c r="F69" s="3" t="s">
        <v>291</v>
      </c>
      <c r="G69" s="3" t="s">
        <v>26</v>
      </c>
      <c r="H69" s="3" t="s">
        <v>198</v>
      </c>
    </row>
    <row r="70" spans="1:8" x14ac:dyDescent="0.2">
      <c r="A70" s="3">
        <v>3020302013</v>
      </c>
      <c r="B70" s="4" t="s">
        <v>209</v>
      </c>
      <c r="C70" s="4" t="s">
        <v>210</v>
      </c>
      <c r="D70" s="3">
        <v>1</v>
      </c>
      <c r="E70" s="3" t="s">
        <v>16</v>
      </c>
      <c r="F70" s="3" t="s">
        <v>291</v>
      </c>
      <c r="G70" s="3" t="s">
        <v>26</v>
      </c>
      <c r="H70" s="3" t="s">
        <v>211</v>
      </c>
    </row>
    <row r="71" spans="1:8" x14ac:dyDescent="0.2">
      <c r="A71" s="3">
        <v>3050401005</v>
      </c>
      <c r="B71" s="4" t="s">
        <v>222</v>
      </c>
      <c r="C71" s="4" t="s">
        <v>690</v>
      </c>
      <c r="D71" s="3">
        <v>1</v>
      </c>
      <c r="E71" s="3" t="s">
        <v>16</v>
      </c>
      <c r="F71" s="3" t="s">
        <v>291</v>
      </c>
      <c r="G71" s="3" t="s">
        <v>26</v>
      </c>
      <c r="H71" s="3" t="s">
        <v>221</v>
      </c>
    </row>
    <row r="72" spans="1:8" x14ac:dyDescent="0.2">
      <c r="A72" s="3">
        <v>3060333002</v>
      </c>
      <c r="B72" s="4" t="s">
        <v>227</v>
      </c>
      <c r="C72" s="4" t="s">
        <v>228</v>
      </c>
      <c r="D72" s="3">
        <v>1</v>
      </c>
      <c r="E72" s="3" t="s">
        <v>16</v>
      </c>
      <c r="F72" s="3" t="s">
        <v>289</v>
      </c>
      <c r="G72" s="3" t="s">
        <v>23</v>
      </c>
      <c r="H72" s="3" t="s">
        <v>226</v>
      </c>
    </row>
    <row r="73" spans="1:8" x14ac:dyDescent="0.2">
      <c r="A73" s="3">
        <v>3060308002</v>
      </c>
      <c r="B73" s="4" t="s">
        <v>229</v>
      </c>
      <c r="C73" s="4" t="s">
        <v>230</v>
      </c>
      <c r="D73" s="3">
        <v>1</v>
      </c>
      <c r="E73" s="3" t="s">
        <v>16</v>
      </c>
      <c r="F73" s="3" t="s">
        <v>289</v>
      </c>
      <c r="G73" s="3" t="s">
        <v>23</v>
      </c>
      <c r="H73" s="3" t="s">
        <v>226</v>
      </c>
    </row>
    <row r="74" spans="1:8" x14ac:dyDescent="0.2">
      <c r="A74" s="3">
        <v>3060303001</v>
      </c>
      <c r="B74" s="4" t="s">
        <v>231</v>
      </c>
      <c r="C74" s="4" t="s">
        <v>232</v>
      </c>
      <c r="D74" s="3">
        <v>1</v>
      </c>
      <c r="E74" s="3" t="s">
        <v>16</v>
      </c>
      <c r="F74" s="3" t="s">
        <v>289</v>
      </c>
      <c r="G74" s="3" t="s">
        <v>23</v>
      </c>
      <c r="H74" s="3" t="s">
        <v>226</v>
      </c>
    </row>
    <row r="75" spans="1:8" x14ac:dyDescent="0.2">
      <c r="A75" s="3">
        <v>3060335004</v>
      </c>
      <c r="B75" s="4" t="s">
        <v>233</v>
      </c>
      <c r="C75" s="4" t="s">
        <v>234</v>
      </c>
      <c r="D75" s="3">
        <v>1</v>
      </c>
      <c r="E75" s="3" t="s">
        <v>16</v>
      </c>
      <c r="F75" s="3" t="s">
        <v>289</v>
      </c>
      <c r="G75" s="3" t="s">
        <v>23</v>
      </c>
      <c r="H75" s="3" t="s">
        <v>226</v>
      </c>
    </row>
    <row r="76" spans="1:8" x14ac:dyDescent="0.2">
      <c r="A76" s="3">
        <v>3020101005</v>
      </c>
      <c r="B76" s="4" t="s">
        <v>239</v>
      </c>
      <c r="C76" s="4" t="s">
        <v>610</v>
      </c>
      <c r="D76" s="3">
        <v>5</v>
      </c>
      <c r="E76" s="3" t="s">
        <v>16</v>
      </c>
      <c r="F76" s="3" t="s">
        <v>297</v>
      </c>
      <c r="G76" s="3" t="s">
        <v>204</v>
      </c>
      <c r="H76" s="3" t="s">
        <v>226</v>
      </c>
    </row>
    <row r="77" spans="1:8" x14ac:dyDescent="0.2">
      <c r="A77" s="3">
        <v>3030303011</v>
      </c>
      <c r="B77" s="4" t="s">
        <v>611</v>
      </c>
      <c r="C77" s="4" t="s">
        <v>612</v>
      </c>
      <c r="D77" s="3">
        <v>2</v>
      </c>
      <c r="E77" s="3" t="s">
        <v>16</v>
      </c>
      <c r="F77" s="3" t="s">
        <v>291</v>
      </c>
      <c r="G77" s="3" t="s">
        <v>26</v>
      </c>
      <c r="H77" s="3" t="s">
        <v>226</v>
      </c>
    </row>
    <row r="78" spans="1:8" x14ac:dyDescent="0.2">
      <c r="A78" s="3">
        <v>3030303010</v>
      </c>
      <c r="B78" s="4" t="s">
        <v>611</v>
      </c>
      <c r="C78" s="4" t="s">
        <v>258</v>
      </c>
      <c r="D78" s="3">
        <v>1</v>
      </c>
      <c r="E78" s="3" t="s">
        <v>16</v>
      </c>
      <c r="F78" s="3" t="s">
        <v>291</v>
      </c>
      <c r="G78" s="3" t="s">
        <v>26</v>
      </c>
      <c r="H78" s="3" t="s">
        <v>226</v>
      </c>
    </row>
    <row r="79" spans="1:8" x14ac:dyDescent="0.2">
      <c r="A79" s="3">
        <v>3069901001</v>
      </c>
      <c r="B79" s="4" t="s">
        <v>547</v>
      </c>
      <c r="C79" s="4" t="s">
        <v>548</v>
      </c>
      <c r="D79" s="3">
        <v>1</v>
      </c>
      <c r="E79" s="3" t="s">
        <v>16</v>
      </c>
      <c r="F79" s="3" t="s">
        <v>289</v>
      </c>
      <c r="G79" s="3" t="s">
        <v>23</v>
      </c>
      <c r="H79" s="3" t="s">
        <v>226</v>
      </c>
    </row>
    <row r="80" spans="1:8" x14ac:dyDescent="0.2">
      <c r="A80" s="3">
        <v>3050303002</v>
      </c>
      <c r="B80" s="4" t="s">
        <v>245</v>
      </c>
      <c r="C80" s="4" t="s">
        <v>246</v>
      </c>
      <c r="D80" s="3">
        <v>1</v>
      </c>
      <c r="E80" s="3" t="s">
        <v>16</v>
      </c>
      <c r="F80" s="3" t="s">
        <v>291</v>
      </c>
      <c r="G80" s="3" t="s">
        <v>26</v>
      </c>
      <c r="H80" s="3" t="s">
        <v>226</v>
      </c>
    </row>
    <row r="81" spans="1:8" x14ac:dyDescent="0.2">
      <c r="A81" s="3">
        <v>3080107017</v>
      </c>
      <c r="B81" s="4" t="s">
        <v>69</v>
      </c>
      <c r="C81" s="4" t="s">
        <v>251</v>
      </c>
      <c r="D81" s="3">
        <v>4</v>
      </c>
      <c r="E81" s="3" t="s">
        <v>16</v>
      </c>
      <c r="F81" s="3" t="s">
        <v>289</v>
      </c>
      <c r="G81" s="3" t="s">
        <v>23</v>
      </c>
      <c r="H81" s="3" t="s">
        <v>249</v>
      </c>
    </row>
    <row r="82" spans="1:8" x14ac:dyDescent="0.2">
      <c r="A82" s="3">
        <v>3080107017</v>
      </c>
      <c r="B82" s="4" t="s">
        <v>69</v>
      </c>
      <c r="C82" s="4" t="s">
        <v>251</v>
      </c>
      <c r="D82" s="3">
        <v>2</v>
      </c>
      <c r="E82" s="3" t="s">
        <v>16</v>
      </c>
      <c r="F82" s="3" t="s">
        <v>289</v>
      </c>
      <c r="G82" s="3" t="s">
        <v>23</v>
      </c>
      <c r="H82" s="3" t="s">
        <v>249</v>
      </c>
    </row>
    <row r="83" spans="1:8" x14ac:dyDescent="0.2">
      <c r="A83" s="3">
        <v>3060309001</v>
      </c>
      <c r="B83" s="4" t="s">
        <v>252</v>
      </c>
      <c r="C83" s="4" t="s">
        <v>253</v>
      </c>
      <c r="D83" s="3">
        <v>1</v>
      </c>
      <c r="E83" s="3" t="s">
        <v>16</v>
      </c>
      <c r="F83" s="3" t="s">
        <v>289</v>
      </c>
      <c r="G83" s="3" t="s">
        <v>23</v>
      </c>
      <c r="H83" s="3" t="s">
        <v>254</v>
      </c>
    </row>
    <row r="84" spans="1:8" x14ac:dyDescent="0.2">
      <c r="A84" s="3">
        <v>3060341001</v>
      </c>
      <c r="B84" s="4" t="s">
        <v>255</v>
      </c>
      <c r="C84" s="4" t="s">
        <v>256</v>
      </c>
      <c r="D84" s="3">
        <v>1</v>
      </c>
      <c r="E84" s="3" t="s">
        <v>16</v>
      </c>
      <c r="F84" s="3" t="s">
        <v>289</v>
      </c>
      <c r="G84" s="3" t="s">
        <v>23</v>
      </c>
      <c r="H84" s="3" t="s">
        <v>254</v>
      </c>
    </row>
    <row r="85" spans="1:8" x14ac:dyDescent="0.2">
      <c r="A85" s="3">
        <v>3040312007</v>
      </c>
      <c r="B85" s="4" t="s">
        <v>263</v>
      </c>
      <c r="C85" s="4" t="s">
        <v>264</v>
      </c>
      <c r="D85" s="3">
        <v>2</v>
      </c>
      <c r="E85" s="3" t="s">
        <v>16</v>
      </c>
      <c r="F85" s="3" t="s">
        <v>293</v>
      </c>
      <c r="G85" s="3" t="s">
        <v>29</v>
      </c>
      <c r="H85" s="3" t="s">
        <v>254</v>
      </c>
    </row>
    <row r="86" spans="1:8" x14ac:dyDescent="0.2">
      <c r="A86" s="3">
        <v>3040303001</v>
      </c>
      <c r="B86" s="4" t="s">
        <v>265</v>
      </c>
      <c r="C86" s="4" t="s">
        <v>266</v>
      </c>
      <c r="D86" s="3">
        <v>2</v>
      </c>
      <c r="E86" s="3" t="s">
        <v>16</v>
      </c>
      <c r="F86" s="3" t="s">
        <v>293</v>
      </c>
      <c r="G86" s="3" t="s">
        <v>29</v>
      </c>
      <c r="H86" s="3" t="s">
        <v>254</v>
      </c>
    </row>
    <row r="87" spans="1:8" x14ac:dyDescent="0.2">
      <c r="A87" s="3">
        <v>3040320003</v>
      </c>
      <c r="B87" s="4" t="s">
        <v>269</v>
      </c>
      <c r="C87" s="4" t="s">
        <v>270</v>
      </c>
      <c r="D87" s="3">
        <v>2</v>
      </c>
      <c r="E87" s="3" t="s">
        <v>16</v>
      </c>
      <c r="F87" s="3" t="s">
        <v>293</v>
      </c>
      <c r="G87" s="3" t="s">
        <v>29</v>
      </c>
      <c r="H87" s="3" t="s">
        <v>254</v>
      </c>
    </row>
    <row r="88" spans="1:8" x14ac:dyDescent="0.2">
      <c r="A88" s="3">
        <v>3040314001</v>
      </c>
      <c r="B88" s="4" t="s">
        <v>271</v>
      </c>
      <c r="C88" s="4" t="s">
        <v>272</v>
      </c>
      <c r="D88" s="3">
        <v>2</v>
      </c>
      <c r="E88" s="3" t="s">
        <v>16</v>
      </c>
      <c r="F88" s="3" t="s">
        <v>293</v>
      </c>
      <c r="G88" s="3" t="s">
        <v>29</v>
      </c>
      <c r="H88" s="3" t="s">
        <v>254</v>
      </c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DC8C0-2486-4E2E-B467-4AFE763BD390}">
  <dimension ref="A1:H102"/>
  <sheetViews>
    <sheetView workbookViewId="0">
      <selection activeCell="D3" sqref="D3"/>
    </sheetView>
  </sheetViews>
  <sheetFormatPr defaultRowHeight="14.25" x14ac:dyDescent="0.2"/>
  <cols>
    <col min="1" max="1" width="12.625" customWidth="1"/>
    <col min="2" max="3" width="14.625" customWidth="1"/>
  </cols>
  <sheetData>
    <row r="1" spans="1:8" x14ac:dyDescent="0.2">
      <c r="A1" s="3" t="s">
        <v>697</v>
      </c>
      <c r="B1" s="4"/>
      <c r="C1" s="4"/>
      <c r="D1" s="3"/>
      <c r="E1" s="3"/>
      <c r="F1" s="3"/>
      <c r="G1" s="3"/>
      <c r="H1" s="3"/>
    </row>
    <row r="2" spans="1:8" ht="28.5" x14ac:dyDescent="0.2">
      <c r="A2" s="1" t="s">
        <v>0</v>
      </c>
      <c r="B2" s="2" t="s">
        <v>1</v>
      </c>
      <c r="C2" s="2" t="s">
        <v>2</v>
      </c>
      <c r="D2" s="1" t="s">
        <v>4</v>
      </c>
      <c r="E2" s="1" t="s">
        <v>3</v>
      </c>
      <c r="F2" s="1" t="s">
        <v>5</v>
      </c>
      <c r="G2" s="1" t="s">
        <v>6</v>
      </c>
      <c r="H2" s="1" t="s">
        <v>7</v>
      </c>
    </row>
    <row r="3" spans="1:8" s="10" customFormat="1" x14ac:dyDescent="0.2">
      <c r="A3" s="8" t="s">
        <v>390</v>
      </c>
      <c r="B3" s="9" t="s">
        <v>8</v>
      </c>
      <c r="C3" s="9" t="s">
        <v>9</v>
      </c>
      <c r="D3" s="12">
        <f>0.2623/0.94</f>
        <v>0.27904255319148935</v>
      </c>
      <c r="E3" s="8" t="s">
        <v>596</v>
      </c>
      <c r="F3" s="8" t="s">
        <v>283</v>
      </c>
      <c r="G3" s="8" t="s">
        <v>13</v>
      </c>
      <c r="H3" s="8" t="s">
        <v>12</v>
      </c>
    </row>
    <row r="4" spans="1:8" x14ac:dyDescent="0.2">
      <c r="A4" s="3">
        <v>402030028</v>
      </c>
      <c r="B4" s="4" t="s">
        <v>107</v>
      </c>
      <c r="C4" s="4" t="s">
        <v>305</v>
      </c>
      <c r="D4" s="3">
        <v>1</v>
      </c>
      <c r="E4" s="3" t="s">
        <v>16</v>
      </c>
      <c r="F4" s="3" t="s">
        <v>289</v>
      </c>
      <c r="G4" s="3" t="s">
        <v>23</v>
      </c>
      <c r="H4" s="3" t="s">
        <v>306</v>
      </c>
    </row>
    <row r="5" spans="1:8" x14ac:dyDescent="0.2">
      <c r="A5" s="3">
        <v>3060201009</v>
      </c>
      <c r="B5" s="4" t="s">
        <v>663</v>
      </c>
      <c r="C5" s="4" t="s">
        <v>664</v>
      </c>
      <c r="D5" s="3">
        <v>1</v>
      </c>
      <c r="E5" s="3" t="s">
        <v>16</v>
      </c>
      <c r="F5" s="3" t="s">
        <v>289</v>
      </c>
      <c r="G5" s="3" t="s">
        <v>23</v>
      </c>
      <c r="H5" s="3" t="s">
        <v>18</v>
      </c>
    </row>
    <row r="6" spans="1:8" x14ac:dyDescent="0.2">
      <c r="A6" s="3">
        <v>3060503002</v>
      </c>
      <c r="B6" s="4" t="s">
        <v>21</v>
      </c>
      <c r="C6" s="4" t="s">
        <v>22</v>
      </c>
      <c r="D6" s="3">
        <v>1</v>
      </c>
      <c r="E6" s="3" t="s">
        <v>16</v>
      </c>
      <c r="F6" s="3" t="s">
        <v>289</v>
      </c>
      <c r="G6" s="3" t="s">
        <v>23</v>
      </c>
      <c r="H6" s="3" t="s">
        <v>18</v>
      </c>
    </row>
    <row r="7" spans="1:8" x14ac:dyDescent="0.2">
      <c r="A7" s="3">
        <v>3040207001</v>
      </c>
      <c r="B7" s="4" t="s">
        <v>665</v>
      </c>
      <c r="C7" s="4" t="s">
        <v>666</v>
      </c>
      <c r="D7" s="3">
        <v>2</v>
      </c>
      <c r="E7" s="3" t="s">
        <v>16</v>
      </c>
      <c r="F7" s="3" t="s">
        <v>293</v>
      </c>
      <c r="G7" s="3" t="s">
        <v>29</v>
      </c>
      <c r="H7" s="3" t="s">
        <v>18</v>
      </c>
    </row>
    <row r="8" spans="1:8" x14ac:dyDescent="0.2">
      <c r="A8" s="3">
        <v>404020029</v>
      </c>
      <c r="B8" s="4" t="s">
        <v>30</v>
      </c>
      <c r="C8" s="4" t="s">
        <v>31</v>
      </c>
      <c r="D8" s="3">
        <v>2</v>
      </c>
      <c r="E8" s="3" t="s">
        <v>16</v>
      </c>
      <c r="F8" s="3" t="s">
        <v>301</v>
      </c>
      <c r="G8" s="3" t="s">
        <v>32</v>
      </c>
      <c r="H8" s="3" t="s">
        <v>33</v>
      </c>
    </row>
    <row r="9" spans="1:8" x14ac:dyDescent="0.2">
      <c r="A9" s="3">
        <v>404020029</v>
      </c>
      <c r="B9" s="4" t="s">
        <v>30</v>
      </c>
      <c r="C9" s="4" t="s">
        <v>31</v>
      </c>
      <c r="D9" s="3">
        <v>1</v>
      </c>
      <c r="E9" s="3" t="s">
        <v>16</v>
      </c>
      <c r="F9" s="3" t="s">
        <v>301</v>
      </c>
      <c r="G9" s="3" t="s">
        <v>32</v>
      </c>
      <c r="H9" s="3" t="s">
        <v>33</v>
      </c>
    </row>
    <row r="10" spans="1:8" x14ac:dyDescent="0.2">
      <c r="A10" s="3">
        <v>404020033</v>
      </c>
      <c r="B10" s="4" t="s">
        <v>30</v>
      </c>
      <c r="C10" s="4" t="s">
        <v>692</v>
      </c>
      <c r="D10" s="3">
        <v>1</v>
      </c>
      <c r="E10" s="3" t="s">
        <v>16</v>
      </c>
      <c r="F10" s="3" t="s">
        <v>301</v>
      </c>
      <c r="G10" s="3" t="s">
        <v>32</v>
      </c>
      <c r="H10" s="3" t="s">
        <v>33</v>
      </c>
    </row>
    <row r="11" spans="1:8" x14ac:dyDescent="0.2">
      <c r="A11" s="3">
        <v>401020323</v>
      </c>
      <c r="B11" s="4" t="s">
        <v>35</v>
      </c>
      <c r="C11" s="4" t="s">
        <v>693</v>
      </c>
      <c r="D11" s="3">
        <v>1</v>
      </c>
      <c r="E11" s="3" t="s">
        <v>16</v>
      </c>
      <c r="F11" s="3" t="s">
        <v>301</v>
      </c>
      <c r="G11" s="3" t="s">
        <v>32</v>
      </c>
      <c r="H11" s="3" t="s">
        <v>33</v>
      </c>
    </row>
    <row r="12" spans="1:8" x14ac:dyDescent="0.2">
      <c r="A12" s="3">
        <v>401040439</v>
      </c>
      <c r="B12" s="4" t="s">
        <v>35</v>
      </c>
      <c r="C12" s="4" t="s">
        <v>694</v>
      </c>
      <c r="D12" s="3">
        <v>1</v>
      </c>
      <c r="E12" s="3" t="s">
        <v>16</v>
      </c>
      <c r="F12" s="3" t="s">
        <v>293</v>
      </c>
      <c r="G12" s="3" t="s">
        <v>29</v>
      </c>
      <c r="H12" s="3" t="s">
        <v>33</v>
      </c>
    </row>
    <row r="13" spans="1:8" x14ac:dyDescent="0.2">
      <c r="A13" s="3">
        <v>401040027</v>
      </c>
      <c r="B13" s="4" t="s">
        <v>35</v>
      </c>
      <c r="C13" s="4" t="s">
        <v>311</v>
      </c>
      <c r="D13" s="3">
        <v>1</v>
      </c>
      <c r="E13" s="3" t="s">
        <v>16</v>
      </c>
      <c r="F13" s="3" t="s">
        <v>291</v>
      </c>
      <c r="G13" s="3" t="s">
        <v>26</v>
      </c>
      <c r="H13" s="3" t="s">
        <v>33</v>
      </c>
    </row>
    <row r="14" spans="1:8" x14ac:dyDescent="0.2">
      <c r="A14" s="3">
        <v>409010006</v>
      </c>
      <c r="B14" s="4" t="s">
        <v>668</v>
      </c>
      <c r="C14" s="4" t="s">
        <v>669</v>
      </c>
      <c r="D14" s="3">
        <v>1</v>
      </c>
      <c r="E14" s="3" t="s">
        <v>16</v>
      </c>
      <c r="F14" s="3" t="s">
        <v>291</v>
      </c>
      <c r="G14" s="3" t="s">
        <v>26</v>
      </c>
      <c r="H14" s="3" t="s">
        <v>40</v>
      </c>
    </row>
    <row r="15" spans="1:8" x14ac:dyDescent="0.2">
      <c r="A15" s="3">
        <v>409010007</v>
      </c>
      <c r="B15" s="4" t="s">
        <v>670</v>
      </c>
      <c r="C15" s="4" t="s">
        <v>671</v>
      </c>
      <c r="D15" s="3">
        <v>1</v>
      </c>
      <c r="E15" s="3" t="s">
        <v>16</v>
      </c>
      <c r="F15" s="3" t="s">
        <v>291</v>
      </c>
      <c r="G15" s="3" t="s">
        <v>26</v>
      </c>
      <c r="H15" s="3" t="s">
        <v>40</v>
      </c>
    </row>
    <row r="16" spans="1:8" x14ac:dyDescent="0.2">
      <c r="A16" s="3">
        <v>409010058</v>
      </c>
      <c r="B16" s="4" t="s">
        <v>672</v>
      </c>
      <c r="C16" s="4" t="s">
        <v>673</v>
      </c>
      <c r="D16" s="3">
        <v>1</v>
      </c>
      <c r="E16" s="3" t="s">
        <v>16</v>
      </c>
      <c r="F16" s="3" t="s">
        <v>291</v>
      </c>
      <c r="G16" s="3" t="s">
        <v>26</v>
      </c>
      <c r="H16" s="3" t="s">
        <v>40</v>
      </c>
    </row>
    <row r="17" spans="1:8" x14ac:dyDescent="0.2">
      <c r="A17" s="3">
        <v>3080102003</v>
      </c>
      <c r="B17" s="4" t="s">
        <v>38</v>
      </c>
      <c r="C17" s="4" t="s">
        <v>39</v>
      </c>
      <c r="D17" s="3">
        <v>1</v>
      </c>
      <c r="E17" s="3" t="s">
        <v>16</v>
      </c>
      <c r="F17" s="3" t="s">
        <v>289</v>
      </c>
      <c r="G17" s="3" t="s">
        <v>23</v>
      </c>
      <c r="H17" s="3" t="s">
        <v>40</v>
      </c>
    </row>
    <row r="18" spans="1:8" x14ac:dyDescent="0.2">
      <c r="A18" s="3">
        <v>3080105007</v>
      </c>
      <c r="B18" s="4" t="s">
        <v>50</v>
      </c>
      <c r="C18" s="4" t="s">
        <v>52</v>
      </c>
      <c r="D18" s="3">
        <v>2</v>
      </c>
      <c r="E18" s="3" t="s">
        <v>16</v>
      </c>
      <c r="F18" s="3" t="s">
        <v>289</v>
      </c>
      <c r="G18" s="3" t="s">
        <v>23</v>
      </c>
      <c r="H18" s="3" t="s">
        <v>40</v>
      </c>
    </row>
    <row r="19" spans="1:8" x14ac:dyDescent="0.2">
      <c r="A19" s="3">
        <v>3080105024</v>
      </c>
      <c r="B19" s="4" t="s">
        <v>50</v>
      </c>
      <c r="C19" s="4" t="s">
        <v>420</v>
      </c>
      <c r="D19" s="3">
        <v>8</v>
      </c>
      <c r="E19" s="3" t="s">
        <v>16</v>
      </c>
      <c r="F19" s="3" t="s">
        <v>289</v>
      </c>
      <c r="G19" s="3" t="s">
        <v>23</v>
      </c>
      <c r="H19" s="3" t="s">
        <v>40</v>
      </c>
    </row>
    <row r="20" spans="1:8" x14ac:dyDescent="0.2">
      <c r="A20" s="3">
        <v>3080105114</v>
      </c>
      <c r="B20" s="4" t="s">
        <v>50</v>
      </c>
      <c r="C20" s="4" t="s">
        <v>53</v>
      </c>
      <c r="D20" s="3">
        <v>4</v>
      </c>
      <c r="E20" s="3" t="s">
        <v>16</v>
      </c>
      <c r="F20" s="3" t="s">
        <v>289</v>
      </c>
      <c r="G20" s="3" t="s">
        <v>23</v>
      </c>
      <c r="H20" s="3" t="s">
        <v>40</v>
      </c>
    </row>
    <row r="21" spans="1:8" x14ac:dyDescent="0.2">
      <c r="A21" s="3">
        <v>3080105114</v>
      </c>
      <c r="B21" s="4" t="s">
        <v>50</v>
      </c>
      <c r="C21" s="4" t="s">
        <v>53</v>
      </c>
      <c r="D21" s="3">
        <v>4</v>
      </c>
      <c r="E21" s="3" t="s">
        <v>16</v>
      </c>
      <c r="F21" s="3" t="s">
        <v>289</v>
      </c>
      <c r="G21" s="3" t="s">
        <v>23</v>
      </c>
      <c r="H21" s="3" t="s">
        <v>40</v>
      </c>
    </row>
    <row r="22" spans="1:8" x14ac:dyDescent="0.2">
      <c r="A22" s="3">
        <v>3080105007</v>
      </c>
      <c r="B22" s="4" t="s">
        <v>50</v>
      </c>
      <c r="C22" s="4" t="s">
        <v>52</v>
      </c>
      <c r="D22" s="3">
        <v>8</v>
      </c>
      <c r="E22" s="3" t="s">
        <v>16</v>
      </c>
      <c r="F22" s="3" t="s">
        <v>289</v>
      </c>
      <c r="G22" s="3" t="s">
        <v>23</v>
      </c>
      <c r="H22" s="3" t="s">
        <v>40</v>
      </c>
    </row>
    <row r="23" spans="1:8" x14ac:dyDescent="0.2">
      <c r="A23" s="3">
        <v>3080105007</v>
      </c>
      <c r="B23" s="4" t="s">
        <v>50</v>
      </c>
      <c r="C23" s="4" t="s">
        <v>52</v>
      </c>
      <c r="D23" s="3">
        <v>2</v>
      </c>
      <c r="E23" s="3" t="s">
        <v>16</v>
      </c>
      <c r="F23" s="3" t="s">
        <v>293</v>
      </c>
      <c r="G23" s="3" t="s">
        <v>29</v>
      </c>
      <c r="H23" s="3" t="s">
        <v>40</v>
      </c>
    </row>
    <row r="24" spans="1:8" x14ac:dyDescent="0.2">
      <c r="A24" s="3">
        <v>3080105013</v>
      </c>
      <c r="B24" s="4" t="s">
        <v>50</v>
      </c>
      <c r="C24" s="4" t="s">
        <v>51</v>
      </c>
      <c r="D24" s="3">
        <v>12</v>
      </c>
      <c r="E24" s="3" t="s">
        <v>16</v>
      </c>
      <c r="F24" s="3" t="s">
        <v>293</v>
      </c>
      <c r="G24" s="3" t="s">
        <v>29</v>
      </c>
      <c r="H24" s="3" t="s">
        <v>40</v>
      </c>
    </row>
    <row r="25" spans="1:8" x14ac:dyDescent="0.2">
      <c r="A25" s="3">
        <v>3080105121</v>
      </c>
      <c r="B25" s="4" t="s">
        <v>50</v>
      </c>
      <c r="C25" s="4" t="s">
        <v>316</v>
      </c>
      <c r="D25" s="3">
        <v>2</v>
      </c>
      <c r="E25" s="3" t="s">
        <v>16</v>
      </c>
      <c r="F25" s="3" t="s">
        <v>317</v>
      </c>
      <c r="G25" s="3" t="s">
        <v>318</v>
      </c>
      <c r="H25" s="3" t="s">
        <v>40</v>
      </c>
    </row>
    <row r="26" spans="1:8" x14ac:dyDescent="0.2">
      <c r="A26" s="3">
        <v>3080105021</v>
      </c>
      <c r="B26" s="4" t="s">
        <v>50</v>
      </c>
      <c r="C26" s="4" t="s">
        <v>319</v>
      </c>
      <c r="D26" s="3">
        <v>8</v>
      </c>
      <c r="E26" s="3" t="s">
        <v>16</v>
      </c>
      <c r="F26" s="3" t="s">
        <v>317</v>
      </c>
      <c r="G26" s="3" t="s">
        <v>318</v>
      </c>
      <c r="H26" s="3" t="s">
        <v>40</v>
      </c>
    </row>
    <row r="27" spans="1:8" x14ac:dyDescent="0.2">
      <c r="A27" s="3">
        <v>3080105111</v>
      </c>
      <c r="B27" s="4" t="s">
        <v>50</v>
      </c>
      <c r="C27" s="4" t="s">
        <v>599</v>
      </c>
      <c r="D27" s="3">
        <v>4</v>
      </c>
      <c r="E27" s="3" t="s">
        <v>16</v>
      </c>
      <c r="F27" s="3" t="s">
        <v>291</v>
      </c>
      <c r="G27" s="3" t="s">
        <v>26</v>
      </c>
      <c r="H27" s="3" t="s">
        <v>40</v>
      </c>
    </row>
    <row r="28" spans="1:8" x14ac:dyDescent="0.2">
      <c r="A28" s="3">
        <v>3080105012</v>
      </c>
      <c r="B28" s="4" t="s">
        <v>50</v>
      </c>
      <c r="C28" s="4" t="s">
        <v>674</v>
      </c>
      <c r="D28" s="3">
        <v>2</v>
      </c>
      <c r="E28" s="3" t="s">
        <v>16</v>
      </c>
      <c r="F28" s="3" t="s">
        <v>291</v>
      </c>
      <c r="G28" s="3" t="s">
        <v>26</v>
      </c>
      <c r="H28" s="3" t="s">
        <v>40</v>
      </c>
    </row>
    <row r="29" spans="1:8" x14ac:dyDescent="0.2">
      <c r="A29" s="3">
        <v>3080502002</v>
      </c>
      <c r="B29" s="4" t="s">
        <v>55</v>
      </c>
      <c r="C29" s="4" t="s">
        <v>56</v>
      </c>
      <c r="D29" s="3">
        <v>4</v>
      </c>
      <c r="E29" s="3" t="s">
        <v>16</v>
      </c>
      <c r="F29" s="3" t="s">
        <v>293</v>
      </c>
      <c r="G29" s="3" t="s">
        <v>29</v>
      </c>
      <c r="H29" s="3" t="s">
        <v>40</v>
      </c>
    </row>
    <row r="30" spans="1:8" x14ac:dyDescent="0.2">
      <c r="A30" s="3">
        <v>3080501013</v>
      </c>
      <c r="B30" s="4" t="s">
        <v>57</v>
      </c>
      <c r="C30" s="4" t="s">
        <v>58</v>
      </c>
      <c r="D30" s="3">
        <v>2</v>
      </c>
      <c r="E30" s="3" t="s">
        <v>16</v>
      </c>
      <c r="F30" s="3" t="s">
        <v>293</v>
      </c>
      <c r="G30" s="3" t="s">
        <v>29</v>
      </c>
      <c r="H30" s="3" t="s">
        <v>40</v>
      </c>
    </row>
    <row r="31" spans="1:8" x14ac:dyDescent="0.2">
      <c r="A31" s="3">
        <v>3080501003</v>
      </c>
      <c r="B31" s="4" t="s">
        <v>57</v>
      </c>
      <c r="C31" s="4" t="s">
        <v>630</v>
      </c>
      <c r="D31" s="3">
        <v>8</v>
      </c>
      <c r="E31" s="3" t="s">
        <v>16</v>
      </c>
      <c r="F31" s="3" t="s">
        <v>291</v>
      </c>
      <c r="G31" s="3" t="s">
        <v>26</v>
      </c>
      <c r="H31" s="3" t="s">
        <v>40</v>
      </c>
    </row>
    <row r="32" spans="1:8" x14ac:dyDescent="0.2">
      <c r="A32" s="3">
        <v>3080201012</v>
      </c>
      <c r="B32" s="4" t="s">
        <v>60</v>
      </c>
      <c r="C32" s="4" t="s">
        <v>320</v>
      </c>
      <c r="D32" s="3">
        <v>1</v>
      </c>
      <c r="E32" s="3" t="s">
        <v>16</v>
      </c>
      <c r="F32" s="3" t="s">
        <v>317</v>
      </c>
      <c r="G32" s="3" t="s">
        <v>318</v>
      </c>
      <c r="H32" s="3" t="s">
        <v>40</v>
      </c>
    </row>
    <row r="33" spans="1:8" x14ac:dyDescent="0.2">
      <c r="A33" s="3">
        <v>3080201004</v>
      </c>
      <c r="B33" s="4" t="s">
        <v>60</v>
      </c>
      <c r="C33" s="4" t="s">
        <v>61</v>
      </c>
      <c r="D33" s="3">
        <v>4</v>
      </c>
      <c r="E33" s="3" t="s">
        <v>16</v>
      </c>
      <c r="F33" s="3" t="s">
        <v>291</v>
      </c>
      <c r="G33" s="3" t="s">
        <v>26</v>
      </c>
      <c r="H33" s="3" t="s">
        <v>40</v>
      </c>
    </row>
    <row r="34" spans="1:8" x14ac:dyDescent="0.2">
      <c r="A34" s="3">
        <v>3080107038</v>
      </c>
      <c r="B34" s="4" t="s">
        <v>69</v>
      </c>
      <c r="C34" s="4" t="s">
        <v>72</v>
      </c>
      <c r="D34" s="3">
        <v>2</v>
      </c>
      <c r="E34" s="3" t="s">
        <v>16</v>
      </c>
      <c r="F34" s="3" t="s">
        <v>289</v>
      </c>
      <c r="G34" s="3" t="s">
        <v>23</v>
      </c>
      <c r="H34" s="3" t="s">
        <v>40</v>
      </c>
    </row>
    <row r="35" spans="1:8" x14ac:dyDescent="0.2">
      <c r="A35" s="3">
        <v>3080107130</v>
      </c>
      <c r="B35" s="4" t="s">
        <v>69</v>
      </c>
      <c r="C35" s="4" t="s">
        <v>70</v>
      </c>
      <c r="D35" s="3">
        <v>4</v>
      </c>
      <c r="E35" s="3" t="s">
        <v>16</v>
      </c>
      <c r="F35" s="3" t="s">
        <v>293</v>
      </c>
      <c r="G35" s="3" t="s">
        <v>29</v>
      </c>
      <c r="H35" s="3" t="s">
        <v>40</v>
      </c>
    </row>
    <row r="36" spans="1:8" x14ac:dyDescent="0.2">
      <c r="A36" s="3">
        <v>3080107035</v>
      </c>
      <c r="B36" s="4" t="s">
        <v>69</v>
      </c>
      <c r="C36" s="4" t="s">
        <v>675</v>
      </c>
      <c r="D36" s="3">
        <v>4</v>
      </c>
      <c r="E36" s="3" t="s">
        <v>16</v>
      </c>
      <c r="F36" s="3" t="s">
        <v>293</v>
      </c>
      <c r="G36" s="3" t="s">
        <v>29</v>
      </c>
      <c r="H36" s="3" t="s">
        <v>40</v>
      </c>
    </row>
    <row r="37" spans="1:8" x14ac:dyDescent="0.2">
      <c r="A37" s="3">
        <v>3080107059</v>
      </c>
      <c r="B37" s="4" t="s">
        <v>69</v>
      </c>
      <c r="C37" s="4" t="s">
        <v>321</v>
      </c>
      <c r="D37" s="3">
        <v>1</v>
      </c>
      <c r="E37" s="3" t="s">
        <v>16</v>
      </c>
      <c r="F37" s="3" t="s">
        <v>317</v>
      </c>
      <c r="G37" s="3" t="s">
        <v>318</v>
      </c>
      <c r="H37" s="3" t="s">
        <v>40</v>
      </c>
    </row>
    <row r="38" spans="1:8" x14ac:dyDescent="0.2">
      <c r="A38" s="3">
        <v>3080107014</v>
      </c>
      <c r="B38" s="4" t="s">
        <v>69</v>
      </c>
      <c r="C38" s="4" t="s">
        <v>322</v>
      </c>
      <c r="D38" s="3">
        <v>2</v>
      </c>
      <c r="E38" s="3" t="s">
        <v>16</v>
      </c>
      <c r="F38" s="3" t="s">
        <v>317</v>
      </c>
      <c r="G38" s="3" t="s">
        <v>318</v>
      </c>
      <c r="H38" s="3" t="s">
        <v>40</v>
      </c>
    </row>
    <row r="39" spans="1:8" x14ac:dyDescent="0.2">
      <c r="A39" s="3">
        <v>3080107015</v>
      </c>
      <c r="B39" s="4" t="s">
        <v>69</v>
      </c>
      <c r="C39" s="4" t="s">
        <v>73</v>
      </c>
      <c r="D39" s="3">
        <v>6</v>
      </c>
      <c r="E39" s="3" t="s">
        <v>16</v>
      </c>
      <c r="F39" s="3" t="s">
        <v>291</v>
      </c>
      <c r="G39" s="3" t="s">
        <v>26</v>
      </c>
      <c r="H39" s="3" t="s">
        <v>40</v>
      </c>
    </row>
    <row r="40" spans="1:8" x14ac:dyDescent="0.2">
      <c r="A40" s="3">
        <v>3080107022</v>
      </c>
      <c r="B40" s="4" t="s">
        <v>69</v>
      </c>
      <c r="C40" s="4" t="s">
        <v>676</v>
      </c>
      <c r="D40" s="3">
        <v>4</v>
      </c>
      <c r="E40" s="3" t="s">
        <v>16</v>
      </c>
      <c r="F40" s="3" t="s">
        <v>291</v>
      </c>
      <c r="G40" s="3" t="s">
        <v>26</v>
      </c>
      <c r="H40" s="3" t="s">
        <v>40</v>
      </c>
    </row>
    <row r="41" spans="1:8" x14ac:dyDescent="0.2">
      <c r="A41" s="3">
        <v>3080108019</v>
      </c>
      <c r="B41" s="4" t="s">
        <v>77</v>
      </c>
      <c r="C41" s="4" t="s">
        <v>325</v>
      </c>
      <c r="D41" s="3">
        <v>2</v>
      </c>
      <c r="E41" s="3" t="s">
        <v>16</v>
      </c>
      <c r="F41" s="3" t="s">
        <v>317</v>
      </c>
      <c r="G41" s="3" t="s">
        <v>318</v>
      </c>
      <c r="H41" s="3" t="s">
        <v>40</v>
      </c>
    </row>
    <row r="42" spans="1:8" x14ac:dyDescent="0.2">
      <c r="A42" s="3">
        <v>3080111087</v>
      </c>
      <c r="B42" s="4" t="s">
        <v>79</v>
      </c>
      <c r="C42" s="4" t="s">
        <v>80</v>
      </c>
      <c r="D42" s="3">
        <v>18</v>
      </c>
      <c r="E42" s="3" t="s">
        <v>16</v>
      </c>
      <c r="F42" s="3" t="s">
        <v>291</v>
      </c>
      <c r="G42" s="3" t="s">
        <v>26</v>
      </c>
      <c r="H42" s="3" t="s">
        <v>40</v>
      </c>
    </row>
    <row r="43" spans="1:8" x14ac:dyDescent="0.2">
      <c r="A43" s="3">
        <v>3080111087</v>
      </c>
      <c r="B43" s="4" t="s">
        <v>79</v>
      </c>
      <c r="C43" s="4" t="s">
        <v>80</v>
      </c>
      <c r="D43" s="3">
        <v>1</v>
      </c>
      <c r="E43" s="3" t="s">
        <v>16</v>
      </c>
      <c r="F43" s="3" t="s">
        <v>291</v>
      </c>
      <c r="G43" s="3" t="s">
        <v>26</v>
      </c>
      <c r="H43" s="3" t="s">
        <v>40</v>
      </c>
    </row>
    <row r="44" spans="1:8" x14ac:dyDescent="0.2">
      <c r="A44" s="3">
        <v>3030101002</v>
      </c>
      <c r="B44" s="4" t="s">
        <v>636</v>
      </c>
      <c r="C44" s="4" t="s">
        <v>677</v>
      </c>
      <c r="D44" s="3">
        <v>1</v>
      </c>
      <c r="E44" s="3" t="s">
        <v>16</v>
      </c>
      <c r="F44" s="3" t="s">
        <v>291</v>
      </c>
      <c r="G44" s="3" t="s">
        <v>26</v>
      </c>
      <c r="H44" s="3" t="s">
        <v>88</v>
      </c>
    </row>
    <row r="45" spans="1:8" x14ac:dyDescent="0.2">
      <c r="A45" s="3">
        <v>3099991203</v>
      </c>
      <c r="B45" s="4" t="s">
        <v>101</v>
      </c>
      <c r="C45" s="4" t="s">
        <v>102</v>
      </c>
      <c r="D45" s="3">
        <v>1</v>
      </c>
      <c r="E45" s="3" t="s">
        <v>16</v>
      </c>
      <c r="F45" s="3" t="s">
        <v>289</v>
      </c>
      <c r="G45" s="3" t="s">
        <v>23</v>
      </c>
      <c r="H45" s="3" t="s">
        <v>103</v>
      </c>
    </row>
    <row r="46" spans="1:8" x14ac:dyDescent="0.2">
      <c r="A46" s="3">
        <v>3099990101</v>
      </c>
      <c r="B46" s="4" t="s">
        <v>104</v>
      </c>
      <c r="C46" s="4" t="s">
        <v>105</v>
      </c>
      <c r="D46" s="3">
        <v>1</v>
      </c>
      <c r="E46" s="3" t="s">
        <v>16</v>
      </c>
      <c r="F46" s="3" t="s">
        <v>299</v>
      </c>
      <c r="G46" s="3" t="s">
        <v>106</v>
      </c>
      <c r="H46" s="3" t="s">
        <v>103</v>
      </c>
    </row>
    <row r="47" spans="1:8" x14ac:dyDescent="0.2">
      <c r="A47" s="3">
        <v>402030027</v>
      </c>
      <c r="B47" s="4" t="s">
        <v>107</v>
      </c>
      <c r="C47" s="4" t="s">
        <v>110</v>
      </c>
      <c r="D47" s="3">
        <v>1</v>
      </c>
      <c r="E47" s="3" t="s">
        <v>16</v>
      </c>
      <c r="F47" s="3" t="s">
        <v>291</v>
      </c>
      <c r="G47" s="3" t="s">
        <v>26</v>
      </c>
      <c r="H47" s="3" t="s">
        <v>109</v>
      </c>
    </row>
    <row r="48" spans="1:8" x14ac:dyDescent="0.2">
      <c r="A48" s="3">
        <v>402020006</v>
      </c>
      <c r="B48" s="4" t="s">
        <v>111</v>
      </c>
      <c r="C48" s="4" t="s">
        <v>112</v>
      </c>
      <c r="D48" s="3">
        <v>2</v>
      </c>
      <c r="E48" s="3" t="s">
        <v>16</v>
      </c>
      <c r="F48" s="3" t="s">
        <v>293</v>
      </c>
      <c r="G48" s="3" t="s">
        <v>29</v>
      </c>
      <c r="H48" s="3" t="s">
        <v>109</v>
      </c>
    </row>
    <row r="49" spans="1:8" x14ac:dyDescent="0.2">
      <c r="A49" s="3">
        <v>3060209002</v>
      </c>
      <c r="B49" s="4" t="s">
        <v>113</v>
      </c>
      <c r="C49" s="4" t="s">
        <v>114</v>
      </c>
      <c r="D49" s="3">
        <v>2</v>
      </c>
      <c r="E49" s="3" t="s">
        <v>16</v>
      </c>
      <c r="F49" s="3" t="s">
        <v>289</v>
      </c>
      <c r="G49" s="3" t="s">
        <v>23</v>
      </c>
      <c r="H49" s="3" t="s">
        <v>115</v>
      </c>
    </row>
    <row r="50" spans="1:8" x14ac:dyDescent="0.2">
      <c r="A50" s="3">
        <v>3040113002</v>
      </c>
      <c r="B50" s="4" t="s">
        <v>118</v>
      </c>
      <c r="C50" s="4" t="s">
        <v>119</v>
      </c>
      <c r="D50" s="3">
        <v>2</v>
      </c>
      <c r="E50" s="3" t="s">
        <v>16</v>
      </c>
      <c r="F50" s="3" t="s">
        <v>293</v>
      </c>
      <c r="G50" s="3" t="s">
        <v>29</v>
      </c>
      <c r="H50" s="3" t="s">
        <v>115</v>
      </c>
    </row>
    <row r="51" spans="1:8" x14ac:dyDescent="0.2">
      <c r="A51" s="3">
        <v>3070104005</v>
      </c>
      <c r="B51" s="4" t="s">
        <v>128</v>
      </c>
      <c r="C51" s="4" t="s">
        <v>330</v>
      </c>
      <c r="D51" s="3">
        <v>1</v>
      </c>
      <c r="E51" s="3" t="s">
        <v>16</v>
      </c>
      <c r="F51" s="3" t="s">
        <v>317</v>
      </c>
      <c r="G51" s="3" t="s">
        <v>318</v>
      </c>
      <c r="H51" s="3" t="s">
        <v>115</v>
      </c>
    </row>
    <row r="52" spans="1:8" x14ac:dyDescent="0.2">
      <c r="A52" s="3">
        <v>3070104001</v>
      </c>
      <c r="B52" s="4" t="s">
        <v>331</v>
      </c>
      <c r="C52" s="4" t="s">
        <v>332</v>
      </c>
      <c r="D52" s="3">
        <v>1</v>
      </c>
      <c r="E52" s="3" t="s">
        <v>16</v>
      </c>
      <c r="F52" s="3" t="s">
        <v>317</v>
      </c>
      <c r="G52" s="3" t="s">
        <v>318</v>
      </c>
      <c r="H52" s="3" t="s">
        <v>115</v>
      </c>
    </row>
    <row r="53" spans="1:8" x14ac:dyDescent="0.2">
      <c r="A53" s="3">
        <v>3040502001</v>
      </c>
      <c r="B53" s="4" t="s">
        <v>136</v>
      </c>
      <c r="C53" s="4" t="s">
        <v>678</v>
      </c>
      <c r="D53" s="3">
        <v>1</v>
      </c>
      <c r="E53" s="3" t="s">
        <v>16</v>
      </c>
      <c r="F53" s="3" t="s">
        <v>293</v>
      </c>
      <c r="G53" s="3" t="s">
        <v>29</v>
      </c>
      <c r="H53" s="3" t="s">
        <v>138</v>
      </c>
    </row>
    <row r="54" spans="1:8" x14ac:dyDescent="0.2">
      <c r="A54" s="3">
        <v>3040502040</v>
      </c>
      <c r="B54" s="4" t="s">
        <v>136</v>
      </c>
      <c r="C54" s="4" t="s">
        <v>679</v>
      </c>
      <c r="D54" s="3">
        <v>1</v>
      </c>
      <c r="E54" s="3" t="s">
        <v>16</v>
      </c>
      <c r="F54" s="3" t="s">
        <v>293</v>
      </c>
      <c r="G54" s="3" t="s">
        <v>29</v>
      </c>
      <c r="H54" s="3" t="s">
        <v>138</v>
      </c>
    </row>
    <row r="55" spans="1:8" x14ac:dyDescent="0.2">
      <c r="A55" s="3">
        <v>3990207001</v>
      </c>
      <c r="B55" s="4" t="s">
        <v>140</v>
      </c>
      <c r="C55" s="4" t="s">
        <v>141</v>
      </c>
      <c r="D55" s="3">
        <v>1</v>
      </c>
      <c r="E55" s="3" t="s">
        <v>16</v>
      </c>
      <c r="F55" s="3" t="s">
        <v>285</v>
      </c>
      <c r="G55" s="3" t="s">
        <v>142</v>
      </c>
      <c r="H55" s="3" t="s">
        <v>143</v>
      </c>
    </row>
    <row r="56" spans="1:8" x14ac:dyDescent="0.2">
      <c r="A56" s="3">
        <v>3990204002</v>
      </c>
      <c r="B56" s="4" t="s">
        <v>333</v>
      </c>
      <c r="C56" s="4" t="s">
        <v>334</v>
      </c>
      <c r="D56" s="3">
        <v>1</v>
      </c>
      <c r="E56" s="3" t="s">
        <v>16</v>
      </c>
      <c r="F56" s="3" t="s">
        <v>335</v>
      </c>
      <c r="G56" s="3" t="s">
        <v>336</v>
      </c>
      <c r="H56" s="3" t="s">
        <v>143</v>
      </c>
    </row>
    <row r="57" spans="1:8" x14ac:dyDescent="0.2">
      <c r="A57" s="3">
        <v>3990205001</v>
      </c>
      <c r="B57" s="4" t="s">
        <v>146</v>
      </c>
      <c r="C57" s="4" t="s">
        <v>147</v>
      </c>
      <c r="D57" s="3">
        <v>1</v>
      </c>
      <c r="E57" s="3" t="s">
        <v>16</v>
      </c>
      <c r="F57" s="3" t="s">
        <v>287</v>
      </c>
      <c r="G57" s="3" t="s">
        <v>148</v>
      </c>
      <c r="H57" s="3" t="s">
        <v>143</v>
      </c>
    </row>
    <row r="58" spans="1:8" x14ac:dyDescent="0.2">
      <c r="A58" s="3">
        <v>407020012</v>
      </c>
      <c r="B58" s="4" t="s">
        <v>680</v>
      </c>
      <c r="C58" s="4" t="s">
        <v>695</v>
      </c>
      <c r="D58" s="3">
        <v>1</v>
      </c>
      <c r="E58" s="3" t="s">
        <v>16</v>
      </c>
      <c r="F58" s="3" t="s">
        <v>289</v>
      </c>
      <c r="G58" s="3" t="s">
        <v>23</v>
      </c>
      <c r="H58" s="3" t="s">
        <v>151</v>
      </c>
    </row>
    <row r="59" spans="1:8" x14ac:dyDescent="0.2">
      <c r="A59" s="3">
        <v>3070103002</v>
      </c>
      <c r="B59" s="4" t="s">
        <v>152</v>
      </c>
      <c r="C59" s="4" t="s">
        <v>153</v>
      </c>
      <c r="D59" s="3">
        <v>1</v>
      </c>
      <c r="E59" s="3" t="s">
        <v>16</v>
      </c>
      <c r="F59" s="3" t="s">
        <v>289</v>
      </c>
      <c r="G59" s="3" t="s">
        <v>23</v>
      </c>
      <c r="H59" s="3" t="s">
        <v>154</v>
      </c>
    </row>
    <row r="60" spans="1:8" x14ac:dyDescent="0.2">
      <c r="A60" s="3">
        <v>3040211002</v>
      </c>
      <c r="B60" s="4" t="s">
        <v>157</v>
      </c>
      <c r="C60" s="4" t="s">
        <v>158</v>
      </c>
      <c r="D60" s="3">
        <v>2</v>
      </c>
      <c r="E60" s="3" t="s">
        <v>16</v>
      </c>
      <c r="F60" s="3" t="s">
        <v>293</v>
      </c>
      <c r="G60" s="3" t="s">
        <v>29</v>
      </c>
      <c r="H60" s="3" t="s">
        <v>154</v>
      </c>
    </row>
    <row r="61" spans="1:8" x14ac:dyDescent="0.2">
      <c r="A61" s="3">
        <v>3040217003</v>
      </c>
      <c r="B61" s="4" t="s">
        <v>159</v>
      </c>
      <c r="C61" s="4" t="s">
        <v>160</v>
      </c>
      <c r="D61" s="3">
        <v>2</v>
      </c>
      <c r="E61" s="3" t="s">
        <v>16</v>
      </c>
      <c r="F61" s="3" t="s">
        <v>293</v>
      </c>
      <c r="G61" s="3" t="s">
        <v>29</v>
      </c>
      <c r="H61" s="3" t="s">
        <v>154</v>
      </c>
    </row>
    <row r="62" spans="1:8" x14ac:dyDescent="0.2">
      <c r="A62" s="3">
        <v>3060306001</v>
      </c>
      <c r="B62" s="4" t="s">
        <v>163</v>
      </c>
      <c r="C62" s="4" t="s">
        <v>164</v>
      </c>
      <c r="D62" s="3">
        <v>1</v>
      </c>
      <c r="E62" s="3" t="s">
        <v>16</v>
      </c>
      <c r="F62" s="3" t="s">
        <v>289</v>
      </c>
      <c r="G62" s="3" t="s">
        <v>23</v>
      </c>
      <c r="H62" s="3" t="s">
        <v>165</v>
      </c>
    </row>
    <row r="63" spans="1:8" x14ac:dyDescent="0.2">
      <c r="A63" s="3">
        <v>3060344003</v>
      </c>
      <c r="B63" s="4" t="s">
        <v>682</v>
      </c>
      <c r="C63" s="4" t="s">
        <v>683</v>
      </c>
      <c r="D63" s="3">
        <v>1</v>
      </c>
      <c r="E63" s="3" t="s">
        <v>16</v>
      </c>
      <c r="F63" s="3" t="s">
        <v>291</v>
      </c>
      <c r="G63" s="3" t="s">
        <v>26</v>
      </c>
      <c r="H63" s="3" t="s">
        <v>173</v>
      </c>
    </row>
    <row r="64" spans="1:8" x14ac:dyDescent="0.2">
      <c r="A64" s="3">
        <v>3060310001</v>
      </c>
      <c r="B64" s="4" t="s">
        <v>171</v>
      </c>
      <c r="C64" s="4" t="s">
        <v>172</v>
      </c>
      <c r="D64" s="3">
        <v>1</v>
      </c>
      <c r="E64" s="3" t="s">
        <v>16</v>
      </c>
      <c r="F64" s="3" t="s">
        <v>289</v>
      </c>
      <c r="G64" s="3" t="s">
        <v>23</v>
      </c>
      <c r="H64" s="3" t="s">
        <v>173</v>
      </c>
    </row>
    <row r="65" spans="1:8" x14ac:dyDescent="0.2">
      <c r="A65" s="3">
        <v>3060311001</v>
      </c>
      <c r="B65" s="4" t="s">
        <v>174</v>
      </c>
      <c r="C65" s="4" t="s">
        <v>172</v>
      </c>
      <c r="D65" s="3">
        <v>1</v>
      </c>
      <c r="E65" s="3" t="s">
        <v>16</v>
      </c>
      <c r="F65" s="3" t="s">
        <v>289</v>
      </c>
      <c r="G65" s="3" t="s">
        <v>23</v>
      </c>
      <c r="H65" s="3" t="s">
        <v>173</v>
      </c>
    </row>
    <row r="66" spans="1:8" x14ac:dyDescent="0.2">
      <c r="A66" s="3">
        <v>3070201002</v>
      </c>
      <c r="B66" s="4" t="s">
        <v>348</v>
      </c>
      <c r="C66" s="4" t="s">
        <v>349</v>
      </c>
      <c r="D66" s="3">
        <v>1</v>
      </c>
      <c r="E66" s="3" t="s">
        <v>16</v>
      </c>
      <c r="F66" s="3" t="s">
        <v>317</v>
      </c>
      <c r="G66" s="3" t="s">
        <v>318</v>
      </c>
      <c r="H66" s="3" t="s">
        <v>173</v>
      </c>
    </row>
    <row r="67" spans="1:8" x14ac:dyDescent="0.2">
      <c r="A67" s="3">
        <v>3050304001</v>
      </c>
      <c r="B67" s="4" t="s">
        <v>181</v>
      </c>
      <c r="C67" s="4" t="s">
        <v>182</v>
      </c>
      <c r="D67" s="3">
        <v>1</v>
      </c>
      <c r="E67" s="3" t="s">
        <v>16</v>
      </c>
      <c r="F67" s="3" t="s">
        <v>291</v>
      </c>
      <c r="G67" s="3" t="s">
        <v>26</v>
      </c>
      <c r="H67" s="3" t="s">
        <v>173</v>
      </c>
    </row>
    <row r="68" spans="1:8" x14ac:dyDescent="0.2">
      <c r="A68" s="3">
        <v>3020502023</v>
      </c>
      <c r="B68" s="4" t="s">
        <v>183</v>
      </c>
      <c r="C68" s="4" t="s">
        <v>184</v>
      </c>
      <c r="D68" s="3">
        <v>1</v>
      </c>
      <c r="E68" s="3" t="s">
        <v>16</v>
      </c>
      <c r="F68" s="3" t="s">
        <v>291</v>
      </c>
      <c r="G68" s="3" t="s">
        <v>26</v>
      </c>
      <c r="H68" s="3" t="s">
        <v>185</v>
      </c>
    </row>
    <row r="69" spans="1:8" x14ac:dyDescent="0.2">
      <c r="A69" s="3">
        <v>3040402001</v>
      </c>
      <c r="B69" s="4" t="s">
        <v>193</v>
      </c>
      <c r="C69" s="4" t="s">
        <v>194</v>
      </c>
      <c r="D69" s="3">
        <v>1</v>
      </c>
      <c r="E69" s="3" t="s">
        <v>16</v>
      </c>
      <c r="F69" s="3" t="s">
        <v>293</v>
      </c>
      <c r="G69" s="3" t="s">
        <v>29</v>
      </c>
      <c r="H69" s="3" t="s">
        <v>192</v>
      </c>
    </row>
    <row r="70" spans="1:8" x14ac:dyDescent="0.2">
      <c r="A70" s="3">
        <v>3040402002</v>
      </c>
      <c r="B70" s="4" t="s">
        <v>193</v>
      </c>
      <c r="C70" s="4" t="s">
        <v>195</v>
      </c>
      <c r="D70" s="3">
        <v>1</v>
      </c>
      <c r="E70" s="3" t="s">
        <v>16</v>
      </c>
      <c r="F70" s="3" t="s">
        <v>293</v>
      </c>
      <c r="G70" s="3" t="s">
        <v>29</v>
      </c>
      <c r="H70" s="3" t="s">
        <v>192</v>
      </c>
    </row>
    <row r="71" spans="1:8" x14ac:dyDescent="0.2">
      <c r="A71" s="3">
        <v>403010031</v>
      </c>
      <c r="B71" s="4" t="s">
        <v>684</v>
      </c>
      <c r="C71" s="4" t="s">
        <v>686</v>
      </c>
      <c r="D71" s="3">
        <v>1</v>
      </c>
      <c r="E71" s="3" t="s">
        <v>16</v>
      </c>
      <c r="F71" s="3" t="s">
        <v>301</v>
      </c>
      <c r="G71" s="3" t="s">
        <v>32</v>
      </c>
      <c r="H71" s="3" t="s">
        <v>198</v>
      </c>
    </row>
    <row r="72" spans="1:8" x14ac:dyDescent="0.2">
      <c r="A72" s="3">
        <v>403020004</v>
      </c>
      <c r="B72" s="4" t="s">
        <v>684</v>
      </c>
      <c r="C72" s="4" t="s">
        <v>696</v>
      </c>
      <c r="D72" s="3">
        <v>1</v>
      </c>
      <c r="E72" s="3" t="s">
        <v>16</v>
      </c>
      <c r="F72" s="3" t="s">
        <v>301</v>
      </c>
      <c r="G72" s="3" t="s">
        <v>32</v>
      </c>
      <c r="H72" s="3" t="s">
        <v>198</v>
      </c>
    </row>
    <row r="73" spans="1:8" x14ac:dyDescent="0.2">
      <c r="A73" s="3">
        <v>403010197</v>
      </c>
      <c r="B73" s="4" t="s">
        <v>684</v>
      </c>
      <c r="C73" s="4" t="s">
        <v>688</v>
      </c>
      <c r="D73" s="3">
        <v>1</v>
      </c>
      <c r="E73" s="3" t="s">
        <v>16</v>
      </c>
      <c r="F73" s="3" t="s">
        <v>291</v>
      </c>
      <c r="G73" s="3" t="s">
        <v>26</v>
      </c>
      <c r="H73" s="3" t="s">
        <v>198</v>
      </c>
    </row>
    <row r="74" spans="1:8" x14ac:dyDescent="0.2">
      <c r="A74" s="3">
        <v>403010198</v>
      </c>
      <c r="B74" s="4" t="s">
        <v>684</v>
      </c>
      <c r="C74" s="4" t="s">
        <v>687</v>
      </c>
      <c r="D74" s="3">
        <v>1</v>
      </c>
      <c r="E74" s="3" t="s">
        <v>16</v>
      </c>
      <c r="F74" s="3" t="s">
        <v>291</v>
      </c>
      <c r="G74" s="3" t="s">
        <v>26</v>
      </c>
      <c r="H74" s="3" t="s">
        <v>198</v>
      </c>
    </row>
    <row r="75" spans="1:8" x14ac:dyDescent="0.2">
      <c r="A75" s="3">
        <v>404030020</v>
      </c>
      <c r="B75" s="4" t="s">
        <v>30</v>
      </c>
      <c r="C75" s="4" t="s">
        <v>689</v>
      </c>
      <c r="D75" s="3">
        <v>1</v>
      </c>
      <c r="E75" s="3" t="s">
        <v>16</v>
      </c>
      <c r="F75" s="3" t="s">
        <v>289</v>
      </c>
      <c r="G75" s="3" t="s">
        <v>23</v>
      </c>
      <c r="H75" s="3" t="s">
        <v>198</v>
      </c>
    </row>
    <row r="76" spans="1:8" x14ac:dyDescent="0.2">
      <c r="A76" s="3">
        <v>401070022</v>
      </c>
      <c r="B76" s="4" t="s">
        <v>35</v>
      </c>
      <c r="C76" s="4" t="s">
        <v>203</v>
      </c>
      <c r="D76" s="3">
        <v>1</v>
      </c>
      <c r="E76" s="3" t="s">
        <v>16</v>
      </c>
      <c r="F76" s="3" t="s">
        <v>297</v>
      </c>
      <c r="G76" s="3" t="s">
        <v>204</v>
      </c>
      <c r="H76" s="3" t="s">
        <v>198</v>
      </c>
    </row>
    <row r="77" spans="1:8" x14ac:dyDescent="0.2">
      <c r="A77" s="3">
        <v>401070018</v>
      </c>
      <c r="B77" s="4" t="s">
        <v>35</v>
      </c>
      <c r="C77" s="4" t="s">
        <v>202</v>
      </c>
      <c r="D77" s="3">
        <v>1</v>
      </c>
      <c r="E77" s="3" t="s">
        <v>16</v>
      </c>
      <c r="F77" s="3" t="s">
        <v>291</v>
      </c>
      <c r="G77" s="3" t="s">
        <v>26</v>
      </c>
      <c r="H77" s="3" t="s">
        <v>198</v>
      </c>
    </row>
    <row r="78" spans="1:8" x14ac:dyDescent="0.2">
      <c r="A78" s="3">
        <v>3020302013</v>
      </c>
      <c r="B78" s="4" t="s">
        <v>209</v>
      </c>
      <c r="C78" s="4" t="s">
        <v>210</v>
      </c>
      <c r="D78" s="3">
        <v>1</v>
      </c>
      <c r="E78" s="3" t="s">
        <v>16</v>
      </c>
      <c r="F78" s="3" t="s">
        <v>291</v>
      </c>
      <c r="G78" s="3" t="s">
        <v>26</v>
      </c>
      <c r="H78" s="3" t="s">
        <v>211</v>
      </c>
    </row>
    <row r="79" spans="1:8" x14ac:dyDescent="0.2">
      <c r="A79" s="3">
        <v>3070105007</v>
      </c>
      <c r="B79" s="4" t="s">
        <v>360</v>
      </c>
      <c r="C79" s="4" t="s">
        <v>361</v>
      </c>
      <c r="D79" s="3">
        <v>1</v>
      </c>
      <c r="E79" s="3" t="s">
        <v>16</v>
      </c>
      <c r="F79" s="3" t="s">
        <v>317</v>
      </c>
      <c r="G79" s="3" t="s">
        <v>318</v>
      </c>
      <c r="H79" s="3" t="s">
        <v>214</v>
      </c>
    </row>
    <row r="80" spans="1:8" x14ac:dyDescent="0.2">
      <c r="A80" s="3">
        <v>3070105008</v>
      </c>
      <c r="B80" s="4" t="s">
        <v>362</v>
      </c>
      <c r="C80" s="4" t="s">
        <v>361</v>
      </c>
      <c r="D80" s="3">
        <v>1</v>
      </c>
      <c r="E80" s="3" t="s">
        <v>16</v>
      </c>
      <c r="F80" s="3" t="s">
        <v>317</v>
      </c>
      <c r="G80" s="3" t="s">
        <v>318</v>
      </c>
      <c r="H80" s="3" t="s">
        <v>214</v>
      </c>
    </row>
    <row r="81" spans="1:8" x14ac:dyDescent="0.2">
      <c r="A81" s="3">
        <v>3050401005</v>
      </c>
      <c r="B81" s="4" t="s">
        <v>222</v>
      </c>
      <c r="C81" s="4" t="s">
        <v>690</v>
      </c>
      <c r="D81" s="3">
        <v>1</v>
      </c>
      <c r="E81" s="3" t="s">
        <v>16</v>
      </c>
      <c r="F81" s="3" t="s">
        <v>291</v>
      </c>
      <c r="G81" s="3" t="s">
        <v>26</v>
      </c>
      <c r="H81" s="3" t="s">
        <v>221</v>
      </c>
    </row>
    <row r="82" spans="1:8" x14ac:dyDescent="0.2">
      <c r="A82" s="3">
        <v>3060333002</v>
      </c>
      <c r="B82" s="4" t="s">
        <v>227</v>
      </c>
      <c r="C82" s="4" t="s">
        <v>228</v>
      </c>
      <c r="D82" s="3">
        <v>1</v>
      </c>
      <c r="E82" s="3" t="s">
        <v>16</v>
      </c>
      <c r="F82" s="3" t="s">
        <v>289</v>
      </c>
      <c r="G82" s="3" t="s">
        <v>23</v>
      </c>
      <c r="H82" s="3" t="s">
        <v>226</v>
      </c>
    </row>
    <row r="83" spans="1:8" x14ac:dyDescent="0.2">
      <c r="A83" s="3">
        <v>3060303001</v>
      </c>
      <c r="B83" s="4" t="s">
        <v>231</v>
      </c>
      <c r="C83" s="4" t="s">
        <v>232</v>
      </c>
      <c r="D83" s="3">
        <v>1</v>
      </c>
      <c r="E83" s="3" t="s">
        <v>16</v>
      </c>
      <c r="F83" s="3" t="s">
        <v>289</v>
      </c>
      <c r="G83" s="3" t="s">
        <v>23</v>
      </c>
      <c r="H83" s="3" t="s">
        <v>226</v>
      </c>
    </row>
    <row r="84" spans="1:8" x14ac:dyDescent="0.2">
      <c r="A84" s="3">
        <v>3060335004</v>
      </c>
      <c r="B84" s="4" t="s">
        <v>233</v>
      </c>
      <c r="C84" s="4" t="s">
        <v>234</v>
      </c>
      <c r="D84" s="3">
        <v>1</v>
      </c>
      <c r="E84" s="3" t="s">
        <v>16</v>
      </c>
      <c r="F84" s="3" t="s">
        <v>289</v>
      </c>
      <c r="G84" s="3" t="s">
        <v>23</v>
      </c>
      <c r="H84" s="3" t="s">
        <v>226</v>
      </c>
    </row>
    <row r="85" spans="1:8" x14ac:dyDescent="0.2">
      <c r="A85" s="3">
        <v>3020101005</v>
      </c>
      <c r="B85" s="4" t="s">
        <v>239</v>
      </c>
      <c r="C85" s="4" t="s">
        <v>610</v>
      </c>
      <c r="D85" s="3">
        <v>5</v>
      </c>
      <c r="E85" s="3" t="s">
        <v>16</v>
      </c>
      <c r="F85" s="3" t="s">
        <v>297</v>
      </c>
      <c r="G85" s="3" t="s">
        <v>204</v>
      </c>
      <c r="H85" s="3" t="s">
        <v>226</v>
      </c>
    </row>
    <row r="86" spans="1:8" x14ac:dyDescent="0.2">
      <c r="A86" s="3">
        <v>3030303011</v>
      </c>
      <c r="B86" s="4" t="s">
        <v>611</v>
      </c>
      <c r="C86" s="4" t="s">
        <v>612</v>
      </c>
      <c r="D86" s="3">
        <v>2</v>
      </c>
      <c r="E86" s="3" t="s">
        <v>16</v>
      </c>
      <c r="F86" s="3" t="s">
        <v>291</v>
      </c>
      <c r="G86" s="3" t="s">
        <v>26</v>
      </c>
      <c r="H86" s="3" t="s">
        <v>226</v>
      </c>
    </row>
    <row r="87" spans="1:8" x14ac:dyDescent="0.2">
      <c r="A87" s="3">
        <v>3030303010</v>
      </c>
      <c r="B87" s="4" t="s">
        <v>611</v>
      </c>
      <c r="C87" s="4" t="s">
        <v>258</v>
      </c>
      <c r="D87" s="3">
        <v>1</v>
      </c>
      <c r="E87" s="3" t="s">
        <v>16</v>
      </c>
      <c r="F87" s="3" t="s">
        <v>291</v>
      </c>
      <c r="G87" s="3" t="s">
        <v>26</v>
      </c>
      <c r="H87" s="3" t="s">
        <v>226</v>
      </c>
    </row>
    <row r="88" spans="1:8" x14ac:dyDescent="0.2">
      <c r="A88" s="3">
        <v>3070205004</v>
      </c>
      <c r="B88" s="4" t="s">
        <v>372</v>
      </c>
      <c r="C88" s="4" t="s">
        <v>266</v>
      </c>
      <c r="D88" s="3">
        <v>1</v>
      </c>
      <c r="E88" s="3" t="s">
        <v>16</v>
      </c>
      <c r="F88" s="3" t="s">
        <v>317</v>
      </c>
      <c r="G88" s="3" t="s">
        <v>318</v>
      </c>
      <c r="H88" s="3" t="s">
        <v>226</v>
      </c>
    </row>
    <row r="89" spans="1:8" x14ac:dyDescent="0.2">
      <c r="A89" s="3">
        <v>3070211002</v>
      </c>
      <c r="B89" s="4" t="s">
        <v>373</v>
      </c>
      <c r="C89" s="4" t="s">
        <v>374</v>
      </c>
      <c r="D89" s="3">
        <v>1</v>
      </c>
      <c r="E89" s="3" t="s">
        <v>16</v>
      </c>
      <c r="F89" s="3" t="s">
        <v>317</v>
      </c>
      <c r="G89" s="3" t="s">
        <v>318</v>
      </c>
      <c r="H89" s="3" t="s">
        <v>226</v>
      </c>
    </row>
    <row r="90" spans="1:8" x14ac:dyDescent="0.2">
      <c r="A90" s="3">
        <v>3070216001</v>
      </c>
      <c r="B90" s="4" t="s">
        <v>375</v>
      </c>
      <c r="C90" s="4" t="s">
        <v>376</v>
      </c>
      <c r="D90" s="3">
        <v>1</v>
      </c>
      <c r="E90" s="3" t="s">
        <v>16</v>
      </c>
      <c r="F90" s="3" t="s">
        <v>317</v>
      </c>
      <c r="G90" s="3" t="s">
        <v>318</v>
      </c>
      <c r="H90" s="3" t="s">
        <v>226</v>
      </c>
    </row>
    <row r="91" spans="1:8" x14ac:dyDescent="0.2">
      <c r="A91" s="3">
        <v>3070212001</v>
      </c>
      <c r="B91" s="4" t="s">
        <v>377</v>
      </c>
      <c r="C91" s="4" t="s">
        <v>378</v>
      </c>
      <c r="D91" s="3">
        <v>1</v>
      </c>
      <c r="E91" s="3" t="s">
        <v>16</v>
      </c>
      <c r="F91" s="3" t="s">
        <v>317</v>
      </c>
      <c r="G91" s="3" t="s">
        <v>318</v>
      </c>
      <c r="H91" s="3" t="s">
        <v>226</v>
      </c>
    </row>
    <row r="92" spans="1:8" x14ac:dyDescent="0.2">
      <c r="A92" s="3">
        <v>3070210001</v>
      </c>
      <c r="B92" s="4" t="s">
        <v>379</v>
      </c>
      <c r="C92" s="4" t="s">
        <v>280</v>
      </c>
      <c r="D92" s="3">
        <v>1</v>
      </c>
      <c r="E92" s="3" t="s">
        <v>16</v>
      </c>
      <c r="F92" s="3" t="s">
        <v>317</v>
      </c>
      <c r="G92" s="3" t="s">
        <v>318</v>
      </c>
      <c r="H92" s="3" t="s">
        <v>226</v>
      </c>
    </row>
    <row r="93" spans="1:8" x14ac:dyDescent="0.2">
      <c r="A93" s="3">
        <v>3069901001</v>
      </c>
      <c r="B93" s="4" t="s">
        <v>547</v>
      </c>
      <c r="C93" s="4" t="s">
        <v>548</v>
      </c>
      <c r="D93" s="3">
        <v>1</v>
      </c>
      <c r="E93" s="3" t="s">
        <v>16</v>
      </c>
      <c r="F93" s="3" t="s">
        <v>289</v>
      </c>
      <c r="G93" s="3" t="s">
        <v>23</v>
      </c>
      <c r="H93" s="3" t="s">
        <v>226</v>
      </c>
    </row>
    <row r="94" spans="1:8" x14ac:dyDescent="0.2">
      <c r="A94" s="3">
        <v>3050303002</v>
      </c>
      <c r="B94" s="4" t="s">
        <v>245</v>
      </c>
      <c r="C94" s="4" t="s">
        <v>246</v>
      </c>
      <c r="D94" s="3">
        <v>1</v>
      </c>
      <c r="E94" s="3" t="s">
        <v>16</v>
      </c>
      <c r="F94" s="3" t="s">
        <v>291</v>
      </c>
      <c r="G94" s="3" t="s">
        <v>26</v>
      </c>
      <c r="H94" s="3" t="s">
        <v>226</v>
      </c>
    </row>
    <row r="95" spans="1:8" x14ac:dyDescent="0.2">
      <c r="A95" s="3">
        <v>3080107017</v>
      </c>
      <c r="B95" s="4" t="s">
        <v>69</v>
      </c>
      <c r="C95" s="4" t="s">
        <v>251</v>
      </c>
      <c r="D95" s="3">
        <v>4</v>
      </c>
      <c r="E95" s="3" t="s">
        <v>16</v>
      </c>
      <c r="F95" s="3" t="s">
        <v>289</v>
      </c>
      <c r="G95" s="3" t="s">
        <v>23</v>
      </c>
      <c r="H95" s="3" t="s">
        <v>249</v>
      </c>
    </row>
    <row r="96" spans="1:8" x14ac:dyDescent="0.2">
      <c r="A96" s="3">
        <v>3080107017</v>
      </c>
      <c r="B96" s="4" t="s">
        <v>69</v>
      </c>
      <c r="C96" s="4" t="s">
        <v>251</v>
      </c>
      <c r="D96" s="3">
        <v>2</v>
      </c>
      <c r="E96" s="3" t="s">
        <v>16</v>
      </c>
      <c r="F96" s="3" t="s">
        <v>289</v>
      </c>
      <c r="G96" s="3" t="s">
        <v>23</v>
      </c>
      <c r="H96" s="3" t="s">
        <v>249</v>
      </c>
    </row>
    <row r="97" spans="1:8" x14ac:dyDescent="0.2">
      <c r="A97" s="3">
        <v>3060341001</v>
      </c>
      <c r="B97" s="4" t="s">
        <v>255</v>
      </c>
      <c r="C97" s="4" t="s">
        <v>256</v>
      </c>
      <c r="D97" s="3">
        <v>1</v>
      </c>
      <c r="E97" s="3" t="s">
        <v>16</v>
      </c>
      <c r="F97" s="3" t="s">
        <v>289</v>
      </c>
      <c r="G97" s="3" t="s">
        <v>23</v>
      </c>
      <c r="H97" s="3" t="s">
        <v>254</v>
      </c>
    </row>
    <row r="98" spans="1:8" x14ac:dyDescent="0.2">
      <c r="A98" s="3">
        <v>3040312007</v>
      </c>
      <c r="B98" s="4" t="s">
        <v>263</v>
      </c>
      <c r="C98" s="4" t="s">
        <v>264</v>
      </c>
      <c r="D98" s="3">
        <v>2</v>
      </c>
      <c r="E98" s="3" t="s">
        <v>16</v>
      </c>
      <c r="F98" s="3" t="s">
        <v>293</v>
      </c>
      <c r="G98" s="3" t="s">
        <v>29</v>
      </c>
      <c r="H98" s="3" t="s">
        <v>254</v>
      </c>
    </row>
    <row r="99" spans="1:8" x14ac:dyDescent="0.2">
      <c r="A99" s="3">
        <v>3040303001</v>
      </c>
      <c r="B99" s="4" t="s">
        <v>265</v>
      </c>
      <c r="C99" s="4" t="s">
        <v>266</v>
      </c>
      <c r="D99" s="3">
        <v>2</v>
      </c>
      <c r="E99" s="3" t="s">
        <v>16</v>
      </c>
      <c r="F99" s="3" t="s">
        <v>293</v>
      </c>
      <c r="G99" s="3" t="s">
        <v>29</v>
      </c>
      <c r="H99" s="3" t="s">
        <v>254</v>
      </c>
    </row>
    <row r="100" spans="1:8" x14ac:dyDescent="0.2">
      <c r="A100" s="3">
        <v>3040320003</v>
      </c>
      <c r="B100" s="4" t="s">
        <v>269</v>
      </c>
      <c r="C100" s="4" t="s">
        <v>270</v>
      </c>
      <c r="D100" s="3">
        <v>2</v>
      </c>
      <c r="E100" s="3" t="s">
        <v>16</v>
      </c>
      <c r="F100" s="3" t="s">
        <v>293</v>
      </c>
      <c r="G100" s="3" t="s">
        <v>29</v>
      </c>
      <c r="H100" s="3" t="s">
        <v>254</v>
      </c>
    </row>
    <row r="101" spans="1:8" x14ac:dyDescent="0.2">
      <c r="A101" s="3">
        <v>3040314001</v>
      </c>
      <c r="B101" s="4" t="s">
        <v>271</v>
      </c>
      <c r="C101" s="4" t="s">
        <v>272</v>
      </c>
      <c r="D101" s="3">
        <v>2</v>
      </c>
      <c r="E101" s="3" t="s">
        <v>16</v>
      </c>
      <c r="F101" s="3" t="s">
        <v>293</v>
      </c>
      <c r="G101" s="3" t="s">
        <v>29</v>
      </c>
      <c r="H101" s="3" t="s">
        <v>254</v>
      </c>
    </row>
    <row r="102" spans="1:8" x14ac:dyDescent="0.2">
      <c r="A102" s="3">
        <v>3070202019</v>
      </c>
      <c r="B102" s="4" t="s">
        <v>388</v>
      </c>
      <c r="C102" s="4" t="s">
        <v>389</v>
      </c>
      <c r="D102" s="3">
        <v>1</v>
      </c>
      <c r="E102" s="3" t="s">
        <v>16</v>
      </c>
      <c r="F102" s="3" t="s">
        <v>317</v>
      </c>
      <c r="G102" s="3" t="s">
        <v>318</v>
      </c>
      <c r="H102" s="3" t="s">
        <v>254</v>
      </c>
    </row>
  </sheetData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6891F-D84C-4103-8BEB-9F0E240603DF}">
  <dimension ref="A1:H169"/>
  <sheetViews>
    <sheetView workbookViewId="0">
      <selection activeCell="D3" sqref="D3"/>
    </sheetView>
  </sheetViews>
  <sheetFormatPr defaultRowHeight="14.25" x14ac:dyDescent="0.2"/>
  <cols>
    <col min="1" max="1" width="13.125" customWidth="1"/>
    <col min="2" max="3" width="17" customWidth="1"/>
  </cols>
  <sheetData>
    <row r="1" spans="1:8" x14ac:dyDescent="0.2">
      <c r="A1" s="3" t="s">
        <v>741</v>
      </c>
      <c r="B1" s="4"/>
      <c r="C1" s="4"/>
      <c r="D1" s="3"/>
      <c r="E1" s="3"/>
      <c r="F1" s="3"/>
      <c r="G1" s="3"/>
      <c r="H1" s="3"/>
    </row>
    <row r="2" spans="1:8" ht="28.5" x14ac:dyDescent="0.2">
      <c r="A2" s="1" t="s">
        <v>0</v>
      </c>
      <c r="B2" s="2" t="s">
        <v>1</v>
      </c>
      <c r="C2" s="2" t="s">
        <v>2</v>
      </c>
      <c r="D2" s="1" t="s">
        <v>4</v>
      </c>
      <c r="E2" s="1" t="s">
        <v>3</v>
      </c>
      <c r="F2" s="1" t="s">
        <v>5</v>
      </c>
      <c r="G2" s="1" t="s">
        <v>6</v>
      </c>
      <c r="H2" s="1" t="s">
        <v>7</v>
      </c>
    </row>
    <row r="3" spans="1:8" s="10" customFormat="1" x14ac:dyDescent="0.2">
      <c r="A3" s="8" t="s">
        <v>390</v>
      </c>
      <c r="B3" s="9" t="s">
        <v>8</v>
      </c>
      <c r="C3" s="9" t="s">
        <v>9</v>
      </c>
      <c r="D3" s="12">
        <f>0.2564/0.94</f>
        <v>0.27276595744680854</v>
      </c>
      <c r="E3" s="8" t="s">
        <v>596</v>
      </c>
      <c r="F3" s="8" t="s">
        <v>283</v>
      </c>
      <c r="G3" s="8" t="s">
        <v>13</v>
      </c>
      <c r="H3" s="8" t="s">
        <v>12</v>
      </c>
    </row>
    <row r="4" spans="1:8" x14ac:dyDescent="0.2">
      <c r="A4" s="3">
        <v>3080503020</v>
      </c>
      <c r="B4" s="4" t="s">
        <v>14</v>
      </c>
      <c r="C4" s="4" t="s">
        <v>15</v>
      </c>
      <c r="D4" s="3">
        <v>2</v>
      </c>
      <c r="E4" s="3" t="s">
        <v>16</v>
      </c>
      <c r="F4" s="3" t="s">
        <v>295</v>
      </c>
      <c r="G4" s="3" t="s">
        <v>17</v>
      </c>
      <c r="H4" s="3" t="s">
        <v>18</v>
      </c>
    </row>
    <row r="5" spans="1:8" x14ac:dyDescent="0.2">
      <c r="A5" s="3">
        <v>3080503019</v>
      </c>
      <c r="B5" s="4" t="s">
        <v>14</v>
      </c>
      <c r="C5" s="4" t="s">
        <v>19</v>
      </c>
      <c r="D5" s="3">
        <v>4</v>
      </c>
      <c r="E5" s="3" t="s">
        <v>16</v>
      </c>
      <c r="F5" s="3" t="s">
        <v>295</v>
      </c>
      <c r="G5" s="3" t="s">
        <v>17</v>
      </c>
      <c r="H5" s="3" t="s">
        <v>18</v>
      </c>
    </row>
    <row r="6" spans="1:8" x14ac:dyDescent="0.2">
      <c r="A6" s="3">
        <v>3080503001</v>
      </c>
      <c r="B6" s="4" t="s">
        <v>14</v>
      </c>
      <c r="C6" s="4" t="s">
        <v>20</v>
      </c>
      <c r="D6" s="3">
        <v>4</v>
      </c>
      <c r="E6" s="3" t="s">
        <v>16</v>
      </c>
      <c r="F6" s="3" t="s">
        <v>295</v>
      </c>
      <c r="G6" s="3" t="s">
        <v>17</v>
      </c>
      <c r="H6" s="3" t="s">
        <v>18</v>
      </c>
    </row>
    <row r="7" spans="1:8" x14ac:dyDescent="0.2">
      <c r="A7" s="3">
        <v>3030314005</v>
      </c>
      <c r="B7" s="4" t="s">
        <v>394</v>
      </c>
      <c r="C7" s="4" t="s">
        <v>395</v>
      </c>
      <c r="D7" s="3">
        <v>1</v>
      </c>
      <c r="E7" s="3" t="s">
        <v>16</v>
      </c>
      <c r="F7" s="3" t="s">
        <v>291</v>
      </c>
      <c r="G7" s="3" t="s">
        <v>26</v>
      </c>
      <c r="H7" s="3" t="s">
        <v>18</v>
      </c>
    </row>
    <row r="8" spans="1:8" x14ac:dyDescent="0.2">
      <c r="A8" s="3">
        <v>3040211003</v>
      </c>
      <c r="B8" s="4" t="s">
        <v>157</v>
      </c>
      <c r="C8" s="4" t="s">
        <v>307</v>
      </c>
      <c r="D8" s="3">
        <v>2</v>
      </c>
      <c r="E8" s="3" t="s">
        <v>16</v>
      </c>
      <c r="F8" s="3" t="s">
        <v>293</v>
      </c>
      <c r="G8" s="3" t="s">
        <v>29</v>
      </c>
      <c r="H8" s="3" t="s">
        <v>18</v>
      </c>
    </row>
    <row r="9" spans="1:8" x14ac:dyDescent="0.2">
      <c r="A9" s="3">
        <v>401020189</v>
      </c>
      <c r="B9" s="4" t="s">
        <v>35</v>
      </c>
      <c r="C9" s="4" t="s">
        <v>698</v>
      </c>
      <c r="D9" s="3">
        <v>1</v>
      </c>
      <c r="E9" s="3" t="s">
        <v>16</v>
      </c>
      <c r="F9" s="3" t="s">
        <v>301</v>
      </c>
      <c r="G9" s="3" t="s">
        <v>32</v>
      </c>
      <c r="H9" s="3" t="s">
        <v>33</v>
      </c>
    </row>
    <row r="10" spans="1:8" x14ac:dyDescent="0.2">
      <c r="A10" s="3">
        <v>401040097</v>
      </c>
      <c r="B10" s="4" t="s">
        <v>35</v>
      </c>
      <c r="C10" s="4" t="s">
        <v>598</v>
      </c>
      <c r="D10" s="3">
        <v>1</v>
      </c>
      <c r="E10" s="3" t="s">
        <v>16</v>
      </c>
      <c r="F10" s="3" t="s">
        <v>301</v>
      </c>
      <c r="G10" s="3" t="s">
        <v>32</v>
      </c>
      <c r="H10" s="3" t="s">
        <v>33</v>
      </c>
    </row>
    <row r="11" spans="1:8" x14ac:dyDescent="0.2">
      <c r="A11" s="3">
        <v>3080401023</v>
      </c>
      <c r="B11" s="4" t="s">
        <v>41</v>
      </c>
      <c r="C11" s="4" t="s">
        <v>699</v>
      </c>
      <c r="D11" s="3">
        <v>2</v>
      </c>
      <c r="E11" s="3" t="s">
        <v>16</v>
      </c>
      <c r="F11" s="3" t="s">
        <v>289</v>
      </c>
      <c r="G11" s="3" t="s">
        <v>23</v>
      </c>
      <c r="H11" s="3" t="s">
        <v>40</v>
      </c>
    </row>
    <row r="12" spans="1:8" x14ac:dyDescent="0.2">
      <c r="A12" s="3">
        <v>3080401008</v>
      </c>
      <c r="B12" s="4" t="s">
        <v>41</v>
      </c>
      <c r="C12" s="4" t="s">
        <v>700</v>
      </c>
      <c r="D12" s="3">
        <v>2</v>
      </c>
      <c r="E12" s="3" t="s">
        <v>16</v>
      </c>
      <c r="F12" s="3" t="s">
        <v>289</v>
      </c>
      <c r="G12" s="3" t="s">
        <v>23</v>
      </c>
      <c r="H12" s="3" t="s">
        <v>40</v>
      </c>
    </row>
    <row r="13" spans="1:8" x14ac:dyDescent="0.2">
      <c r="A13" s="3">
        <v>3080401006</v>
      </c>
      <c r="B13" s="4" t="s">
        <v>41</v>
      </c>
      <c r="C13" s="4" t="s">
        <v>44</v>
      </c>
      <c r="D13" s="3">
        <v>1</v>
      </c>
      <c r="E13" s="3" t="s">
        <v>16</v>
      </c>
      <c r="F13" s="3" t="s">
        <v>295</v>
      </c>
      <c r="G13" s="3" t="s">
        <v>17</v>
      </c>
      <c r="H13" s="3" t="s">
        <v>40</v>
      </c>
    </row>
    <row r="14" spans="1:8" x14ac:dyDescent="0.2">
      <c r="A14" s="3">
        <v>3080401005</v>
      </c>
      <c r="B14" s="4" t="s">
        <v>41</v>
      </c>
      <c r="C14" s="4" t="s">
        <v>43</v>
      </c>
      <c r="D14" s="3">
        <v>12</v>
      </c>
      <c r="E14" s="3" t="s">
        <v>16</v>
      </c>
      <c r="F14" s="3" t="s">
        <v>291</v>
      </c>
      <c r="G14" s="3" t="s">
        <v>26</v>
      </c>
      <c r="H14" s="3" t="s">
        <v>40</v>
      </c>
    </row>
    <row r="15" spans="1:8" x14ac:dyDescent="0.2">
      <c r="A15" s="3">
        <v>3080104081</v>
      </c>
      <c r="B15" s="4" t="s">
        <v>45</v>
      </c>
      <c r="C15" s="4" t="s">
        <v>701</v>
      </c>
      <c r="D15" s="3">
        <v>2</v>
      </c>
      <c r="E15" s="3" t="s">
        <v>16</v>
      </c>
      <c r="F15" s="3" t="s">
        <v>289</v>
      </c>
      <c r="G15" s="3" t="s">
        <v>23</v>
      </c>
      <c r="H15" s="3" t="s">
        <v>40</v>
      </c>
    </row>
    <row r="16" spans="1:8" x14ac:dyDescent="0.2">
      <c r="A16" s="3">
        <v>3080104050</v>
      </c>
      <c r="B16" s="4" t="s">
        <v>45</v>
      </c>
      <c r="C16" s="4" t="s">
        <v>49</v>
      </c>
      <c r="D16" s="3">
        <v>4</v>
      </c>
      <c r="E16" s="3" t="s">
        <v>16</v>
      </c>
      <c r="F16" s="3" t="s">
        <v>295</v>
      </c>
      <c r="G16" s="3" t="s">
        <v>17</v>
      </c>
      <c r="H16" s="3" t="s">
        <v>40</v>
      </c>
    </row>
    <row r="17" spans="1:8" x14ac:dyDescent="0.2">
      <c r="A17" s="3">
        <v>3080104014</v>
      </c>
      <c r="B17" s="4" t="s">
        <v>45</v>
      </c>
      <c r="C17" s="4" t="s">
        <v>312</v>
      </c>
      <c r="D17" s="3">
        <v>2</v>
      </c>
      <c r="E17" s="3" t="s">
        <v>16</v>
      </c>
      <c r="F17" s="3" t="s">
        <v>293</v>
      </c>
      <c r="G17" s="3" t="s">
        <v>29</v>
      </c>
      <c r="H17" s="3" t="s">
        <v>40</v>
      </c>
    </row>
    <row r="18" spans="1:8" x14ac:dyDescent="0.2">
      <c r="A18" s="3">
        <v>3080104076</v>
      </c>
      <c r="B18" s="4" t="s">
        <v>45</v>
      </c>
      <c r="C18" s="4" t="s">
        <v>313</v>
      </c>
      <c r="D18" s="3">
        <v>8</v>
      </c>
      <c r="E18" s="3" t="s">
        <v>16</v>
      </c>
      <c r="F18" s="3" t="s">
        <v>293</v>
      </c>
      <c r="G18" s="3" t="s">
        <v>29</v>
      </c>
      <c r="H18" s="3" t="s">
        <v>40</v>
      </c>
    </row>
    <row r="19" spans="1:8" x14ac:dyDescent="0.2">
      <c r="A19" s="3">
        <v>3080104081</v>
      </c>
      <c r="B19" s="4" t="s">
        <v>45</v>
      </c>
      <c r="C19" s="4" t="s">
        <v>701</v>
      </c>
      <c r="D19" s="3">
        <v>2</v>
      </c>
      <c r="E19" s="3" t="s">
        <v>16</v>
      </c>
      <c r="F19" s="3" t="s">
        <v>702</v>
      </c>
      <c r="G19" s="3" t="s">
        <v>703</v>
      </c>
      <c r="H19" s="3" t="s">
        <v>40</v>
      </c>
    </row>
    <row r="20" spans="1:8" x14ac:dyDescent="0.2">
      <c r="A20" s="3">
        <v>3080104099</v>
      </c>
      <c r="B20" s="4" t="s">
        <v>45</v>
      </c>
      <c r="C20" s="4" t="s">
        <v>419</v>
      </c>
      <c r="D20" s="3">
        <v>2</v>
      </c>
      <c r="E20" s="3" t="s">
        <v>16</v>
      </c>
      <c r="F20" s="3" t="s">
        <v>291</v>
      </c>
      <c r="G20" s="3" t="s">
        <v>26</v>
      </c>
      <c r="H20" s="3" t="s">
        <v>40</v>
      </c>
    </row>
    <row r="21" spans="1:8" x14ac:dyDescent="0.2">
      <c r="A21" s="3">
        <v>3080104020</v>
      </c>
      <c r="B21" s="4" t="s">
        <v>45</v>
      </c>
      <c r="C21" s="4" t="s">
        <v>46</v>
      </c>
      <c r="D21" s="3">
        <v>4</v>
      </c>
      <c r="E21" s="3" t="s">
        <v>16</v>
      </c>
      <c r="F21" s="3" t="s">
        <v>291</v>
      </c>
      <c r="G21" s="3" t="s">
        <v>26</v>
      </c>
      <c r="H21" s="3" t="s">
        <v>40</v>
      </c>
    </row>
    <row r="22" spans="1:8" x14ac:dyDescent="0.2">
      <c r="A22" s="3">
        <v>3080104019</v>
      </c>
      <c r="B22" s="4" t="s">
        <v>45</v>
      </c>
      <c r="C22" s="4" t="s">
        <v>47</v>
      </c>
      <c r="D22" s="3">
        <v>2</v>
      </c>
      <c r="E22" s="3" t="s">
        <v>16</v>
      </c>
      <c r="F22" s="3" t="s">
        <v>291</v>
      </c>
      <c r="G22" s="3" t="s">
        <v>26</v>
      </c>
      <c r="H22" s="3" t="s">
        <v>40</v>
      </c>
    </row>
    <row r="23" spans="1:8" x14ac:dyDescent="0.2">
      <c r="A23" s="3">
        <v>3080105114</v>
      </c>
      <c r="B23" s="4" t="s">
        <v>50</v>
      </c>
      <c r="C23" s="4" t="s">
        <v>53</v>
      </c>
      <c r="D23" s="3">
        <v>5</v>
      </c>
      <c r="E23" s="3" t="s">
        <v>16</v>
      </c>
      <c r="F23" s="3" t="s">
        <v>289</v>
      </c>
      <c r="G23" s="3" t="s">
        <v>23</v>
      </c>
      <c r="H23" s="3" t="s">
        <v>40</v>
      </c>
    </row>
    <row r="24" spans="1:8" x14ac:dyDescent="0.2">
      <c r="A24" s="3">
        <v>3080105114</v>
      </c>
      <c r="B24" s="4" t="s">
        <v>50</v>
      </c>
      <c r="C24" s="4" t="s">
        <v>53</v>
      </c>
      <c r="D24" s="3">
        <v>4</v>
      </c>
      <c r="E24" s="3" t="s">
        <v>16</v>
      </c>
      <c r="F24" s="3" t="s">
        <v>289</v>
      </c>
      <c r="G24" s="3" t="s">
        <v>23</v>
      </c>
      <c r="H24" s="3" t="s">
        <v>40</v>
      </c>
    </row>
    <row r="25" spans="1:8" x14ac:dyDescent="0.2">
      <c r="A25" s="3">
        <v>3080105004</v>
      </c>
      <c r="B25" s="4" t="s">
        <v>50</v>
      </c>
      <c r="C25" s="4" t="s">
        <v>54</v>
      </c>
      <c r="D25" s="3">
        <v>6</v>
      </c>
      <c r="E25" s="3" t="s">
        <v>16</v>
      </c>
      <c r="F25" s="3" t="s">
        <v>289</v>
      </c>
      <c r="G25" s="3" t="s">
        <v>23</v>
      </c>
      <c r="H25" s="3" t="s">
        <v>40</v>
      </c>
    </row>
    <row r="26" spans="1:8" x14ac:dyDescent="0.2">
      <c r="A26" s="3">
        <v>3080105013</v>
      </c>
      <c r="B26" s="4" t="s">
        <v>50</v>
      </c>
      <c r="C26" s="4" t="s">
        <v>51</v>
      </c>
      <c r="D26" s="3">
        <v>4</v>
      </c>
      <c r="E26" s="3" t="s">
        <v>16</v>
      </c>
      <c r="F26" s="3" t="s">
        <v>293</v>
      </c>
      <c r="G26" s="3" t="s">
        <v>29</v>
      </c>
      <c r="H26" s="3" t="s">
        <v>40</v>
      </c>
    </row>
    <row r="27" spans="1:8" x14ac:dyDescent="0.2">
      <c r="A27" s="3">
        <v>3080105004</v>
      </c>
      <c r="B27" s="4" t="s">
        <v>50</v>
      </c>
      <c r="C27" s="4" t="s">
        <v>54</v>
      </c>
      <c r="D27" s="3">
        <v>4</v>
      </c>
      <c r="E27" s="3" t="s">
        <v>16</v>
      </c>
      <c r="F27" s="3" t="s">
        <v>293</v>
      </c>
      <c r="G27" s="3" t="s">
        <v>29</v>
      </c>
      <c r="H27" s="3" t="s">
        <v>40</v>
      </c>
    </row>
    <row r="28" spans="1:8" x14ac:dyDescent="0.2">
      <c r="A28" s="3">
        <v>3080105068</v>
      </c>
      <c r="B28" s="4" t="s">
        <v>50</v>
      </c>
      <c r="C28" s="4" t="s">
        <v>314</v>
      </c>
      <c r="D28" s="3">
        <v>10</v>
      </c>
      <c r="E28" s="3" t="s">
        <v>16</v>
      </c>
      <c r="F28" s="3" t="s">
        <v>293</v>
      </c>
      <c r="G28" s="3" t="s">
        <v>29</v>
      </c>
      <c r="H28" s="3" t="s">
        <v>40</v>
      </c>
    </row>
    <row r="29" spans="1:8" x14ac:dyDescent="0.2">
      <c r="A29" s="3">
        <v>3080105007</v>
      </c>
      <c r="B29" s="4" t="s">
        <v>50</v>
      </c>
      <c r="C29" s="4" t="s">
        <v>52</v>
      </c>
      <c r="D29" s="3">
        <v>2</v>
      </c>
      <c r="E29" s="3" t="s">
        <v>16</v>
      </c>
      <c r="F29" s="3" t="s">
        <v>293</v>
      </c>
      <c r="G29" s="3" t="s">
        <v>29</v>
      </c>
      <c r="H29" s="3" t="s">
        <v>40</v>
      </c>
    </row>
    <row r="30" spans="1:8" x14ac:dyDescent="0.2">
      <c r="A30" s="3">
        <v>3080105078</v>
      </c>
      <c r="B30" s="4" t="s">
        <v>50</v>
      </c>
      <c r="C30" s="4" t="s">
        <v>315</v>
      </c>
      <c r="D30" s="3">
        <v>2</v>
      </c>
      <c r="E30" s="3" t="s">
        <v>16</v>
      </c>
      <c r="F30" s="3" t="s">
        <v>293</v>
      </c>
      <c r="G30" s="3" t="s">
        <v>29</v>
      </c>
      <c r="H30" s="3" t="s">
        <v>40</v>
      </c>
    </row>
    <row r="31" spans="1:8" x14ac:dyDescent="0.2">
      <c r="A31" s="3">
        <v>3080105114</v>
      </c>
      <c r="B31" s="4" t="s">
        <v>50</v>
      </c>
      <c r="C31" s="4" t="s">
        <v>53</v>
      </c>
      <c r="D31" s="3">
        <v>6</v>
      </c>
      <c r="E31" s="3" t="s">
        <v>16</v>
      </c>
      <c r="F31" s="3" t="s">
        <v>702</v>
      </c>
      <c r="G31" s="3" t="s">
        <v>703</v>
      </c>
      <c r="H31" s="3" t="s">
        <v>40</v>
      </c>
    </row>
    <row r="32" spans="1:8" x14ac:dyDescent="0.2">
      <c r="A32" s="3">
        <v>3080105114</v>
      </c>
      <c r="B32" s="4" t="s">
        <v>50</v>
      </c>
      <c r="C32" s="4" t="s">
        <v>53</v>
      </c>
      <c r="D32" s="3">
        <v>3</v>
      </c>
      <c r="E32" s="3" t="s">
        <v>16</v>
      </c>
      <c r="F32" s="3" t="s">
        <v>702</v>
      </c>
      <c r="G32" s="3" t="s">
        <v>703</v>
      </c>
      <c r="H32" s="3" t="s">
        <v>40</v>
      </c>
    </row>
    <row r="33" spans="1:8" x14ac:dyDescent="0.2">
      <c r="A33" s="3">
        <v>3080105111</v>
      </c>
      <c r="B33" s="4" t="s">
        <v>50</v>
      </c>
      <c r="C33" s="4" t="s">
        <v>599</v>
      </c>
      <c r="D33" s="3">
        <v>4</v>
      </c>
      <c r="E33" s="3" t="s">
        <v>16</v>
      </c>
      <c r="F33" s="3" t="s">
        <v>291</v>
      </c>
      <c r="G33" s="3" t="s">
        <v>26</v>
      </c>
      <c r="H33" s="3" t="s">
        <v>40</v>
      </c>
    </row>
    <row r="34" spans="1:8" x14ac:dyDescent="0.2">
      <c r="A34" s="3">
        <v>3080502002</v>
      </c>
      <c r="B34" s="4" t="s">
        <v>55</v>
      </c>
      <c r="C34" s="4" t="s">
        <v>56</v>
      </c>
      <c r="D34" s="3">
        <v>4</v>
      </c>
      <c r="E34" s="3" t="s">
        <v>16</v>
      </c>
      <c r="F34" s="3" t="s">
        <v>293</v>
      </c>
      <c r="G34" s="3" t="s">
        <v>29</v>
      </c>
      <c r="H34" s="3" t="s">
        <v>40</v>
      </c>
    </row>
    <row r="35" spans="1:8" x14ac:dyDescent="0.2">
      <c r="A35" s="3">
        <v>3080201012</v>
      </c>
      <c r="B35" s="4" t="s">
        <v>60</v>
      </c>
      <c r="C35" s="4" t="s">
        <v>320</v>
      </c>
      <c r="D35" s="3">
        <v>1</v>
      </c>
      <c r="E35" s="3" t="s">
        <v>16</v>
      </c>
      <c r="F35" s="3" t="s">
        <v>289</v>
      </c>
      <c r="G35" s="3" t="s">
        <v>23</v>
      </c>
      <c r="H35" s="3" t="s">
        <v>40</v>
      </c>
    </row>
    <row r="36" spans="1:8" x14ac:dyDescent="0.2">
      <c r="A36" s="3">
        <v>3080201004</v>
      </c>
      <c r="B36" s="4" t="s">
        <v>60</v>
      </c>
      <c r="C36" s="4" t="s">
        <v>61</v>
      </c>
      <c r="D36" s="3">
        <v>4</v>
      </c>
      <c r="E36" s="3" t="s">
        <v>16</v>
      </c>
      <c r="F36" s="3" t="s">
        <v>295</v>
      </c>
      <c r="G36" s="3" t="s">
        <v>17</v>
      </c>
      <c r="H36" s="3" t="s">
        <v>40</v>
      </c>
    </row>
    <row r="37" spans="1:8" x14ac:dyDescent="0.2">
      <c r="A37" s="3">
        <v>3080201007</v>
      </c>
      <c r="B37" s="4" t="s">
        <v>60</v>
      </c>
      <c r="C37" s="4" t="s">
        <v>62</v>
      </c>
      <c r="D37" s="3">
        <v>1</v>
      </c>
      <c r="E37" s="3" t="s">
        <v>16</v>
      </c>
      <c r="F37" s="3" t="s">
        <v>295</v>
      </c>
      <c r="G37" s="3" t="s">
        <v>17</v>
      </c>
      <c r="H37" s="3" t="s">
        <v>40</v>
      </c>
    </row>
    <row r="38" spans="1:8" x14ac:dyDescent="0.2">
      <c r="A38" s="3">
        <v>3080201008</v>
      </c>
      <c r="B38" s="4" t="s">
        <v>60</v>
      </c>
      <c r="C38" s="4" t="s">
        <v>63</v>
      </c>
      <c r="D38" s="3">
        <v>1</v>
      </c>
      <c r="E38" s="3" t="s">
        <v>16</v>
      </c>
      <c r="F38" s="3" t="s">
        <v>295</v>
      </c>
      <c r="G38" s="3" t="s">
        <v>17</v>
      </c>
      <c r="H38" s="3" t="s">
        <v>40</v>
      </c>
    </row>
    <row r="39" spans="1:8" x14ac:dyDescent="0.2">
      <c r="A39" s="3">
        <v>3080201010</v>
      </c>
      <c r="B39" s="4" t="s">
        <v>60</v>
      </c>
      <c r="C39" s="4" t="s">
        <v>64</v>
      </c>
      <c r="D39" s="3">
        <v>1</v>
      </c>
      <c r="E39" s="3" t="s">
        <v>16</v>
      </c>
      <c r="F39" s="3" t="s">
        <v>295</v>
      </c>
      <c r="G39" s="3" t="s">
        <v>17</v>
      </c>
      <c r="H39" s="3" t="s">
        <v>40</v>
      </c>
    </row>
    <row r="40" spans="1:8" x14ac:dyDescent="0.2">
      <c r="A40" s="3">
        <v>3080201015</v>
      </c>
      <c r="B40" s="4" t="s">
        <v>60</v>
      </c>
      <c r="C40" s="4" t="s">
        <v>65</v>
      </c>
      <c r="D40" s="3">
        <v>2</v>
      </c>
      <c r="E40" s="3" t="s">
        <v>16</v>
      </c>
      <c r="F40" s="3" t="s">
        <v>295</v>
      </c>
      <c r="G40" s="3" t="s">
        <v>17</v>
      </c>
      <c r="H40" s="3" t="s">
        <v>40</v>
      </c>
    </row>
    <row r="41" spans="1:8" x14ac:dyDescent="0.2">
      <c r="A41" s="3">
        <v>3080201012</v>
      </c>
      <c r="B41" s="4" t="s">
        <v>60</v>
      </c>
      <c r="C41" s="4" t="s">
        <v>320</v>
      </c>
      <c r="D41" s="3">
        <v>1</v>
      </c>
      <c r="E41" s="3" t="s">
        <v>16</v>
      </c>
      <c r="F41" s="3" t="s">
        <v>702</v>
      </c>
      <c r="G41" s="3" t="s">
        <v>703</v>
      </c>
      <c r="H41" s="3" t="s">
        <v>40</v>
      </c>
    </row>
    <row r="42" spans="1:8" x14ac:dyDescent="0.2">
      <c r="A42" s="3">
        <v>3080106009</v>
      </c>
      <c r="B42" s="4" t="s">
        <v>66</v>
      </c>
      <c r="C42" s="4" t="s">
        <v>67</v>
      </c>
      <c r="D42" s="3">
        <v>1</v>
      </c>
      <c r="E42" s="3" t="s">
        <v>16</v>
      </c>
      <c r="F42" s="3" t="s">
        <v>295</v>
      </c>
      <c r="G42" s="3" t="s">
        <v>17</v>
      </c>
      <c r="H42" s="3" t="s">
        <v>40</v>
      </c>
    </row>
    <row r="43" spans="1:8" x14ac:dyDescent="0.2">
      <c r="A43" s="3">
        <v>3080106007</v>
      </c>
      <c r="B43" s="4" t="s">
        <v>66</v>
      </c>
      <c r="C43" s="4" t="s">
        <v>68</v>
      </c>
      <c r="D43" s="3">
        <v>1</v>
      </c>
      <c r="E43" s="3" t="s">
        <v>16</v>
      </c>
      <c r="F43" s="3" t="s">
        <v>295</v>
      </c>
      <c r="G43" s="3" t="s">
        <v>17</v>
      </c>
      <c r="H43" s="3" t="s">
        <v>40</v>
      </c>
    </row>
    <row r="44" spans="1:8" x14ac:dyDescent="0.2">
      <c r="A44" s="3">
        <v>3080107089</v>
      </c>
      <c r="B44" s="4" t="s">
        <v>69</v>
      </c>
      <c r="C44" s="4" t="s">
        <v>704</v>
      </c>
      <c r="D44" s="3">
        <v>1</v>
      </c>
      <c r="E44" s="3" t="s">
        <v>16</v>
      </c>
      <c r="F44" s="3" t="s">
        <v>289</v>
      </c>
      <c r="G44" s="3" t="s">
        <v>23</v>
      </c>
      <c r="H44" s="3" t="s">
        <v>40</v>
      </c>
    </row>
    <row r="45" spans="1:8" x14ac:dyDescent="0.2">
      <c r="A45" s="3">
        <v>3080107112</v>
      </c>
      <c r="B45" s="4" t="s">
        <v>69</v>
      </c>
      <c r="C45" s="4" t="s">
        <v>705</v>
      </c>
      <c r="D45" s="3">
        <v>2</v>
      </c>
      <c r="E45" s="3" t="s">
        <v>16</v>
      </c>
      <c r="F45" s="3" t="s">
        <v>289</v>
      </c>
      <c r="G45" s="3" t="s">
        <v>23</v>
      </c>
      <c r="H45" s="3" t="s">
        <v>40</v>
      </c>
    </row>
    <row r="46" spans="1:8" x14ac:dyDescent="0.2">
      <c r="A46" s="3">
        <v>3080107031</v>
      </c>
      <c r="B46" s="4" t="s">
        <v>69</v>
      </c>
      <c r="C46" s="4" t="s">
        <v>71</v>
      </c>
      <c r="D46" s="3">
        <v>2</v>
      </c>
      <c r="E46" s="3" t="s">
        <v>16</v>
      </c>
      <c r="F46" s="3" t="s">
        <v>295</v>
      </c>
      <c r="G46" s="3" t="s">
        <v>17</v>
      </c>
      <c r="H46" s="3" t="s">
        <v>40</v>
      </c>
    </row>
    <row r="47" spans="1:8" x14ac:dyDescent="0.2">
      <c r="A47" s="3">
        <v>3080107120</v>
      </c>
      <c r="B47" s="4" t="s">
        <v>69</v>
      </c>
      <c r="C47" s="4" t="s">
        <v>74</v>
      </c>
      <c r="D47" s="3">
        <v>1</v>
      </c>
      <c r="E47" s="3" t="s">
        <v>16</v>
      </c>
      <c r="F47" s="3" t="s">
        <v>295</v>
      </c>
      <c r="G47" s="3" t="s">
        <v>17</v>
      </c>
      <c r="H47" s="3" t="s">
        <v>40</v>
      </c>
    </row>
    <row r="48" spans="1:8" x14ac:dyDescent="0.2">
      <c r="A48" s="3">
        <v>3080107121</v>
      </c>
      <c r="B48" s="4" t="s">
        <v>69</v>
      </c>
      <c r="C48" s="4" t="s">
        <v>75</v>
      </c>
      <c r="D48" s="3">
        <v>1</v>
      </c>
      <c r="E48" s="3" t="s">
        <v>16</v>
      </c>
      <c r="F48" s="3" t="s">
        <v>295</v>
      </c>
      <c r="G48" s="3" t="s">
        <v>17</v>
      </c>
      <c r="H48" s="3" t="s">
        <v>40</v>
      </c>
    </row>
    <row r="49" spans="1:8" x14ac:dyDescent="0.2">
      <c r="A49" s="3">
        <v>3080107031</v>
      </c>
      <c r="B49" s="4" t="s">
        <v>69</v>
      </c>
      <c r="C49" s="4" t="s">
        <v>71</v>
      </c>
      <c r="D49" s="3">
        <v>4</v>
      </c>
      <c r="E49" s="3" t="s">
        <v>16</v>
      </c>
      <c r="F49" s="3" t="s">
        <v>295</v>
      </c>
      <c r="G49" s="3" t="s">
        <v>17</v>
      </c>
      <c r="H49" s="3" t="s">
        <v>40</v>
      </c>
    </row>
    <row r="50" spans="1:8" x14ac:dyDescent="0.2">
      <c r="A50" s="3">
        <v>3080107130</v>
      </c>
      <c r="B50" s="4" t="s">
        <v>69</v>
      </c>
      <c r="C50" s="4" t="s">
        <v>70</v>
      </c>
      <c r="D50" s="3">
        <v>4</v>
      </c>
      <c r="E50" s="3" t="s">
        <v>16</v>
      </c>
      <c r="F50" s="3" t="s">
        <v>293</v>
      </c>
      <c r="G50" s="3" t="s">
        <v>29</v>
      </c>
      <c r="H50" s="3" t="s">
        <v>40</v>
      </c>
    </row>
    <row r="51" spans="1:8" x14ac:dyDescent="0.2">
      <c r="A51" s="3">
        <v>3080107284</v>
      </c>
      <c r="B51" s="4" t="s">
        <v>69</v>
      </c>
      <c r="C51" s="4" t="s">
        <v>706</v>
      </c>
      <c r="D51" s="3">
        <v>1</v>
      </c>
      <c r="E51" s="3" t="s">
        <v>16</v>
      </c>
      <c r="F51" s="3" t="s">
        <v>702</v>
      </c>
      <c r="G51" s="3" t="s">
        <v>703</v>
      </c>
      <c r="H51" s="3" t="s">
        <v>40</v>
      </c>
    </row>
    <row r="52" spans="1:8" x14ac:dyDescent="0.2">
      <c r="A52" s="3">
        <v>3080107015</v>
      </c>
      <c r="B52" s="4" t="s">
        <v>69</v>
      </c>
      <c r="C52" s="4" t="s">
        <v>73</v>
      </c>
      <c r="D52" s="3">
        <v>6</v>
      </c>
      <c r="E52" s="3" t="s">
        <v>16</v>
      </c>
      <c r="F52" s="3" t="s">
        <v>291</v>
      </c>
      <c r="G52" s="3" t="s">
        <v>26</v>
      </c>
      <c r="H52" s="3" t="s">
        <v>40</v>
      </c>
    </row>
    <row r="53" spans="1:8" x14ac:dyDescent="0.2">
      <c r="A53" s="3">
        <v>3080108003</v>
      </c>
      <c r="B53" s="4" t="s">
        <v>77</v>
      </c>
      <c r="C53" s="4" t="s">
        <v>78</v>
      </c>
      <c r="D53" s="3">
        <v>1</v>
      </c>
      <c r="E53" s="3" t="s">
        <v>16</v>
      </c>
      <c r="F53" s="3" t="s">
        <v>295</v>
      </c>
      <c r="G53" s="3" t="s">
        <v>17</v>
      </c>
      <c r="H53" s="3" t="s">
        <v>40</v>
      </c>
    </row>
    <row r="54" spans="1:8" x14ac:dyDescent="0.2">
      <c r="A54" s="3">
        <v>3080108011</v>
      </c>
      <c r="B54" s="4" t="s">
        <v>77</v>
      </c>
      <c r="C54" s="4" t="s">
        <v>323</v>
      </c>
      <c r="D54" s="3">
        <v>2</v>
      </c>
      <c r="E54" s="3" t="s">
        <v>16</v>
      </c>
      <c r="F54" s="3" t="s">
        <v>293</v>
      </c>
      <c r="G54" s="3" t="s">
        <v>29</v>
      </c>
      <c r="H54" s="3" t="s">
        <v>40</v>
      </c>
    </row>
    <row r="55" spans="1:8" x14ac:dyDescent="0.2">
      <c r="A55" s="3">
        <v>3080108009</v>
      </c>
      <c r="B55" s="4" t="s">
        <v>77</v>
      </c>
      <c r="C55" s="4" t="s">
        <v>324</v>
      </c>
      <c r="D55" s="3">
        <v>2</v>
      </c>
      <c r="E55" s="3" t="s">
        <v>16</v>
      </c>
      <c r="F55" s="3" t="s">
        <v>293</v>
      </c>
      <c r="G55" s="3" t="s">
        <v>29</v>
      </c>
      <c r="H55" s="3" t="s">
        <v>40</v>
      </c>
    </row>
    <row r="56" spans="1:8" x14ac:dyDescent="0.2">
      <c r="A56" s="3">
        <v>3080111087</v>
      </c>
      <c r="B56" s="4" t="s">
        <v>79</v>
      </c>
      <c r="C56" s="4" t="s">
        <v>80</v>
      </c>
      <c r="D56" s="3">
        <v>18</v>
      </c>
      <c r="E56" s="3" t="s">
        <v>16</v>
      </c>
      <c r="F56" s="3" t="s">
        <v>291</v>
      </c>
      <c r="G56" s="3" t="s">
        <v>26</v>
      </c>
      <c r="H56" s="3" t="s">
        <v>40</v>
      </c>
    </row>
    <row r="57" spans="1:8" x14ac:dyDescent="0.2">
      <c r="A57" s="3">
        <v>3080111087</v>
      </c>
      <c r="B57" s="4" t="s">
        <v>79</v>
      </c>
      <c r="C57" s="4" t="s">
        <v>80</v>
      </c>
      <c r="D57" s="3">
        <v>1</v>
      </c>
      <c r="E57" s="3" t="s">
        <v>16</v>
      </c>
      <c r="F57" s="3" t="s">
        <v>291</v>
      </c>
      <c r="G57" s="3" t="s">
        <v>26</v>
      </c>
      <c r="H57" s="3" t="s">
        <v>40</v>
      </c>
    </row>
    <row r="58" spans="1:8" x14ac:dyDescent="0.2">
      <c r="A58" s="3">
        <v>407030047</v>
      </c>
      <c r="B58" s="4" t="s">
        <v>81</v>
      </c>
      <c r="C58" s="4" t="s">
        <v>707</v>
      </c>
      <c r="D58" s="3">
        <v>1</v>
      </c>
      <c r="E58" s="3" t="s">
        <v>16</v>
      </c>
      <c r="F58" s="3" t="s">
        <v>301</v>
      </c>
      <c r="G58" s="3" t="s">
        <v>32</v>
      </c>
      <c r="H58" s="3" t="s">
        <v>40</v>
      </c>
    </row>
    <row r="59" spans="1:8" x14ac:dyDescent="0.2">
      <c r="A59" s="3">
        <v>3080112003</v>
      </c>
      <c r="B59" s="4" t="s">
        <v>83</v>
      </c>
      <c r="C59" s="4" t="s">
        <v>85</v>
      </c>
      <c r="D59" s="3">
        <v>1</v>
      </c>
      <c r="E59" s="3" t="s">
        <v>16</v>
      </c>
      <c r="F59" s="3" t="s">
        <v>295</v>
      </c>
      <c r="G59" s="3" t="s">
        <v>17</v>
      </c>
      <c r="H59" s="3" t="s">
        <v>40</v>
      </c>
    </row>
    <row r="60" spans="1:8" x14ac:dyDescent="0.2">
      <c r="A60" s="3">
        <v>3080112015</v>
      </c>
      <c r="B60" s="4" t="s">
        <v>83</v>
      </c>
      <c r="C60" s="4" t="s">
        <v>84</v>
      </c>
      <c r="D60" s="3">
        <v>6</v>
      </c>
      <c r="E60" s="3" t="s">
        <v>16</v>
      </c>
      <c r="F60" s="3" t="s">
        <v>291</v>
      </c>
      <c r="G60" s="3" t="s">
        <v>26</v>
      </c>
      <c r="H60" s="3" t="s">
        <v>40</v>
      </c>
    </row>
    <row r="61" spans="1:8" x14ac:dyDescent="0.2">
      <c r="A61" s="3">
        <v>3080307001</v>
      </c>
      <c r="B61" s="4" t="s">
        <v>86</v>
      </c>
      <c r="C61" s="4" t="s">
        <v>87</v>
      </c>
      <c r="D61" s="3">
        <v>1</v>
      </c>
      <c r="E61" s="3" t="s">
        <v>16</v>
      </c>
      <c r="F61" s="3" t="s">
        <v>295</v>
      </c>
      <c r="G61" s="3" t="s">
        <v>17</v>
      </c>
      <c r="H61" s="3" t="s">
        <v>88</v>
      </c>
    </row>
    <row r="62" spans="1:8" x14ac:dyDescent="0.2">
      <c r="A62" s="3">
        <v>3080506001</v>
      </c>
      <c r="B62" s="4" t="s">
        <v>89</v>
      </c>
      <c r="C62" s="4" t="s">
        <v>90</v>
      </c>
      <c r="D62" s="3">
        <v>1</v>
      </c>
      <c r="E62" s="3" t="s">
        <v>16</v>
      </c>
      <c r="F62" s="3" t="s">
        <v>295</v>
      </c>
      <c r="G62" s="3" t="s">
        <v>17</v>
      </c>
      <c r="H62" s="3" t="s">
        <v>88</v>
      </c>
    </row>
    <row r="63" spans="1:8" x14ac:dyDescent="0.2">
      <c r="A63" s="3">
        <v>3030204002</v>
      </c>
      <c r="B63" s="4" t="s">
        <v>91</v>
      </c>
      <c r="C63" s="4" t="s">
        <v>92</v>
      </c>
      <c r="D63" s="3">
        <v>1</v>
      </c>
      <c r="E63" s="3" t="s">
        <v>16</v>
      </c>
      <c r="F63" s="3" t="s">
        <v>295</v>
      </c>
      <c r="G63" s="3" t="s">
        <v>17</v>
      </c>
      <c r="H63" s="3" t="s">
        <v>88</v>
      </c>
    </row>
    <row r="64" spans="1:8" x14ac:dyDescent="0.2">
      <c r="A64" s="3">
        <v>3030205002</v>
      </c>
      <c r="B64" s="4" t="s">
        <v>93</v>
      </c>
      <c r="C64" s="4" t="s">
        <v>94</v>
      </c>
      <c r="D64" s="3">
        <v>1</v>
      </c>
      <c r="E64" s="3" t="s">
        <v>16</v>
      </c>
      <c r="F64" s="3" t="s">
        <v>295</v>
      </c>
      <c r="G64" s="3" t="s">
        <v>17</v>
      </c>
      <c r="H64" s="3" t="s">
        <v>88</v>
      </c>
    </row>
    <row r="65" spans="1:8" x14ac:dyDescent="0.2">
      <c r="A65" s="3">
        <v>3030208001</v>
      </c>
      <c r="B65" s="4" t="s">
        <v>95</v>
      </c>
      <c r="C65" s="4" t="s">
        <v>96</v>
      </c>
      <c r="D65" s="3">
        <v>1</v>
      </c>
      <c r="E65" s="3" t="s">
        <v>16</v>
      </c>
      <c r="F65" s="3" t="s">
        <v>295</v>
      </c>
      <c r="G65" s="3" t="s">
        <v>17</v>
      </c>
      <c r="H65" s="3" t="s">
        <v>88</v>
      </c>
    </row>
    <row r="66" spans="1:8" x14ac:dyDescent="0.2">
      <c r="A66" s="3">
        <v>3030202005</v>
      </c>
      <c r="B66" s="4" t="s">
        <v>97</v>
      </c>
      <c r="C66" s="4" t="s">
        <v>94</v>
      </c>
      <c r="D66" s="3">
        <v>1</v>
      </c>
      <c r="E66" s="3" t="s">
        <v>16</v>
      </c>
      <c r="F66" s="3" t="s">
        <v>295</v>
      </c>
      <c r="G66" s="3" t="s">
        <v>17</v>
      </c>
      <c r="H66" s="3" t="s">
        <v>88</v>
      </c>
    </row>
    <row r="67" spans="1:8" x14ac:dyDescent="0.2">
      <c r="A67" s="3">
        <v>3080201009</v>
      </c>
      <c r="B67" s="4" t="s">
        <v>60</v>
      </c>
      <c r="C67" s="4" t="s">
        <v>98</v>
      </c>
      <c r="D67" s="3">
        <v>1</v>
      </c>
      <c r="E67" s="3" t="s">
        <v>16</v>
      </c>
      <c r="F67" s="3" t="s">
        <v>295</v>
      </c>
      <c r="G67" s="3" t="s">
        <v>17</v>
      </c>
      <c r="H67" s="3" t="s">
        <v>88</v>
      </c>
    </row>
    <row r="68" spans="1:8" x14ac:dyDescent="0.2">
      <c r="A68" s="3">
        <v>3050205001</v>
      </c>
      <c r="B68" s="4" t="s">
        <v>99</v>
      </c>
      <c r="C68" s="4" t="s">
        <v>100</v>
      </c>
      <c r="D68" s="3">
        <v>2</v>
      </c>
      <c r="E68" s="3" t="s">
        <v>16</v>
      </c>
      <c r="F68" s="3" t="s">
        <v>291</v>
      </c>
      <c r="G68" s="3" t="s">
        <v>26</v>
      </c>
      <c r="H68" s="3" t="s">
        <v>88</v>
      </c>
    </row>
    <row r="69" spans="1:8" x14ac:dyDescent="0.2">
      <c r="A69" s="3">
        <v>3099990501</v>
      </c>
      <c r="B69" s="4" t="s">
        <v>708</v>
      </c>
      <c r="C69" s="4" t="s">
        <v>105</v>
      </c>
      <c r="D69" s="3">
        <v>1</v>
      </c>
      <c r="E69" s="3" t="s">
        <v>16</v>
      </c>
      <c r="F69" s="3" t="s">
        <v>709</v>
      </c>
      <c r="G69" s="3" t="s">
        <v>710</v>
      </c>
      <c r="H69" s="3" t="s">
        <v>103</v>
      </c>
    </row>
    <row r="70" spans="1:8" x14ac:dyDescent="0.2">
      <c r="A70" s="3">
        <v>3099990101</v>
      </c>
      <c r="B70" s="4" t="s">
        <v>104</v>
      </c>
      <c r="C70" s="4" t="s">
        <v>105</v>
      </c>
      <c r="D70" s="3">
        <v>1</v>
      </c>
      <c r="E70" s="3" t="s">
        <v>16</v>
      </c>
      <c r="F70" s="3" t="s">
        <v>299</v>
      </c>
      <c r="G70" s="3" t="s">
        <v>106</v>
      </c>
      <c r="H70" s="3" t="s">
        <v>103</v>
      </c>
    </row>
    <row r="71" spans="1:8" x14ac:dyDescent="0.2">
      <c r="A71" s="3">
        <v>402030027</v>
      </c>
      <c r="B71" s="4" t="s">
        <v>107</v>
      </c>
      <c r="C71" s="4" t="s">
        <v>110</v>
      </c>
      <c r="D71" s="3">
        <v>1</v>
      </c>
      <c r="E71" s="3" t="s">
        <v>16</v>
      </c>
      <c r="F71" s="3" t="s">
        <v>289</v>
      </c>
      <c r="G71" s="3" t="s">
        <v>23</v>
      </c>
      <c r="H71" s="3" t="s">
        <v>109</v>
      </c>
    </row>
    <row r="72" spans="1:8" x14ac:dyDescent="0.2">
      <c r="A72" s="3">
        <v>402030027</v>
      </c>
      <c r="B72" s="4" t="s">
        <v>107</v>
      </c>
      <c r="C72" s="4" t="s">
        <v>110</v>
      </c>
      <c r="D72" s="3">
        <v>1</v>
      </c>
      <c r="E72" s="3" t="s">
        <v>16</v>
      </c>
      <c r="F72" s="3" t="s">
        <v>291</v>
      </c>
      <c r="G72" s="3" t="s">
        <v>26</v>
      </c>
      <c r="H72" s="3" t="s">
        <v>109</v>
      </c>
    </row>
    <row r="73" spans="1:8" x14ac:dyDescent="0.2">
      <c r="A73" s="3">
        <v>402020006</v>
      </c>
      <c r="B73" s="4" t="s">
        <v>111</v>
      </c>
      <c r="C73" s="4" t="s">
        <v>112</v>
      </c>
      <c r="D73" s="3">
        <v>2</v>
      </c>
      <c r="E73" s="3" t="s">
        <v>16</v>
      </c>
      <c r="F73" s="3" t="s">
        <v>293</v>
      </c>
      <c r="G73" s="3" t="s">
        <v>29</v>
      </c>
      <c r="H73" s="3" t="s">
        <v>109</v>
      </c>
    </row>
    <row r="74" spans="1:8" x14ac:dyDescent="0.2">
      <c r="A74" s="3">
        <v>404100028</v>
      </c>
      <c r="B74" s="4" t="s">
        <v>600</v>
      </c>
      <c r="C74" s="4" t="s">
        <v>601</v>
      </c>
      <c r="D74" s="3">
        <v>1</v>
      </c>
      <c r="E74" s="3" t="s">
        <v>16</v>
      </c>
      <c r="F74" s="3" t="s">
        <v>301</v>
      </c>
      <c r="G74" s="3" t="s">
        <v>32</v>
      </c>
      <c r="H74" s="3" t="s">
        <v>109</v>
      </c>
    </row>
    <row r="75" spans="1:8" x14ac:dyDescent="0.2">
      <c r="A75" s="3">
        <v>404100029</v>
      </c>
      <c r="B75" s="4" t="s">
        <v>600</v>
      </c>
      <c r="C75" s="4" t="s">
        <v>602</v>
      </c>
      <c r="D75" s="3">
        <v>1</v>
      </c>
      <c r="E75" s="3" t="s">
        <v>16</v>
      </c>
      <c r="F75" s="3" t="s">
        <v>301</v>
      </c>
      <c r="G75" s="3" t="s">
        <v>32</v>
      </c>
      <c r="H75" s="3" t="s">
        <v>109</v>
      </c>
    </row>
    <row r="76" spans="1:8" x14ac:dyDescent="0.2">
      <c r="A76" s="3">
        <v>3060210001</v>
      </c>
      <c r="B76" s="4" t="s">
        <v>711</v>
      </c>
      <c r="C76" s="4" t="s">
        <v>712</v>
      </c>
      <c r="D76" s="3">
        <v>4</v>
      </c>
      <c r="E76" s="3" t="s">
        <v>16</v>
      </c>
      <c r="F76" s="3" t="s">
        <v>289</v>
      </c>
      <c r="G76" s="3" t="s">
        <v>23</v>
      </c>
      <c r="H76" s="3" t="s">
        <v>115</v>
      </c>
    </row>
    <row r="77" spans="1:8" x14ac:dyDescent="0.2">
      <c r="A77" s="3">
        <v>3060209002</v>
      </c>
      <c r="B77" s="4" t="s">
        <v>113</v>
      </c>
      <c r="C77" s="4" t="s">
        <v>114</v>
      </c>
      <c r="D77" s="3">
        <v>2</v>
      </c>
      <c r="E77" s="3" t="s">
        <v>16</v>
      </c>
      <c r="F77" s="3" t="s">
        <v>293</v>
      </c>
      <c r="G77" s="3" t="s">
        <v>29</v>
      </c>
      <c r="H77" s="3" t="s">
        <v>115</v>
      </c>
    </row>
    <row r="78" spans="1:8" x14ac:dyDescent="0.2">
      <c r="A78" s="3">
        <v>3030204032</v>
      </c>
      <c r="B78" s="4" t="s">
        <v>116</v>
      </c>
      <c r="C78" s="4" t="s">
        <v>117</v>
      </c>
      <c r="D78" s="3">
        <v>1</v>
      </c>
      <c r="E78" s="3" t="s">
        <v>16</v>
      </c>
      <c r="F78" s="3" t="s">
        <v>295</v>
      </c>
      <c r="G78" s="3" t="s">
        <v>17</v>
      </c>
      <c r="H78" s="3" t="s">
        <v>115</v>
      </c>
    </row>
    <row r="79" spans="1:8" x14ac:dyDescent="0.2">
      <c r="A79" s="3">
        <v>3040216001</v>
      </c>
      <c r="B79" s="4" t="s">
        <v>328</v>
      </c>
      <c r="C79" s="4" t="s">
        <v>329</v>
      </c>
      <c r="D79" s="3">
        <v>4</v>
      </c>
      <c r="E79" s="3" t="s">
        <v>16</v>
      </c>
      <c r="F79" s="3" t="s">
        <v>293</v>
      </c>
      <c r="G79" s="3" t="s">
        <v>29</v>
      </c>
      <c r="H79" s="3" t="s">
        <v>115</v>
      </c>
    </row>
    <row r="80" spans="1:8" x14ac:dyDescent="0.2">
      <c r="A80" s="3">
        <v>3030204006</v>
      </c>
      <c r="B80" s="4" t="s">
        <v>120</v>
      </c>
      <c r="C80" s="4" t="s">
        <v>121</v>
      </c>
      <c r="D80" s="3">
        <v>2</v>
      </c>
      <c r="E80" s="3" t="s">
        <v>16</v>
      </c>
      <c r="F80" s="3" t="s">
        <v>295</v>
      </c>
      <c r="G80" s="3" t="s">
        <v>17</v>
      </c>
      <c r="H80" s="3" t="s">
        <v>115</v>
      </c>
    </row>
    <row r="81" spans="1:8" x14ac:dyDescent="0.2">
      <c r="A81" s="3">
        <v>3030204008</v>
      </c>
      <c r="B81" s="4" t="s">
        <v>122</v>
      </c>
      <c r="C81" s="4" t="s">
        <v>123</v>
      </c>
      <c r="D81" s="3">
        <v>1</v>
      </c>
      <c r="E81" s="3" t="s">
        <v>16</v>
      </c>
      <c r="F81" s="3" t="s">
        <v>291</v>
      </c>
      <c r="G81" s="3" t="s">
        <v>26</v>
      </c>
      <c r="H81" s="3" t="s">
        <v>115</v>
      </c>
    </row>
    <row r="82" spans="1:8" x14ac:dyDescent="0.2">
      <c r="A82" s="3">
        <v>3030204010</v>
      </c>
      <c r="B82" s="4" t="s">
        <v>124</v>
      </c>
      <c r="C82" s="4" t="s">
        <v>125</v>
      </c>
      <c r="D82" s="3">
        <v>1</v>
      </c>
      <c r="E82" s="3" t="s">
        <v>16</v>
      </c>
      <c r="F82" s="3" t="s">
        <v>295</v>
      </c>
      <c r="G82" s="3" t="s">
        <v>17</v>
      </c>
      <c r="H82" s="3" t="s">
        <v>115</v>
      </c>
    </row>
    <row r="83" spans="1:8" x14ac:dyDescent="0.2">
      <c r="A83" s="3">
        <v>3030204012</v>
      </c>
      <c r="B83" s="4" t="s">
        <v>126</v>
      </c>
      <c r="C83" s="4" t="s">
        <v>127</v>
      </c>
      <c r="D83" s="3">
        <v>1</v>
      </c>
      <c r="E83" s="3" t="s">
        <v>16</v>
      </c>
      <c r="F83" s="3" t="s">
        <v>295</v>
      </c>
      <c r="G83" s="3" t="s">
        <v>17</v>
      </c>
      <c r="H83" s="3" t="s">
        <v>115</v>
      </c>
    </row>
    <row r="84" spans="1:8" x14ac:dyDescent="0.2">
      <c r="A84" s="3">
        <v>3030404003</v>
      </c>
      <c r="B84" s="4" t="s">
        <v>130</v>
      </c>
      <c r="C84" s="4" t="s">
        <v>131</v>
      </c>
      <c r="D84" s="3">
        <v>2</v>
      </c>
      <c r="E84" s="3" t="s">
        <v>16</v>
      </c>
      <c r="F84" s="3" t="s">
        <v>291</v>
      </c>
      <c r="G84" s="3" t="s">
        <v>26</v>
      </c>
      <c r="H84" s="3" t="s">
        <v>132</v>
      </c>
    </row>
    <row r="85" spans="1:8" x14ac:dyDescent="0.2">
      <c r="A85" s="3">
        <v>404040025</v>
      </c>
      <c r="B85" s="4" t="s">
        <v>30</v>
      </c>
      <c r="C85" s="4" t="s">
        <v>133</v>
      </c>
      <c r="D85" s="3">
        <v>2</v>
      </c>
      <c r="E85" s="3" t="s">
        <v>16</v>
      </c>
      <c r="F85" s="3" t="s">
        <v>291</v>
      </c>
      <c r="G85" s="3" t="s">
        <v>26</v>
      </c>
      <c r="H85" s="3" t="s">
        <v>134</v>
      </c>
    </row>
    <row r="86" spans="1:8" x14ac:dyDescent="0.2">
      <c r="A86" s="3">
        <v>404020073</v>
      </c>
      <c r="B86" s="4" t="s">
        <v>30</v>
      </c>
      <c r="C86" s="4" t="s">
        <v>135</v>
      </c>
      <c r="D86" s="3">
        <v>1</v>
      </c>
      <c r="E86" s="3" t="s">
        <v>16</v>
      </c>
      <c r="F86" s="3" t="s">
        <v>291</v>
      </c>
      <c r="G86" s="3" t="s">
        <v>26</v>
      </c>
      <c r="H86" s="3" t="s">
        <v>134</v>
      </c>
    </row>
    <row r="87" spans="1:8" x14ac:dyDescent="0.2">
      <c r="A87" s="3">
        <v>401040451</v>
      </c>
      <c r="B87" s="4" t="s">
        <v>35</v>
      </c>
      <c r="C87" s="4" t="s">
        <v>713</v>
      </c>
      <c r="D87" s="3">
        <v>1</v>
      </c>
      <c r="E87" s="3" t="s">
        <v>16</v>
      </c>
      <c r="F87" s="3" t="s">
        <v>291</v>
      </c>
      <c r="G87" s="3" t="s">
        <v>26</v>
      </c>
      <c r="H87" s="3" t="s">
        <v>134</v>
      </c>
    </row>
    <row r="88" spans="1:8" x14ac:dyDescent="0.2">
      <c r="A88" s="3">
        <v>3990207002</v>
      </c>
      <c r="B88" s="4" t="s">
        <v>140</v>
      </c>
      <c r="C88" s="4" t="s">
        <v>714</v>
      </c>
      <c r="D88" s="3">
        <v>1</v>
      </c>
      <c r="E88" s="3" t="s">
        <v>16</v>
      </c>
      <c r="F88" s="3" t="s">
        <v>285</v>
      </c>
      <c r="G88" s="3" t="s">
        <v>142</v>
      </c>
      <c r="H88" s="3" t="s">
        <v>143</v>
      </c>
    </row>
    <row r="89" spans="1:8" x14ac:dyDescent="0.2">
      <c r="A89" s="3">
        <v>3030301005</v>
      </c>
      <c r="B89" s="4" t="s">
        <v>144</v>
      </c>
      <c r="C89" s="4" t="s">
        <v>145</v>
      </c>
      <c r="D89" s="3">
        <v>2</v>
      </c>
      <c r="E89" s="3" t="s">
        <v>16</v>
      </c>
      <c r="F89" s="3" t="s">
        <v>291</v>
      </c>
      <c r="G89" s="3" t="s">
        <v>26</v>
      </c>
      <c r="H89" s="3" t="s">
        <v>143</v>
      </c>
    </row>
    <row r="90" spans="1:8" x14ac:dyDescent="0.2">
      <c r="A90" s="3">
        <v>3990206001</v>
      </c>
      <c r="B90" s="4" t="s">
        <v>715</v>
      </c>
      <c r="C90" s="4" t="s">
        <v>716</v>
      </c>
      <c r="D90" s="3">
        <v>1</v>
      </c>
      <c r="E90" s="3" t="s">
        <v>16</v>
      </c>
      <c r="F90" s="3" t="s">
        <v>717</v>
      </c>
      <c r="G90" s="3" t="s">
        <v>718</v>
      </c>
      <c r="H90" s="3" t="s">
        <v>143</v>
      </c>
    </row>
    <row r="91" spans="1:8" x14ac:dyDescent="0.2">
      <c r="A91" s="3">
        <v>3990205001</v>
      </c>
      <c r="B91" s="4" t="s">
        <v>146</v>
      </c>
      <c r="C91" s="4" t="s">
        <v>147</v>
      </c>
      <c r="D91" s="3">
        <v>1</v>
      </c>
      <c r="E91" s="3" t="s">
        <v>16</v>
      </c>
      <c r="F91" s="3" t="s">
        <v>287</v>
      </c>
      <c r="G91" s="3" t="s">
        <v>148</v>
      </c>
      <c r="H91" s="3" t="s">
        <v>143</v>
      </c>
    </row>
    <row r="92" spans="1:8" x14ac:dyDescent="0.2">
      <c r="A92" s="3">
        <v>407010092</v>
      </c>
      <c r="B92" s="4" t="s">
        <v>149</v>
      </c>
      <c r="C92" s="4" t="s">
        <v>719</v>
      </c>
      <c r="D92" s="3">
        <v>1</v>
      </c>
      <c r="E92" s="3" t="s">
        <v>16</v>
      </c>
      <c r="F92" s="3" t="s">
        <v>289</v>
      </c>
      <c r="G92" s="3" t="s">
        <v>23</v>
      </c>
      <c r="H92" s="3" t="s">
        <v>151</v>
      </c>
    </row>
    <row r="93" spans="1:8" x14ac:dyDescent="0.2">
      <c r="A93" s="3">
        <v>3060318001</v>
      </c>
      <c r="B93" s="4" t="s">
        <v>720</v>
      </c>
      <c r="C93" s="4" t="s">
        <v>721</v>
      </c>
      <c r="D93" s="3">
        <v>1</v>
      </c>
      <c r="E93" s="3" t="s">
        <v>16</v>
      </c>
      <c r="F93" s="3" t="s">
        <v>289</v>
      </c>
      <c r="G93" s="3" t="s">
        <v>23</v>
      </c>
      <c r="H93" s="3" t="s">
        <v>154</v>
      </c>
    </row>
    <row r="94" spans="1:8" x14ac:dyDescent="0.2">
      <c r="A94" s="3">
        <v>3060327003</v>
      </c>
      <c r="B94" s="4" t="s">
        <v>722</v>
      </c>
      <c r="C94" s="4" t="s">
        <v>723</v>
      </c>
      <c r="D94" s="3">
        <v>1</v>
      </c>
      <c r="E94" s="3" t="s">
        <v>16</v>
      </c>
      <c r="F94" s="3" t="s">
        <v>289</v>
      </c>
      <c r="G94" s="3" t="s">
        <v>23</v>
      </c>
      <c r="H94" s="3" t="s">
        <v>154</v>
      </c>
    </row>
    <row r="95" spans="1:8" x14ac:dyDescent="0.2">
      <c r="A95" s="3">
        <v>3030203004</v>
      </c>
      <c r="B95" s="4" t="s">
        <v>155</v>
      </c>
      <c r="C95" s="4" t="s">
        <v>156</v>
      </c>
      <c r="D95" s="3">
        <v>1</v>
      </c>
      <c r="E95" s="3" t="s">
        <v>16</v>
      </c>
      <c r="F95" s="3" t="s">
        <v>295</v>
      </c>
      <c r="G95" s="3" t="s">
        <v>17</v>
      </c>
      <c r="H95" s="3" t="s">
        <v>154</v>
      </c>
    </row>
    <row r="96" spans="1:8" x14ac:dyDescent="0.2">
      <c r="A96" s="3">
        <v>3040205005</v>
      </c>
      <c r="B96" s="4" t="s">
        <v>337</v>
      </c>
      <c r="C96" s="4" t="s">
        <v>338</v>
      </c>
      <c r="D96" s="3">
        <v>2</v>
      </c>
      <c r="E96" s="3" t="s">
        <v>16</v>
      </c>
      <c r="F96" s="3" t="s">
        <v>293</v>
      </c>
      <c r="G96" s="3" t="s">
        <v>29</v>
      </c>
      <c r="H96" s="3" t="s">
        <v>154</v>
      </c>
    </row>
    <row r="97" spans="1:8" x14ac:dyDescent="0.2">
      <c r="A97" s="3">
        <v>3030310010</v>
      </c>
      <c r="B97" s="4" t="s">
        <v>161</v>
      </c>
      <c r="C97" s="4" t="s">
        <v>162</v>
      </c>
      <c r="D97" s="3">
        <v>1</v>
      </c>
      <c r="E97" s="3" t="s">
        <v>16</v>
      </c>
      <c r="F97" s="3" t="s">
        <v>295</v>
      </c>
      <c r="G97" s="3" t="s">
        <v>17</v>
      </c>
      <c r="H97" s="3" t="s">
        <v>154</v>
      </c>
    </row>
    <row r="98" spans="1:8" x14ac:dyDescent="0.2">
      <c r="A98" s="3">
        <v>3110103002</v>
      </c>
      <c r="B98" s="4" t="s">
        <v>473</v>
      </c>
      <c r="C98" s="4" t="s">
        <v>474</v>
      </c>
      <c r="D98" s="3">
        <v>1</v>
      </c>
      <c r="E98" s="3" t="s">
        <v>16</v>
      </c>
      <c r="F98" s="3" t="s">
        <v>291</v>
      </c>
      <c r="G98" s="3" t="s">
        <v>26</v>
      </c>
      <c r="H98" s="3" t="s">
        <v>165</v>
      </c>
    </row>
    <row r="99" spans="1:8" x14ac:dyDescent="0.2">
      <c r="A99" s="3">
        <v>3040310003</v>
      </c>
      <c r="B99" s="4" t="s">
        <v>339</v>
      </c>
      <c r="C99" s="4" t="s">
        <v>340</v>
      </c>
      <c r="D99" s="3">
        <v>2</v>
      </c>
      <c r="E99" s="3" t="s">
        <v>16</v>
      </c>
      <c r="F99" s="3" t="s">
        <v>293</v>
      </c>
      <c r="G99" s="3" t="s">
        <v>29</v>
      </c>
      <c r="H99" s="3" t="s">
        <v>165</v>
      </c>
    </row>
    <row r="100" spans="1:8" x14ac:dyDescent="0.2">
      <c r="A100" s="3">
        <v>3030303067</v>
      </c>
      <c r="B100" s="4" t="s">
        <v>166</v>
      </c>
      <c r="C100" s="4" t="s">
        <v>167</v>
      </c>
      <c r="D100" s="3">
        <v>1</v>
      </c>
      <c r="E100" s="3" t="s">
        <v>16</v>
      </c>
      <c r="F100" s="3" t="s">
        <v>295</v>
      </c>
      <c r="G100" s="3" t="s">
        <v>17</v>
      </c>
      <c r="H100" s="3" t="s">
        <v>165</v>
      </c>
    </row>
    <row r="101" spans="1:8" x14ac:dyDescent="0.2">
      <c r="A101" s="3">
        <v>3040321002</v>
      </c>
      <c r="B101" s="4" t="s">
        <v>341</v>
      </c>
      <c r="C101" s="4" t="s">
        <v>340</v>
      </c>
      <c r="D101" s="3">
        <v>2</v>
      </c>
      <c r="E101" s="3" t="s">
        <v>16</v>
      </c>
      <c r="F101" s="3" t="s">
        <v>293</v>
      </c>
      <c r="G101" s="3" t="s">
        <v>29</v>
      </c>
      <c r="H101" s="3" t="s">
        <v>165</v>
      </c>
    </row>
    <row r="102" spans="1:8" x14ac:dyDescent="0.2">
      <c r="A102" s="3">
        <v>3040302003</v>
      </c>
      <c r="B102" s="4" t="s">
        <v>342</v>
      </c>
      <c r="C102" s="4" t="s">
        <v>343</v>
      </c>
      <c r="D102" s="3">
        <v>2</v>
      </c>
      <c r="E102" s="3" t="s">
        <v>16</v>
      </c>
      <c r="F102" s="3" t="s">
        <v>293</v>
      </c>
      <c r="G102" s="3" t="s">
        <v>29</v>
      </c>
      <c r="H102" s="3" t="s">
        <v>165</v>
      </c>
    </row>
    <row r="103" spans="1:8" x14ac:dyDescent="0.2">
      <c r="A103" s="3">
        <v>3040315002</v>
      </c>
      <c r="B103" s="4" t="s">
        <v>344</v>
      </c>
      <c r="C103" s="4" t="s">
        <v>340</v>
      </c>
      <c r="D103" s="3">
        <v>2</v>
      </c>
      <c r="E103" s="3" t="s">
        <v>16</v>
      </c>
      <c r="F103" s="3" t="s">
        <v>293</v>
      </c>
      <c r="G103" s="3" t="s">
        <v>29</v>
      </c>
      <c r="H103" s="3" t="s">
        <v>165</v>
      </c>
    </row>
    <row r="104" spans="1:8" x14ac:dyDescent="0.2">
      <c r="A104" s="3">
        <v>3060333003</v>
      </c>
      <c r="B104" s="4" t="s">
        <v>227</v>
      </c>
      <c r="C104" s="4" t="s">
        <v>724</v>
      </c>
      <c r="D104" s="3">
        <v>1</v>
      </c>
      <c r="E104" s="3" t="s">
        <v>16</v>
      </c>
      <c r="F104" s="3" t="s">
        <v>289</v>
      </c>
      <c r="G104" s="3" t="s">
        <v>23</v>
      </c>
      <c r="H104" s="3" t="s">
        <v>173</v>
      </c>
    </row>
    <row r="105" spans="1:8" x14ac:dyDescent="0.2">
      <c r="A105" s="3">
        <v>3030303003</v>
      </c>
      <c r="B105" s="4" t="s">
        <v>175</v>
      </c>
      <c r="C105" s="4" t="s">
        <v>176</v>
      </c>
      <c r="D105" s="3">
        <v>1</v>
      </c>
      <c r="E105" s="3" t="s">
        <v>16</v>
      </c>
      <c r="F105" s="3" t="s">
        <v>295</v>
      </c>
      <c r="G105" s="3" t="s">
        <v>17</v>
      </c>
      <c r="H105" s="3" t="s">
        <v>173</v>
      </c>
    </row>
    <row r="106" spans="1:8" x14ac:dyDescent="0.2">
      <c r="A106" s="3">
        <v>3030303005</v>
      </c>
      <c r="B106" s="4" t="s">
        <v>177</v>
      </c>
      <c r="C106" s="4" t="s">
        <v>176</v>
      </c>
      <c r="D106" s="3">
        <v>1</v>
      </c>
      <c r="E106" s="3" t="s">
        <v>16</v>
      </c>
      <c r="F106" s="3" t="s">
        <v>291</v>
      </c>
      <c r="G106" s="3" t="s">
        <v>26</v>
      </c>
      <c r="H106" s="3" t="s">
        <v>173</v>
      </c>
    </row>
    <row r="107" spans="1:8" x14ac:dyDescent="0.2">
      <c r="A107" s="3">
        <v>3040328005</v>
      </c>
      <c r="B107" s="4" t="s">
        <v>267</v>
      </c>
      <c r="C107" s="4" t="s">
        <v>345</v>
      </c>
      <c r="D107" s="3">
        <v>2</v>
      </c>
      <c r="E107" s="3" t="s">
        <v>16</v>
      </c>
      <c r="F107" s="3" t="s">
        <v>293</v>
      </c>
      <c r="G107" s="3" t="s">
        <v>29</v>
      </c>
      <c r="H107" s="3" t="s">
        <v>173</v>
      </c>
    </row>
    <row r="108" spans="1:8" x14ac:dyDescent="0.2">
      <c r="A108" s="3">
        <v>3040309001</v>
      </c>
      <c r="B108" s="4" t="s">
        <v>346</v>
      </c>
      <c r="C108" s="4" t="s">
        <v>347</v>
      </c>
      <c r="D108" s="3">
        <v>8</v>
      </c>
      <c r="E108" s="3" t="s">
        <v>16</v>
      </c>
      <c r="F108" s="3" t="s">
        <v>293</v>
      </c>
      <c r="G108" s="3" t="s">
        <v>29</v>
      </c>
      <c r="H108" s="3" t="s">
        <v>173</v>
      </c>
    </row>
    <row r="109" spans="1:8" x14ac:dyDescent="0.2">
      <c r="A109" s="3">
        <v>3060340001</v>
      </c>
      <c r="B109" s="4" t="s">
        <v>725</v>
      </c>
      <c r="C109" s="4" t="s">
        <v>726</v>
      </c>
      <c r="D109" s="3">
        <v>1</v>
      </c>
      <c r="E109" s="3" t="s">
        <v>16</v>
      </c>
      <c r="F109" s="3" t="s">
        <v>702</v>
      </c>
      <c r="G109" s="3" t="s">
        <v>703</v>
      </c>
      <c r="H109" s="3" t="s">
        <v>173</v>
      </c>
    </row>
    <row r="110" spans="1:8" x14ac:dyDescent="0.2">
      <c r="A110" s="3">
        <v>3030310007</v>
      </c>
      <c r="B110" s="4" t="s">
        <v>178</v>
      </c>
      <c r="C110" s="4" t="s">
        <v>179</v>
      </c>
      <c r="D110" s="3">
        <v>1</v>
      </c>
      <c r="E110" s="3" t="s">
        <v>16</v>
      </c>
      <c r="F110" s="3" t="s">
        <v>295</v>
      </c>
      <c r="G110" s="3" t="s">
        <v>17</v>
      </c>
      <c r="H110" s="3" t="s">
        <v>173</v>
      </c>
    </row>
    <row r="111" spans="1:8" x14ac:dyDescent="0.2">
      <c r="A111" s="3">
        <v>3030310009</v>
      </c>
      <c r="B111" s="4" t="s">
        <v>180</v>
      </c>
      <c r="C111" s="4" t="s">
        <v>179</v>
      </c>
      <c r="D111" s="3">
        <v>1</v>
      </c>
      <c r="E111" s="3" t="s">
        <v>16</v>
      </c>
      <c r="F111" s="3" t="s">
        <v>295</v>
      </c>
      <c r="G111" s="3" t="s">
        <v>17</v>
      </c>
      <c r="H111" s="3" t="s">
        <v>173</v>
      </c>
    </row>
    <row r="112" spans="1:8" x14ac:dyDescent="0.2">
      <c r="A112" s="3">
        <v>3050304001</v>
      </c>
      <c r="B112" s="4" t="s">
        <v>181</v>
      </c>
      <c r="C112" s="4" t="s">
        <v>182</v>
      </c>
      <c r="D112" s="3">
        <v>1</v>
      </c>
      <c r="E112" s="3" t="s">
        <v>16</v>
      </c>
      <c r="F112" s="3" t="s">
        <v>291</v>
      </c>
      <c r="G112" s="3" t="s">
        <v>26</v>
      </c>
      <c r="H112" s="3" t="s">
        <v>173</v>
      </c>
    </row>
    <row r="113" spans="1:8" x14ac:dyDescent="0.2">
      <c r="A113" s="3">
        <v>3020501014</v>
      </c>
      <c r="B113" s="4" t="s">
        <v>183</v>
      </c>
      <c r="C113" s="4" t="s">
        <v>350</v>
      </c>
      <c r="D113" s="3">
        <v>1</v>
      </c>
      <c r="E113" s="3" t="s">
        <v>16</v>
      </c>
      <c r="F113" s="3" t="s">
        <v>291</v>
      </c>
      <c r="G113" s="3" t="s">
        <v>26</v>
      </c>
      <c r="H113" s="3" t="s">
        <v>185</v>
      </c>
    </row>
    <row r="114" spans="1:8" x14ac:dyDescent="0.2">
      <c r="A114" s="3">
        <v>3990201009</v>
      </c>
      <c r="B114" s="4" t="s">
        <v>186</v>
      </c>
      <c r="C114" s="4" t="s">
        <v>606</v>
      </c>
      <c r="D114" s="3">
        <v>1</v>
      </c>
      <c r="E114" s="3" t="s">
        <v>16</v>
      </c>
      <c r="F114" s="3" t="s">
        <v>295</v>
      </c>
      <c r="G114" s="3" t="s">
        <v>17</v>
      </c>
      <c r="H114" s="3" t="s">
        <v>187</v>
      </c>
    </row>
    <row r="115" spans="1:8" x14ac:dyDescent="0.2">
      <c r="A115" s="3">
        <v>3990202008</v>
      </c>
      <c r="B115" s="4" t="s">
        <v>188</v>
      </c>
      <c r="C115" s="4" t="s">
        <v>606</v>
      </c>
      <c r="D115" s="3">
        <v>1</v>
      </c>
      <c r="E115" s="3" t="s">
        <v>16</v>
      </c>
      <c r="F115" s="3" t="s">
        <v>295</v>
      </c>
      <c r="G115" s="3" t="s">
        <v>17</v>
      </c>
      <c r="H115" s="3" t="s">
        <v>187</v>
      </c>
    </row>
    <row r="116" spans="1:8" x14ac:dyDescent="0.2">
      <c r="A116" s="3">
        <v>3990203004</v>
      </c>
      <c r="B116" s="4" t="s">
        <v>189</v>
      </c>
      <c r="C116" s="4" t="s">
        <v>606</v>
      </c>
      <c r="D116" s="3">
        <v>1</v>
      </c>
      <c r="E116" s="3" t="s">
        <v>16</v>
      </c>
      <c r="F116" s="3" t="s">
        <v>291</v>
      </c>
      <c r="G116" s="3" t="s">
        <v>26</v>
      </c>
      <c r="H116" s="3" t="s">
        <v>187</v>
      </c>
    </row>
    <row r="117" spans="1:8" x14ac:dyDescent="0.2">
      <c r="A117" s="3">
        <v>3030401002</v>
      </c>
      <c r="B117" s="4" t="s">
        <v>190</v>
      </c>
      <c r="C117" s="4" t="s">
        <v>191</v>
      </c>
      <c r="D117" s="3">
        <v>1</v>
      </c>
      <c r="E117" s="3" t="s">
        <v>16</v>
      </c>
      <c r="F117" s="3" t="s">
        <v>295</v>
      </c>
      <c r="G117" s="3" t="s">
        <v>17</v>
      </c>
      <c r="H117" s="3" t="s">
        <v>192</v>
      </c>
    </row>
    <row r="118" spans="1:8" x14ac:dyDescent="0.2">
      <c r="A118" s="3">
        <v>3060401001</v>
      </c>
      <c r="B118" s="4" t="s">
        <v>727</v>
      </c>
      <c r="C118" s="4" t="s">
        <v>728</v>
      </c>
      <c r="D118" s="3">
        <v>2</v>
      </c>
      <c r="E118" s="3" t="s">
        <v>16</v>
      </c>
      <c r="F118" s="3" t="s">
        <v>289</v>
      </c>
      <c r="G118" s="3" t="s">
        <v>23</v>
      </c>
      <c r="H118" s="3" t="s">
        <v>192</v>
      </c>
    </row>
    <row r="119" spans="1:8" x14ac:dyDescent="0.2">
      <c r="A119" s="3">
        <v>404060019</v>
      </c>
      <c r="B119" s="4" t="s">
        <v>30</v>
      </c>
      <c r="C119" s="4" t="s">
        <v>352</v>
      </c>
      <c r="D119" s="3">
        <v>1</v>
      </c>
      <c r="E119" s="3" t="s">
        <v>16</v>
      </c>
      <c r="F119" s="3" t="s">
        <v>291</v>
      </c>
      <c r="G119" s="3" t="s">
        <v>26</v>
      </c>
      <c r="H119" s="3" t="s">
        <v>198</v>
      </c>
    </row>
    <row r="120" spans="1:8" x14ac:dyDescent="0.2">
      <c r="A120" s="3">
        <v>404020035</v>
      </c>
      <c r="B120" s="4" t="s">
        <v>30</v>
      </c>
      <c r="C120" s="4" t="s">
        <v>199</v>
      </c>
      <c r="D120" s="3">
        <v>1</v>
      </c>
      <c r="E120" s="3" t="s">
        <v>16</v>
      </c>
      <c r="F120" s="3" t="s">
        <v>291</v>
      </c>
      <c r="G120" s="3" t="s">
        <v>26</v>
      </c>
      <c r="H120" s="3" t="s">
        <v>198</v>
      </c>
    </row>
    <row r="121" spans="1:8" x14ac:dyDescent="0.2">
      <c r="A121" s="3">
        <v>401070022</v>
      </c>
      <c r="B121" s="4" t="s">
        <v>35</v>
      </c>
      <c r="C121" s="4" t="s">
        <v>203</v>
      </c>
      <c r="D121" s="3">
        <v>1</v>
      </c>
      <c r="E121" s="3" t="s">
        <v>16</v>
      </c>
      <c r="F121" s="3" t="s">
        <v>297</v>
      </c>
      <c r="G121" s="3" t="s">
        <v>204</v>
      </c>
      <c r="H121" s="3" t="s">
        <v>198</v>
      </c>
    </row>
    <row r="122" spans="1:8" x14ac:dyDescent="0.2">
      <c r="A122" s="3">
        <v>401070018</v>
      </c>
      <c r="B122" s="4" t="s">
        <v>35</v>
      </c>
      <c r="C122" s="4" t="s">
        <v>202</v>
      </c>
      <c r="D122" s="3">
        <v>1</v>
      </c>
      <c r="E122" s="3" t="s">
        <v>16</v>
      </c>
      <c r="F122" s="3" t="s">
        <v>291</v>
      </c>
      <c r="G122" s="3" t="s">
        <v>26</v>
      </c>
      <c r="H122" s="3" t="s">
        <v>198</v>
      </c>
    </row>
    <row r="123" spans="1:8" x14ac:dyDescent="0.2">
      <c r="A123" s="3">
        <v>3992002001</v>
      </c>
      <c r="B123" s="4" t="s">
        <v>212</v>
      </c>
      <c r="C123" s="4" t="s">
        <v>213</v>
      </c>
      <c r="D123" s="3">
        <v>2</v>
      </c>
      <c r="E123" s="3" t="s">
        <v>16</v>
      </c>
      <c r="F123" s="3" t="s">
        <v>295</v>
      </c>
      <c r="G123" s="3" t="s">
        <v>17</v>
      </c>
      <c r="H123" s="3" t="s">
        <v>214</v>
      </c>
    </row>
    <row r="124" spans="1:8" x14ac:dyDescent="0.2">
      <c r="A124" s="3">
        <v>3992001001</v>
      </c>
      <c r="B124" s="4" t="s">
        <v>215</v>
      </c>
      <c r="C124" s="4" t="s">
        <v>213</v>
      </c>
      <c r="D124" s="3">
        <v>2</v>
      </c>
      <c r="E124" s="3" t="s">
        <v>16</v>
      </c>
      <c r="F124" s="3" t="s">
        <v>295</v>
      </c>
      <c r="G124" s="3" t="s">
        <v>17</v>
      </c>
      <c r="H124" s="3" t="s">
        <v>214</v>
      </c>
    </row>
    <row r="125" spans="1:8" x14ac:dyDescent="0.2">
      <c r="A125" s="3">
        <v>3030201004</v>
      </c>
      <c r="B125" s="4" t="s">
        <v>216</v>
      </c>
      <c r="C125" s="4" t="s">
        <v>213</v>
      </c>
      <c r="D125" s="3">
        <v>2</v>
      </c>
      <c r="E125" s="3" t="s">
        <v>16</v>
      </c>
      <c r="F125" s="3" t="s">
        <v>295</v>
      </c>
      <c r="G125" s="3" t="s">
        <v>17</v>
      </c>
      <c r="H125" s="3" t="s">
        <v>214</v>
      </c>
    </row>
    <row r="126" spans="1:8" x14ac:dyDescent="0.2">
      <c r="A126" s="3">
        <v>3049904001</v>
      </c>
      <c r="B126" s="4" t="s">
        <v>354</v>
      </c>
      <c r="C126" s="4" t="s">
        <v>355</v>
      </c>
      <c r="D126" s="3">
        <v>4</v>
      </c>
      <c r="E126" s="3" t="s">
        <v>16</v>
      </c>
      <c r="F126" s="3" t="s">
        <v>293</v>
      </c>
      <c r="G126" s="3" t="s">
        <v>29</v>
      </c>
      <c r="H126" s="3" t="s">
        <v>214</v>
      </c>
    </row>
    <row r="127" spans="1:8" x14ac:dyDescent="0.2">
      <c r="A127" s="3">
        <v>3049902005</v>
      </c>
      <c r="B127" s="4" t="s">
        <v>356</v>
      </c>
      <c r="C127" s="4" t="s">
        <v>357</v>
      </c>
      <c r="D127" s="3">
        <v>2</v>
      </c>
      <c r="E127" s="3" t="s">
        <v>16</v>
      </c>
      <c r="F127" s="3" t="s">
        <v>293</v>
      </c>
      <c r="G127" s="3" t="s">
        <v>29</v>
      </c>
      <c r="H127" s="3" t="s">
        <v>214</v>
      </c>
    </row>
    <row r="128" spans="1:8" x14ac:dyDescent="0.2">
      <c r="A128" s="3">
        <v>3049902010</v>
      </c>
      <c r="B128" s="4" t="s">
        <v>358</v>
      </c>
      <c r="C128" s="4" t="s">
        <v>359</v>
      </c>
      <c r="D128" s="3">
        <v>2</v>
      </c>
      <c r="E128" s="3" t="s">
        <v>16</v>
      </c>
      <c r="F128" s="3" t="s">
        <v>293</v>
      </c>
      <c r="G128" s="3" t="s">
        <v>29</v>
      </c>
      <c r="H128" s="3" t="s">
        <v>214</v>
      </c>
    </row>
    <row r="129" spans="1:8" x14ac:dyDescent="0.2">
      <c r="A129" s="3">
        <v>3030201005</v>
      </c>
      <c r="B129" s="4" t="s">
        <v>217</v>
      </c>
      <c r="C129" s="4" t="s">
        <v>218</v>
      </c>
      <c r="D129" s="3">
        <v>12</v>
      </c>
      <c r="E129" s="3" t="s">
        <v>16</v>
      </c>
      <c r="F129" s="3" t="s">
        <v>295</v>
      </c>
      <c r="G129" s="3" t="s">
        <v>17</v>
      </c>
      <c r="H129" s="3" t="s">
        <v>214</v>
      </c>
    </row>
    <row r="130" spans="1:8" x14ac:dyDescent="0.2">
      <c r="A130" s="3">
        <v>3060404003</v>
      </c>
      <c r="B130" s="4" t="s">
        <v>729</v>
      </c>
      <c r="C130" s="4" t="s">
        <v>730</v>
      </c>
      <c r="D130" s="3">
        <v>1</v>
      </c>
      <c r="E130" s="3" t="s">
        <v>16</v>
      </c>
      <c r="F130" s="3" t="s">
        <v>289</v>
      </c>
      <c r="G130" s="3" t="s">
        <v>23</v>
      </c>
      <c r="H130" s="3" t="s">
        <v>221</v>
      </c>
    </row>
    <row r="131" spans="1:8" x14ac:dyDescent="0.2">
      <c r="A131" s="3">
        <v>3030403001</v>
      </c>
      <c r="B131" s="4" t="s">
        <v>219</v>
      </c>
      <c r="C131" s="4" t="s">
        <v>220</v>
      </c>
      <c r="D131" s="3">
        <v>1</v>
      </c>
      <c r="E131" s="3" t="s">
        <v>16</v>
      </c>
      <c r="F131" s="3" t="s">
        <v>295</v>
      </c>
      <c r="G131" s="3" t="s">
        <v>17</v>
      </c>
      <c r="H131" s="3" t="s">
        <v>221</v>
      </c>
    </row>
    <row r="132" spans="1:8" x14ac:dyDescent="0.2">
      <c r="A132" s="3">
        <v>3040402013</v>
      </c>
      <c r="B132" s="4" t="s">
        <v>193</v>
      </c>
      <c r="C132" s="4" t="s">
        <v>363</v>
      </c>
      <c r="D132" s="3">
        <v>1</v>
      </c>
      <c r="E132" s="3" t="s">
        <v>16</v>
      </c>
      <c r="F132" s="3" t="s">
        <v>293</v>
      </c>
      <c r="G132" s="3" t="s">
        <v>29</v>
      </c>
      <c r="H132" s="3" t="s">
        <v>221</v>
      </c>
    </row>
    <row r="133" spans="1:8" x14ac:dyDescent="0.2">
      <c r="A133" s="3">
        <v>3040402014</v>
      </c>
      <c r="B133" s="4" t="s">
        <v>193</v>
      </c>
      <c r="C133" s="4" t="s">
        <v>364</v>
      </c>
      <c r="D133" s="3">
        <v>1</v>
      </c>
      <c r="E133" s="3" t="s">
        <v>16</v>
      </c>
      <c r="F133" s="3" t="s">
        <v>293</v>
      </c>
      <c r="G133" s="3" t="s">
        <v>29</v>
      </c>
      <c r="H133" s="3" t="s">
        <v>221</v>
      </c>
    </row>
    <row r="134" spans="1:8" x14ac:dyDescent="0.2">
      <c r="A134" s="3">
        <v>3020301001</v>
      </c>
      <c r="B134" s="4" t="s">
        <v>209</v>
      </c>
      <c r="C134" s="4" t="s">
        <v>365</v>
      </c>
      <c r="D134" s="3">
        <v>1</v>
      </c>
      <c r="E134" s="3" t="s">
        <v>16</v>
      </c>
      <c r="F134" s="3" t="s">
        <v>291</v>
      </c>
      <c r="G134" s="3" t="s">
        <v>26</v>
      </c>
      <c r="H134" s="3" t="s">
        <v>221</v>
      </c>
    </row>
    <row r="135" spans="1:8" x14ac:dyDescent="0.2">
      <c r="A135" s="3">
        <v>403030051</v>
      </c>
      <c r="B135" s="4" t="s">
        <v>366</v>
      </c>
      <c r="C135" s="4" t="s">
        <v>367</v>
      </c>
      <c r="D135" s="3">
        <v>3</v>
      </c>
      <c r="E135" s="3" t="s">
        <v>16</v>
      </c>
      <c r="F135" s="3" t="s">
        <v>301</v>
      </c>
      <c r="G135" s="3" t="s">
        <v>32</v>
      </c>
      <c r="H135" s="3" t="s">
        <v>221</v>
      </c>
    </row>
    <row r="136" spans="1:8" x14ac:dyDescent="0.2">
      <c r="A136" s="3">
        <v>403030005</v>
      </c>
      <c r="B136" s="4" t="s">
        <v>366</v>
      </c>
      <c r="C136" s="4" t="s">
        <v>368</v>
      </c>
      <c r="D136" s="3">
        <v>2</v>
      </c>
      <c r="E136" s="3" t="s">
        <v>16</v>
      </c>
      <c r="F136" s="3" t="s">
        <v>301</v>
      </c>
      <c r="G136" s="3" t="s">
        <v>32</v>
      </c>
      <c r="H136" s="3" t="s">
        <v>221</v>
      </c>
    </row>
    <row r="137" spans="1:8" x14ac:dyDescent="0.2">
      <c r="A137" s="3">
        <v>3050401001</v>
      </c>
      <c r="B137" s="4" t="s">
        <v>222</v>
      </c>
      <c r="C137" s="4" t="s">
        <v>223</v>
      </c>
      <c r="D137" s="3">
        <v>1</v>
      </c>
      <c r="E137" s="3" t="s">
        <v>16</v>
      </c>
      <c r="F137" s="3" t="s">
        <v>291</v>
      </c>
      <c r="G137" s="3" t="s">
        <v>26</v>
      </c>
      <c r="H137" s="3" t="s">
        <v>221</v>
      </c>
    </row>
    <row r="138" spans="1:8" x14ac:dyDescent="0.2">
      <c r="A138" s="3">
        <v>402050001</v>
      </c>
      <c r="B138" s="4" t="s">
        <v>522</v>
      </c>
      <c r="C138" s="4" t="s">
        <v>523</v>
      </c>
      <c r="D138" s="3">
        <v>1</v>
      </c>
      <c r="E138" s="3" t="s">
        <v>16</v>
      </c>
      <c r="F138" s="3" t="s">
        <v>289</v>
      </c>
      <c r="G138" s="3" t="s">
        <v>23</v>
      </c>
      <c r="H138" s="3" t="s">
        <v>524</v>
      </c>
    </row>
    <row r="139" spans="1:8" x14ac:dyDescent="0.2">
      <c r="A139" s="3">
        <v>3040502057</v>
      </c>
      <c r="B139" s="4" t="s">
        <v>136</v>
      </c>
      <c r="C139" s="4" t="s">
        <v>369</v>
      </c>
      <c r="D139" s="3">
        <v>1</v>
      </c>
      <c r="E139" s="3" t="s">
        <v>16</v>
      </c>
      <c r="F139" s="3" t="s">
        <v>293</v>
      </c>
      <c r="G139" s="3" t="s">
        <v>29</v>
      </c>
      <c r="H139" s="3" t="s">
        <v>370</v>
      </c>
    </row>
    <row r="140" spans="1:8" x14ac:dyDescent="0.2">
      <c r="A140" s="3">
        <v>3040502056</v>
      </c>
      <c r="B140" s="4" t="s">
        <v>136</v>
      </c>
      <c r="C140" s="4" t="s">
        <v>371</v>
      </c>
      <c r="D140" s="3">
        <v>1</v>
      </c>
      <c r="E140" s="3" t="s">
        <v>16</v>
      </c>
      <c r="F140" s="3" t="s">
        <v>293</v>
      </c>
      <c r="G140" s="3" t="s">
        <v>29</v>
      </c>
      <c r="H140" s="3" t="s">
        <v>370</v>
      </c>
    </row>
    <row r="141" spans="1:8" x14ac:dyDescent="0.2">
      <c r="A141" s="3">
        <v>3060301001</v>
      </c>
      <c r="B141" s="4" t="s">
        <v>731</v>
      </c>
      <c r="C141" s="4" t="s">
        <v>732</v>
      </c>
      <c r="D141" s="3">
        <v>1</v>
      </c>
      <c r="E141" s="3" t="s">
        <v>16</v>
      </c>
      <c r="F141" s="3" t="s">
        <v>289</v>
      </c>
      <c r="G141" s="3" t="s">
        <v>23</v>
      </c>
      <c r="H141" s="3" t="s">
        <v>226</v>
      </c>
    </row>
    <row r="142" spans="1:8" x14ac:dyDescent="0.2">
      <c r="A142" s="3">
        <v>3050305016</v>
      </c>
      <c r="B142" s="4" t="s">
        <v>527</v>
      </c>
      <c r="C142" s="4" t="s">
        <v>528</v>
      </c>
      <c r="D142" s="3">
        <v>1</v>
      </c>
      <c r="E142" s="3" t="s">
        <v>16</v>
      </c>
      <c r="F142" s="3" t="s">
        <v>291</v>
      </c>
      <c r="G142" s="3" t="s">
        <v>26</v>
      </c>
      <c r="H142" s="3" t="s">
        <v>226</v>
      </c>
    </row>
    <row r="143" spans="1:8" x14ac:dyDescent="0.2">
      <c r="A143" s="3">
        <v>3050305015</v>
      </c>
      <c r="B143" s="4" t="s">
        <v>529</v>
      </c>
      <c r="C143" s="4" t="s">
        <v>530</v>
      </c>
      <c r="D143" s="3">
        <v>1</v>
      </c>
      <c r="E143" s="3" t="s">
        <v>16</v>
      </c>
      <c r="F143" s="3" t="s">
        <v>291</v>
      </c>
      <c r="G143" s="3" t="s">
        <v>26</v>
      </c>
      <c r="H143" s="3" t="s">
        <v>226</v>
      </c>
    </row>
    <row r="144" spans="1:8" x14ac:dyDescent="0.2">
      <c r="A144" s="3">
        <v>3050306011</v>
      </c>
      <c r="B144" s="4" t="s">
        <v>531</v>
      </c>
      <c r="C144" s="4" t="s">
        <v>609</v>
      </c>
      <c r="D144" s="3">
        <v>1</v>
      </c>
      <c r="E144" s="3" t="s">
        <v>16</v>
      </c>
      <c r="F144" s="3" t="s">
        <v>291</v>
      </c>
      <c r="G144" s="3" t="s">
        <v>26</v>
      </c>
      <c r="H144" s="3" t="s">
        <v>226</v>
      </c>
    </row>
    <row r="145" spans="1:8" x14ac:dyDescent="0.2">
      <c r="A145" s="3">
        <v>3030306008</v>
      </c>
      <c r="B145" s="4" t="s">
        <v>235</v>
      </c>
      <c r="C145" s="4" t="s">
        <v>236</v>
      </c>
      <c r="D145" s="3">
        <v>1</v>
      </c>
      <c r="E145" s="3" t="s">
        <v>16</v>
      </c>
      <c r="F145" s="3" t="s">
        <v>295</v>
      </c>
      <c r="G145" s="3" t="s">
        <v>17</v>
      </c>
      <c r="H145" s="3" t="s">
        <v>226</v>
      </c>
    </row>
    <row r="146" spans="1:8" x14ac:dyDescent="0.2">
      <c r="A146" s="3">
        <v>3030314001</v>
      </c>
      <c r="B146" s="4" t="s">
        <v>237</v>
      </c>
      <c r="C146" s="4" t="s">
        <v>238</v>
      </c>
      <c r="D146" s="3">
        <v>1</v>
      </c>
      <c r="E146" s="3" t="s">
        <v>16</v>
      </c>
      <c r="F146" s="3" t="s">
        <v>291</v>
      </c>
      <c r="G146" s="3" t="s">
        <v>26</v>
      </c>
      <c r="H146" s="3" t="s">
        <v>226</v>
      </c>
    </row>
    <row r="147" spans="1:8" x14ac:dyDescent="0.2">
      <c r="A147" s="3">
        <v>3020101003</v>
      </c>
      <c r="B147" s="4" t="s">
        <v>239</v>
      </c>
      <c r="C147" s="4" t="s">
        <v>733</v>
      </c>
      <c r="D147" s="3">
        <v>5</v>
      </c>
      <c r="E147" s="3" t="s">
        <v>16</v>
      </c>
      <c r="F147" s="3" t="s">
        <v>297</v>
      </c>
      <c r="G147" s="3" t="s">
        <v>204</v>
      </c>
      <c r="H147" s="3" t="s">
        <v>226</v>
      </c>
    </row>
    <row r="148" spans="1:8" x14ac:dyDescent="0.2">
      <c r="A148" s="3">
        <v>3030303011</v>
      </c>
      <c r="B148" s="4" t="s">
        <v>611</v>
      </c>
      <c r="C148" s="4" t="s">
        <v>612</v>
      </c>
      <c r="D148" s="3">
        <v>2</v>
      </c>
      <c r="E148" s="3" t="s">
        <v>16</v>
      </c>
      <c r="F148" s="3" t="s">
        <v>291</v>
      </c>
      <c r="G148" s="3" t="s">
        <v>26</v>
      </c>
      <c r="H148" s="3" t="s">
        <v>226</v>
      </c>
    </row>
    <row r="149" spans="1:8" x14ac:dyDescent="0.2">
      <c r="A149" s="3">
        <v>3080401031</v>
      </c>
      <c r="B149" s="4" t="s">
        <v>41</v>
      </c>
      <c r="C149" s="4" t="s">
        <v>551</v>
      </c>
      <c r="D149" s="3">
        <v>1</v>
      </c>
      <c r="E149" s="3" t="s">
        <v>16</v>
      </c>
      <c r="F149" s="3" t="s">
        <v>291</v>
      </c>
      <c r="G149" s="3" t="s">
        <v>26</v>
      </c>
      <c r="H149" s="3" t="s">
        <v>249</v>
      </c>
    </row>
    <row r="150" spans="1:8" x14ac:dyDescent="0.2">
      <c r="A150" s="3">
        <v>3080301002</v>
      </c>
      <c r="B150" s="4" t="s">
        <v>247</v>
      </c>
      <c r="C150" s="4" t="s">
        <v>248</v>
      </c>
      <c r="D150" s="3">
        <v>1</v>
      </c>
      <c r="E150" s="3" t="s">
        <v>16</v>
      </c>
      <c r="F150" s="3" t="s">
        <v>295</v>
      </c>
      <c r="G150" s="3" t="s">
        <v>17</v>
      </c>
      <c r="H150" s="3" t="s">
        <v>249</v>
      </c>
    </row>
    <row r="151" spans="1:8" x14ac:dyDescent="0.2">
      <c r="A151" s="3">
        <v>3080107017</v>
      </c>
      <c r="B151" s="4" t="s">
        <v>69</v>
      </c>
      <c r="C151" s="4" t="s">
        <v>251</v>
      </c>
      <c r="D151" s="3">
        <v>4</v>
      </c>
      <c r="E151" s="3" t="s">
        <v>16</v>
      </c>
      <c r="F151" s="3" t="s">
        <v>295</v>
      </c>
      <c r="G151" s="3" t="s">
        <v>17</v>
      </c>
      <c r="H151" s="3" t="s">
        <v>249</v>
      </c>
    </row>
    <row r="152" spans="1:8" x14ac:dyDescent="0.2">
      <c r="A152" s="3">
        <v>3060335005</v>
      </c>
      <c r="B152" s="4" t="s">
        <v>233</v>
      </c>
      <c r="C152" s="4" t="s">
        <v>734</v>
      </c>
      <c r="D152" s="3">
        <v>1</v>
      </c>
      <c r="E152" s="3" t="s">
        <v>16</v>
      </c>
      <c r="F152" s="3" t="s">
        <v>289</v>
      </c>
      <c r="G152" s="3" t="s">
        <v>23</v>
      </c>
      <c r="H152" s="3" t="s">
        <v>254</v>
      </c>
    </row>
    <row r="153" spans="1:8" x14ac:dyDescent="0.2">
      <c r="A153" s="3">
        <v>3060324001</v>
      </c>
      <c r="B153" s="4" t="s">
        <v>735</v>
      </c>
      <c r="C153" s="4" t="s">
        <v>736</v>
      </c>
      <c r="D153" s="3">
        <v>1</v>
      </c>
      <c r="E153" s="3" t="s">
        <v>16</v>
      </c>
      <c r="F153" s="3" t="s">
        <v>289</v>
      </c>
      <c r="G153" s="3" t="s">
        <v>23</v>
      </c>
      <c r="H153" s="3" t="s">
        <v>254</v>
      </c>
    </row>
    <row r="154" spans="1:8" x14ac:dyDescent="0.2">
      <c r="A154" s="3">
        <v>3030315001</v>
      </c>
      <c r="B154" s="4" t="s">
        <v>257</v>
      </c>
      <c r="C154" s="4" t="s">
        <v>258</v>
      </c>
      <c r="D154" s="3">
        <v>2</v>
      </c>
      <c r="E154" s="3" t="s">
        <v>16</v>
      </c>
      <c r="F154" s="3" t="s">
        <v>295</v>
      </c>
      <c r="G154" s="3" t="s">
        <v>17</v>
      </c>
      <c r="H154" s="3" t="s">
        <v>254</v>
      </c>
    </row>
    <row r="155" spans="1:8" x14ac:dyDescent="0.2">
      <c r="A155" s="3">
        <v>3030304002</v>
      </c>
      <c r="B155" s="4" t="s">
        <v>259</v>
      </c>
      <c r="C155" s="4" t="s">
        <v>258</v>
      </c>
      <c r="D155" s="3">
        <v>1</v>
      </c>
      <c r="E155" s="3" t="s">
        <v>16</v>
      </c>
      <c r="F155" s="3" t="s">
        <v>295</v>
      </c>
      <c r="G155" s="3" t="s">
        <v>17</v>
      </c>
      <c r="H155" s="3" t="s">
        <v>254</v>
      </c>
    </row>
    <row r="156" spans="1:8" x14ac:dyDescent="0.2">
      <c r="A156" s="3">
        <v>3030304004</v>
      </c>
      <c r="B156" s="4" t="s">
        <v>260</v>
      </c>
      <c r="C156" s="4" t="s">
        <v>258</v>
      </c>
      <c r="D156" s="3">
        <v>1</v>
      </c>
      <c r="E156" s="3" t="s">
        <v>16</v>
      </c>
      <c r="F156" s="3" t="s">
        <v>295</v>
      </c>
      <c r="G156" s="3" t="s">
        <v>17</v>
      </c>
      <c r="H156" s="3" t="s">
        <v>254</v>
      </c>
    </row>
    <row r="157" spans="1:8" x14ac:dyDescent="0.2">
      <c r="A157" s="3">
        <v>3030316001</v>
      </c>
      <c r="B157" s="4" t="s">
        <v>261</v>
      </c>
      <c r="C157" s="4" t="s">
        <v>262</v>
      </c>
      <c r="D157" s="3">
        <v>3</v>
      </c>
      <c r="E157" s="3" t="s">
        <v>16</v>
      </c>
      <c r="F157" s="3" t="s">
        <v>295</v>
      </c>
      <c r="G157" s="3" t="s">
        <v>17</v>
      </c>
      <c r="H157" s="3" t="s">
        <v>254</v>
      </c>
    </row>
    <row r="158" spans="1:8" x14ac:dyDescent="0.2">
      <c r="A158" s="3">
        <v>3040304005</v>
      </c>
      <c r="B158" s="4" t="s">
        <v>380</v>
      </c>
      <c r="C158" s="4" t="s">
        <v>381</v>
      </c>
      <c r="D158" s="3">
        <v>2</v>
      </c>
      <c r="E158" s="3" t="s">
        <v>16</v>
      </c>
      <c r="F158" s="3" t="s">
        <v>293</v>
      </c>
      <c r="G158" s="3" t="s">
        <v>29</v>
      </c>
      <c r="H158" s="3" t="s">
        <v>254</v>
      </c>
    </row>
    <row r="159" spans="1:8" x14ac:dyDescent="0.2">
      <c r="A159" s="3">
        <v>3040304006</v>
      </c>
      <c r="B159" s="4" t="s">
        <v>380</v>
      </c>
      <c r="C159" s="4" t="s">
        <v>382</v>
      </c>
      <c r="D159" s="3">
        <v>2</v>
      </c>
      <c r="E159" s="3" t="s">
        <v>16</v>
      </c>
      <c r="F159" s="3" t="s">
        <v>293</v>
      </c>
      <c r="G159" s="3" t="s">
        <v>29</v>
      </c>
      <c r="H159" s="3" t="s">
        <v>254</v>
      </c>
    </row>
    <row r="160" spans="1:8" x14ac:dyDescent="0.2">
      <c r="A160" s="3">
        <v>3049902004</v>
      </c>
      <c r="B160" s="4" t="s">
        <v>383</v>
      </c>
      <c r="C160" s="4" t="s">
        <v>384</v>
      </c>
      <c r="D160" s="3">
        <v>2</v>
      </c>
      <c r="E160" s="3" t="s">
        <v>16</v>
      </c>
      <c r="F160" s="3" t="s">
        <v>293</v>
      </c>
      <c r="G160" s="3" t="s">
        <v>29</v>
      </c>
      <c r="H160" s="3" t="s">
        <v>254</v>
      </c>
    </row>
    <row r="161" spans="1:8" x14ac:dyDescent="0.2">
      <c r="A161" s="3">
        <v>3040326018</v>
      </c>
      <c r="B161" s="4" t="s">
        <v>385</v>
      </c>
      <c r="C161" s="4" t="s">
        <v>384</v>
      </c>
      <c r="D161" s="3">
        <v>2</v>
      </c>
      <c r="E161" s="3" t="s">
        <v>16</v>
      </c>
      <c r="F161" s="3" t="s">
        <v>293</v>
      </c>
      <c r="G161" s="3" t="s">
        <v>29</v>
      </c>
      <c r="H161" s="3" t="s">
        <v>254</v>
      </c>
    </row>
    <row r="162" spans="1:8" x14ac:dyDescent="0.2">
      <c r="A162" s="3">
        <v>3040320015</v>
      </c>
      <c r="B162" s="4" t="s">
        <v>269</v>
      </c>
      <c r="C162" s="4" t="s">
        <v>386</v>
      </c>
      <c r="D162" s="3">
        <v>1</v>
      </c>
      <c r="E162" s="3" t="s">
        <v>16</v>
      </c>
      <c r="F162" s="3" t="s">
        <v>293</v>
      </c>
      <c r="G162" s="3" t="s">
        <v>29</v>
      </c>
      <c r="H162" s="3" t="s">
        <v>254</v>
      </c>
    </row>
    <row r="163" spans="1:8" x14ac:dyDescent="0.2">
      <c r="A163" s="3">
        <v>3040320014</v>
      </c>
      <c r="B163" s="4" t="s">
        <v>269</v>
      </c>
      <c r="C163" s="4" t="s">
        <v>387</v>
      </c>
      <c r="D163" s="3">
        <v>1</v>
      </c>
      <c r="E163" s="3" t="s">
        <v>16</v>
      </c>
      <c r="F163" s="3" t="s">
        <v>293</v>
      </c>
      <c r="G163" s="3" t="s">
        <v>29</v>
      </c>
      <c r="H163" s="3" t="s">
        <v>254</v>
      </c>
    </row>
    <row r="164" spans="1:8" x14ac:dyDescent="0.2">
      <c r="A164" s="3">
        <v>3030310004</v>
      </c>
      <c r="B164" s="4" t="s">
        <v>273</v>
      </c>
      <c r="C164" s="4" t="s">
        <v>274</v>
      </c>
      <c r="D164" s="3">
        <v>1</v>
      </c>
      <c r="E164" s="3" t="s">
        <v>16</v>
      </c>
      <c r="F164" s="3" t="s">
        <v>295</v>
      </c>
      <c r="G164" s="3" t="s">
        <v>17</v>
      </c>
      <c r="H164" s="3" t="s">
        <v>254</v>
      </c>
    </row>
    <row r="165" spans="1:8" x14ac:dyDescent="0.2">
      <c r="A165" s="3">
        <v>3030313004</v>
      </c>
      <c r="B165" s="4" t="s">
        <v>275</v>
      </c>
      <c r="C165" s="4" t="s">
        <v>258</v>
      </c>
      <c r="D165" s="3">
        <v>1</v>
      </c>
      <c r="E165" s="3" t="s">
        <v>16</v>
      </c>
      <c r="F165" s="3" t="s">
        <v>295</v>
      </c>
      <c r="G165" s="3" t="s">
        <v>17</v>
      </c>
      <c r="H165" s="3" t="s">
        <v>254</v>
      </c>
    </row>
    <row r="166" spans="1:8" x14ac:dyDescent="0.2">
      <c r="A166" s="3">
        <v>3080308001</v>
      </c>
      <c r="B166" s="4" t="s">
        <v>276</v>
      </c>
      <c r="C166" s="4" t="s">
        <v>258</v>
      </c>
      <c r="D166" s="3">
        <v>1</v>
      </c>
      <c r="E166" s="3" t="s">
        <v>16</v>
      </c>
      <c r="F166" s="3" t="s">
        <v>295</v>
      </c>
      <c r="G166" s="3" t="s">
        <v>17</v>
      </c>
      <c r="H166" s="3" t="s">
        <v>254</v>
      </c>
    </row>
    <row r="167" spans="1:8" x14ac:dyDescent="0.2">
      <c r="A167" s="3">
        <v>3060339002</v>
      </c>
      <c r="B167" s="4" t="s">
        <v>737</v>
      </c>
      <c r="C167" s="4" t="s">
        <v>738</v>
      </c>
      <c r="D167" s="3">
        <v>1</v>
      </c>
      <c r="E167" s="3" t="s">
        <v>16</v>
      </c>
      <c r="F167" s="3" t="s">
        <v>702</v>
      </c>
      <c r="G167" s="3" t="s">
        <v>703</v>
      </c>
      <c r="H167" s="3" t="s">
        <v>254</v>
      </c>
    </row>
    <row r="168" spans="1:8" x14ac:dyDescent="0.2">
      <c r="A168" s="3">
        <v>3060325001</v>
      </c>
      <c r="B168" s="4" t="s">
        <v>739</v>
      </c>
      <c r="C168" s="4" t="s">
        <v>740</v>
      </c>
      <c r="D168" s="3">
        <v>1</v>
      </c>
      <c r="E168" s="3" t="s">
        <v>16</v>
      </c>
      <c r="F168" s="3" t="s">
        <v>702</v>
      </c>
      <c r="G168" s="3" t="s">
        <v>703</v>
      </c>
      <c r="H168" s="3" t="s">
        <v>254</v>
      </c>
    </row>
    <row r="169" spans="1:8" x14ac:dyDescent="0.2">
      <c r="A169" s="3">
        <v>3050303018</v>
      </c>
      <c r="B169" s="4" t="s">
        <v>245</v>
      </c>
      <c r="C169" s="4" t="s">
        <v>613</v>
      </c>
      <c r="D169" s="3">
        <v>1</v>
      </c>
      <c r="E169" s="3" t="s">
        <v>16</v>
      </c>
      <c r="F169" s="3" t="s">
        <v>291</v>
      </c>
      <c r="G169" s="3" t="s">
        <v>26</v>
      </c>
      <c r="H169" s="3" t="s">
        <v>254</v>
      </c>
    </row>
  </sheetData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E7A3E-4A46-4F13-A346-E36058624CD5}">
  <dimension ref="A1:H185"/>
  <sheetViews>
    <sheetView workbookViewId="0">
      <selection activeCell="D3" sqref="D3"/>
    </sheetView>
  </sheetViews>
  <sheetFormatPr defaultRowHeight="14.25" x14ac:dyDescent="0.2"/>
  <cols>
    <col min="1" max="1" width="12.375" customWidth="1"/>
    <col min="2" max="3" width="13.75" customWidth="1"/>
  </cols>
  <sheetData>
    <row r="1" spans="1:8" x14ac:dyDescent="0.2">
      <c r="A1" s="3" t="s">
        <v>749</v>
      </c>
      <c r="B1" s="4"/>
      <c r="C1" s="4"/>
      <c r="D1" s="3"/>
      <c r="E1" s="3"/>
      <c r="F1" s="3"/>
      <c r="G1" s="3"/>
      <c r="H1" s="3"/>
    </row>
    <row r="2" spans="1:8" ht="28.5" x14ac:dyDescent="0.2">
      <c r="A2" s="1" t="s">
        <v>0</v>
      </c>
      <c r="B2" s="2" t="s">
        <v>1</v>
      </c>
      <c r="C2" s="2" t="s">
        <v>2</v>
      </c>
      <c r="D2" s="1" t="s">
        <v>4</v>
      </c>
      <c r="E2" s="1" t="s">
        <v>3</v>
      </c>
      <c r="F2" s="1" t="s">
        <v>5</v>
      </c>
      <c r="G2" s="1" t="s">
        <v>6</v>
      </c>
      <c r="H2" s="1" t="s">
        <v>7</v>
      </c>
    </row>
    <row r="3" spans="1:8" s="10" customFormat="1" x14ac:dyDescent="0.2">
      <c r="A3" s="8" t="s">
        <v>390</v>
      </c>
      <c r="B3" s="9" t="s">
        <v>8</v>
      </c>
      <c r="C3" s="9" t="s">
        <v>9</v>
      </c>
      <c r="D3" s="11">
        <f>0.2914/0.94</f>
        <v>0.31</v>
      </c>
      <c r="E3" s="8" t="s">
        <v>596</v>
      </c>
      <c r="F3" s="8" t="s">
        <v>283</v>
      </c>
      <c r="G3" s="8" t="s">
        <v>13</v>
      </c>
      <c r="H3" s="8" t="s">
        <v>12</v>
      </c>
    </row>
    <row r="4" spans="1:8" x14ac:dyDescent="0.2">
      <c r="A4" s="3">
        <v>402030028</v>
      </c>
      <c r="B4" s="4" t="s">
        <v>107</v>
      </c>
      <c r="C4" s="4" t="s">
        <v>305</v>
      </c>
      <c r="D4" s="3">
        <v>1</v>
      </c>
      <c r="E4" s="3" t="s">
        <v>16</v>
      </c>
      <c r="F4" s="3" t="s">
        <v>289</v>
      </c>
      <c r="G4" s="3" t="s">
        <v>23</v>
      </c>
      <c r="H4" s="3" t="s">
        <v>306</v>
      </c>
    </row>
    <row r="5" spans="1:8" x14ac:dyDescent="0.2">
      <c r="A5" s="3">
        <v>3080503020</v>
      </c>
      <c r="B5" s="4" t="s">
        <v>14</v>
      </c>
      <c r="C5" s="4" t="s">
        <v>15</v>
      </c>
      <c r="D5" s="3">
        <v>2</v>
      </c>
      <c r="E5" s="3" t="s">
        <v>16</v>
      </c>
      <c r="F5" s="3" t="s">
        <v>295</v>
      </c>
      <c r="G5" s="3" t="s">
        <v>17</v>
      </c>
      <c r="H5" s="3" t="s">
        <v>18</v>
      </c>
    </row>
    <row r="6" spans="1:8" x14ac:dyDescent="0.2">
      <c r="A6" s="3">
        <v>3080503019</v>
      </c>
      <c r="B6" s="4" t="s">
        <v>14</v>
      </c>
      <c r="C6" s="4" t="s">
        <v>19</v>
      </c>
      <c r="D6" s="3">
        <v>4</v>
      </c>
      <c r="E6" s="3" t="s">
        <v>16</v>
      </c>
      <c r="F6" s="3" t="s">
        <v>295</v>
      </c>
      <c r="G6" s="3" t="s">
        <v>17</v>
      </c>
      <c r="H6" s="3" t="s">
        <v>18</v>
      </c>
    </row>
    <row r="7" spans="1:8" x14ac:dyDescent="0.2">
      <c r="A7" s="3">
        <v>3080503001</v>
      </c>
      <c r="B7" s="4" t="s">
        <v>14</v>
      </c>
      <c r="C7" s="4" t="s">
        <v>20</v>
      </c>
      <c r="D7" s="3">
        <v>4</v>
      </c>
      <c r="E7" s="3" t="s">
        <v>16</v>
      </c>
      <c r="F7" s="3" t="s">
        <v>295</v>
      </c>
      <c r="G7" s="3" t="s">
        <v>17</v>
      </c>
      <c r="H7" s="3" t="s">
        <v>18</v>
      </c>
    </row>
    <row r="8" spans="1:8" x14ac:dyDescent="0.2">
      <c r="A8" s="3">
        <v>3030314005</v>
      </c>
      <c r="B8" s="4" t="s">
        <v>394</v>
      </c>
      <c r="C8" s="4" t="s">
        <v>395</v>
      </c>
      <c r="D8" s="3">
        <v>1</v>
      </c>
      <c r="E8" s="3" t="s">
        <v>16</v>
      </c>
      <c r="F8" s="3" t="s">
        <v>291</v>
      </c>
      <c r="G8" s="3" t="s">
        <v>26</v>
      </c>
      <c r="H8" s="3" t="s">
        <v>18</v>
      </c>
    </row>
    <row r="9" spans="1:8" x14ac:dyDescent="0.2">
      <c r="A9" s="3">
        <v>3040211003</v>
      </c>
      <c r="B9" s="4" t="s">
        <v>157</v>
      </c>
      <c r="C9" s="4" t="s">
        <v>307</v>
      </c>
      <c r="D9" s="3">
        <v>2</v>
      </c>
      <c r="E9" s="3" t="s">
        <v>16</v>
      </c>
      <c r="F9" s="3" t="s">
        <v>293</v>
      </c>
      <c r="G9" s="3" t="s">
        <v>29</v>
      </c>
      <c r="H9" s="3" t="s">
        <v>18</v>
      </c>
    </row>
    <row r="10" spans="1:8" x14ac:dyDescent="0.2">
      <c r="A10" s="3">
        <v>401040096</v>
      </c>
      <c r="B10" s="4" t="s">
        <v>35</v>
      </c>
      <c r="C10" s="4" t="s">
        <v>742</v>
      </c>
      <c r="D10" s="3">
        <v>1</v>
      </c>
      <c r="E10" s="3" t="s">
        <v>16</v>
      </c>
      <c r="F10" s="3" t="s">
        <v>301</v>
      </c>
      <c r="G10" s="3" t="s">
        <v>32</v>
      </c>
      <c r="H10" s="3" t="s">
        <v>33</v>
      </c>
    </row>
    <row r="11" spans="1:8" x14ac:dyDescent="0.2">
      <c r="A11" s="3">
        <v>3080401023</v>
      </c>
      <c r="B11" s="4" t="s">
        <v>41</v>
      </c>
      <c r="C11" s="4" t="s">
        <v>699</v>
      </c>
      <c r="D11" s="3">
        <v>2</v>
      </c>
      <c r="E11" s="3" t="s">
        <v>16</v>
      </c>
      <c r="F11" s="3" t="s">
        <v>289</v>
      </c>
      <c r="G11" s="3" t="s">
        <v>23</v>
      </c>
      <c r="H11" s="3" t="s">
        <v>40</v>
      </c>
    </row>
    <row r="12" spans="1:8" x14ac:dyDescent="0.2">
      <c r="A12" s="3">
        <v>3080401006</v>
      </c>
      <c r="B12" s="4" t="s">
        <v>41</v>
      </c>
      <c r="C12" s="4" t="s">
        <v>44</v>
      </c>
      <c r="D12" s="3">
        <v>1</v>
      </c>
      <c r="E12" s="3" t="s">
        <v>16</v>
      </c>
      <c r="F12" s="3" t="s">
        <v>295</v>
      </c>
      <c r="G12" s="3" t="s">
        <v>17</v>
      </c>
      <c r="H12" s="3" t="s">
        <v>40</v>
      </c>
    </row>
    <row r="13" spans="1:8" x14ac:dyDescent="0.2">
      <c r="A13" s="3">
        <v>3080401008</v>
      </c>
      <c r="B13" s="4" t="s">
        <v>41</v>
      </c>
      <c r="C13" s="4" t="s">
        <v>700</v>
      </c>
      <c r="D13" s="3">
        <v>2</v>
      </c>
      <c r="E13" s="3" t="s">
        <v>16</v>
      </c>
      <c r="F13" s="3" t="s">
        <v>317</v>
      </c>
      <c r="G13" s="3" t="s">
        <v>318</v>
      </c>
      <c r="H13" s="3" t="s">
        <v>40</v>
      </c>
    </row>
    <row r="14" spans="1:8" x14ac:dyDescent="0.2">
      <c r="A14" s="3">
        <v>3080401005</v>
      </c>
      <c r="B14" s="4" t="s">
        <v>41</v>
      </c>
      <c r="C14" s="4" t="s">
        <v>43</v>
      </c>
      <c r="D14" s="3">
        <v>12</v>
      </c>
      <c r="E14" s="3" t="s">
        <v>16</v>
      </c>
      <c r="F14" s="3" t="s">
        <v>291</v>
      </c>
      <c r="G14" s="3" t="s">
        <v>26</v>
      </c>
      <c r="H14" s="3" t="s">
        <v>40</v>
      </c>
    </row>
    <row r="15" spans="1:8" x14ac:dyDescent="0.2">
      <c r="A15" s="3">
        <v>3080104081</v>
      </c>
      <c r="B15" s="4" t="s">
        <v>45</v>
      </c>
      <c r="C15" s="4" t="s">
        <v>701</v>
      </c>
      <c r="D15" s="3">
        <v>2</v>
      </c>
      <c r="E15" s="3" t="s">
        <v>16</v>
      </c>
      <c r="F15" s="3" t="s">
        <v>289</v>
      </c>
      <c r="G15" s="3" t="s">
        <v>23</v>
      </c>
      <c r="H15" s="3" t="s">
        <v>40</v>
      </c>
    </row>
    <row r="16" spans="1:8" x14ac:dyDescent="0.2">
      <c r="A16" s="3">
        <v>3080104050</v>
      </c>
      <c r="B16" s="4" t="s">
        <v>45</v>
      </c>
      <c r="C16" s="4" t="s">
        <v>49</v>
      </c>
      <c r="D16" s="3">
        <v>4</v>
      </c>
      <c r="E16" s="3" t="s">
        <v>16</v>
      </c>
      <c r="F16" s="3" t="s">
        <v>295</v>
      </c>
      <c r="G16" s="3" t="s">
        <v>17</v>
      </c>
      <c r="H16" s="3" t="s">
        <v>40</v>
      </c>
    </row>
    <row r="17" spans="1:8" x14ac:dyDescent="0.2">
      <c r="A17" s="3">
        <v>3080104014</v>
      </c>
      <c r="B17" s="4" t="s">
        <v>45</v>
      </c>
      <c r="C17" s="4" t="s">
        <v>312</v>
      </c>
      <c r="D17" s="3">
        <v>2</v>
      </c>
      <c r="E17" s="3" t="s">
        <v>16</v>
      </c>
      <c r="F17" s="3" t="s">
        <v>293</v>
      </c>
      <c r="G17" s="3" t="s">
        <v>29</v>
      </c>
      <c r="H17" s="3" t="s">
        <v>40</v>
      </c>
    </row>
    <row r="18" spans="1:8" x14ac:dyDescent="0.2">
      <c r="A18" s="3">
        <v>3080104076</v>
      </c>
      <c r="B18" s="4" t="s">
        <v>45</v>
      </c>
      <c r="C18" s="4" t="s">
        <v>313</v>
      </c>
      <c r="D18" s="3">
        <v>8</v>
      </c>
      <c r="E18" s="3" t="s">
        <v>16</v>
      </c>
      <c r="F18" s="3" t="s">
        <v>293</v>
      </c>
      <c r="G18" s="3" t="s">
        <v>29</v>
      </c>
      <c r="H18" s="3" t="s">
        <v>40</v>
      </c>
    </row>
    <row r="19" spans="1:8" x14ac:dyDescent="0.2">
      <c r="A19" s="3">
        <v>3080104081</v>
      </c>
      <c r="B19" s="4" t="s">
        <v>45</v>
      </c>
      <c r="C19" s="4" t="s">
        <v>701</v>
      </c>
      <c r="D19" s="3">
        <v>2</v>
      </c>
      <c r="E19" s="3" t="s">
        <v>16</v>
      </c>
      <c r="F19" s="3" t="s">
        <v>702</v>
      </c>
      <c r="G19" s="3" t="s">
        <v>703</v>
      </c>
      <c r="H19" s="3" t="s">
        <v>40</v>
      </c>
    </row>
    <row r="20" spans="1:8" x14ac:dyDescent="0.2">
      <c r="A20" s="3">
        <v>3080104099</v>
      </c>
      <c r="B20" s="4" t="s">
        <v>45</v>
      </c>
      <c r="C20" s="4" t="s">
        <v>419</v>
      </c>
      <c r="D20" s="3">
        <v>2</v>
      </c>
      <c r="E20" s="3" t="s">
        <v>16</v>
      </c>
      <c r="F20" s="3" t="s">
        <v>291</v>
      </c>
      <c r="G20" s="3" t="s">
        <v>26</v>
      </c>
      <c r="H20" s="3" t="s">
        <v>40</v>
      </c>
    </row>
    <row r="21" spans="1:8" x14ac:dyDescent="0.2">
      <c r="A21" s="3">
        <v>3080104020</v>
      </c>
      <c r="B21" s="4" t="s">
        <v>45</v>
      </c>
      <c r="C21" s="4" t="s">
        <v>46</v>
      </c>
      <c r="D21" s="3">
        <v>4</v>
      </c>
      <c r="E21" s="3" t="s">
        <v>16</v>
      </c>
      <c r="F21" s="3" t="s">
        <v>291</v>
      </c>
      <c r="G21" s="3" t="s">
        <v>26</v>
      </c>
      <c r="H21" s="3" t="s">
        <v>40</v>
      </c>
    </row>
    <row r="22" spans="1:8" x14ac:dyDescent="0.2">
      <c r="A22" s="3">
        <v>3080104019</v>
      </c>
      <c r="B22" s="4" t="s">
        <v>45</v>
      </c>
      <c r="C22" s="4" t="s">
        <v>47</v>
      </c>
      <c r="D22" s="3">
        <v>2</v>
      </c>
      <c r="E22" s="3" t="s">
        <v>16</v>
      </c>
      <c r="F22" s="3" t="s">
        <v>291</v>
      </c>
      <c r="G22" s="3" t="s">
        <v>26</v>
      </c>
      <c r="H22" s="3" t="s">
        <v>40</v>
      </c>
    </row>
    <row r="23" spans="1:8" x14ac:dyDescent="0.2">
      <c r="A23" s="3">
        <v>3080105114</v>
      </c>
      <c r="B23" s="4" t="s">
        <v>50</v>
      </c>
      <c r="C23" s="4" t="s">
        <v>53</v>
      </c>
      <c r="D23" s="3">
        <v>5</v>
      </c>
      <c r="E23" s="3" t="s">
        <v>16</v>
      </c>
      <c r="F23" s="3" t="s">
        <v>289</v>
      </c>
      <c r="G23" s="3" t="s">
        <v>23</v>
      </c>
      <c r="H23" s="3" t="s">
        <v>40</v>
      </c>
    </row>
    <row r="24" spans="1:8" x14ac:dyDescent="0.2">
      <c r="A24" s="3">
        <v>3080105114</v>
      </c>
      <c r="B24" s="4" t="s">
        <v>50</v>
      </c>
      <c r="C24" s="4" t="s">
        <v>53</v>
      </c>
      <c r="D24" s="3">
        <v>4</v>
      </c>
      <c r="E24" s="3" t="s">
        <v>16</v>
      </c>
      <c r="F24" s="3" t="s">
        <v>289</v>
      </c>
      <c r="G24" s="3" t="s">
        <v>23</v>
      </c>
      <c r="H24" s="3" t="s">
        <v>40</v>
      </c>
    </row>
    <row r="25" spans="1:8" x14ac:dyDescent="0.2">
      <c r="A25" s="3">
        <v>3080105004</v>
      </c>
      <c r="B25" s="4" t="s">
        <v>50</v>
      </c>
      <c r="C25" s="4" t="s">
        <v>54</v>
      </c>
      <c r="D25" s="3">
        <v>6</v>
      </c>
      <c r="E25" s="3" t="s">
        <v>16</v>
      </c>
      <c r="F25" s="3" t="s">
        <v>289</v>
      </c>
      <c r="G25" s="3" t="s">
        <v>23</v>
      </c>
      <c r="H25" s="3" t="s">
        <v>40</v>
      </c>
    </row>
    <row r="26" spans="1:8" x14ac:dyDescent="0.2">
      <c r="A26" s="3">
        <v>3080105013</v>
      </c>
      <c r="B26" s="4" t="s">
        <v>50</v>
      </c>
      <c r="C26" s="4" t="s">
        <v>51</v>
      </c>
      <c r="D26" s="3">
        <v>4</v>
      </c>
      <c r="E26" s="3" t="s">
        <v>16</v>
      </c>
      <c r="F26" s="3" t="s">
        <v>293</v>
      </c>
      <c r="G26" s="3" t="s">
        <v>29</v>
      </c>
      <c r="H26" s="3" t="s">
        <v>40</v>
      </c>
    </row>
    <row r="27" spans="1:8" x14ac:dyDescent="0.2">
      <c r="A27" s="3">
        <v>3080105004</v>
      </c>
      <c r="B27" s="4" t="s">
        <v>50</v>
      </c>
      <c r="C27" s="4" t="s">
        <v>54</v>
      </c>
      <c r="D27" s="3">
        <v>4</v>
      </c>
      <c r="E27" s="3" t="s">
        <v>16</v>
      </c>
      <c r="F27" s="3" t="s">
        <v>293</v>
      </c>
      <c r="G27" s="3" t="s">
        <v>29</v>
      </c>
      <c r="H27" s="3" t="s">
        <v>40</v>
      </c>
    </row>
    <row r="28" spans="1:8" x14ac:dyDescent="0.2">
      <c r="A28" s="3">
        <v>3080105068</v>
      </c>
      <c r="B28" s="4" t="s">
        <v>50</v>
      </c>
      <c r="C28" s="4" t="s">
        <v>314</v>
      </c>
      <c r="D28" s="3">
        <v>10</v>
      </c>
      <c r="E28" s="3" t="s">
        <v>16</v>
      </c>
      <c r="F28" s="3" t="s">
        <v>293</v>
      </c>
      <c r="G28" s="3" t="s">
        <v>29</v>
      </c>
      <c r="H28" s="3" t="s">
        <v>40</v>
      </c>
    </row>
    <row r="29" spans="1:8" x14ac:dyDescent="0.2">
      <c r="A29" s="3">
        <v>3080105007</v>
      </c>
      <c r="B29" s="4" t="s">
        <v>50</v>
      </c>
      <c r="C29" s="4" t="s">
        <v>52</v>
      </c>
      <c r="D29" s="3">
        <v>2</v>
      </c>
      <c r="E29" s="3" t="s">
        <v>16</v>
      </c>
      <c r="F29" s="3" t="s">
        <v>293</v>
      </c>
      <c r="G29" s="3" t="s">
        <v>29</v>
      </c>
      <c r="H29" s="3" t="s">
        <v>40</v>
      </c>
    </row>
    <row r="30" spans="1:8" x14ac:dyDescent="0.2">
      <c r="A30" s="3">
        <v>3080105078</v>
      </c>
      <c r="B30" s="4" t="s">
        <v>50</v>
      </c>
      <c r="C30" s="4" t="s">
        <v>315</v>
      </c>
      <c r="D30" s="3">
        <v>2</v>
      </c>
      <c r="E30" s="3" t="s">
        <v>16</v>
      </c>
      <c r="F30" s="3" t="s">
        <v>293</v>
      </c>
      <c r="G30" s="3" t="s">
        <v>29</v>
      </c>
      <c r="H30" s="3" t="s">
        <v>40</v>
      </c>
    </row>
    <row r="31" spans="1:8" x14ac:dyDescent="0.2">
      <c r="A31" s="3">
        <v>3080105121</v>
      </c>
      <c r="B31" s="4" t="s">
        <v>50</v>
      </c>
      <c r="C31" s="4" t="s">
        <v>316</v>
      </c>
      <c r="D31" s="3">
        <v>2</v>
      </c>
      <c r="E31" s="3" t="s">
        <v>16</v>
      </c>
      <c r="F31" s="3" t="s">
        <v>317</v>
      </c>
      <c r="G31" s="3" t="s">
        <v>318</v>
      </c>
      <c r="H31" s="3" t="s">
        <v>40</v>
      </c>
    </row>
    <row r="32" spans="1:8" x14ac:dyDescent="0.2">
      <c r="A32" s="3">
        <v>3080105021</v>
      </c>
      <c r="B32" s="4" t="s">
        <v>50</v>
      </c>
      <c r="C32" s="4" t="s">
        <v>319</v>
      </c>
      <c r="D32" s="3">
        <v>8</v>
      </c>
      <c r="E32" s="3" t="s">
        <v>16</v>
      </c>
      <c r="F32" s="3" t="s">
        <v>317</v>
      </c>
      <c r="G32" s="3" t="s">
        <v>318</v>
      </c>
      <c r="H32" s="3" t="s">
        <v>40</v>
      </c>
    </row>
    <row r="33" spans="1:8" x14ac:dyDescent="0.2">
      <c r="A33" s="3">
        <v>3080105114</v>
      </c>
      <c r="B33" s="4" t="s">
        <v>50</v>
      </c>
      <c r="C33" s="4" t="s">
        <v>53</v>
      </c>
      <c r="D33" s="3">
        <v>6</v>
      </c>
      <c r="E33" s="3" t="s">
        <v>16</v>
      </c>
      <c r="F33" s="3" t="s">
        <v>702</v>
      </c>
      <c r="G33" s="3" t="s">
        <v>703</v>
      </c>
      <c r="H33" s="3" t="s">
        <v>40</v>
      </c>
    </row>
    <row r="34" spans="1:8" x14ac:dyDescent="0.2">
      <c r="A34" s="3">
        <v>3080105114</v>
      </c>
      <c r="B34" s="4" t="s">
        <v>50</v>
      </c>
      <c r="C34" s="4" t="s">
        <v>53</v>
      </c>
      <c r="D34" s="3">
        <v>3</v>
      </c>
      <c r="E34" s="3" t="s">
        <v>16</v>
      </c>
      <c r="F34" s="3" t="s">
        <v>702</v>
      </c>
      <c r="G34" s="3" t="s">
        <v>703</v>
      </c>
      <c r="H34" s="3" t="s">
        <v>40</v>
      </c>
    </row>
    <row r="35" spans="1:8" x14ac:dyDescent="0.2">
      <c r="A35" s="3">
        <v>3080105111</v>
      </c>
      <c r="B35" s="4" t="s">
        <v>50</v>
      </c>
      <c r="C35" s="4" t="s">
        <v>599</v>
      </c>
      <c r="D35" s="3">
        <v>4</v>
      </c>
      <c r="E35" s="3" t="s">
        <v>16</v>
      </c>
      <c r="F35" s="3" t="s">
        <v>291</v>
      </c>
      <c r="G35" s="3" t="s">
        <v>26</v>
      </c>
      <c r="H35" s="3" t="s">
        <v>40</v>
      </c>
    </row>
    <row r="36" spans="1:8" x14ac:dyDescent="0.2">
      <c r="A36" s="3">
        <v>3080502002</v>
      </c>
      <c r="B36" s="4" t="s">
        <v>55</v>
      </c>
      <c r="C36" s="4" t="s">
        <v>56</v>
      </c>
      <c r="D36" s="3">
        <v>4</v>
      </c>
      <c r="E36" s="3" t="s">
        <v>16</v>
      </c>
      <c r="F36" s="3" t="s">
        <v>293</v>
      </c>
      <c r="G36" s="3" t="s">
        <v>29</v>
      </c>
      <c r="H36" s="3" t="s">
        <v>40</v>
      </c>
    </row>
    <row r="37" spans="1:8" x14ac:dyDescent="0.2">
      <c r="A37" s="3">
        <v>3080502002</v>
      </c>
      <c r="B37" s="4" t="s">
        <v>55</v>
      </c>
      <c r="C37" s="4" t="s">
        <v>56</v>
      </c>
      <c r="D37" s="3">
        <v>1</v>
      </c>
      <c r="E37" s="3" t="s">
        <v>16</v>
      </c>
      <c r="F37" s="3" t="s">
        <v>317</v>
      </c>
      <c r="G37" s="3" t="s">
        <v>318</v>
      </c>
      <c r="H37" s="3" t="s">
        <v>40</v>
      </c>
    </row>
    <row r="38" spans="1:8" x14ac:dyDescent="0.2">
      <c r="A38" s="3">
        <v>3080201012</v>
      </c>
      <c r="B38" s="4" t="s">
        <v>60</v>
      </c>
      <c r="C38" s="4" t="s">
        <v>320</v>
      </c>
      <c r="D38" s="3">
        <v>1</v>
      </c>
      <c r="E38" s="3" t="s">
        <v>16</v>
      </c>
      <c r="F38" s="3" t="s">
        <v>289</v>
      </c>
      <c r="G38" s="3" t="s">
        <v>23</v>
      </c>
      <c r="H38" s="3" t="s">
        <v>40</v>
      </c>
    </row>
    <row r="39" spans="1:8" x14ac:dyDescent="0.2">
      <c r="A39" s="3">
        <v>3080201004</v>
      </c>
      <c r="B39" s="4" t="s">
        <v>60</v>
      </c>
      <c r="C39" s="4" t="s">
        <v>61</v>
      </c>
      <c r="D39" s="3">
        <v>4</v>
      </c>
      <c r="E39" s="3" t="s">
        <v>16</v>
      </c>
      <c r="F39" s="3" t="s">
        <v>295</v>
      </c>
      <c r="G39" s="3" t="s">
        <v>17</v>
      </c>
      <c r="H39" s="3" t="s">
        <v>40</v>
      </c>
    </row>
    <row r="40" spans="1:8" x14ac:dyDescent="0.2">
      <c r="A40" s="3">
        <v>3080201007</v>
      </c>
      <c r="B40" s="4" t="s">
        <v>60</v>
      </c>
      <c r="C40" s="4" t="s">
        <v>62</v>
      </c>
      <c r="D40" s="3">
        <v>1</v>
      </c>
      <c r="E40" s="3" t="s">
        <v>16</v>
      </c>
      <c r="F40" s="3" t="s">
        <v>295</v>
      </c>
      <c r="G40" s="3" t="s">
        <v>17</v>
      </c>
      <c r="H40" s="3" t="s">
        <v>40</v>
      </c>
    </row>
    <row r="41" spans="1:8" x14ac:dyDescent="0.2">
      <c r="A41" s="3">
        <v>3080201008</v>
      </c>
      <c r="B41" s="4" t="s">
        <v>60</v>
      </c>
      <c r="C41" s="4" t="s">
        <v>63</v>
      </c>
      <c r="D41" s="3">
        <v>1</v>
      </c>
      <c r="E41" s="3" t="s">
        <v>16</v>
      </c>
      <c r="F41" s="3" t="s">
        <v>295</v>
      </c>
      <c r="G41" s="3" t="s">
        <v>17</v>
      </c>
      <c r="H41" s="3" t="s">
        <v>40</v>
      </c>
    </row>
    <row r="42" spans="1:8" x14ac:dyDescent="0.2">
      <c r="A42" s="3">
        <v>3080201010</v>
      </c>
      <c r="B42" s="4" t="s">
        <v>60</v>
      </c>
      <c r="C42" s="4" t="s">
        <v>64</v>
      </c>
      <c r="D42" s="3">
        <v>1</v>
      </c>
      <c r="E42" s="3" t="s">
        <v>16</v>
      </c>
      <c r="F42" s="3" t="s">
        <v>295</v>
      </c>
      <c r="G42" s="3" t="s">
        <v>17</v>
      </c>
      <c r="H42" s="3" t="s">
        <v>40</v>
      </c>
    </row>
    <row r="43" spans="1:8" x14ac:dyDescent="0.2">
      <c r="A43" s="3">
        <v>3080201015</v>
      </c>
      <c r="B43" s="4" t="s">
        <v>60</v>
      </c>
      <c r="C43" s="4" t="s">
        <v>65</v>
      </c>
      <c r="D43" s="3">
        <v>2</v>
      </c>
      <c r="E43" s="3" t="s">
        <v>16</v>
      </c>
      <c r="F43" s="3" t="s">
        <v>295</v>
      </c>
      <c r="G43" s="3" t="s">
        <v>17</v>
      </c>
      <c r="H43" s="3" t="s">
        <v>40</v>
      </c>
    </row>
    <row r="44" spans="1:8" x14ac:dyDescent="0.2">
      <c r="A44" s="3">
        <v>3080201012</v>
      </c>
      <c r="B44" s="4" t="s">
        <v>60</v>
      </c>
      <c r="C44" s="4" t="s">
        <v>320</v>
      </c>
      <c r="D44" s="3">
        <v>1</v>
      </c>
      <c r="E44" s="3" t="s">
        <v>16</v>
      </c>
      <c r="F44" s="3" t="s">
        <v>317</v>
      </c>
      <c r="G44" s="3" t="s">
        <v>318</v>
      </c>
      <c r="H44" s="3" t="s">
        <v>40</v>
      </c>
    </row>
    <row r="45" spans="1:8" x14ac:dyDescent="0.2">
      <c r="A45" s="3">
        <v>3080201012</v>
      </c>
      <c r="B45" s="4" t="s">
        <v>60</v>
      </c>
      <c r="C45" s="4" t="s">
        <v>320</v>
      </c>
      <c r="D45" s="3">
        <v>1</v>
      </c>
      <c r="E45" s="3" t="s">
        <v>16</v>
      </c>
      <c r="F45" s="3" t="s">
        <v>702</v>
      </c>
      <c r="G45" s="3" t="s">
        <v>703</v>
      </c>
      <c r="H45" s="3" t="s">
        <v>40</v>
      </c>
    </row>
    <row r="46" spans="1:8" x14ac:dyDescent="0.2">
      <c r="A46" s="3">
        <v>3080106009</v>
      </c>
      <c r="B46" s="4" t="s">
        <v>66</v>
      </c>
      <c r="C46" s="4" t="s">
        <v>67</v>
      </c>
      <c r="D46" s="3">
        <v>1</v>
      </c>
      <c r="E46" s="3" t="s">
        <v>16</v>
      </c>
      <c r="F46" s="3" t="s">
        <v>295</v>
      </c>
      <c r="G46" s="3" t="s">
        <v>17</v>
      </c>
      <c r="H46" s="3" t="s">
        <v>40</v>
      </c>
    </row>
    <row r="47" spans="1:8" x14ac:dyDescent="0.2">
      <c r="A47" s="3">
        <v>3080106007</v>
      </c>
      <c r="B47" s="4" t="s">
        <v>66</v>
      </c>
      <c r="C47" s="4" t="s">
        <v>68</v>
      </c>
      <c r="D47" s="3">
        <v>1</v>
      </c>
      <c r="E47" s="3" t="s">
        <v>16</v>
      </c>
      <c r="F47" s="3" t="s">
        <v>295</v>
      </c>
      <c r="G47" s="3" t="s">
        <v>17</v>
      </c>
      <c r="H47" s="3" t="s">
        <v>40</v>
      </c>
    </row>
    <row r="48" spans="1:8" x14ac:dyDescent="0.2">
      <c r="A48" s="3">
        <v>3080107089</v>
      </c>
      <c r="B48" s="4" t="s">
        <v>69</v>
      </c>
      <c r="C48" s="4" t="s">
        <v>704</v>
      </c>
      <c r="D48" s="3">
        <v>1</v>
      </c>
      <c r="E48" s="3" t="s">
        <v>16</v>
      </c>
      <c r="F48" s="3" t="s">
        <v>289</v>
      </c>
      <c r="G48" s="3" t="s">
        <v>23</v>
      </c>
      <c r="H48" s="3" t="s">
        <v>40</v>
      </c>
    </row>
    <row r="49" spans="1:8" x14ac:dyDescent="0.2">
      <c r="A49" s="3">
        <v>3080107112</v>
      </c>
      <c r="B49" s="4" t="s">
        <v>69</v>
      </c>
      <c r="C49" s="4" t="s">
        <v>705</v>
      </c>
      <c r="D49" s="3">
        <v>2</v>
      </c>
      <c r="E49" s="3" t="s">
        <v>16</v>
      </c>
      <c r="F49" s="3" t="s">
        <v>289</v>
      </c>
      <c r="G49" s="3" t="s">
        <v>23</v>
      </c>
      <c r="H49" s="3" t="s">
        <v>40</v>
      </c>
    </row>
    <row r="50" spans="1:8" x14ac:dyDescent="0.2">
      <c r="A50" s="3">
        <v>3080107031</v>
      </c>
      <c r="B50" s="4" t="s">
        <v>69</v>
      </c>
      <c r="C50" s="4" t="s">
        <v>71</v>
      </c>
      <c r="D50" s="3">
        <v>2</v>
      </c>
      <c r="E50" s="3" t="s">
        <v>16</v>
      </c>
      <c r="F50" s="3" t="s">
        <v>295</v>
      </c>
      <c r="G50" s="3" t="s">
        <v>17</v>
      </c>
      <c r="H50" s="3" t="s">
        <v>40</v>
      </c>
    </row>
    <row r="51" spans="1:8" x14ac:dyDescent="0.2">
      <c r="A51" s="3">
        <v>3080107120</v>
      </c>
      <c r="B51" s="4" t="s">
        <v>69</v>
      </c>
      <c r="C51" s="4" t="s">
        <v>74</v>
      </c>
      <c r="D51" s="3">
        <v>1</v>
      </c>
      <c r="E51" s="3" t="s">
        <v>16</v>
      </c>
      <c r="F51" s="3" t="s">
        <v>295</v>
      </c>
      <c r="G51" s="3" t="s">
        <v>17</v>
      </c>
      <c r="H51" s="3" t="s">
        <v>40</v>
      </c>
    </row>
    <row r="52" spans="1:8" x14ac:dyDescent="0.2">
      <c r="A52" s="3">
        <v>3080107121</v>
      </c>
      <c r="B52" s="4" t="s">
        <v>69</v>
      </c>
      <c r="C52" s="4" t="s">
        <v>75</v>
      </c>
      <c r="D52" s="3">
        <v>1</v>
      </c>
      <c r="E52" s="3" t="s">
        <v>16</v>
      </c>
      <c r="F52" s="3" t="s">
        <v>295</v>
      </c>
      <c r="G52" s="3" t="s">
        <v>17</v>
      </c>
      <c r="H52" s="3" t="s">
        <v>40</v>
      </c>
    </row>
    <row r="53" spans="1:8" x14ac:dyDescent="0.2">
      <c r="A53" s="3">
        <v>3080107031</v>
      </c>
      <c r="B53" s="4" t="s">
        <v>69</v>
      </c>
      <c r="C53" s="4" t="s">
        <v>71</v>
      </c>
      <c r="D53" s="3">
        <v>4</v>
      </c>
      <c r="E53" s="3" t="s">
        <v>16</v>
      </c>
      <c r="F53" s="3" t="s">
        <v>295</v>
      </c>
      <c r="G53" s="3" t="s">
        <v>17</v>
      </c>
      <c r="H53" s="3" t="s">
        <v>40</v>
      </c>
    </row>
    <row r="54" spans="1:8" x14ac:dyDescent="0.2">
      <c r="A54" s="3">
        <v>3080107130</v>
      </c>
      <c r="B54" s="4" t="s">
        <v>69</v>
      </c>
      <c r="C54" s="4" t="s">
        <v>70</v>
      </c>
      <c r="D54" s="3">
        <v>4</v>
      </c>
      <c r="E54" s="3" t="s">
        <v>16</v>
      </c>
      <c r="F54" s="3" t="s">
        <v>293</v>
      </c>
      <c r="G54" s="3" t="s">
        <v>29</v>
      </c>
      <c r="H54" s="3" t="s">
        <v>40</v>
      </c>
    </row>
    <row r="55" spans="1:8" x14ac:dyDescent="0.2">
      <c r="A55" s="3">
        <v>3080107284</v>
      </c>
      <c r="B55" s="4" t="s">
        <v>69</v>
      </c>
      <c r="C55" s="4" t="s">
        <v>706</v>
      </c>
      <c r="D55" s="3">
        <v>1</v>
      </c>
      <c r="E55" s="3" t="s">
        <v>16</v>
      </c>
      <c r="F55" s="3" t="s">
        <v>317</v>
      </c>
      <c r="G55" s="3" t="s">
        <v>318</v>
      </c>
      <c r="H55" s="3" t="s">
        <v>40</v>
      </c>
    </row>
    <row r="56" spans="1:8" x14ac:dyDescent="0.2">
      <c r="A56" s="3">
        <v>3080107284</v>
      </c>
      <c r="B56" s="4" t="s">
        <v>69</v>
      </c>
      <c r="C56" s="4" t="s">
        <v>706</v>
      </c>
      <c r="D56" s="3">
        <v>1</v>
      </c>
      <c r="E56" s="3" t="s">
        <v>16</v>
      </c>
      <c r="F56" s="3" t="s">
        <v>702</v>
      </c>
      <c r="G56" s="3" t="s">
        <v>703</v>
      </c>
      <c r="H56" s="3" t="s">
        <v>40</v>
      </c>
    </row>
    <row r="57" spans="1:8" x14ac:dyDescent="0.2">
      <c r="A57" s="3">
        <v>3080107015</v>
      </c>
      <c r="B57" s="4" t="s">
        <v>69</v>
      </c>
      <c r="C57" s="4" t="s">
        <v>73</v>
      </c>
      <c r="D57" s="3">
        <v>6</v>
      </c>
      <c r="E57" s="3" t="s">
        <v>16</v>
      </c>
      <c r="F57" s="3" t="s">
        <v>291</v>
      </c>
      <c r="G57" s="3" t="s">
        <v>26</v>
      </c>
      <c r="H57" s="3" t="s">
        <v>40</v>
      </c>
    </row>
    <row r="58" spans="1:8" x14ac:dyDescent="0.2">
      <c r="A58" s="3">
        <v>3080108003</v>
      </c>
      <c r="B58" s="4" t="s">
        <v>77</v>
      </c>
      <c r="C58" s="4" t="s">
        <v>78</v>
      </c>
      <c r="D58" s="3">
        <v>1</v>
      </c>
      <c r="E58" s="3" t="s">
        <v>16</v>
      </c>
      <c r="F58" s="3" t="s">
        <v>295</v>
      </c>
      <c r="G58" s="3" t="s">
        <v>17</v>
      </c>
      <c r="H58" s="3" t="s">
        <v>40</v>
      </c>
    </row>
    <row r="59" spans="1:8" x14ac:dyDescent="0.2">
      <c r="A59" s="3">
        <v>3080108011</v>
      </c>
      <c r="B59" s="4" t="s">
        <v>77</v>
      </c>
      <c r="C59" s="4" t="s">
        <v>323</v>
      </c>
      <c r="D59" s="3">
        <v>2</v>
      </c>
      <c r="E59" s="3" t="s">
        <v>16</v>
      </c>
      <c r="F59" s="3" t="s">
        <v>293</v>
      </c>
      <c r="G59" s="3" t="s">
        <v>29</v>
      </c>
      <c r="H59" s="3" t="s">
        <v>40</v>
      </c>
    </row>
    <row r="60" spans="1:8" x14ac:dyDescent="0.2">
      <c r="A60" s="3">
        <v>3080108009</v>
      </c>
      <c r="B60" s="4" t="s">
        <v>77</v>
      </c>
      <c r="C60" s="4" t="s">
        <v>324</v>
      </c>
      <c r="D60" s="3">
        <v>2</v>
      </c>
      <c r="E60" s="3" t="s">
        <v>16</v>
      </c>
      <c r="F60" s="3" t="s">
        <v>293</v>
      </c>
      <c r="G60" s="3" t="s">
        <v>29</v>
      </c>
      <c r="H60" s="3" t="s">
        <v>40</v>
      </c>
    </row>
    <row r="61" spans="1:8" x14ac:dyDescent="0.2">
      <c r="A61" s="3">
        <v>3080111087</v>
      </c>
      <c r="B61" s="4" t="s">
        <v>79</v>
      </c>
      <c r="C61" s="4" t="s">
        <v>80</v>
      </c>
      <c r="D61" s="3">
        <v>18</v>
      </c>
      <c r="E61" s="3" t="s">
        <v>16</v>
      </c>
      <c r="F61" s="3" t="s">
        <v>291</v>
      </c>
      <c r="G61" s="3" t="s">
        <v>26</v>
      </c>
      <c r="H61" s="3" t="s">
        <v>40</v>
      </c>
    </row>
    <row r="62" spans="1:8" x14ac:dyDescent="0.2">
      <c r="A62" s="3">
        <v>3080111087</v>
      </c>
      <c r="B62" s="4" t="s">
        <v>79</v>
      </c>
      <c r="C62" s="4" t="s">
        <v>80</v>
      </c>
      <c r="D62" s="3">
        <v>1</v>
      </c>
      <c r="E62" s="3" t="s">
        <v>16</v>
      </c>
      <c r="F62" s="3" t="s">
        <v>291</v>
      </c>
      <c r="G62" s="3" t="s">
        <v>26</v>
      </c>
      <c r="H62" s="3" t="s">
        <v>40</v>
      </c>
    </row>
    <row r="63" spans="1:8" x14ac:dyDescent="0.2">
      <c r="A63" s="3">
        <v>407030047</v>
      </c>
      <c r="B63" s="4" t="s">
        <v>81</v>
      </c>
      <c r="C63" s="4" t="s">
        <v>707</v>
      </c>
      <c r="D63" s="3">
        <v>1</v>
      </c>
      <c r="E63" s="3" t="s">
        <v>16</v>
      </c>
      <c r="F63" s="3" t="s">
        <v>301</v>
      </c>
      <c r="G63" s="3" t="s">
        <v>32</v>
      </c>
      <c r="H63" s="3" t="s">
        <v>40</v>
      </c>
    </row>
    <row r="64" spans="1:8" x14ac:dyDescent="0.2">
      <c r="A64" s="3">
        <v>3080112003</v>
      </c>
      <c r="B64" s="4" t="s">
        <v>83</v>
      </c>
      <c r="C64" s="4" t="s">
        <v>85</v>
      </c>
      <c r="D64" s="3">
        <v>1</v>
      </c>
      <c r="E64" s="3" t="s">
        <v>16</v>
      </c>
      <c r="F64" s="3" t="s">
        <v>295</v>
      </c>
      <c r="G64" s="3" t="s">
        <v>17</v>
      </c>
      <c r="H64" s="3" t="s">
        <v>40</v>
      </c>
    </row>
    <row r="65" spans="1:8" x14ac:dyDescent="0.2">
      <c r="A65" s="3">
        <v>3080112015</v>
      </c>
      <c r="B65" s="4" t="s">
        <v>83</v>
      </c>
      <c r="C65" s="4" t="s">
        <v>84</v>
      </c>
      <c r="D65" s="3">
        <v>6</v>
      </c>
      <c r="E65" s="3" t="s">
        <v>16</v>
      </c>
      <c r="F65" s="3" t="s">
        <v>291</v>
      </c>
      <c r="G65" s="3" t="s">
        <v>26</v>
      </c>
      <c r="H65" s="3" t="s">
        <v>40</v>
      </c>
    </row>
    <row r="66" spans="1:8" x14ac:dyDescent="0.2">
      <c r="A66" s="3">
        <v>3080307001</v>
      </c>
      <c r="B66" s="4" t="s">
        <v>86</v>
      </c>
      <c r="C66" s="4" t="s">
        <v>87</v>
      </c>
      <c r="D66" s="3">
        <v>1</v>
      </c>
      <c r="E66" s="3" t="s">
        <v>16</v>
      </c>
      <c r="F66" s="3" t="s">
        <v>295</v>
      </c>
      <c r="G66" s="3" t="s">
        <v>17</v>
      </c>
      <c r="H66" s="3" t="s">
        <v>88</v>
      </c>
    </row>
    <row r="67" spans="1:8" x14ac:dyDescent="0.2">
      <c r="A67" s="3">
        <v>3080506001</v>
      </c>
      <c r="B67" s="4" t="s">
        <v>89</v>
      </c>
      <c r="C67" s="4" t="s">
        <v>90</v>
      </c>
      <c r="D67" s="3">
        <v>1</v>
      </c>
      <c r="E67" s="3" t="s">
        <v>16</v>
      </c>
      <c r="F67" s="3" t="s">
        <v>295</v>
      </c>
      <c r="G67" s="3" t="s">
        <v>17</v>
      </c>
      <c r="H67" s="3" t="s">
        <v>88</v>
      </c>
    </row>
    <row r="68" spans="1:8" x14ac:dyDescent="0.2">
      <c r="A68" s="3">
        <v>3030204002</v>
      </c>
      <c r="B68" s="4" t="s">
        <v>91</v>
      </c>
      <c r="C68" s="4" t="s">
        <v>92</v>
      </c>
      <c r="D68" s="3">
        <v>1</v>
      </c>
      <c r="E68" s="3" t="s">
        <v>16</v>
      </c>
      <c r="F68" s="3" t="s">
        <v>295</v>
      </c>
      <c r="G68" s="3" t="s">
        <v>17</v>
      </c>
      <c r="H68" s="3" t="s">
        <v>88</v>
      </c>
    </row>
    <row r="69" spans="1:8" x14ac:dyDescent="0.2">
      <c r="A69" s="3">
        <v>3030205002</v>
      </c>
      <c r="B69" s="4" t="s">
        <v>93</v>
      </c>
      <c r="C69" s="4" t="s">
        <v>94</v>
      </c>
      <c r="D69" s="3">
        <v>1</v>
      </c>
      <c r="E69" s="3" t="s">
        <v>16</v>
      </c>
      <c r="F69" s="3" t="s">
        <v>295</v>
      </c>
      <c r="G69" s="3" t="s">
        <v>17</v>
      </c>
      <c r="H69" s="3" t="s">
        <v>88</v>
      </c>
    </row>
    <row r="70" spans="1:8" x14ac:dyDescent="0.2">
      <c r="A70" s="3">
        <v>3030208001</v>
      </c>
      <c r="B70" s="4" t="s">
        <v>95</v>
      </c>
      <c r="C70" s="4" t="s">
        <v>96</v>
      </c>
      <c r="D70" s="3">
        <v>1</v>
      </c>
      <c r="E70" s="3" t="s">
        <v>16</v>
      </c>
      <c r="F70" s="3" t="s">
        <v>295</v>
      </c>
      <c r="G70" s="3" t="s">
        <v>17</v>
      </c>
      <c r="H70" s="3" t="s">
        <v>88</v>
      </c>
    </row>
    <row r="71" spans="1:8" x14ac:dyDescent="0.2">
      <c r="A71" s="3">
        <v>3030202005</v>
      </c>
      <c r="B71" s="4" t="s">
        <v>97</v>
      </c>
      <c r="C71" s="4" t="s">
        <v>94</v>
      </c>
      <c r="D71" s="3">
        <v>1</v>
      </c>
      <c r="E71" s="3" t="s">
        <v>16</v>
      </c>
      <c r="F71" s="3" t="s">
        <v>295</v>
      </c>
      <c r="G71" s="3" t="s">
        <v>17</v>
      </c>
      <c r="H71" s="3" t="s">
        <v>88</v>
      </c>
    </row>
    <row r="72" spans="1:8" x14ac:dyDescent="0.2">
      <c r="A72" s="3">
        <v>3080201009</v>
      </c>
      <c r="B72" s="4" t="s">
        <v>60</v>
      </c>
      <c r="C72" s="4" t="s">
        <v>98</v>
      </c>
      <c r="D72" s="3">
        <v>1</v>
      </c>
      <c r="E72" s="3" t="s">
        <v>16</v>
      </c>
      <c r="F72" s="3" t="s">
        <v>295</v>
      </c>
      <c r="G72" s="3" t="s">
        <v>17</v>
      </c>
      <c r="H72" s="3" t="s">
        <v>88</v>
      </c>
    </row>
    <row r="73" spans="1:8" x14ac:dyDescent="0.2">
      <c r="A73" s="3">
        <v>3050205001</v>
      </c>
      <c r="B73" s="4" t="s">
        <v>99</v>
      </c>
      <c r="C73" s="4" t="s">
        <v>100</v>
      </c>
      <c r="D73" s="3">
        <v>2</v>
      </c>
      <c r="E73" s="3" t="s">
        <v>16</v>
      </c>
      <c r="F73" s="3" t="s">
        <v>291</v>
      </c>
      <c r="G73" s="3" t="s">
        <v>26</v>
      </c>
      <c r="H73" s="3" t="s">
        <v>88</v>
      </c>
    </row>
    <row r="74" spans="1:8" x14ac:dyDescent="0.2">
      <c r="A74" s="3">
        <v>3099990501</v>
      </c>
      <c r="B74" s="4" t="s">
        <v>708</v>
      </c>
      <c r="C74" s="4" t="s">
        <v>105</v>
      </c>
      <c r="D74" s="3">
        <v>1</v>
      </c>
      <c r="E74" s="3" t="s">
        <v>16</v>
      </c>
      <c r="F74" s="3" t="s">
        <v>709</v>
      </c>
      <c r="G74" s="3" t="s">
        <v>710</v>
      </c>
      <c r="H74" s="3" t="s">
        <v>103</v>
      </c>
    </row>
    <row r="75" spans="1:8" x14ac:dyDescent="0.2">
      <c r="A75" s="3">
        <v>3099990101</v>
      </c>
      <c r="B75" s="4" t="s">
        <v>104</v>
      </c>
      <c r="C75" s="4" t="s">
        <v>105</v>
      </c>
      <c r="D75" s="3">
        <v>1</v>
      </c>
      <c r="E75" s="3" t="s">
        <v>16</v>
      </c>
      <c r="F75" s="3" t="s">
        <v>299</v>
      </c>
      <c r="G75" s="3" t="s">
        <v>106</v>
      </c>
      <c r="H75" s="3" t="s">
        <v>103</v>
      </c>
    </row>
    <row r="76" spans="1:8" x14ac:dyDescent="0.2">
      <c r="A76" s="3">
        <v>402030027</v>
      </c>
      <c r="B76" s="4" t="s">
        <v>107</v>
      </c>
      <c r="C76" s="4" t="s">
        <v>110</v>
      </c>
      <c r="D76" s="3">
        <v>1</v>
      </c>
      <c r="E76" s="3" t="s">
        <v>16</v>
      </c>
      <c r="F76" s="3" t="s">
        <v>291</v>
      </c>
      <c r="G76" s="3" t="s">
        <v>26</v>
      </c>
      <c r="H76" s="3" t="s">
        <v>109</v>
      </c>
    </row>
    <row r="77" spans="1:8" x14ac:dyDescent="0.2">
      <c r="A77" s="3">
        <v>404100030</v>
      </c>
      <c r="B77" s="4" t="s">
        <v>200</v>
      </c>
      <c r="C77" s="4" t="s">
        <v>743</v>
      </c>
      <c r="D77" s="3">
        <v>1</v>
      </c>
      <c r="E77" s="3" t="s">
        <v>16</v>
      </c>
      <c r="F77" s="3" t="s">
        <v>301</v>
      </c>
      <c r="G77" s="3" t="s">
        <v>32</v>
      </c>
      <c r="H77" s="3" t="s">
        <v>109</v>
      </c>
    </row>
    <row r="78" spans="1:8" x14ac:dyDescent="0.2">
      <c r="A78" s="3">
        <v>402020006</v>
      </c>
      <c r="B78" s="4" t="s">
        <v>111</v>
      </c>
      <c r="C78" s="4" t="s">
        <v>112</v>
      </c>
      <c r="D78" s="3">
        <v>2</v>
      </c>
      <c r="E78" s="3" t="s">
        <v>16</v>
      </c>
      <c r="F78" s="3" t="s">
        <v>293</v>
      </c>
      <c r="G78" s="3" t="s">
        <v>29</v>
      </c>
      <c r="H78" s="3" t="s">
        <v>109</v>
      </c>
    </row>
    <row r="79" spans="1:8" x14ac:dyDescent="0.2">
      <c r="A79" s="3">
        <v>404100028</v>
      </c>
      <c r="B79" s="4" t="s">
        <v>600</v>
      </c>
      <c r="C79" s="4" t="s">
        <v>601</v>
      </c>
      <c r="D79" s="3">
        <v>1</v>
      </c>
      <c r="E79" s="3" t="s">
        <v>16</v>
      </c>
      <c r="F79" s="3" t="s">
        <v>301</v>
      </c>
      <c r="G79" s="3" t="s">
        <v>32</v>
      </c>
      <c r="H79" s="3" t="s">
        <v>109</v>
      </c>
    </row>
    <row r="80" spans="1:8" x14ac:dyDescent="0.2">
      <c r="A80" s="3">
        <v>404100029</v>
      </c>
      <c r="B80" s="4" t="s">
        <v>600</v>
      </c>
      <c r="C80" s="4" t="s">
        <v>602</v>
      </c>
      <c r="D80" s="3">
        <v>1</v>
      </c>
      <c r="E80" s="3" t="s">
        <v>16</v>
      </c>
      <c r="F80" s="3" t="s">
        <v>301</v>
      </c>
      <c r="G80" s="3" t="s">
        <v>32</v>
      </c>
      <c r="H80" s="3" t="s">
        <v>109</v>
      </c>
    </row>
    <row r="81" spans="1:8" x14ac:dyDescent="0.2">
      <c r="A81" s="3">
        <v>3060210001</v>
      </c>
      <c r="B81" s="4" t="s">
        <v>711</v>
      </c>
      <c r="C81" s="4" t="s">
        <v>712</v>
      </c>
      <c r="D81" s="3">
        <v>4</v>
      </c>
      <c r="E81" s="3" t="s">
        <v>16</v>
      </c>
      <c r="F81" s="3" t="s">
        <v>289</v>
      </c>
      <c r="G81" s="3" t="s">
        <v>23</v>
      </c>
      <c r="H81" s="3" t="s">
        <v>115</v>
      </c>
    </row>
    <row r="82" spans="1:8" x14ac:dyDescent="0.2">
      <c r="A82" s="3">
        <v>3060209002</v>
      </c>
      <c r="B82" s="4" t="s">
        <v>113</v>
      </c>
      <c r="C82" s="4" t="s">
        <v>114</v>
      </c>
      <c r="D82" s="3">
        <v>2</v>
      </c>
      <c r="E82" s="3" t="s">
        <v>16</v>
      </c>
      <c r="F82" s="3" t="s">
        <v>293</v>
      </c>
      <c r="G82" s="3" t="s">
        <v>29</v>
      </c>
      <c r="H82" s="3" t="s">
        <v>115</v>
      </c>
    </row>
    <row r="83" spans="1:8" x14ac:dyDescent="0.2">
      <c r="A83" s="3">
        <v>3030204032</v>
      </c>
      <c r="B83" s="4" t="s">
        <v>116</v>
      </c>
      <c r="C83" s="4" t="s">
        <v>117</v>
      </c>
      <c r="D83" s="3">
        <v>1</v>
      </c>
      <c r="E83" s="3" t="s">
        <v>16</v>
      </c>
      <c r="F83" s="3" t="s">
        <v>295</v>
      </c>
      <c r="G83" s="3" t="s">
        <v>17</v>
      </c>
      <c r="H83" s="3" t="s">
        <v>115</v>
      </c>
    </row>
    <row r="84" spans="1:8" x14ac:dyDescent="0.2">
      <c r="A84" s="3">
        <v>3040216001</v>
      </c>
      <c r="B84" s="4" t="s">
        <v>328</v>
      </c>
      <c r="C84" s="4" t="s">
        <v>329</v>
      </c>
      <c r="D84" s="3">
        <v>4</v>
      </c>
      <c r="E84" s="3" t="s">
        <v>16</v>
      </c>
      <c r="F84" s="3" t="s">
        <v>293</v>
      </c>
      <c r="G84" s="3" t="s">
        <v>29</v>
      </c>
      <c r="H84" s="3" t="s">
        <v>115</v>
      </c>
    </row>
    <row r="85" spans="1:8" x14ac:dyDescent="0.2">
      <c r="A85" s="3">
        <v>3030204006</v>
      </c>
      <c r="B85" s="4" t="s">
        <v>120</v>
      </c>
      <c r="C85" s="4" t="s">
        <v>121</v>
      </c>
      <c r="D85" s="3">
        <v>2</v>
      </c>
      <c r="E85" s="3" t="s">
        <v>16</v>
      </c>
      <c r="F85" s="3" t="s">
        <v>295</v>
      </c>
      <c r="G85" s="3" t="s">
        <v>17</v>
      </c>
      <c r="H85" s="3" t="s">
        <v>115</v>
      </c>
    </row>
    <row r="86" spans="1:8" x14ac:dyDescent="0.2">
      <c r="A86" s="3">
        <v>3030204008</v>
      </c>
      <c r="B86" s="4" t="s">
        <v>122</v>
      </c>
      <c r="C86" s="4" t="s">
        <v>123</v>
      </c>
      <c r="D86" s="3">
        <v>1</v>
      </c>
      <c r="E86" s="3" t="s">
        <v>16</v>
      </c>
      <c r="F86" s="3" t="s">
        <v>291</v>
      </c>
      <c r="G86" s="3" t="s">
        <v>26</v>
      </c>
      <c r="H86" s="3" t="s">
        <v>115</v>
      </c>
    </row>
    <row r="87" spans="1:8" x14ac:dyDescent="0.2">
      <c r="A87" s="3">
        <v>3030204010</v>
      </c>
      <c r="B87" s="4" t="s">
        <v>124</v>
      </c>
      <c r="C87" s="4" t="s">
        <v>125</v>
      </c>
      <c r="D87" s="3">
        <v>1</v>
      </c>
      <c r="E87" s="3" t="s">
        <v>16</v>
      </c>
      <c r="F87" s="3" t="s">
        <v>295</v>
      </c>
      <c r="G87" s="3" t="s">
        <v>17</v>
      </c>
      <c r="H87" s="3" t="s">
        <v>115</v>
      </c>
    </row>
    <row r="88" spans="1:8" x14ac:dyDescent="0.2">
      <c r="A88" s="3">
        <v>3030204012</v>
      </c>
      <c r="B88" s="4" t="s">
        <v>126</v>
      </c>
      <c r="C88" s="4" t="s">
        <v>127</v>
      </c>
      <c r="D88" s="3">
        <v>1</v>
      </c>
      <c r="E88" s="3" t="s">
        <v>16</v>
      </c>
      <c r="F88" s="3" t="s">
        <v>295</v>
      </c>
      <c r="G88" s="3" t="s">
        <v>17</v>
      </c>
      <c r="H88" s="3" t="s">
        <v>115</v>
      </c>
    </row>
    <row r="89" spans="1:8" x14ac:dyDescent="0.2">
      <c r="A89" s="3">
        <v>3070104002</v>
      </c>
      <c r="B89" s="4" t="s">
        <v>128</v>
      </c>
      <c r="C89" s="4" t="s">
        <v>129</v>
      </c>
      <c r="D89" s="3">
        <v>1</v>
      </c>
      <c r="E89" s="3" t="s">
        <v>16</v>
      </c>
      <c r="F89" s="3" t="s">
        <v>317</v>
      </c>
      <c r="G89" s="3" t="s">
        <v>318</v>
      </c>
      <c r="H89" s="3" t="s">
        <v>115</v>
      </c>
    </row>
    <row r="90" spans="1:8" x14ac:dyDescent="0.2">
      <c r="A90" s="3">
        <v>3070104001</v>
      </c>
      <c r="B90" s="4" t="s">
        <v>331</v>
      </c>
      <c r="C90" s="4" t="s">
        <v>332</v>
      </c>
      <c r="D90" s="3">
        <v>1</v>
      </c>
      <c r="E90" s="3" t="s">
        <v>16</v>
      </c>
      <c r="F90" s="3" t="s">
        <v>317</v>
      </c>
      <c r="G90" s="3" t="s">
        <v>318</v>
      </c>
      <c r="H90" s="3" t="s">
        <v>115</v>
      </c>
    </row>
    <row r="91" spans="1:8" x14ac:dyDescent="0.2">
      <c r="A91" s="3">
        <v>3030404003</v>
      </c>
      <c r="B91" s="4" t="s">
        <v>130</v>
      </c>
      <c r="C91" s="4" t="s">
        <v>131</v>
      </c>
      <c r="D91" s="3">
        <v>2</v>
      </c>
      <c r="E91" s="3" t="s">
        <v>16</v>
      </c>
      <c r="F91" s="3" t="s">
        <v>291</v>
      </c>
      <c r="G91" s="3" t="s">
        <v>26</v>
      </c>
      <c r="H91" s="3" t="s">
        <v>132</v>
      </c>
    </row>
    <row r="92" spans="1:8" x14ac:dyDescent="0.2">
      <c r="A92" s="3">
        <v>404040025</v>
      </c>
      <c r="B92" s="4" t="s">
        <v>30</v>
      </c>
      <c r="C92" s="4" t="s">
        <v>133</v>
      </c>
      <c r="D92" s="3">
        <v>2</v>
      </c>
      <c r="E92" s="3" t="s">
        <v>16</v>
      </c>
      <c r="F92" s="3" t="s">
        <v>291</v>
      </c>
      <c r="G92" s="3" t="s">
        <v>26</v>
      </c>
      <c r="H92" s="3" t="s">
        <v>134</v>
      </c>
    </row>
    <row r="93" spans="1:8" x14ac:dyDescent="0.2">
      <c r="A93" s="3">
        <v>404020073</v>
      </c>
      <c r="B93" s="4" t="s">
        <v>30</v>
      </c>
      <c r="C93" s="4" t="s">
        <v>135</v>
      </c>
      <c r="D93" s="3">
        <v>1</v>
      </c>
      <c r="E93" s="3" t="s">
        <v>16</v>
      </c>
      <c r="F93" s="3" t="s">
        <v>291</v>
      </c>
      <c r="G93" s="3" t="s">
        <v>26</v>
      </c>
      <c r="H93" s="3" t="s">
        <v>134</v>
      </c>
    </row>
    <row r="94" spans="1:8" x14ac:dyDescent="0.2">
      <c r="A94" s="3">
        <v>401040441</v>
      </c>
      <c r="B94" s="4" t="s">
        <v>35</v>
      </c>
      <c r="C94" s="4" t="s">
        <v>603</v>
      </c>
      <c r="D94" s="3">
        <v>1</v>
      </c>
      <c r="E94" s="3" t="s">
        <v>16</v>
      </c>
      <c r="F94" s="3" t="s">
        <v>291</v>
      </c>
      <c r="G94" s="3" t="s">
        <v>26</v>
      </c>
      <c r="H94" s="3" t="s">
        <v>134</v>
      </c>
    </row>
    <row r="95" spans="1:8" x14ac:dyDescent="0.2">
      <c r="A95" s="3">
        <v>3990207002</v>
      </c>
      <c r="B95" s="4" t="s">
        <v>140</v>
      </c>
      <c r="C95" s="4" t="s">
        <v>714</v>
      </c>
      <c r="D95" s="3">
        <v>1</v>
      </c>
      <c r="E95" s="3" t="s">
        <v>16</v>
      </c>
      <c r="F95" s="3" t="s">
        <v>285</v>
      </c>
      <c r="G95" s="3" t="s">
        <v>142</v>
      </c>
      <c r="H95" s="3" t="s">
        <v>143</v>
      </c>
    </row>
    <row r="96" spans="1:8" x14ac:dyDescent="0.2">
      <c r="A96" s="3">
        <v>3030301005</v>
      </c>
      <c r="B96" s="4" t="s">
        <v>144</v>
      </c>
      <c r="C96" s="4" t="s">
        <v>145</v>
      </c>
      <c r="D96" s="3">
        <v>2</v>
      </c>
      <c r="E96" s="3" t="s">
        <v>16</v>
      </c>
      <c r="F96" s="3" t="s">
        <v>291</v>
      </c>
      <c r="G96" s="3" t="s">
        <v>26</v>
      </c>
      <c r="H96" s="3" t="s">
        <v>143</v>
      </c>
    </row>
    <row r="97" spans="1:8" x14ac:dyDescent="0.2">
      <c r="A97" s="3">
        <v>3990204002</v>
      </c>
      <c r="B97" s="4" t="s">
        <v>333</v>
      </c>
      <c r="C97" s="4" t="s">
        <v>334</v>
      </c>
      <c r="D97" s="3">
        <v>1</v>
      </c>
      <c r="E97" s="3" t="s">
        <v>16</v>
      </c>
      <c r="F97" s="3" t="s">
        <v>335</v>
      </c>
      <c r="G97" s="3" t="s">
        <v>336</v>
      </c>
      <c r="H97" s="3" t="s">
        <v>143</v>
      </c>
    </row>
    <row r="98" spans="1:8" x14ac:dyDescent="0.2">
      <c r="A98" s="3">
        <v>3990206001</v>
      </c>
      <c r="B98" s="4" t="s">
        <v>715</v>
      </c>
      <c r="C98" s="4" t="s">
        <v>716</v>
      </c>
      <c r="D98" s="3">
        <v>1</v>
      </c>
      <c r="E98" s="3" t="s">
        <v>16</v>
      </c>
      <c r="F98" s="3" t="s">
        <v>717</v>
      </c>
      <c r="G98" s="3" t="s">
        <v>718</v>
      </c>
      <c r="H98" s="3" t="s">
        <v>143</v>
      </c>
    </row>
    <row r="99" spans="1:8" x14ac:dyDescent="0.2">
      <c r="A99" s="3">
        <v>3990205001</v>
      </c>
      <c r="B99" s="4" t="s">
        <v>146</v>
      </c>
      <c r="C99" s="4" t="s">
        <v>147</v>
      </c>
      <c r="D99" s="3">
        <v>1</v>
      </c>
      <c r="E99" s="3" t="s">
        <v>16</v>
      </c>
      <c r="F99" s="3" t="s">
        <v>287</v>
      </c>
      <c r="G99" s="3" t="s">
        <v>148</v>
      </c>
      <c r="H99" s="3" t="s">
        <v>143</v>
      </c>
    </row>
    <row r="100" spans="1:8" x14ac:dyDescent="0.2">
      <c r="A100" s="3">
        <v>407010090</v>
      </c>
      <c r="B100" s="4" t="s">
        <v>149</v>
      </c>
      <c r="C100" s="4" t="s">
        <v>744</v>
      </c>
      <c r="D100" s="3">
        <v>1</v>
      </c>
      <c r="E100" s="3" t="s">
        <v>16</v>
      </c>
      <c r="F100" s="3" t="s">
        <v>289</v>
      </c>
      <c r="G100" s="3" t="s">
        <v>23</v>
      </c>
      <c r="H100" s="3" t="s">
        <v>151</v>
      </c>
    </row>
    <row r="101" spans="1:8" x14ac:dyDescent="0.2">
      <c r="A101" s="3">
        <v>3060318001</v>
      </c>
      <c r="B101" s="4" t="s">
        <v>720</v>
      </c>
      <c r="C101" s="4" t="s">
        <v>721</v>
      </c>
      <c r="D101" s="3">
        <v>1</v>
      </c>
      <c r="E101" s="3" t="s">
        <v>16</v>
      </c>
      <c r="F101" s="3" t="s">
        <v>289</v>
      </c>
      <c r="G101" s="3" t="s">
        <v>23</v>
      </c>
      <c r="H101" s="3" t="s">
        <v>154</v>
      </c>
    </row>
    <row r="102" spans="1:8" x14ac:dyDescent="0.2">
      <c r="A102" s="3">
        <v>3060327003</v>
      </c>
      <c r="B102" s="4" t="s">
        <v>722</v>
      </c>
      <c r="C102" s="4" t="s">
        <v>723</v>
      </c>
      <c r="D102" s="3">
        <v>1</v>
      </c>
      <c r="E102" s="3" t="s">
        <v>16</v>
      </c>
      <c r="F102" s="3" t="s">
        <v>289</v>
      </c>
      <c r="G102" s="3" t="s">
        <v>23</v>
      </c>
      <c r="H102" s="3" t="s">
        <v>154</v>
      </c>
    </row>
    <row r="103" spans="1:8" x14ac:dyDescent="0.2">
      <c r="A103" s="3">
        <v>3030203004</v>
      </c>
      <c r="B103" s="4" t="s">
        <v>155</v>
      </c>
      <c r="C103" s="4" t="s">
        <v>156</v>
      </c>
      <c r="D103" s="3">
        <v>1</v>
      </c>
      <c r="E103" s="3" t="s">
        <v>16</v>
      </c>
      <c r="F103" s="3" t="s">
        <v>295</v>
      </c>
      <c r="G103" s="3" t="s">
        <v>17</v>
      </c>
      <c r="H103" s="3" t="s">
        <v>154</v>
      </c>
    </row>
    <row r="104" spans="1:8" x14ac:dyDescent="0.2">
      <c r="A104" s="3">
        <v>3040205005</v>
      </c>
      <c r="B104" s="4" t="s">
        <v>337</v>
      </c>
      <c r="C104" s="4" t="s">
        <v>338</v>
      </c>
      <c r="D104" s="3">
        <v>2</v>
      </c>
      <c r="E104" s="3" t="s">
        <v>16</v>
      </c>
      <c r="F104" s="3" t="s">
        <v>293</v>
      </c>
      <c r="G104" s="3" t="s">
        <v>29</v>
      </c>
      <c r="H104" s="3" t="s">
        <v>154</v>
      </c>
    </row>
    <row r="105" spans="1:8" x14ac:dyDescent="0.2">
      <c r="A105" s="3">
        <v>3030310010</v>
      </c>
      <c r="B105" s="4" t="s">
        <v>161</v>
      </c>
      <c r="C105" s="4" t="s">
        <v>162</v>
      </c>
      <c r="D105" s="3">
        <v>1</v>
      </c>
      <c r="E105" s="3" t="s">
        <v>16</v>
      </c>
      <c r="F105" s="3" t="s">
        <v>295</v>
      </c>
      <c r="G105" s="3" t="s">
        <v>17</v>
      </c>
      <c r="H105" s="3" t="s">
        <v>154</v>
      </c>
    </row>
    <row r="106" spans="1:8" x14ac:dyDescent="0.2">
      <c r="A106" s="3">
        <v>3110103002</v>
      </c>
      <c r="B106" s="4" t="s">
        <v>473</v>
      </c>
      <c r="C106" s="4" t="s">
        <v>474</v>
      </c>
      <c r="D106" s="3">
        <v>1</v>
      </c>
      <c r="E106" s="3" t="s">
        <v>16</v>
      </c>
      <c r="F106" s="3" t="s">
        <v>291</v>
      </c>
      <c r="G106" s="3" t="s">
        <v>26</v>
      </c>
      <c r="H106" s="3" t="s">
        <v>165</v>
      </c>
    </row>
    <row r="107" spans="1:8" x14ac:dyDescent="0.2">
      <c r="A107" s="3">
        <v>3040310003</v>
      </c>
      <c r="B107" s="4" t="s">
        <v>339</v>
      </c>
      <c r="C107" s="4" t="s">
        <v>340</v>
      </c>
      <c r="D107" s="3">
        <v>2</v>
      </c>
      <c r="E107" s="3" t="s">
        <v>16</v>
      </c>
      <c r="F107" s="3" t="s">
        <v>293</v>
      </c>
      <c r="G107" s="3" t="s">
        <v>29</v>
      </c>
      <c r="H107" s="3" t="s">
        <v>165</v>
      </c>
    </row>
    <row r="108" spans="1:8" x14ac:dyDescent="0.2">
      <c r="A108" s="3">
        <v>3030303067</v>
      </c>
      <c r="B108" s="4" t="s">
        <v>166</v>
      </c>
      <c r="C108" s="4" t="s">
        <v>167</v>
      </c>
      <c r="D108" s="3">
        <v>1</v>
      </c>
      <c r="E108" s="3" t="s">
        <v>16</v>
      </c>
      <c r="F108" s="3" t="s">
        <v>295</v>
      </c>
      <c r="G108" s="3" t="s">
        <v>17</v>
      </c>
      <c r="H108" s="3" t="s">
        <v>165</v>
      </c>
    </row>
    <row r="109" spans="1:8" x14ac:dyDescent="0.2">
      <c r="A109" s="3">
        <v>3040321002</v>
      </c>
      <c r="B109" s="4" t="s">
        <v>341</v>
      </c>
      <c r="C109" s="4" t="s">
        <v>340</v>
      </c>
      <c r="D109" s="3">
        <v>2</v>
      </c>
      <c r="E109" s="3" t="s">
        <v>16</v>
      </c>
      <c r="F109" s="3" t="s">
        <v>293</v>
      </c>
      <c r="G109" s="3" t="s">
        <v>29</v>
      </c>
      <c r="H109" s="3" t="s">
        <v>165</v>
      </c>
    </row>
    <row r="110" spans="1:8" x14ac:dyDescent="0.2">
      <c r="A110" s="3">
        <v>3040302003</v>
      </c>
      <c r="B110" s="4" t="s">
        <v>342</v>
      </c>
      <c r="C110" s="4" t="s">
        <v>343</v>
      </c>
      <c r="D110" s="3">
        <v>2</v>
      </c>
      <c r="E110" s="3" t="s">
        <v>16</v>
      </c>
      <c r="F110" s="3" t="s">
        <v>293</v>
      </c>
      <c r="G110" s="3" t="s">
        <v>29</v>
      </c>
      <c r="H110" s="3" t="s">
        <v>165</v>
      </c>
    </row>
    <row r="111" spans="1:8" x14ac:dyDescent="0.2">
      <c r="A111" s="3">
        <v>3040315002</v>
      </c>
      <c r="B111" s="4" t="s">
        <v>344</v>
      </c>
      <c r="C111" s="4" t="s">
        <v>340</v>
      </c>
      <c r="D111" s="3">
        <v>2</v>
      </c>
      <c r="E111" s="3" t="s">
        <v>16</v>
      </c>
      <c r="F111" s="3" t="s">
        <v>293</v>
      </c>
      <c r="G111" s="3" t="s">
        <v>29</v>
      </c>
      <c r="H111" s="3" t="s">
        <v>165</v>
      </c>
    </row>
    <row r="112" spans="1:8" x14ac:dyDescent="0.2">
      <c r="A112" s="3">
        <v>3060333003</v>
      </c>
      <c r="B112" s="4" t="s">
        <v>227</v>
      </c>
      <c r="C112" s="4" t="s">
        <v>724</v>
      </c>
      <c r="D112" s="3">
        <v>1</v>
      </c>
      <c r="E112" s="3" t="s">
        <v>16</v>
      </c>
      <c r="F112" s="3" t="s">
        <v>289</v>
      </c>
      <c r="G112" s="3" t="s">
        <v>23</v>
      </c>
      <c r="H112" s="3" t="s">
        <v>173</v>
      </c>
    </row>
    <row r="113" spans="1:8" x14ac:dyDescent="0.2">
      <c r="A113" s="3">
        <v>3030303003</v>
      </c>
      <c r="B113" s="4" t="s">
        <v>175</v>
      </c>
      <c r="C113" s="4" t="s">
        <v>176</v>
      </c>
      <c r="D113" s="3">
        <v>1</v>
      </c>
      <c r="E113" s="3" t="s">
        <v>16</v>
      </c>
      <c r="F113" s="3" t="s">
        <v>295</v>
      </c>
      <c r="G113" s="3" t="s">
        <v>17</v>
      </c>
      <c r="H113" s="3" t="s">
        <v>173</v>
      </c>
    </row>
    <row r="114" spans="1:8" x14ac:dyDescent="0.2">
      <c r="A114" s="3">
        <v>3030303005</v>
      </c>
      <c r="B114" s="4" t="s">
        <v>177</v>
      </c>
      <c r="C114" s="4" t="s">
        <v>176</v>
      </c>
      <c r="D114" s="3">
        <v>1</v>
      </c>
      <c r="E114" s="3" t="s">
        <v>16</v>
      </c>
      <c r="F114" s="3" t="s">
        <v>291</v>
      </c>
      <c r="G114" s="3" t="s">
        <v>26</v>
      </c>
      <c r="H114" s="3" t="s">
        <v>173</v>
      </c>
    </row>
    <row r="115" spans="1:8" x14ac:dyDescent="0.2">
      <c r="A115" s="3">
        <v>3040328005</v>
      </c>
      <c r="B115" s="4" t="s">
        <v>267</v>
      </c>
      <c r="C115" s="4" t="s">
        <v>345</v>
      </c>
      <c r="D115" s="3">
        <v>2</v>
      </c>
      <c r="E115" s="3" t="s">
        <v>16</v>
      </c>
      <c r="F115" s="3" t="s">
        <v>293</v>
      </c>
      <c r="G115" s="3" t="s">
        <v>29</v>
      </c>
      <c r="H115" s="3" t="s">
        <v>173</v>
      </c>
    </row>
    <row r="116" spans="1:8" x14ac:dyDescent="0.2">
      <c r="A116" s="3">
        <v>3040309001</v>
      </c>
      <c r="B116" s="4" t="s">
        <v>346</v>
      </c>
      <c r="C116" s="4" t="s">
        <v>347</v>
      </c>
      <c r="D116" s="3">
        <v>8</v>
      </c>
      <c r="E116" s="3" t="s">
        <v>16</v>
      </c>
      <c r="F116" s="3" t="s">
        <v>293</v>
      </c>
      <c r="G116" s="3" t="s">
        <v>29</v>
      </c>
      <c r="H116" s="3" t="s">
        <v>173</v>
      </c>
    </row>
    <row r="117" spans="1:8" x14ac:dyDescent="0.2">
      <c r="A117" s="3">
        <v>3070201002</v>
      </c>
      <c r="B117" s="4" t="s">
        <v>348</v>
      </c>
      <c r="C117" s="4" t="s">
        <v>349</v>
      </c>
      <c r="D117" s="3">
        <v>1</v>
      </c>
      <c r="E117" s="3" t="s">
        <v>16</v>
      </c>
      <c r="F117" s="3" t="s">
        <v>317</v>
      </c>
      <c r="G117" s="3" t="s">
        <v>318</v>
      </c>
      <c r="H117" s="3" t="s">
        <v>173</v>
      </c>
    </row>
    <row r="118" spans="1:8" x14ac:dyDescent="0.2">
      <c r="A118" s="3">
        <v>3060340001</v>
      </c>
      <c r="B118" s="4" t="s">
        <v>725</v>
      </c>
      <c r="C118" s="4" t="s">
        <v>726</v>
      </c>
      <c r="D118" s="3">
        <v>1</v>
      </c>
      <c r="E118" s="3" t="s">
        <v>16</v>
      </c>
      <c r="F118" s="3" t="s">
        <v>702</v>
      </c>
      <c r="G118" s="3" t="s">
        <v>703</v>
      </c>
      <c r="H118" s="3" t="s">
        <v>173</v>
      </c>
    </row>
    <row r="119" spans="1:8" x14ac:dyDescent="0.2">
      <c r="A119" s="3">
        <v>3030310007</v>
      </c>
      <c r="B119" s="4" t="s">
        <v>178</v>
      </c>
      <c r="C119" s="4" t="s">
        <v>179</v>
      </c>
      <c r="D119" s="3">
        <v>1</v>
      </c>
      <c r="E119" s="3" t="s">
        <v>16</v>
      </c>
      <c r="F119" s="3" t="s">
        <v>295</v>
      </c>
      <c r="G119" s="3" t="s">
        <v>17</v>
      </c>
      <c r="H119" s="3" t="s">
        <v>173</v>
      </c>
    </row>
    <row r="120" spans="1:8" x14ac:dyDescent="0.2">
      <c r="A120" s="3">
        <v>3030310009</v>
      </c>
      <c r="B120" s="4" t="s">
        <v>180</v>
      </c>
      <c r="C120" s="4" t="s">
        <v>179</v>
      </c>
      <c r="D120" s="3">
        <v>1</v>
      </c>
      <c r="E120" s="3" t="s">
        <v>16</v>
      </c>
      <c r="F120" s="3" t="s">
        <v>295</v>
      </c>
      <c r="G120" s="3" t="s">
        <v>17</v>
      </c>
      <c r="H120" s="3" t="s">
        <v>173</v>
      </c>
    </row>
    <row r="121" spans="1:8" x14ac:dyDescent="0.2">
      <c r="A121" s="3">
        <v>3050304001</v>
      </c>
      <c r="B121" s="4" t="s">
        <v>181</v>
      </c>
      <c r="C121" s="4" t="s">
        <v>182</v>
      </c>
      <c r="D121" s="3">
        <v>1</v>
      </c>
      <c r="E121" s="3" t="s">
        <v>16</v>
      </c>
      <c r="F121" s="3" t="s">
        <v>291</v>
      </c>
      <c r="G121" s="3" t="s">
        <v>26</v>
      </c>
      <c r="H121" s="3" t="s">
        <v>173</v>
      </c>
    </row>
    <row r="122" spans="1:8" x14ac:dyDescent="0.2">
      <c r="A122" s="3">
        <v>3020501014</v>
      </c>
      <c r="B122" s="4" t="s">
        <v>183</v>
      </c>
      <c r="C122" s="4" t="s">
        <v>350</v>
      </c>
      <c r="D122" s="3">
        <v>1</v>
      </c>
      <c r="E122" s="3" t="s">
        <v>16</v>
      </c>
      <c r="F122" s="3" t="s">
        <v>291</v>
      </c>
      <c r="G122" s="3" t="s">
        <v>26</v>
      </c>
      <c r="H122" s="3" t="s">
        <v>185</v>
      </c>
    </row>
    <row r="123" spans="1:8" x14ac:dyDescent="0.2">
      <c r="A123" s="3">
        <v>3990201009</v>
      </c>
      <c r="B123" s="4" t="s">
        <v>186</v>
      </c>
      <c r="C123" s="4" t="s">
        <v>606</v>
      </c>
      <c r="D123" s="3">
        <v>1</v>
      </c>
      <c r="E123" s="3" t="s">
        <v>16</v>
      </c>
      <c r="F123" s="3" t="s">
        <v>295</v>
      </c>
      <c r="G123" s="3" t="s">
        <v>17</v>
      </c>
      <c r="H123" s="3" t="s">
        <v>187</v>
      </c>
    </row>
    <row r="124" spans="1:8" x14ac:dyDescent="0.2">
      <c r="A124" s="3">
        <v>3990202008</v>
      </c>
      <c r="B124" s="4" t="s">
        <v>188</v>
      </c>
      <c r="C124" s="4" t="s">
        <v>606</v>
      </c>
      <c r="D124" s="3">
        <v>1</v>
      </c>
      <c r="E124" s="3" t="s">
        <v>16</v>
      </c>
      <c r="F124" s="3" t="s">
        <v>295</v>
      </c>
      <c r="G124" s="3" t="s">
        <v>17</v>
      </c>
      <c r="H124" s="3" t="s">
        <v>187</v>
      </c>
    </row>
    <row r="125" spans="1:8" x14ac:dyDescent="0.2">
      <c r="A125" s="3">
        <v>3990203004</v>
      </c>
      <c r="B125" s="4" t="s">
        <v>189</v>
      </c>
      <c r="C125" s="4" t="s">
        <v>606</v>
      </c>
      <c r="D125" s="3">
        <v>1</v>
      </c>
      <c r="E125" s="3" t="s">
        <v>16</v>
      </c>
      <c r="F125" s="3" t="s">
        <v>291</v>
      </c>
      <c r="G125" s="3" t="s">
        <v>26</v>
      </c>
      <c r="H125" s="3" t="s">
        <v>187</v>
      </c>
    </row>
    <row r="126" spans="1:8" x14ac:dyDescent="0.2">
      <c r="A126" s="3">
        <v>3030401002</v>
      </c>
      <c r="B126" s="4" t="s">
        <v>190</v>
      </c>
      <c r="C126" s="4" t="s">
        <v>191</v>
      </c>
      <c r="D126" s="3">
        <v>1</v>
      </c>
      <c r="E126" s="3" t="s">
        <v>16</v>
      </c>
      <c r="F126" s="3" t="s">
        <v>295</v>
      </c>
      <c r="G126" s="3" t="s">
        <v>17</v>
      </c>
      <c r="H126" s="3" t="s">
        <v>192</v>
      </c>
    </row>
    <row r="127" spans="1:8" x14ac:dyDescent="0.2">
      <c r="A127" s="3">
        <v>3060401001</v>
      </c>
      <c r="B127" s="4" t="s">
        <v>727</v>
      </c>
      <c r="C127" s="4" t="s">
        <v>728</v>
      </c>
      <c r="D127" s="3">
        <v>2</v>
      </c>
      <c r="E127" s="3" t="s">
        <v>16</v>
      </c>
      <c r="F127" s="3" t="s">
        <v>289</v>
      </c>
      <c r="G127" s="3" t="s">
        <v>23</v>
      </c>
      <c r="H127" s="3" t="s">
        <v>192</v>
      </c>
    </row>
    <row r="128" spans="1:8" x14ac:dyDescent="0.2">
      <c r="A128" s="3">
        <v>404090194</v>
      </c>
      <c r="B128" s="4" t="s">
        <v>30</v>
      </c>
      <c r="C128" s="4" t="s">
        <v>745</v>
      </c>
      <c r="D128" s="3">
        <v>1</v>
      </c>
      <c r="E128" s="3" t="s">
        <v>16</v>
      </c>
      <c r="F128" s="3" t="s">
        <v>301</v>
      </c>
      <c r="G128" s="3" t="s">
        <v>32</v>
      </c>
      <c r="H128" s="3" t="s">
        <v>198</v>
      </c>
    </row>
    <row r="129" spans="1:8" x14ac:dyDescent="0.2">
      <c r="A129" s="3">
        <v>404060019</v>
      </c>
      <c r="B129" s="4" t="s">
        <v>30</v>
      </c>
      <c r="C129" s="4" t="s">
        <v>352</v>
      </c>
      <c r="D129" s="3">
        <v>1</v>
      </c>
      <c r="E129" s="3" t="s">
        <v>16</v>
      </c>
      <c r="F129" s="3" t="s">
        <v>291</v>
      </c>
      <c r="G129" s="3" t="s">
        <v>26</v>
      </c>
      <c r="H129" s="3" t="s">
        <v>198</v>
      </c>
    </row>
    <row r="130" spans="1:8" x14ac:dyDescent="0.2">
      <c r="A130" s="3">
        <v>404020035</v>
      </c>
      <c r="B130" s="4" t="s">
        <v>30</v>
      </c>
      <c r="C130" s="4" t="s">
        <v>199</v>
      </c>
      <c r="D130" s="3">
        <v>1</v>
      </c>
      <c r="E130" s="3" t="s">
        <v>16</v>
      </c>
      <c r="F130" s="3" t="s">
        <v>291</v>
      </c>
      <c r="G130" s="3" t="s">
        <v>26</v>
      </c>
      <c r="H130" s="3" t="s">
        <v>198</v>
      </c>
    </row>
    <row r="131" spans="1:8" x14ac:dyDescent="0.2">
      <c r="A131" s="3">
        <v>401020117</v>
      </c>
      <c r="B131" s="4" t="s">
        <v>35</v>
      </c>
      <c r="C131" s="4" t="s">
        <v>746</v>
      </c>
      <c r="D131" s="3">
        <v>1</v>
      </c>
      <c r="E131" s="3" t="s">
        <v>16</v>
      </c>
      <c r="F131" s="3" t="s">
        <v>301</v>
      </c>
      <c r="G131" s="3" t="s">
        <v>32</v>
      </c>
      <c r="H131" s="3" t="s">
        <v>198</v>
      </c>
    </row>
    <row r="132" spans="1:8" x14ac:dyDescent="0.2">
      <c r="A132" s="3">
        <v>401070018</v>
      </c>
      <c r="B132" s="4" t="s">
        <v>35</v>
      </c>
      <c r="C132" s="4" t="s">
        <v>202</v>
      </c>
      <c r="D132" s="3">
        <v>1</v>
      </c>
      <c r="E132" s="3" t="s">
        <v>16</v>
      </c>
      <c r="F132" s="3" t="s">
        <v>291</v>
      </c>
      <c r="G132" s="3" t="s">
        <v>26</v>
      </c>
      <c r="H132" s="3" t="s">
        <v>198</v>
      </c>
    </row>
    <row r="133" spans="1:8" x14ac:dyDescent="0.2">
      <c r="A133" s="3">
        <v>3992002001</v>
      </c>
      <c r="B133" s="4" t="s">
        <v>212</v>
      </c>
      <c r="C133" s="4" t="s">
        <v>213</v>
      </c>
      <c r="D133" s="3">
        <v>2</v>
      </c>
      <c r="E133" s="3" t="s">
        <v>16</v>
      </c>
      <c r="F133" s="3" t="s">
        <v>295</v>
      </c>
      <c r="G133" s="3" t="s">
        <v>17</v>
      </c>
      <c r="H133" s="3" t="s">
        <v>214</v>
      </c>
    </row>
    <row r="134" spans="1:8" x14ac:dyDescent="0.2">
      <c r="A134" s="3">
        <v>3992001001</v>
      </c>
      <c r="B134" s="4" t="s">
        <v>215</v>
      </c>
      <c r="C134" s="4" t="s">
        <v>213</v>
      </c>
      <c r="D134" s="3">
        <v>2</v>
      </c>
      <c r="E134" s="3" t="s">
        <v>16</v>
      </c>
      <c r="F134" s="3" t="s">
        <v>295</v>
      </c>
      <c r="G134" s="3" t="s">
        <v>17</v>
      </c>
      <c r="H134" s="3" t="s">
        <v>214</v>
      </c>
    </row>
    <row r="135" spans="1:8" x14ac:dyDescent="0.2">
      <c r="A135" s="3">
        <v>3030201004</v>
      </c>
      <c r="B135" s="4" t="s">
        <v>216</v>
      </c>
      <c r="C135" s="4" t="s">
        <v>213</v>
      </c>
      <c r="D135" s="3">
        <v>2</v>
      </c>
      <c r="E135" s="3" t="s">
        <v>16</v>
      </c>
      <c r="F135" s="3" t="s">
        <v>295</v>
      </c>
      <c r="G135" s="3" t="s">
        <v>17</v>
      </c>
      <c r="H135" s="3" t="s">
        <v>214</v>
      </c>
    </row>
    <row r="136" spans="1:8" x14ac:dyDescent="0.2">
      <c r="A136" s="3">
        <v>3049904001</v>
      </c>
      <c r="B136" s="4" t="s">
        <v>354</v>
      </c>
      <c r="C136" s="4" t="s">
        <v>355</v>
      </c>
      <c r="D136" s="3">
        <v>4</v>
      </c>
      <c r="E136" s="3" t="s">
        <v>16</v>
      </c>
      <c r="F136" s="3" t="s">
        <v>293</v>
      </c>
      <c r="G136" s="3" t="s">
        <v>29</v>
      </c>
      <c r="H136" s="3" t="s">
        <v>214</v>
      </c>
    </row>
    <row r="137" spans="1:8" x14ac:dyDescent="0.2">
      <c r="A137" s="3">
        <v>3049902005</v>
      </c>
      <c r="B137" s="4" t="s">
        <v>356</v>
      </c>
      <c r="C137" s="4" t="s">
        <v>357</v>
      </c>
      <c r="D137" s="3">
        <v>2</v>
      </c>
      <c r="E137" s="3" t="s">
        <v>16</v>
      </c>
      <c r="F137" s="3" t="s">
        <v>293</v>
      </c>
      <c r="G137" s="3" t="s">
        <v>29</v>
      </c>
      <c r="H137" s="3" t="s">
        <v>214</v>
      </c>
    </row>
    <row r="138" spans="1:8" x14ac:dyDescent="0.2">
      <c r="A138" s="3">
        <v>3049902010</v>
      </c>
      <c r="B138" s="4" t="s">
        <v>358</v>
      </c>
      <c r="C138" s="4" t="s">
        <v>359</v>
      </c>
      <c r="D138" s="3">
        <v>2</v>
      </c>
      <c r="E138" s="3" t="s">
        <v>16</v>
      </c>
      <c r="F138" s="3" t="s">
        <v>293</v>
      </c>
      <c r="G138" s="3" t="s">
        <v>29</v>
      </c>
      <c r="H138" s="3" t="s">
        <v>214</v>
      </c>
    </row>
    <row r="139" spans="1:8" x14ac:dyDescent="0.2">
      <c r="A139" s="3">
        <v>3030201005</v>
      </c>
      <c r="B139" s="4" t="s">
        <v>217</v>
      </c>
      <c r="C139" s="4" t="s">
        <v>218</v>
      </c>
      <c r="D139" s="3">
        <v>12</v>
      </c>
      <c r="E139" s="3" t="s">
        <v>16</v>
      </c>
      <c r="F139" s="3" t="s">
        <v>295</v>
      </c>
      <c r="G139" s="3" t="s">
        <v>17</v>
      </c>
      <c r="H139" s="3" t="s">
        <v>214</v>
      </c>
    </row>
    <row r="140" spans="1:8" x14ac:dyDescent="0.2">
      <c r="A140" s="3">
        <v>3070105007</v>
      </c>
      <c r="B140" s="4" t="s">
        <v>360</v>
      </c>
      <c r="C140" s="4" t="s">
        <v>361</v>
      </c>
      <c r="D140" s="3">
        <v>1</v>
      </c>
      <c r="E140" s="3" t="s">
        <v>16</v>
      </c>
      <c r="F140" s="3" t="s">
        <v>317</v>
      </c>
      <c r="G140" s="3" t="s">
        <v>318</v>
      </c>
      <c r="H140" s="3" t="s">
        <v>214</v>
      </c>
    </row>
    <row r="141" spans="1:8" x14ac:dyDescent="0.2">
      <c r="A141" s="3">
        <v>3070105008</v>
      </c>
      <c r="B141" s="4" t="s">
        <v>362</v>
      </c>
      <c r="C141" s="4" t="s">
        <v>361</v>
      </c>
      <c r="D141" s="3">
        <v>1</v>
      </c>
      <c r="E141" s="3" t="s">
        <v>16</v>
      </c>
      <c r="F141" s="3" t="s">
        <v>317</v>
      </c>
      <c r="G141" s="3" t="s">
        <v>318</v>
      </c>
      <c r="H141" s="3" t="s">
        <v>214</v>
      </c>
    </row>
    <row r="142" spans="1:8" x14ac:dyDescent="0.2">
      <c r="A142" s="3">
        <v>3060404003</v>
      </c>
      <c r="B142" s="4" t="s">
        <v>729</v>
      </c>
      <c r="C142" s="4" t="s">
        <v>730</v>
      </c>
      <c r="D142" s="3">
        <v>1</v>
      </c>
      <c r="E142" s="3" t="s">
        <v>16</v>
      </c>
      <c r="F142" s="3" t="s">
        <v>289</v>
      </c>
      <c r="G142" s="3" t="s">
        <v>23</v>
      </c>
      <c r="H142" s="3" t="s">
        <v>221</v>
      </c>
    </row>
    <row r="143" spans="1:8" x14ac:dyDescent="0.2">
      <c r="A143" s="3">
        <v>3030403001</v>
      </c>
      <c r="B143" s="4" t="s">
        <v>219</v>
      </c>
      <c r="C143" s="4" t="s">
        <v>220</v>
      </c>
      <c r="D143" s="3">
        <v>1</v>
      </c>
      <c r="E143" s="3" t="s">
        <v>16</v>
      </c>
      <c r="F143" s="3" t="s">
        <v>295</v>
      </c>
      <c r="G143" s="3" t="s">
        <v>17</v>
      </c>
      <c r="H143" s="3" t="s">
        <v>221</v>
      </c>
    </row>
    <row r="144" spans="1:8" x14ac:dyDescent="0.2">
      <c r="A144" s="3">
        <v>3040402013</v>
      </c>
      <c r="B144" s="4" t="s">
        <v>193</v>
      </c>
      <c r="C144" s="4" t="s">
        <v>363</v>
      </c>
      <c r="D144" s="3">
        <v>1</v>
      </c>
      <c r="E144" s="3" t="s">
        <v>16</v>
      </c>
      <c r="F144" s="3" t="s">
        <v>293</v>
      </c>
      <c r="G144" s="3" t="s">
        <v>29</v>
      </c>
      <c r="H144" s="3" t="s">
        <v>221</v>
      </c>
    </row>
    <row r="145" spans="1:8" x14ac:dyDescent="0.2">
      <c r="A145" s="3">
        <v>3040402014</v>
      </c>
      <c r="B145" s="4" t="s">
        <v>193</v>
      </c>
      <c r="C145" s="4" t="s">
        <v>364</v>
      </c>
      <c r="D145" s="3">
        <v>1</v>
      </c>
      <c r="E145" s="3" t="s">
        <v>16</v>
      </c>
      <c r="F145" s="3" t="s">
        <v>293</v>
      </c>
      <c r="G145" s="3" t="s">
        <v>29</v>
      </c>
      <c r="H145" s="3" t="s">
        <v>221</v>
      </c>
    </row>
    <row r="146" spans="1:8" x14ac:dyDescent="0.2">
      <c r="A146" s="3">
        <v>3020301001</v>
      </c>
      <c r="B146" s="4" t="s">
        <v>209</v>
      </c>
      <c r="C146" s="4" t="s">
        <v>365</v>
      </c>
      <c r="D146" s="3">
        <v>1</v>
      </c>
      <c r="E146" s="3" t="s">
        <v>16</v>
      </c>
      <c r="F146" s="3" t="s">
        <v>291</v>
      </c>
      <c r="G146" s="3" t="s">
        <v>26</v>
      </c>
      <c r="H146" s="3" t="s">
        <v>221</v>
      </c>
    </row>
    <row r="147" spans="1:8" x14ac:dyDescent="0.2">
      <c r="A147" s="3">
        <v>403030051</v>
      </c>
      <c r="B147" s="4" t="s">
        <v>366</v>
      </c>
      <c r="C147" s="4" t="s">
        <v>367</v>
      </c>
      <c r="D147" s="3">
        <v>3</v>
      </c>
      <c r="E147" s="3" t="s">
        <v>16</v>
      </c>
      <c r="F147" s="3" t="s">
        <v>301</v>
      </c>
      <c r="G147" s="3" t="s">
        <v>32</v>
      </c>
      <c r="H147" s="3" t="s">
        <v>221</v>
      </c>
    </row>
    <row r="148" spans="1:8" x14ac:dyDescent="0.2">
      <c r="A148" s="3">
        <v>403030005</v>
      </c>
      <c r="B148" s="4" t="s">
        <v>366</v>
      </c>
      <c r="C148" s="4" t="s">
        <v>368</v>
      </c>
      <c r="D148" s="3">
        <v>2</v>
      </c>
      <c r="E148" s="3" t="s">
        <v>16</v>
      </c>
      <c r="F148" s="3" t="s">
        <v>301</v>
      </c>
      <c r="G148" s="3" t="s">
        <v>32</v>
      </c>
      <c r="H148" s="3" t="s">
        <v>221</v>
      </c>
    </row>
    <row r="149" spans="1:8" x14ac:dyDescent="0.2">
      <c r="A149" s="3">
        <v>3050401001</v>
      </c>
      <c r="B149" s="4" t="s">
        <v>222</v>
      </c>
      <c r="C149" s="4" t="s">
        <v>223</v>
      </c>
      <c r="D149" s="3">
        <v>1</v>
      </c>
      <c r="E149" s="3" t="s">
        <v>16</v>
      </c>
      <c r="F149" s="3" t="s">
        <v>291</v>
      </c>
      <c r="G149" s="3" t="s">
        <v>26</v>
      </c>
      <c r="H149" s="3" t="s">
        <v>221</v>
      </c>
    </row>
    <row r="150" spans="1:8" x14ac:dyDescent="0.2">
      <c r="A150" s="3">
        <v>402050001</v>
      </c>
      <c r="B150" s="4" t="s">
        <v>522</v>
      </c>
      <c r="C150" s="4" t="s">
        <v>523</v>
      </c>
      <c r="D150" s="3">
        <v>1</v>
      </c>
      <c r="E150" s="3" t="s">
        <v>16</v>
      </c>
      <c r="F150" s="3" t="s">
        <v>289</v>
      </c>
      <c r="G150" s="3" t="s">
        <v>23</v>
      </c>
      <c r="H150" s="3" t="s">
        <v>524</v>
      </c>
    </row>
    <row r="151" spans="1:8" x14ac:dyDescent="0.2">
      <c r="A151" s="3">
        <v>3040502057</v>
      </c>
      <c r="B151" s="4" t="s">
        <v>136</v>
      </c>
      <c r="C151" s="4" t="s">
        <v>369</v>
      </c>
      <c r="D151" s="3">
        <v>1</v>
      </c>
      <c r="E151" s="3" t="s">
        <v>16</v>
      </c>
      <c r="F151" s="3" t="s">
        <v>293</v>
      </c>
      <c r="G151" s="3" t="s">
        <v>29</v>
      </c>
      <c r="H151" s="3" t="s">
        <v>370</v>
      </c>
    </row>
    <row r="152" spans="1:8" x14ac:dyDescent="0.2">
      <c r="A152" s="3">
        <v>3040502056</v>
      </c>
      <c r="B152" s="4" t="s">
        <v>136</v>
      </c>
      <c r="C152" s="4" t="s">
        <v>371</v>
      </c>
      <c r="D152" s="3">
        <v>1</v>
      </c>
      <c r="E152" s="3" t="s">
        <v>16</v>
      </c>
      <c r="F152" s="3" t="s">
        <v>293</v>
      </c>
      <c r="G152" s="3" t="s">
        <v>29</v>
      </c>
      <c r="H152" s="3" t="s">
        <v>370</v>
      </c>
    </row>
    <row r="153" spans="1:8" x14ac:dyDescent="0.2">
      <c r="A153" s="3">
        <v>3050305016</v>
      </c>
      <c r="B153" s="4" t="s">
        <v>527</v>
      </c>
      <c r="C153" s="4" t="s">
        <v>528</v>
      </c>
      <c r="D153" s="3">
        <v>1</v>
      </c>
      <c r="E153" s="3" t="s">
        <v>16</v>
      </c>
      <c r="F153" s="3" t="s">
        <v>291</v>
      </c>
      <c r="G153" s="3" t="s">
        <v>26</v>
      </c>
      <c r="H153" s="3" t="s">
        <v>226</v>
      </c>
    </row>
    <row r="154" spans="1:8" x14ac:dyDescent="0.2">
      <c r="A154" s="3">
        <v>3050305015</v>
      </c>
      <c r="B154" s="4" t="s">
        <v>529</v>
      </c>
      <c r="C154" s="4" t="s">
        <v>530</v>
      </c>
      <c r="D154" s="3">
        <v>1</v>
      </c>
      <c r="E154" s="3" t="s">
        <v>16</v>
      </c>
      <c r="F154" s="3" t="s">
        <v>291</v>
      </c>
      <c r="G154" s="3" t="s">
        <v>26</v>
      </c>
      <c r="H154" s="3" t="s">
        <v>226</v>
      </c>
    </row>
    <row r="155" spans="1:8" x14ac:dyDescent="0.2">
      <c r="A155" s="3">
        <v>3050306011</v>
      </c>
      <c r="B155" s="4" t="s">
        <v>531</v>
      </c>
      <c r="C155" s="4" t="s">
        <v>609</v>
      </c>
      <c r="D155" s="3">
        <v>1</v>
      </c>
      <c r="E155" s="3" t="s">
        <v>16</v>
      </c>
      <c r="F155" s="3" t="s">
        <v>291</v>
      </c>
      <c r="G155" s="3" t="s">
        <v>26</v>
      </c>
      <c r="H155" s="3" t="s">
        <v>226</v>
      </c>
    </row>
    <row r="156" spans="1:8" x14ac:dyDescent="0.2">
      <c r="A156" s="3">
        <v>3030306008</v>
      </c>
      <c r="B156" s="4" t="s">
        <v>235</v>
      </c>
      <c r="C156" s="4" t="s">
        <v>236</v>
      </c>
      <c r="D156" s="3">
        <v>1</v>
      </c>
      <c r="E156" s="3" t="s">
        <v>16</v>
      </c>
      <c r="F156" s="3" t="s">
        <v>295</v>
      </c>
      <c r="G156" s="3" t="s">
        <v>17</v>
      </c>
      <c r="H156" s="3" t="s">
        <v>226</v>
      </c>
    </row>
    <row r="157" spans="1:8" x14ac:dyDescent="0.2">
      <c r="A157" s="3">
        <v>3030314001</v>
      </c>
      <c r="B157" s="4" t="s">
        <v>237</v>
      </c>
      <c r="C157" s="4" t="s">
        <v>238</v>
      </c>
      <c r="D157" s="3">
        <v>1</v>
      </c>
      <c r="E157" s="3" t="s">
        <v>16</v>
      </c>
      <c r="F157" s="3" t="s">
        <v>291</v>
      </c>
      <c r="G157" s="3" t="s">
        <v>26</v>
      </c>
      <c r="H157" s="3" t="s">
        <v>226</v>
      </c>
    </row>
    <row r="158" spans="1:8" x14ac:dyDescent="0.2">
      <c r="A158" s="3">
        <v>3020101003</v>
      </c>
      <c r="B158" s="4" t="s">
        <v>239</v>
      </c>
      <c r="C158" s="4" t="s">
        <v>733</v>
      </c>
      <c r="D158" s="3">
        <v>5</v>
      </c>
      <c r="E158" s="3" t="s">
        <v>16</v>
      </c>
      <c r="F158" s="3" t="s">
        <v>297</v>
      </c>
      <c r="G158" s="3" t="s">
        <v>204</v>
      </c>
      <c r="H158" s="3" t="s">
        <v>226</v>
      </c>
    </row>
    <row r="159" spans="1:8" x14ac:dyDescent="0.2">
      <c r="A159" s="3">
        <v>3030303011</v>
      </c>
      <c r="B159" s="4" t="s">
        <v>611</v>
      </c>
      <c r="C159" s="4" t="s">
        <v>612</v>
      </c>
      <c r="D159" s="3">
        <v>2</v>
      </c>
      <c r="E159" s="3" t="s">
        <v>16</v>
      </c>
      <c r="F159" s="3" t="s">
        <v>291</v>
      </c>
      <c r="G159" s="3" t="s">
        <v>26</v>
      </c>
      <c r="H159" s="3" t="s">
        <v>226</v>
      </c>
    </row>
    <row r="160" spans="1:8" x14ac:dyDescent="0.2">
      <c r="A160" s="3">
        <v>3070212001</v>
      </c>
      <c r="B160" s="4" t="s">
        <v>377</v>
      </c>
      <c r="C160" s="4" t="s">
        <v>378</v>
      </c>
      <c r="D160" s="3">
        <v>1</v>
      </c>
      <c r="E160" s="3" t="s">
        <v>16</v>
      </c>
      <c r="F160" s="3" t="s">
        <v>317</v>
      </c>
      <c r="G160" s="3" t="s">
        <v>318</v>
      </c>
      <c r="H160" s="3" t="s">
        <v>226</v>
      </c>
    </row>
    <row r="161" spans="1:8" x14ac:dyDescent="0.2">
      <c r="A161" s="3">
        <v>3070210001</v>
      </c>
      <c r="B161" s="4" t="s">
        <v>379</v>
      </c>
      <c r="C161" s="4" t="s">
        <v>280</v>
      </c>
      <c r="D161" s="3">
        <v>1</v>
      </c>
      <c r="E161" s="3" t="s">
        <v>16</v>
      </c>
      <c r="F161" s="3" t="s">
        <v>317</v>
      </c>
      <c r="G161" s="3" t="s">
        <v>318</v>
      </c>
      <c r="H161" s="3" t="s">
        <v>226</v>
      </c>
    </row>
    <row r="162" spans="1:8" x14ac:dyDescent="0.2">
      <c r="A162" s="3">
        <v>3080401031</v>
      </c>
      <c r="B162" s="4" t="s">
        <v>41</v>
      </c>
      <c r="C162" s="4" t="s">
        <v>551</v>
      </c>
      <c r="D162" s="3">
        <v>1</v>
      </c>
      <c r="E162" s="3" t="s">
        <v>16</v>
      </c>
      <c r="F162" s="3" t="s">
        <v>291</v>
      </c>
      <c r="G162" s="3" t="s">
        <v>26</v>
      </c>
      <c r="H162" s="3" t="s">
        <v>249</v>
      </c>
    </row>
    <row r="163" spans="1:8" x14ac:dyDescent="0.2">
      <c r="A163" s="3">
        <v>3080301002</v>
      </c>
      <c r="B163" s="4" t="s">
        <v>247</v>
      </c>
      <c r="C163" s="4" t="s">
        <v>248</v>
      </c>
      <c r="D163" s="3">
        <v>1</v>
      </c>
      <c r="E163" s="3" t="s">
        <v>16</v>
      </c>
      <c r="F163" s="3" t="s">
        <v>295</v>
      </c>
      <c r="G163" s="3" t="s">
        <v>17</v>
      </c>
      <c r="H163" s="3" t="s">
        <v>249</v>
      </c>
    </row>
    <row r="164" spans="1:8" x14ac:dyDescent="0.2">
      <c r="A164" s="3">
        <v>3080107017</v>
      </c>
      <c r="B164" s="4" t="s">
        <v>69</v>
      </c>
      <c r="C164" s="4" t="s">
        <v>251</v>
      </c>
      <c r="D164" s="3">
        <v>4</v>
      </c>
      <c r="E164" s="3" t="s">
        <v>16</v>
      </c>
      <c r="F164" s="3" t="s">
        <v>295</v>
      </c>
      <c r="G164" s="3" t="s">
        <v>17</v>
      </c>
      <c r="H164" s="3" t="s">
        <v>249</v>
      </c>
    </row>
    <row r="165" spans="1:8" x14ac:dyDescent="0.2">
      <c r="A165" s="3">
        <v>3060335005</v>
      </c>
      <c r="B165" s="4" t="s">
        <v>233</v>
      </c>
      <c r="C165" s="4" t="s">
        <v>734</v>
      </c>
      <c r="D165" s="3">
        <v>1</v>
      </c>
      <c r="E165" s="3" t="s">
        <v>16</v>
      </c>
      <c r="F165" s="3" t="s">
        <v>289</v>
      </c>
      <c r="G165" s="3" t="s">
        <v>23</v>
      </c>
      <c r="H165" s="3" t="s">
        <v>254</v>
      </c>
    </row>
    <row r="166" spans="1:8" x14ac:dyDescent="0.2">
      <c r="A166" s="3">
        <v>3060324001</v>
      </c>
      <c r="B166" s="4" t="s">
        <v>735</v>
      </c>
      <c r="C166" s="4" t="s">
        <v>736</v>
      </c>
      <c r="D166" s="3">
        <v>1</v>
      </c>
      <c r="E166" s="3" t="s">
        <v>16</v>
      </c>
      <c r="F166" s="3" t="s">
        <v>289</v>
      </c>
      <c r="G166" s="3" t="s">
        <v>23</v>
      </c>
      <c r="H166" s="3" t="s">
        <v>254</v>
      </c>
    </row>
    <row r="167" spans="1:8" x14ac:dyDescent="0.2">
      <c r="A167" s="3">
        <v>3030315001</v>
      </c>
      <c r="B167" s="4" t="s">
        <v>257</v>
      </c>
      <c r="C167" s="4" t="s">
        <v>258</v>
      </c>
      <c r="D167" s="3">
        <v>2</v>
      </c>
      <c r="E167" s="3" t="s">
        <v>16</v>
      </c>
      <c r="F167" s="3" t="s">
        <v>295</v>
      </c>
      <c r="G167" s="3" t="s">
        <v>17</v>
      </c>
      <c r="H167" s="3" t="s">
        <v>254</v>
      </c>
    </row>
    <row r="168" spans="1:8" x14ac:dyDescent="0.2">
      <c r="A168" s="3">
        <v>3030304002</v>
      </c>
      <c r="B168" s="4" t="s">
        <v>259</v>
      </c>
      <c r="C168" s="4" t="s">
        <v>258</v>
      </c>
      <c r="D168" s="3">
        <v>1</v>
      </c>
      <c r="E168" s="3" t="s">
        <v>16</v>
      </c>
      <c r="F168" s="3" t="s">
        <v>295</v>
      </c>
      <c r="G168" s="3" t="s">
        <v>17</v>
      </c>
      <c r="H168" s="3" t="s">
        <v>254</v>
      </c>
    </row>
    <row r="169" spans="1:8" x14ac:dyDescent="0.2">
      <c r="A169" s="3">
        <v>3030304004</v>
      </c>
      <c r="B169" s="4" t="s">
        <v>260</v>
      </c>
      <c r="C169" s="4" t="s">
        <v>258</v>
      </c>
      <c r="D169" s="3">
        <v>1</v>
      </c>
      <c r="E169" s="3" t="s">
        <v>16</v>
      </c>
      <c r="F169" s="3" t="s">
        <v>295</v>
      </c>
      <c r="G169" s="3" t="s">
        <v>17</v>
      </c>
      <c r="H169" s="3" t="s">
        <v>254</v>
      </c>
    </row>
    <row r="170" spans="1:8" x14ac:dyDescent="0.2">
      <c r="A170" s="3">
        <v>3030316001</v>
      </c>
      <c r="B170" s="4" t="s">
        <v>261</v>
      </c>
      <c r="C170" s="4" t="s">
        <v>262</v>
      </c>
      <c r="D170" s="3">
        <v>3</v>
      </c>
      <c r="E170" s="3" t="s">
        <v>16</v>
      </c>
      <c r="F170" s="3" t="s">
        <v>295</v>
      </c>
      <c r="G170" s="3" t="s">
        <v>17</v>
      </c>
      <c r="H170" s="3" t="s">
        <v>254</v>
      </c>
    </row>
    <row r="171" spans="1:8" x14ac:dyDescent="0.2">
      <c r="A171" s="3">
        <v>3040304005</v>
      </c>
      <c r="B171" s="4" t="s">
        <v>380</v>
      </c>
      <c r="C171" s="4" t="s">
        <v>381</v>
      </c>
      <c r="D171" s="3">
        <v>2</v>
      </c>
      <c r="E171" s="3" t="s">
        <v>16</v>
      </c>
      <c r="F171" s="3" t="s">
        <v>293</v>
      </c>
      <c r="G171" s="3" t="s">
        <v>29</v>
      </c>
      <c r="H171" s="3" t="s">
        <v>254</v>
      </c>
    </row>
    <row r="172" spans="1:8" x14ac:dyDescent="0.2">
      <c r="A172" s="3">
        <v>3040304006</v>
      </c>
      <c r="B172" s="4" t="s">
        <v>380</v>
      </c>
      <c r="C172" s="4" t="s">
        <v>382</v>
      </c>
      <c r="D172" s="3">
        <v>2</v>
      </c>
      <c r="E172" s="3" t="s">
        <v>16</v>
      </c>
      <c r="F172" s="3" t="s">
        <v>293</v>
      </c>
      <c r="G172" s="3" t="s">
        <v>29</v>
      </c>
      <c r="H172" s="3" t="s">
        <v>254</v>
      </c>
    </row>
    <row r="173" spans="1:8" x14ac:dyDescent="0.2">
      <c r="A173" s="3">
        <v>3049902004</v>
      </c>
      <c r="B173" s="4" t="s">
        <v>383</v>
      </c>
      <c r="C173" s="4" t="s">
        <v>384</v>
      </c>
      <c r="D173" s="3">
        <v>2</v>
      </c>
      <c r="E173" s="3" t="s">
        <v>16</v>
      </c>
      <c r="F173" s="3" t="s">
        <v>293</v>
      </c>
      <c r="G173" s="3" t="s">
        <v>29</v>
      </c>
      <c r="H173" s="3" t="s">
        <v>254</v>
      </c>
    </row>
    <row r="174" spans="1:8" x14ac:dyDescent="0.2">
      <c r="A174" s="3">
        <v>3040326018</v>
      </c>
      <c r="B174" s="4" t="s">
        <v>385</v>
      </c>
      <c r="C174" s="4" t="s">
        <v>384</v>
      </c>
      <c r="D174" s="3">
        <v>2</v>
      </c>
      <c r="E174" s="3" t="s">
        <v>16</v>
      </c>
      <c r="F174" s="3" t="s">
        <v>293</v>
      </c>
      <c r="G174" s="3" t="s">
        <v>29</v>
      </c>
      <c r="H174" s="3" t="s">
        <v>254</v>
      </c>
    </row>
    <row r="175" spans="1:8" x14ac:dyDescent="0.2">
      <c r="A175" s="3">
        <v>3040320015</v>
      </c>
      <c r="B175" s="4" t="s">
        <v>269</v>
      </c>
      <c r="C175" s="4" t="s">
        <v>386</v>
      </c>
      <c r="D175" s="3">
        <v>1</v>
      </c>
      <c r="E175" s="3" t="s">
        <v>16</v>
      </c>
      <c r="F175" s="3" t="s">
        <v>293</v>
      </c>
      <c r="G175" s="3" t="s">
        <v>29</v>
      </c>
      <c r="H175" s="3" t="s">
        <v>254</v>
      </c>
    </row>
    <row r="176" spans="1:8" x14ac:dyDescent="0.2">
      <c r="A176" s="3">
        <v>3040320014</v>
      </c>
      <c r="B176" s="4" t="s">
        <v>269</v>
      </c>
      <c r="C176" s="4" t="s">
        <v>387</v>
      </c>
      <c r="D176" s="3">
        <v>1</v>
      </c>
      <c r="E176" s="3" t="s">
        <v>16</v>
      </c>
      <c r="F176" s="3" t="s">
        <v>293</v>
      </c>
      <c r="G176" s="3" t="s">
        <v>29</v>
      </c>
      <c r="H176" s="3" t="s">
        <v>254</v>
      </c>
    </row>
    <row r="177" spans="1:8" x14ac:dyDescent="0.2">
      <c r="A177" s="3">
        <v>3030310004</v>
      </c>
      <c r="B177" s="4" t="s">
        <v>273</v>
      </c>
      <c r="C177" s="4" t="s">
        <v>274</v>
      </c>
      <c r="D177" s="3">
        <v>1</v>
      </c>
      <c r="E177" s="3" t="s">
        <v>16</v>
      </c>
      <c r="F177" s="3" t="s">
        <v>295</v>
      </c>
      <c r="G177" s="3" t="s">
        <v>17</v>
      </c>
      <c r="H177" s="3" t="s">
        <v>254</v>
      </c>
    </row>
    <row r="178" spans="1:8" x14ac:dyDescent="0.2">
      <c r="A178" s="3">
        <v>3030313004</v>
      </c>
      <c r="B178" s="4" t="s">
        <v>275</v>
      </c>
      <c r="C178" s="4" t="s">
        <v>258</v>
      </c>
      <c r="D178" s="3">
        <v>1</v>
      </c>
      <c r="E178" s="3" t="s">
        <v>16</v>
      </c>
      <c r="F178" s="3" t="s">
        <v>295</v>
      </c>
      <c r="G178" s="3" t="s">
        <v>17</v>
      </c>
      <c r="H178" s="3" t="s">
        <v>254</v>
      </c>
    </row>
    <row r="179" spans="1:8" x14ac:dyDescent="0.2">
      <c r="A179" s="3">
        <v>3080308001</v>
      </c>
      <c r="B179" s="4" t="s">
        <v>276</v>
      </c>
      <c r="C179" s="4" t="s">
        <v>258</v>
      </c>
      <c r="D179" s="3">
        <v>1</v>
      </c>
      <c r="E179" s="3" t="s">
        <v>16</v>
      </c>
      <c r="F179" s="3" t="s">
        <v>295</v>
      </c>
      <c r="G179" s="3" t="s">
        <v>17</v>
      </c>
      <c r="H179" s="3" t="s">
        <v>254</v>
      </c>
    </row>
    <row r="180" spans="1:8" x14ac:dyDescent="0.2">
      <c r="A180" s="3">
        <v>3070205003</v>
      </c>
      <c r="B180" s="4" t="s">
        <v>372</v>
      </c>
      <c r="C180" s="4" t="s">
        <v>747</v>
      </c>
      <c r="D180" s="3">
        <v>1</v>
      </c>
      <c r="E180" s="3" t="s">
        <v>16</v>
      </c>
      <c r="F180" s="3" t="s">
        <v>317</v>
      </c>
      <c r="G180" s="3" t="s">
        <v>318</v>
      </c>
      <c r="H180" s="3" t="s">
        <v>254</v>
      </c>
    </row>
    <row r="181" spans="1:8" x14ac:dyDescent="0.2">
      <c r="A181" s="3">
        <v>3070202019</v>
      </c>
      <c r="B181" s="4" t="s">
        <v>388</v>
      </c>
      <c r="C181" s="4" t="s">
        <v>389</v>
      </c>
      <c r="D181" s="3">
        <v>1</v>
      </c>
      <c r="E181" s="3" t="s">
        <v>16</v>
      </c>
      <c r="F181" s="3" t="s">
        <v>317</v>
      </c>
      <c r="G181" s="3" t="s">
        <v>318</v>
      </c>
      <c r="H181" s="3" t="s">
        <v>254</v>
      </c>
    </row>
    <row r="182" spans="1:8" x14ac:dyDescent="0.2">
      <c r="A182" s="3">
        <v>3070209001</v>
      </c>
      <c r="B182" s="4" t="s">
        <v>748</v>
      </c>
      <c r="C182" s="4" t="s">
        <v>246</v>
      </c>
      <c r="D182" s="3">
        <v>1</v>
      </c>
      <c r="E182" s="3" t="s">
        <v>16</v>
      </c>
      <c r="F182" s="3" t="s">
        <v>317</v>
      </c>
      <c r="G182" s="3" t="s">
        <v>318</v>
      </c>
      <c r="H182" s="3" t="s">
        <v>254</v>
      </c>
    </row>
    <row r="183" spans="1:8" x14ac:dyDescent="0.2">
      <c r="A183" s="3">
        <v>3060339002</v>
      </c>
      <c r="B183" s="4" t="s">
        <v>737</v>
      </c>
      <c r="C183" s="4" t="s">
        <v>738</v>
      </c>
      <c r="D183" s="3">
        <v>1</v>
      </c>
      <c r="E183" s="3" t="s">
        <v>16</v>
      </c>
      <c r="F183" s="3" t="s">
        <v>702</v>
      </c>
      <c r="G183" s="3" t="s">
        <v>703</v>
      </c>
      <c r="H183" s="3" t="s">
        <v>254</v>
      </c>
    </row>
    <row r="184" spans="1:8" x14ac:dyDescent="0.2">
      <c r="A184" s="3">
        <v>3060325001</v>
      </c>
      <c r="B184" s="4" t="s">
        <v>739</v>
      </c>
      <c r="C184" s="4" t="s">
        <v>740</v>
      </c>
      <c r="D184" s="3">
        <v>1</v>
      </c>
      <c r="E184" s="3" t="s">
        <v>16</v>
      </c>
      <c r="F184" s="3" t="s">
        <v>702</v>
      </c>
      <c r="G184" s="3" t="s">
        <v>703</v>
      </c>
      <c r="H184" s="3" t="s">
        <v>254</v>
      </c>
    </row>
    <row r="185" spans="1:8" x14ac:dyDescent="0.2">
      <c r="A185" s="3">
        <v>3050303018</v>
      </c>
      <c r="B185" s="4" t="s">
        <v>245</v>
      </c>
      <c r="C185" s="4" t="s">
        <v>613</v>
      </c>
      <c r="D185" s="3">
        <v>1</v>
      </c>
      <c r="E185" s="3" t="s">
        <v>16</v>
      </c>
      <c r="F185" s="3" t="s">
        <v>291</v>
      </c>
      <c r="G185" s="3" t="s">
        <v>26</v>
      </c>
      <c r="H185" s="3" t="s">
        <v>254</v>
      </c>
    </row>
  </sheetData>
  <phoneticPr fontId="2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FBB7E-684F-488A-B9F6-A794F37DEE84}">
  <dimension ref="A1:H183"/>
  <sheetViews>
    <sheetView workbookViewId="0">
      <selection activeCell="D4" sqref="D4"/>
    </sheetView>
  </sheetViews>
  <sheetFormatPr defaultRowHeight="14.25" x14ac:dyDescent="0.2"/>
  <cols>
    <col min="1" max="1" width="11.25" customWidth="1"/>
    <col min="2" max="2" width="12.5" customWidth="1"/>
    <col min="3" max="3" width="19.125" customWidth="1"/>
  </cols>
  <sheetData>
    <row r="1" spans="1:8" ht="23.25" customHeight="1" x14ac:dyDescent="0.2">
      <c r="A1" s="3" t="s">
        <v>755</v>
      </c>
      <c r="B1" s="4"/>
      <c r="C1" s="4"/>
      <c r="D1" s="3"/>
      <c r="E1" s="3"/>
      <c r="F1" s="3"/>
      <c r="G1" s="3"/>
      <c r="H1" s="3"/>
    </row>
    <row r="2" spans="1:8" ht="28.5" x14ac:dyDescent="0.2">
      <c r="A2" s="1" t="s">
        <v>0</v>
      </c>
      <c r="B2" s="2" t="s">
        <v>1</v>
      </c>
      <c r="C2" s="2" t="s">
        <v>2</v>
      </c>
      <c r="D2" s="1" t="s">
        <v>4</v>
      </c>
      <c r="E2" s="1" t="s">
        <v>3</v>
      </c>
      <c r="F2" s="1" t="s">
        <v>5</v>
      </c>
      <c r="G2" s="1" t="s">
        <v>6</v>
      </c>
      <c r="H2" s="1" t="s">
        <v>7</v>
      </c>
    </row>
    <row r="3" spans="1:8" s="10" customFormat="1" x14ac:dyDescent="0.2">
      <c r="A3" s="8" t="s">
        <v>390</v>
      </c>
      <c r="B3" s="9" t="s">
        <v>8</v>
      </c>
      <c r="C3" s="9" t="s">
        <v>9</v>
      </c>
      <c r="D3" s="11">
        <f>0.2914/0.94</f>
        <v>0.31</v>
      </c>
      <c r="E3" s="8" t="s">
        <v>596</v>
      </c>
      <c r="F3" s="8" t="s">
        <v>283</v>
      </c>
      <c r="G3" s="8" t="s">
        <v>13</v>
      </c>
      <c r="H3" s="8" t="s">
        <v>12</v>
      </c>
    </row>
    <row r="4" spans="1:8" x14ac:dyDescent="0.2">
      <c r="A4" s="3">
        <v>402030028</v>
      </c>
      <c r="B4" s="4" t="s">
        <v>107</v>
      </c>
      <c r="C4" s="4" t="s">
        <v>305</v>
      </c>
      <c r="D4" s="3">
        <v>1</v>
      </c>
      <c r="E4" s="3" t="s">
        <v>16</v>
      </c>
      <c r="F4" s="3" t="s">
        <v>289</v>
      </c>
      <c r="G4" s="3" t="s">
        <v>23</v>
      </c>
      <c r="H4" s="3" t="s">
        <v>306</v>
      </c>
    </row>
    <row r="5" spans="1:8" x14ac:dyDescent="0.2">
      <c r="A5" s="3">
        <v>3080503020</v>
      </c>
      <c r="B5" s="4" t="s">
        <v>14</v>
      </c>
      <c r="C5" s="4" t="s">
        <v>15</v>
      </c>
      <c r="D5" s="3">
        <v>2</v>
      </c>
      <c r="E5" s="3" t="s">
        <v>16</v>
      </c>
      <c r="F5" s="3" t="s">
        <v>295</v>
      </c>
      <c r="G5" s="3" t="s">
        <v>17</v>
      </c>
      <c r="H5" s="3" t="s">
        <v>18</v>
      </c>
    </row>
    <row r="6" spans="1:8" x14ac:dyDescent="0.2">
      <c r="A6" s="3">
        <v>3080503019</v>
      </c>
      <c r="B6" s="4" t="s">
        <v>14</v>
      </c>
      <c r="C6" s="4" t="s">
        <v>19</v>
      </c>
      <c r="D6" s="3">
        <v>4</v>
      </c>
      <c r="E6" s="3" t="s">
        <v>16</v>
      </c>
      <c r="F6" s="3" t="s">
        <v>295</v>
      </c>
      <c r="G6" s="3" t="s">
        <v>17</v>
      </c>
      <c r="H6" s="3" t="s">
        <v>18</v>
      </c>
    </row>
    <row r="7" spans="1:8" x14ac:dyDescent="0.2">
      <c r="A7" s="3">
        <v>3080503001</v>
      </c>
      <c r="B7" s="4" t="s">
        <v>14</v>
      </c>
      <c r="C7" s="4" t="s">
        <v>20</v>
      </c>
      <c r="D7" s="3">
        <v>4</v>
      </c>
      <c r="E7" s="3" t="s">
        <v>16</v>
      </c>
      <c r="F7" s="3" t="s">
        <v>295</v>
      </c>
      <c r="G7" s="3" t="s">
        <v>17</v>
      </c>
      <c r="H7" s="3" t="s">
        <v>18</v>
      </c>
    </row>
    <row r="8" spans="1:8" x14ac:dyDescent="0.2">
      <c r="A8" s="3">
        <v>3030215001</v>
      </c>
      <c r="B8" s="4" t="s">
        <v>24</v>
      </c>
      <c r="C8" s="4" t="s">
        <v>25</v>
      </c>
      <c r="D8" s="3">
        <v>2</v>
      </c>
      <c r="E8" s="3" t="s">
        <v>16</v>
      </c>
      <c r="F8" s="3" t="s">
        <v>291</v>
      </c>
      <c r="G8" s="3" t="s">
        <v>26</v>
      </c>
      <c r="H8" s="3" t="s">
        <v>18</v>
      </c>
    </row>
    <row r="9" spans="1:8" x14ac:dyDescent="0.2">
      <c r="A9" s="3">
        <v>3040211003</v>
      </c>
      <c r="B9" s="4" t="s">
        <v>157</v>
      </c>
      <c r="C9" s="4" t="s">
        <v>307</v>
      </c>
      <c r="D9" s="3">
        <v>2</v>
      </c>
      <c r="E9" s="3" t="s">
        <v>16</v>
      </c>
      <c r="F9" s="3" t="s">
        <v>293</v>
      </c>
      <c r="G9" s="3" t="s">
        <v>29</v>
      </c>
      <c r="H9" s="3" t="s">
        <v>18</v>
      </c>
    </row>
    <row r="10" spans="1:8" x14ac:dyDescent="0.2">
      <c r="A10" s="3">
        <v>404020065</v>
      </c>
      <c r="B10" s="4" t="s">
        <v>30</v>
      </c>
      <c r="C10" s="4" t="s">
        <v>750</v>
      </c>
      <c r="D10" s="3">
        <v>1</v>
      </c>
      <c r="E10" s="3" t="s">
        <v>16</v>
      </c>
      <c r="F10" s="3" t="s">
        <v>301</v>
      </c>
      <c r="G10" s="3" t="s">
        <v>32</v>
      </c>
      <c r="H10" s="3" t="s">
        <v>33</v>
      </c>
    </row>
    <row r="11" spans="1:8" x14ac:dyDescent="0.2">
      <c r="A11" s="3">
        <v>401020083</v>
      </c>
      <c r="B11" s="4" t="s">
        <v>35</v>
      </c>
      <c r="C11" s="4" t="s">
        <v>751</v>
      </c>
      <c r="D11" s="3">
        <v>1</v>
      </c>
      <c r="E11" s="3" t="s">
        <v>16</v>
      </c>
      <c r="F11" s="3" t="s">
        <v>301</v>
      </c>
      <c r="G11" s="3" t="s">
        <v>32</v>
      </c>
      <c r="H11" s="3" t="s">
        <v>33</v>
      </c>
    </row>
    <row r="12" spans="1:8" x14ac:dyDescent="0.2">
      <c r="A12" s="3">
        <v>401040058</v>
      </c>
      <c r="B12" s="4" t="s">
        <v>35</v>
      </c>
      <c r="C12" s="4" t="s">
        <v>752</v>
      </c>
      <c r="D12" s="3">
        <v>1</v>
      </c>
      <c r="E12" s="3" t="s">
        <v>16</v>
      </c>
      <c r="F12" s="3" t="s">
        <v>301</v>
      </c>
      <c r="G12" s="3" t="s">
        <v>32</v>
      </c>
      <c r="H12" s="3" t="s">
        <v>33</v>
      </c>
    </row>
    <row r="13" spans="1:8" x14ac:dyDescent="0.2">
      <c r="A13" s="3">
        <v>401040005</v>
      </c>
      <c r="B13" s="4" t="s">
        <v>35</v>
      </c>
      <c r="C13" s="4" t="s">
        <v>753</v>
      </c>
      <c r="D13" s="3">
        <v>1</v>
      </c>
      <c r="E13" s="3" t="s">
        <v>16</v>
      </c>
      <c r="F13" s="3" t="s">
        <v>293</v>
      </c>
      <c r="G13" s="3" t="s">
        <v>29</v>
      </c>
      <c r="H13" s="3" t="s">
        <v>33</v>
      </c>
    </row>
    <row r="14" spans="1:8" x14ac:dyDescent="0.2">
      <c r="A14" s="3">
        <v>401040028</v>
      </c>
      <c r="B14" s="4" t="s">
        <v>35</v>
      </c>
      <c r="C14" s="4" t="s">
        <v>37</v>
      </c>
      <c r="D14" s="3">
        <v>1</v>
      </c>
      <c r="E14" s="3" t="s">
        <v>16</v>
      </c>
      <c r="F14" s="3" t="s">
        <v>291</v>
      </c>
      <c r="G14" s="3" t="s">
        <v>26</v>
      </c>
      <c r="H14" s="3" t="s">
        <v>33</v>
      </c>
    </row>
    <row r="15" spans="1:8" x14ac:dyDescent="0.2">
      <c r="A15" s="3">
        <v>3080401023</v>
      </c>
      <c r="B15" s="4" t="s">
        <v>41</v>
      </c>
      <c r="C15" s="4" t="s">
        <v>699</v>
      </c>
      <c r="D15" s="3">
        <v>2</v>
      </c>
      <c r="E15" s="3" t="s">
        <v>16</v>
      </c>
      <c r="F15" s="3" t="s">
        <v>289</v>
      </c>
      <c r="G15" s="3" t="s">
        <v>23</v>
      </c>
      <c r="H15" s="3" t="s">
        <v>40</v>
      </c>
    </row>
    <row r="16" spans="1:8" x14ac:dyDescent="0.2">
      <c r="A16" s="3">
        <v>3080401006</v>
      </c>
      <c r="B16" s="4" t="s">
        <v>41</v>
      </c>
      <c r="C16" s="4" t="s">
        <v>44</v>
      </c>
      <c r="D16" s="3">
        <v>1</v>
      </c>
      <c r="E16" s="3" t="s">
        <v>16</v>
      </c>
      <c r="F16" s="3" t="s">
        <v>295</v>
      </c>
      <c r="G16" s="3" t="s">
        <v>17</v>
      </c>
      <c r="H16" s="3" t="s">
        <v>40</v>
      </c>
    </row>
    <row r="17" spans="1:8" x14ac:dyDescent="0.2">
      <c r="A17" s="3">
        <v>3080401008</v>
      </c>
      <c r="B17" s="4" t="s">
        <v>41</v>
      </c>
      <c r="C17" s="4" t="s">
        <v>700</v>
      </c>
      <c r="D17" s="3">
        <v>2</v>
      </c>
      <c r="E17" s="3" t="s">
        <v>16</v>
      </c>
      <c r="F17" s="3" t="s">
        <v>317</v>
      </c>
      <c r="G17" s="3" t="s">
        <v>318</v>
      </c>
      <c r="H17" s="3" t="s">
        <v>40</v>
      </c>
    </row>
    <row r="18" spans="1:8" x14ac:dyDescent="0.2">
      <c r="A18" s="3">
        <v>3080401012</v>
      </c>
      <c r="B18" s="4" t="s">
        <v>41</v>
      </c>
      <c r="C18" s="4" t="s">
        <v>42</v>
      </c>
      <c r="D18" s="3">
        <v>3</v>
      </c>
      <c r="E18" s="3" t="s">
        <v>16</v>
      </c>
      <c r="F18" s="3" t="s">
        <v>291</v>
      </c>
      <c r="G18" s="3" t="s">
        <v>26</v>
      </c>
      <c r="H18" s="3" t="s">
        <v>40</v>
      </c>
    </row>
    <row r="19" spans="1:8" x14ac:dyDescent="0.2">
      <c r="A19" s="3">
        <v>3080401005</v>
      </c>
      <c r="B19" s="4" t="s">
        <v>41</v>
      </c>
      <c r="C19" s="4" t="s">
        <v>43</v>
      </c>
      <c r="D19" s="3">
        <v>12</v>
      </c>
      <c r="E19" s="3" t="s">
        <v>16</v>
      </c>
      <c r="F19" s="3" t="s">
        <v>291</v>
      </c>
      <c r="G19" s="3" t="s">
        <v>26</v>
      </c>
      <c r="H19" s="3" t="s">
        <v>40</v>
      </c>
    </row>
    <row r="20" spans="1:8" x14ac:dyDescent="0.2">
      <c r="A20" s="3">
        <v>3080104081</v>
      </c>
      <c r="B20" s="4" t="s">
        <v>45</v>
      </c>
      <c r="C20" s="4" t="s">
        <v>701</v>
      </c>
      <c r="D20" s="3">
        <v>2</v>
      </c>
      <c r="E20" s="3" t="s">
        <v>16</v>
      </c>
      <c r="F20" s="3" t="s">
        <v>289</v>
      </c>
      <c r="G20" s="3" t="s">
        <v>23</v>
      </c>
      <c r="H20" s="3" t="s">
        <v>40</v>
      </c>
    </row>
    <row r="21" spans="1:8" x14ac:dyDescent="0.2">
      <c r="A21" s="3">
        <v>3080104050</v>
      </c>
      <c r="B21" s="4" t="s">
        <v>45</v>
      </c>
      <c r="C21" s="4" t="s">
        <v>49</v>
      </c>
      <c r="D21" s="3">
        <v>4</v>
      </c>
      <c r="E21" s="3" t="s">
        <v>16</v>
      </c>
      <c r="F21" s="3" t="s">
        <v>295</v>
      </c>
      <c r="G21" s="3" t="s">
        <v>17</v>
      </c>
      <c r="H21" s="3" t="s">
        <v>40</v>
      </c>
    </row>
    <row r="22" spans="1:8" x14ac:dyDescent="0.2">
      <c r="A22" s="3">
        <v>3080104014</v>
      </c>
      <c r="B22" s="4" t="s">
        <v>45</v>
      </c>
      <c r="C22" s="4" t="s">
        <v>312</v>
      </c>
      <c r="D22" s="3">
        <v>2</v>
      </c>
      <c r="E22" s="3" t="s">
        <v>16</v>
      </c>
      <c r="F22" s="3" t="s">
        <v>293</v>
      </c>
      <c r="G22" s="3" t="s">
        <v>29</v>
      </c>
      <c r="H22" s="3" t="s">
        <v>40</v>
      </c>
    </row>
    <row r="23" spans="1:8" x14ac:dyDescent="0.2">
      <c r="A23" s="3">
        <v>3080104076</v>
      </c>
      <c r="B23" s="4" t="s">
        <v>45</v>
      </c>
      <c r="C23" s="4" t="s">
        <v>313</v>
      </c>
      <c r="D23" s="3">
        <v>8</v>
      </c>
      <c r="E23" s="3" t="s">
        <v>16</v>
      </c>
      <c r="F23" s="3" t="s">
        <v>293</v>
      </c>
      <c r="G23" s="3" t="s">
        <v>29</v>
      </c>
      <c r="H23" s="3" t="s">
        <v>40</v>
      </c>
    </row>
    <row r="24" spans="1:8" x14ac:dyDescent="0.2">
      <c r="A24" s="3">
        <v>3080104081</v>
      </c>
      <c r="B24" s="4" t="s">
        <v>45</v>
      </c>
      <c r="C24" s="4" t="s">
        <v>701</v>
      </c>
      <c r="D24" s="3">
        <v>2</v>
      </c>
      <c r="E24" s="3" t="s">
        <v>16</v>
      </c>
      <c r="F24" s="3" t="s">
        <v>702</v>
      </c>
      <c r="G24" s="3" t="s">
        <v>703</v>
      </c>
      <c r="H24" s="3" t="s">
        <v>40</v>
      </c>
    </row>
    <row r="25" spans="1:8" x14ac:dyDescent="0.2">
      <c r="A25" s="3">
        <v>3080104020</v>
      </c>
      <c r="B25" s="4" t="s">
        <v>45</v>
      </c>
      <c r="C25" s="4" t="s">
        <v>46</v>
      </c>
      <c r="D25" s="3">
        <v>4</v>
      </c>
      <c r="E25" s="3" t="s">
        <v>16</v>
      </c>
      <c r="F25" s="3" t="s">
        <v>291</v>
      </c>
      <c r="G25" s="3" t="s">
        <v>26</v>
      </c>
      <c r="H25" s="3" t="s">
        <v>40</v>
      </c>
    </row>
    <row r="26" spans="1:8" x14ac:dyDescent="0.2">
      <c r="A26" s="3">
        <v>3080104019</v>
      </c>
      <c r="B26" s="4" t="s">
        <v>45</v>
      </c>
      <c r="C26" s="4" t="s">
        <v>47</v>
      </c>
      <c r="D26" s="3">
        <v>2</v>
      </c>
      <c r="E26" s="3" t="s">
        <v>16</v>
      </c>
      <c r="F26" s="3" t="s">
        <v>291</v>
      </c>
      <c r="G26" s="3" t="s">
        <v>26</v>
      </c>
      <c r="H26" s="3" t="s">
        <v>40</v>
      </c>
    </row>
    <row r="27" spans="1:8" x14ac:dyDescent="0.2">
      <c r="A27" s="3">
        <v>3080104010</v>
      </c>
      <c r="B27" s="4" t="s">
        <v>45</v>
      </c>
      <c r="C27" s="4" t="s">
        <v>48</v>
      </c>
      <c r="D27" s="3">
        <v>4</v>
      </c>
      <c r="E27" s="3" t="s">
        <v>16</v>
      </c>
      <c r="F27" s="3" t="s">
        <v>291</v>
      </c>
      <c r="G27" s="3" t="s">
        <v>26</v>
      </c>
      <c r="H27" s="3" t="s">
        <v>40</v>
      </c>
    </row>
    <row r="28" spans="1:8" x14ac:dyDescent="0.2">
      <c r="A28" s="3">
        <v>3080105114</v>
      </c>
      <c r="B28" s="4" t="s">
        <v>50</v>
      </c>
      <c r="C28" s="4" t="s">
        <v>53</v>
      </c>
      <c r="D28" s="3">
        <v>5</v>
      </c>
      <c r="E28" s="3" t="s">
        <v>16</v>
      </c>
      <c r="F28" s="3" t="s">
        <v>289</v>
      </c>
      <c r="G28" s="3" t="s">
        <v>23</v>
      </c>
      <c r="H28" s="3" t="s">
        <v>40</v>
      </c>
    </row>
    <row r="29" spans="1:8" x14ac:dyDescent="0.2">
      <c r="A29" s="3">
        <v>3080105114</v>
      </c>
      <c r="B29" s="4" t="s">
        <v>50</v>
      </c>
      <c r="C29" s="4" t="s">
        <v>53</v>
      </c>
      <c r="D29" s="3">
        <v>4</v>
      </c>
      <c r="E29" s="3" t="s">
        <v>16</v>
      </c>
      <c r="F29" s="3" t="s">
        <v>289</v>
      </c>
      <c r="G29" s="3" t="s">
        <v>23</v>
      </c>
      <c r="H29" s="3" t="s">
        <v>40</v>
      </c>
    </row>
    <row r="30" spans="1:8" x14ac:dyDescent="0.2">
      <c r="A30" s="3">
        <v>3080105004</v>
      </c>
      <c r="B30" s="4" t="s">
        <v>50</v>
      </c>
      <c r="C30" s="4" t="s">
        <v>54</v>
      </c>
      <c r="D30" s="3">
        <v>6</v>
      </c>
      <c r="E30" s="3" t="s">
        <v>16</v>
      </c>
      <c r="F30" s="3" t="s">
        <v>289</v>
      </c>
      <c r="G30" s="3" t="s">
        <v>23</v>
      </c>
      <c r="H30" s="3" t="s">
        <v>40</v>
      </c>
    </row>
    <row r="31" spans="1:8" x14ac:dyDescent="0.2">
      <c r="A31" s="3">
        <v>3080105013</v>
      </c>
      <c r="B31" s="4" t="s">
        <v>50</v>
      </c>
      <c r="C31" s="4" t="s">
        <v>51</v>
      </c>
      <c r="D31" s="3">
        <v>4</v>
      </c>
      <c r="E31" s="3" t="s">
        <v>16</v>
      </c>
      <c r="F31" s="3" t="s">
        <v>293</v>
      </c>
      <c r="G31" s="3" t="s">
        <v>29</v>
      </c>
      <c r="H31" s="3" t="s">
        <v>40</v>
      </c>
    </row>
    <row r="32" spans="1:8" x14ac:dyDescent="0.2">
      <c r="A32" s="3">
        <v>3080105004</v>
      </c>
      <c r="B32" s="4" t="s">
        <v>50</v>
      </c>
      <c r="C32" s="4" t="s">
        <v>54</v>
      </c>
      <c r="D32" s="3">
        <v>4</v>
      </c>
      <c r="E32" s="3" t="s">
        <v>16</v>
      </c>
      <c r="F32" s="3" t="s">
        <v>293</v>
      </c>
      <c r="G32" s="3" t="s">
        <v>29</v>
      </c>
      <c r="H32" s="3" t="s">
        <v>40</v>
      </c>
    </row>
    <row r="33" spans="1:8" x14ac:dyDescent="0.2">
      <c r="A33" s="3">
        <v>3080105068</v>
      </c>
      <c r="B33" s="4" t="s">
        <v>50</v>
      </c>
      <c r="C33" s="4" t="s">
        <v>314</v>
      </c>
      <c r="D33" s="3">
        <v>10</v>
      </c>
      <c r="E33" s="3" t="s">
        <v>16</v>
      </c>
      <c r="F33" s="3" t="s">
        <v>293</v>
      </c>
      <c r="G33" s="3" t="s">
        <v>29</v>
      </c>
      <c r="H33" s="3" t="s">
        <v>40</v>
      </c>
    </row>
    <row r="34" spans="1:8" x14ac:dyDescent="0.2">
      <c r="A34" s="3">
        <v>3080105007</v>
      </c>
      <c r="B34" s="4" t="s">
        <v>50</v>
      </c>
      <c r="C34" s="4" t="s">
        <v>52</v>
      </c>
      <c r="D34" s="3">
        <v>2</v>
      </c>
      <c r="E34" s="3" t="s">
        <v>16</v>
      </c>
      <c r="F34" s="3" t="s">
        <v>293</v>
      </c>
      <c r="G34" s="3" t="s">
        <v>29</v>
      </c>
      <c r="H34" s="3" t="s">
        <v>40</v>
      </c>
    </row>
    <row r="35" spans="1:8" x14ac:dyDescent="0.2">
      <c r="A35" s="3">
        <v>3080105078</v>
      </c>
      <c r="B35" s="4" t="s">
        <v>50</v>
      </c>
      <c r="C35" s="4" t="s">
        <v>315</v>
      </c>
      <c r="D35" s="3">
        <v>2</v>
      </c>
      <c r="E35" s="3" t="s">
        <v>16</v>
      </c>
      <c r="F35" s="3" t="s">
        <v>293</v>
      </c>
      <c r="G35" s="3" t="s">
        <v>29</v>
      </c>
      <c r="H35" s="3" t="s">
        <v>40</v>
      </c>
    </row>
    <row r="36" spans="1:8" x14ac:dyDescent="0.2">
      <c r="A36" s="3">
        <v>3080105121</v>
      </c>
      <c r="B36" s="4" t="s">
        <v>50</v>
      </c>
      <c r="C36" s="4" t="s">
        <v>316</v>
      </c>
      <c r="D36" s="3">
        <v>2</v>
      </c>
      <c r="E36" s="3" t="s">
        <v>16</v>
      </c>
      <c r="F36" s="3" t="s">
        <v>317</v>
      </c>
      <c r="G36" s="3" t="s">
        <v>318</v>
      </c>
      <c r="H36" s="3" t="s">
        <v>40</v>
      </c>
    </row>
    <row r="37" spans="1:8" x14ac:dyDescent="0.2">
      <c r="A37" s="3">
        <v>3080105021</v>
      </c>
      <c r="B37" s="4" t="s">
        <v>50</v>
      </c>
      <c r="C37" s="4" t="s">
        <v>319</v>
      </c>
      <c r="D37" s="3">
        <v>8</v>
      </c>
      <c r="E37" s="3" t="s">
        <v>16</v>
      </c>
      <c r="F37" s="3" t="s">
        <v>317</v>
      </c>
      <c r="G37" s="3" t="s">
        <v>318</v>
      </c>
      <c r="H37" s="3" t="s">
        <v>40</v>
      </c>
    </row>
    <row r="38" spans="1:8" x14ac:dyDescent="0.2">
      <c r="A38" s="3">
        <v>3080105114</v>
      </c>
      <c r="B38" s="4" t="s">
        <v>50</v>
      </c>
      <c r="C38" s="4" t="s">
        <v>53</v>
      </c>
      <c r="D38" s="3">
        <v>6</v>
      </c>
      <c r="E38" s="3" t="s">
        <v>16</v>
      </c>
      <c r="F38" s="3" t="s">
        <v>702</v>
      </c>
      <c r="G38" s="3" t="s">
        <v>703</v>
      </c>
      <c r="H38" s="3" t="s">
        <v>40</v>
      </c>
    </row>
    <row r="39" spans="1:8" x14ac:dyDescent="0.2">
      <c r="A39" s="3">
        <v>3080105114</v>
      </c>
      <c r="B39" s="4" t="s">
        <v>50</v>
      </c>
      <c r="C39" s="4" t="s">
        <v>53</v>
      </c>
      <c r="D39" s="3">
        <v>3</v>
      </c>
      <c r="E39" s="3" t="s">
        <v>16</v>
      </c>
      <c r="F39" s="3" t="s">
        <v>702</v>
      </c>
      <c r="G39" s="3" t="s">
        <v>703</v>
      </c>
      <c r="H39" s="3" t="s">
        <v>40</v>
      </c>
    </row>
    <row r="40" spans="1:8" x14ac:dyDescent="0.2">
      <c r="A40" s="3">
        <v>3080105013</v>
      </c>
      <c r="B40" s="4" t="s">
        <v>50</v>
      </c>
      <c r="C40" s="4" t="s">
        <v>51</v>
      </c>
      <c r="D40" s="3">
        <v>2</v>
      </c>
      <c r="E40" s="3" t="s">
        <v>16</v>
      </c>
      <c r="F40" s="3" t="s">
        <v>291</v>
      </c>
      <c r="G40" s="3" t="s">
        <v>26</v>
      </c>
      <c r="H40" s="3" t="s">
        <v>40</v>
      </c>
    </row>
    <row r="41" spans="1:8" x14ac:dyDescent="0.2">
      <c r="A41" s="3">
        <v>3080502002</v>
      </c>
      <c r="B41" s="4" t="s">
        <v>55</v>
      </c>
      <c r="C41" s="4" t="s">
        <v>56</v>
      </c>
      <c r="D41" s="3">
        <v>4</v>
      </c>
      <c r="E41" s="3" t="s">
        <v>16</v>
      </c>
      <c r="F41" s="3" t="s">
        <v>293</v>
      </c>
      <c r="G41" s="3" t="s">
        <v>29</v>
      </c>
      <c r="H41" s="3" t="s">
        <v>40</v>
      </c>
    </row>
    <row r="42" spans="1:8" x14ac:dyDescent="0.2">
      <c r="A42" s="3">
        <v>3080502002</v>
      </c>
      <c r="B42" s="4" t="s">
        <v>55</v>
      </c>
      <c r="C42" s="4" t="s">
        <v>56</v>
      </c>
      <c r="D42" s="3">
        <v>1</v>
      </c>
      <c r="E42" s="3" t="s">
        <v>16</v>
      </c>
      <c r="F42" s="3" t="s">
        <v>317</v>
      </c>
      <c r="G42" s="3" t="s">
        <v>318</v>
      </c>
      <c r="H42" s="3" t="s">
        <v>40</v>
      </c>
    </row>
    <row r="43" spans="1:8" x14ac:dyDescent="0.2">
      <c r="A43" s="3">
        <v>3080201012</v>
      </c>
      <c r="B43" s="4" t="s">
        <v>60</v>
      </c>
      <c r="C43" s="4" t="s">
        <v>320</v>
      </c>
      <c r="D43" s="3">
        <v>1</v>
      </c>
      <c r="E43" s="3" t="s">
        <v>16</v>
      </c>
      <c r="F43" s="3" t="s">
        <v>289</v>
      </c>
      <c r="G43" s="3" t="s">
        <v>23</v>
      </c>
      <c r="H43" s="3" t="s">
        <v>40</v>
      </c>
    </row>
    <row r="44" spans="1:8" x14ac:dyDescent="0.2">
      <c r="A44" s="3">
        <v>3080201004</v>
      </c>
      <c r="B44" s="4" t="s">
        <v>60</v>
      </c>
      <c r="C44" s="4" t="s">
        <v>61</v>
      </c>
      <c r="D44" s="3">
        <v>4</v>
      </c>
      <c r="E44" s="3" t="s">
        <v>16</v>
      </c>
      <c r="F44" s="3" t="s">
        <v>295</v>
      </c>
      <c r="G44" s="3" t="s">
        <v>17</v>
      </c>
      <c r="H44" s="3" t="s">
        <v>40</v>
      </c>
    </row>
    <row r="45" spans="1:8" x14ac:dyDescent="0.2">
      <c r="A45" s="3">
        <v>3080201007</v>
      </c>
      <c r="B45" s="4" t="s">
        <v>60</v>
      </c>
      <c r="C45" s="4" t="s">
        <v>62</v>
      </c>
      <c r="D45" s="3">
        <v>1</v>
      </c>
      <c r="E45" s="3" t="s">
        <v>16</v>
      </c>
      <c r="F45" s="3" t="s">
        <v>295</v>
      </c>
      <c r="G45" s="3" t="s">
        <v>17</v>
      </c>
      <c r="H45" s="3" t="s">
        <v>40</v>
      </c>
    </row>
    <row r="46" spans="1:8" x14ac:dyDescent="0.2">
      <c r="A46" s="3">
        <v>3080201008</v>
      </c>
      <c r="B46" s="4" t="s">
        <v>60</v>
      </c>
      <c r="C46" s="4" t="s">
        <v>63</v>
      </c>
      <c r="D46" s="3">
        <v>1</v>
      </c>
      <c r="E46" s="3" t="s">
        <v>16</v>
      </c>
      <c r="F46" s="3" t="s">
        <v>295</v>
      </c>
      <c r="G46" s="3" t="s">
        <v>17</v>
      </c>
      <c r="H46" s="3" t="s">
        <v>40</v>
      </c>
    </row>
    <row r="47" spans="1:8" x14ac:dyDescent="0.2">
      <c r="A47" s="3">
        <v>3080201010</v>
      </c>
      <c r="B47" s="4" t="s">
        <v>60</v>
      </c>
      <c r="C47" s="4" t="s">
        <v>64</v>
      </c>
      <c r="D47" s="3">
        <v>1</v>
      </c>
      <c r="E47" s="3" t="s">
        <v>16</v>
      </c>
      <c r="F47" s="3" t="s">
        <v>295</v>
      </c>
      <c r="G47" s="3" t="s">
        <v>17</v>
      </c>
      <c r="H47" s="3" t="s">
        <v>40</v>
      </c>
    </row>
    <row r="48" spans="1:8" x14ac:dyDescent="0.2">
      <c r="A48" s="3">
        <v>3080201015</v>
      </c>
      <c r="B48" s="4" t="s">
        <v>60</v>
      </c>
      <c r="C48" s="4" t="s">
        <v>65</v>
      </c>
      <c r="D48" s="3">
        <v>2</v>
      </c>
      <c r="E48" s="3" t="s">
        <v>16</v>
      </c>
      <c r="F48" s="3" t="s">
        <v>295</v>
      </c>
      <c r="G48" s="3" t="s">
        <v>17</v>
      </c>
      <c r="H48" s="3" t="s">
        <v>40</v>
      </c>
    </row>
    <row r="49" spans="1:8" x14ac:dyDescent="0.2">
      <c r="A49" s="3">
        <v>3080201012</v>
      </c>
      <c r="B49" s="4" t="s">
        <v>60</v>
      </c>
      <c r="C49" s="4" t="s">
        <v>320</v>
      </c>
      <c r="D49" s="3">
        <v>1</v>
      </c>
      <c r="E49" s="3" t="s">
        <v>16</v>
      </c>
      <c r="F49" s="3" t="s">
        <v>317</v>
      </c>
      <c r="G49" s="3" t="s">
        <v>318</v>
      </c>
      <c r="H49" s="3" t="s">
        <v>40</v>
      </c>
    </row>
    <row r="50" spans="1:8" x14ac:dyDescent="0.2">
      <c r="A50" s="3">
        <v>3080201012</v>
      </c>
      <c r="B50" s="4" t="s">
        <v>60</v>
      </c>
      <c r="C50" s="4" t="s">
        <v>320</v>
      </c>
      <c r="D50" s="3">
        <v>1</v>
      </c>
      <c r="E50" s="3" t="s">
        <v>16</v>
      </c>
      <c r="F50" s="3" t="s">
        <v>702</v>
      </c>
      <c r="G50" s="3" t="s">
        <v>703</v>
      </c>
      <c r="H50" s="3" t="s">
        <v>40</v>
      </c>
    </row>
    <row r="51" spans="1:8" x14ac:dyDescent="0.2">
      <c r="A51" s="3">
        <v>3080106009</v>
      </c>
      <c r="B51" s="4" t="s">
        <v>66</v>
      </c>
      <c r="C51" s="4" t="s">
        <v>67</v>
      </c>
      <c r="D51" s="3">
        <v>1</v>
      </c>
      <c r="E51" s="3" t="s">
        <v>16</v>
      </c>
      <c r="F51" s="3" t="s">
        <v>295</v>
      </c>
      <c r="G51" s="3" t="s">
        <v>17</v>
      </c>
      <c r="H51" s="3" t="s">
        <v>40</v>
      </c>
    </row>
    <row r="52" spans="1:8" x14ac:dyDescent="0.2">
      <c r="A52" s="3">
        <v>3080106007</v>
      </c>
      <c r="B52" s="4" t="s">
        <v>66</v>
      </c>
      <c r="C52" s="4" t="s">
        <v>68</v>
      </c>
      <c r="D52" s="3">
        <v>1</v>
      </c>
      <c r="E52" s="3" t="s">
        <v>16</v>
      </c>
      <c r="F52" s="3" t="s">
        <v>295</v>
      </c>
      <c r="G52" s="3" t="s">
        <v>17</v>
      </c>
      <c r="H52" s="3" t="s">
        <v>40</v>
      </c>
    </row>
    <row r="53" spans="1:8" x14ac:dyDescent="0.2">
      <c r="A53" s="3">
        <v>3080107089</v>
      </c>
      <c r="B53" s="4" t="s">
        <v>69</v>
      </c>
      <c r="C53" s="4" t="s">
        <v>704</v>
      </c>
      <c r="D53" s="3">
        <v>1</v>
      </c>
      <c r="E53" s="3" t="s">
        <v>16</v>
      </c>
      <c r="F53" s="3" t="s">
        <v>289</v>
      </c>
      <c r="G53" s="3" t="s">
        <v>23</v>
      </c>
      <c r="H53" s="3" t="s">
        <v>40</v>
      </c>
    </row>
    <row r="54" spans="1:8" x14ac:dyDescent="0.2">
      <c r="A54" s="3">
        <v>3080107112</v>
      </c>
      <c r="B54" s="4" t="s">
        <v>69</v>
      </c>
      <c r="C54" s="4" t="s">
        <v>705</v>
      </c>
      <c r="D54" s="3">
        <v>2</v>
      </c>
      <c r="E54" s="3" t="s">
        <v>16</v>
      </c>
      <c r="F54" s="3" t="s">
        <v>289</v>
      </c>
      <c r="G54" s="3" t="s">
        <v>23</v>
      </c>
      <c r="H54" s="3" t="s">
        <v>40</v>
      </c>
    </row>
    <row r="55" spans="1:8" x14ac:dyDescent="0.2">
      <c r="A55" s="3">
        <v>3080107031</v>
      </c>
      <c r="B55" s="4" t="s">
        <v>69</v>
      </c>
      <c r="C55" s="4" t="s">
        <v>71</v>
      </c>
      <c r="D55" s="3">
        <v>2</v>
      </c>
      <c r="E55" s="3" t="s">
        <v>16</v>
      </c>
      <c r="F55" s="3" t="s">
        <v>295</v>
      </c>
      <c r="G55" s="3" t="s">
        <v>17</v>
      </c>
      <c r="H55" s="3" t="s">
        <v>40</v>
      </c>
    </row>
    <row r="56" spans="1:8" x14ac:dyDescent="0.2">
      <c r="A56" s="3">
        <v>3080107120</v>
      </c>
      <c r="B56" s="4" t="s">
        <v>69</v>
      </c>
      <c r="C56" s="4" t="s">
        <v>74</v>
      </c>
      <c r="D56" s="3">
        <v>1</v>
      </c>
      <c r="E56" s="3" t="s">
        <v>16</v>
      </c>
      <c r="F56" s="3" t="s">
        <v>295</v>
      </c>
      <c r="G56" s="3" t="s">
        <v>17</v>
      </c>
      <c r="H56" s="3" t="s">
        <v>40</v>
      </c>
    </row>
    <row r="57" spans="1:8" x14ac:dyDescent="0.2">
      <c r="A57" s="3">
        <v>3080107121</v>
      </c>
      <c r="B57" s="4" t="s">
        <v>69</v>
      </c>
      <c r="C57" s="4" t="s">
        <v>75</v>
      </c>
      <c r="D57" s="3">
        <v>1</v>
      </c>
      <c r="E57" s="3" t="s">
        <v>16</v>
      </c>
      <c r="F57" s="3" t="s">
        <v>295</v>
      </c>
      <c r="G57" s="3" t="s">
        <v>17</v>
      </c>
      <c r="H57" s="3" t="s">
        <v>40</v>
      </c>
    </row>
    <row r="58" spans="1:8" x14ac:dyDescent="0.2">
      <c r="A58" s="3">
        <v>3080107031</v>
      </c>
      <c r="B58" s="4" t="s">
        <v>69</v>
      </c>
      <c r="C58" s="4" t="s">
        <v>71</v>
      </c>
      <c r="D58" s="3">
        <v>4</v>
      </c>
      <c r="E58" s="3" t="s">
        <v>16</v>
      </c>
      <c r="F58" s="3" t="s">
        <v>295</v>
      </c>
      <c r="G58" s="3" t="s">
        <v>17</v>
      </c>
      <c r="H58" s="3" t="s">
        <v>40</v>
      </c>
    </row>
    <row r="59" spans="1:8" x14ac:dyDescent="0.2">
      <c r="A59" s="3">
        <v>3080107130</v>
      </c>
      <c r="B59" s="4" t="s">
        <v>69</v>
      </c>
      <c r="C59" s="4" t="s">
        <v>70</v>
      </c>
      <c r="D59" s="3">
        <v>4</v>
      </c>
      <c r="E59" s="3" t="s">
        <v>16</v>
      </c>
      <c r="F59" s="3" t="s">
        <v>293</v>
      </c>
      <c r="G59" s="3" t="s">
        <v>29</v>
      </c>
      <c r="H59" s="3" t="s">
        <v>40</v>
      </c>
    </row>
    <row r="60" spans="1:8" x14ac:dyDescent="0.2">
      <c r="A60" s="3">
        <v>3080107284</v>
      </c>
      <c r="B60" s="4" t="s">
        <v>69</v>
      </c>
      <c r="C60" s="4" t="s">
        <v>706</v>
      </c>
      <c r="D60" s="3">
        <v>1</v>
      </c>
      <c r="E60" s="3" t="s">
        <v>16</v>
      </c>
      <c r="F60" s="3" t="s">
        <v>317</v>
      </c>
      <c r="G60" s="3" t="s">
        <v>318</v>
      </c>
      <c r="H60" s="3" t="s">
        <v>40</v>
      </c>
    </row>
    <row r="61" spans="1:8" x14ac:dyDescent="0.2">
      <c r="A61" s="3">
        <v>3080107284</v>
      </c>
      <c r="B61" s="4" t="s">
        <v>69</v>
      </c>
      <c r="C61" s="4" t="s">
        <v>706</v>
      </c>
      <c r="D61" s="3">
        <v>1</v>
      </c>
      <c r="E61" s="3" t="s">
        <v>16</v>
      </c>
      <c r="F61" s="3" t="s">
        <v>702</v>
      </c>
      <c r="G61" s="3" t="s">
        <v>703</v>
      </c>
      <c r="H61" s="3" t="s">
        <v>40</v>
      </c>
    </row>
    <row r="62" spans="1:8" x14ac:dyDescent="0.2">
      <c r="A62" s="3">
        <v>3080107015</v>
      </c>
      <c r="B62" s="4" t="s">
        <v>69</v>
      </c>
      <c r="C62" s="4" t="s">
        <v>73</v>
      </c>
      <c r="D62" s="3">
        <v>6</v>
      </c>
      <c r="E62" s="3" t="s">
        <v>16</v>
      </c>
      <c r="F62" s="3" t="s">
        <v>291</v>
      </c>
      <c r="G62" s="3" t="s">
        <v>26</v>
      </c>
      <c r="H62" s="3" t="s">
        <v>40</v>
      </c>
    </row>
    <row r="63" spans="1:8" x14ac:dyDescent="0.2">
      <c r="A63" s="3">
        <v>3080108003</v>
      </c>
      <c r="B63" s="4" t="s">
        <v>77</v>
      </c>
      <c r="C63" s="4" t="s">
        <v>78</v>
      </c>
      <c r="D63" s="3">
        <v>1</v>
      </c>
      <c r="E63" s="3" t="s">
        <v>16</v>
      </c>
      <c r="F63" s="3" t="s">
        <v>295</v>
      </c>
      <c r="G63" s="3" t="s">
        <v>17</v>
      </c>
      <c r="H63" s="3" t="s">
        <v>40</v>
      </c>
    </row>
    <row r="64" spans="1:8" x14ac:dyDescent="0.2">
      <c r="A64" s="3">
        <v>3080108011</v>
      </c>
      <c r="B64" s="4" t="s">
        <v>77</v>
      </c>
      <c r="C64" s="4" t="s">
        <v>323</v>
      </c>
      <c r="D64" s="3">
        <v>2</v>
      </c>
      <c r="E64" s="3" t="s">
        <v>16</v>
      </c>
      <c r="F64" s="3" t="s">
        <v>293</v>
      </c>
      <c r="G64" s="3" t="s">
        <v>29</v>
      </c>
      <c r="H64" s="3" t="s">
        <v>40</v>
      </c>
    </row>
    <row r="65" spans="1:8" x14ac:dyDescent="0.2">
      <c r="A65" s="3">
        <v>3080108009</v>
      </c>
      <c r="B65" s="4" t="s">
        <v>77</v>
      </c>
      <c r="C65" s="4" t="s">
        <v>324</v>
      </c>
      <c r="D65" s="3">
        <v>2</v>
      </c>
      <c r="E65" s="3" t="s">
        <v>16</v>
      </c>
      <c r="F65" s="3" t="s">
        <v>293</v>
      </c>
      <c r="G65" s="3" t="s">
        <v>29</v>
      </c>
      <c r="H65" s="3" t="s">
        <v>40</v>
      </c>
    </row>
    <row r="66" spans="1:8" x14ac:dyDescent="0.2">
      <c r="A66" s="3">
        <v>3080111087</v>
      </c>
      <c r="B66" s="4" t="s">
        <v>79</v>
      </c>
      <c r="C66" s="4" t="s">
        <v>80</v>
      </c>
      <c r="D66" s="3">
        <v>18</v>
      </c>
      <c r="E66" s="3" t="s">
        <v>16</v>
      </c>
      <c r="F66" s="3" t="s">
        <v>291</v>
      </c>
      <c r="G66" s="3" t="s">
        <v>26</v>
      </c>
      <c r="H66" s="3" t="s">
        <v>40</v>
      </c>
    </row>
    <row r="67" spans="1:8" x14ac:dyDescent="0.2">
      <c r="A67" s="3">
        <v>3080111087</v>
      </c>
      <c r="B67" s="4" t="s">
        <v>79</v>
      </c>
      <c r="C67" s="4" t="s">
        <v>80</v>
      </c>
      <c r="D67" s="3">
        <v>1</v>
      </c>
      <c r="E67" s="3" t="s">
        <v>16</v>
      </c>
      <c r="F67" s="3" t="s">
        <v>291</v>
      </c>
      <c r="G67" s="3" t="s">
        <v>26</v>
      </c>
      <c r="H67" s="3" t="s">
        <v>40</v>
      </c>
    </row>
    <row r="68" spans="1:8" x14ac:dyDescent="0.2">
      <c r="A68" s="3">
        <v>407030047</v>
      </c>
      <c r="B68" s="4" t="s">
        <v>81</v>
      </c>
      <c r="C68" s="4" t="s">
        <v>707</v>
      </c>
      <c r="D68" s="3">
        <v>1</v>
      </c>
      <c r="E68" s="3" t="s">
        <v>16</v>
      </c>
      <c r="F68" s="3" t="s">
        <v>301</v>
      </c>
      <c r="G68" s="3" t="s">
        <v>32</v>
      </c>
      <c r="H68" s="3" t="s">
        <v>40</v>
      </c>
    </row>
    <row r="69" spans="1:8" x14ac:dyDescent="0.2">
      <c r="A69" s="3">
        <v>3080112003</v>
      </c>
      <c r="B69" s="4" t="s">
        <v>83</v>
      </c>
      <c r="C69" s="4" t="s">
        <v>85</v>
      </c>
      <c r="D69" s="3">
        <v>1</v>
      </c>
      <c r="E69" s="3" t="s">
        <v>16</v>
      </c>
      <c r="F69" s="3" t="s">
        <v>295</v>
      </c>
      <c r="G69" s="3" t="s">
        <v>17</v>
      </c>
      <c r="H69" s="3" t="s">
        <v>40</v>
      </c>
    </row>
    <row r="70" spans="1:8" x14ac:dyDescent="0.2">
      <c r="A70" s="3">
        <v>3080112015</v>
      </c>
      <c r="B70" s="4" t="s">
        <v>83</v>
      </c>
      <c r="C70" s="4" t="s">
        <v>84</v>
      </c>
      <c r="D70" s="3">
        <v>6</v>
      </c>
      <c r="E70" s="3" t="s">
        <v>16</v>
      </c>
      <c r="F70" s="3" t="s">
        <v>291</v>
      </c>
      <c r="G70" s="3" t="s">
        <v>26</v>
      </c>
      <c r="H70" s="3" t="s">
        <v>40</v>
      </c>
    </row>
    <row r="71" spans="1:8" x14ac:dyDescent="0.2">
      <c r="A71" s="3">
        <v>3080307001</v>
      </c>
      <c r="B71" s="4" t="s">
        <v>86</v>
      </c>
      <c r="C71" s="4" t="s">
        <v>87</v>
      </c>
      <c r="D71" s="3">
        <v>1</v>
      </c>
      <c r="E71" s="3" t="s">
        <v>16</v>
      </c>
      <c r="F71" s="3" t="s">
        <v>295</v>
      </c>
      <c r="G71" s="3" t="s">
        <v>17</v>
      </c>
      <c r="H71" s="3" t="s">
        <v>88</v>
      </c>
    </row>
    <row r="72" spans="1:8" x14ac:dyDescent="0.2">
      <c r="A72" s="3">
        <v>3080506001</v>
      </c>
      <c r="B72" s="4" t="s">
        <v>89</v>
      </c>
      <c r="C72" s="4" t="s">
        <v>90</v>
      </c>
      <c r="D72" s="3">
        <v>1</v>
      </c>
      <c r="E72" s="3" t="s">
        <v>16</v>
      </c>
      <c r="F72" s="3" t="s">
        <v>295</v>
      </c>
      <c r="G72" s="3" t="s">
        <v>17</v>
      </c>
      <c r="H72" s="3" t="s">
        <v>88</v>
      </c>
    </row>
    <row r="73" spans="1:8" x14ac:dyDescent="0.2">
      <c r="A73" s="3">
        <v>3030204002</v>
      </c>
      <c r="B73" s="4" t="s">
        <v>91</v>
      </c>
      <c r="C73" s="4" t="s">
        <v>92</v>
      </c>
      <c r="D73" s="3">
        <v>1</v>
      </c>
      <c r="E73" s="3" t="s">
        <v>16</v>
      </c>
      <c r="F73" s="3" t="s">
        <v>295</v>
      </c>
      <c r="G73" s="3" t="s">
        <v>17</v>
      </c>
      <c r="H73" s="3" t="s">
        <v>88</v>
      </c>
    </row>
    <row r="74" spans="1:8" x14ac:dyDescent="0.2">
      <c r="A74" s="3">
        <v>3030205002</v>
      </c>
      <c r="B74" s="4" t="s">
        <v>93</v>
      </c>
      <c r="C74" s="4" t="s">
        <v>94</v>
      </c>
      <c r="D74" s="3">
        <v>1</v>
      </c>
      <c r="E74" s="3" t="s">
        <v>16</v>
      </c>
      <c r="F74" s="3" t="s">
        <v>295</v>
      </c>
      <c r="G74" s="3" t="s">
        <v>17</v>
      </c>
      <c r="H74" s="3" t="s">
        <v>88</v>
      </c>
    </row>
    <row r="75" spans="1:8" x14ac:dyDescent="0.2">
      <c r="A75" s="3">
        <v>3030208001</v>
      </c>
      <c r="B75" s="4" t="s">
        <v>95</v>
      </c>
      <c r="C75" s="4" t="s">
        <v>96</v>
      </c>
      <c r="D75" s="3">
        <v>1</v>
      </c>
      <c r="E75" s="3" t="s">
        <v>16</v>
      </c>
      <c r="F75" s="3" t="s">
        <v>295</v>
      </c>
      <c r="G75" s="3" t="s">
        <v>17</v>
      </c>
      <c r="H75" s="3" t="s">
        <v>88</v>
      </c>
    </row>
    <row r="76" spans="1:8" x14ac:dyDescent="0.2">
      <c r="A76" s="3">
        <v>3030202005</v>
      </c>
      <c r="B76" s="4" t="s">
        <v>97</v>
      </c>
      <c r="C76" s="4" t="s">
        <v>94</v>
      </c>
      <c r="D76" s="3">
        <v>1</v>
      </c>
      <c r="E76" s="3" t="s">
        <v>16</v>
      </c>
      <c r="F76" s="3" t="s">
        <v>295</v>
      </c>
      <c r="G76" s="3" t="s">
        <v>17</v>
      </c>
      <c r="H76" s="3" t="s">
        <v>88</v>
      </c>
    </row>
    <row r="77" spans="1:8" x14ac:dyDescent="0.2">
      <c r="A77" s="3">
        <v>3080201009</v>
      </c>
      <c r="B77" s="4" t="s">
        <v>60</v>
      </c>
      <c r="C77" s="4" t="s">
        <v>98</v>
      </c>
      <c r="D77" s="3">
        <v>1</v>
      </c>
      <c r="E77" s="3" t="s">
        <v>16</v>
      </c>
      <c r="F77" s="3" t="s">
        <v>295</v>
      </c>
      <c r="G77" s="3" t="s">
        <v>17</v>
      </c>
      <c r="H77" s="3" t="s">
        <v>88</v>
      </c>
    </row>
    <row r="78" spans="1:8" x14ac:dyDescent="0.2">
      <c r="A78" s="3">
        <v>3050205001</v>
      </c>
      <c r="B78" s="4" t="s">
        <v>99</v>
      </c>
      <c r="C78" s="4" t="s">
        <v>100</v>
      </c>
      <c r="D78" s="3">
        <v>2</v>
      </c>
      <c r="E78" s="3" t="s">
        <v>16</v>
      </c>
      <c r="F78" s="3" t="s">
        <v>291</v>
      </c>
      <c r="G78" s="3" t="s">
        <v>26</v>
      </c>
      <c r="H78" s="3" t="s">
        <v>88</v>
      </c>
    </row>
    <row r="79" spans="1:8" x14ac:dyDescent="0.2">
      <c r="A79" s="3">
        <v>3099990501</v>
      </c>
      <c r="B79" s="4" t="s">
        <v>708</v>
      </c>
      <c r="C79" s="4" t="s">
        <v>105</v>
      </c>
      <c r="D79" s="3">
        <v>1</v>
      </c>
      <c r="E79" s="3" t="s">
        <v>16</v>
      </c>
      <c r="F79" s="3" t="s">
        <v>709</v>
      </c>
      <c r="G79" s="3" t="s">
        <v>710</v>
      </c>
      <c r="H79" s="3" t="s">
        <v>103</v>
      </c>
    </row>
    <row r="80" spans="1:8" x14ac:dyDescent="0.2">
      <c r="A80" s="3">
        <v>3099990101</v>
      </c>
      <c r="B80" s="4" t="s">
        <v>104</v>
      </c>
      <c r="C80" s="4" t="s">
        <v>105</v>
      </c>
      <c r="D80" s="3">
        <v>1</v>
      </c>
      <c r="E80" s="3" t="s">
        <v>16</v>
      </c>
      <c r="F80" s="3" t="s">
        <v>299</v>
      </c>
      <c r="G80" s="3" t="s">
        <v>106</v>
      </c>
      <c r="H80" s="3" t="s">
        <v>103</v>
      </c>
    </row>
    <row r="81" spans="1:8" x14ac:dyDescent="0.2">
      <c r="A81" s="3">
        <v>402030027</v>
      </c>
      <c r="B81" s="4" t="s">
        <v>107</v>
      </c>
      <c r="C81" s="4" t="s">
        <v>110</v>
      </c>
      <c r="D81" s="3">
        <v>1</v>
      </c>
      <c r="E81" s="3" t="s">
        <v>16</v>
      </c>
      <c r="F81" s="3" t="s">
        <v>291</v>
      </c>
      <c r="G81" s="3" t="s">
        <v>26</v>
      </c>
      <c r="H81" s="3" t="s">
        <v>109</v>
      </c>
    </row>
    <row r="82" spans="1:8" x14ac:dyDescent="0.2">
      <c r="A82" s="3">
        <v>404100009</v>
      </c>
      <c r="B82" s="4" t="s">
        <v>326</v>
      </c>
      <c r="C82" s="4" t="s">
        <v>327</v>
      </c>
      <c r="D82" s="3">
        <v>1</v>
      </c>
      <c r="E82" s="3" t="s">
        <v>16</v>
      </c>
      <c r="F82" s="3" t="s">
        <v>301</v>
      </c>
      <c r="G82" s="3" t="s">
        <v>32</v>
      </c>
      <c r="H82" s="3" t="s">
        <v>109</v>
      </c>
    </row>
    <row r="83" spans="1:8" x14ac:dyDescent="0.2">
      <c r="A83" s="3">
        <v>402020006</v>
      </c>
      <c r="B83" s="4" t="s">
        <v>111</v>
      </c>
      <c r="C83" s="4" t="s">
        <v>112</v>
      </c>
      <c r="D83" s="3">
        <v>2</v>
      </c>
      <c r="E83" s="3" t="s">
        <v>16</v>
      </c>
      <c r="F83" s="3" t="s">
        <v>293</v>
      </c>
      <c r="G83" s="3" t="s">
        <v>29</v>
      </c>
      <c r="H83" s="3" t="s">
        <v>109</v>
      </c>
    </row>
    <row r="84" spans="1:8" x14ac:dyDescent="0.2">
      <c r="A84" s="3">
        <v>3060210001</v>
      </c>
      <c r="B84" s="4" t="s">
        <v>711</v>
      </c>
      <c r="C84" s="4" t="s">
        <v>712</v>
      </c>
      <c r="D84" s="3">
        <v>4</v>
      </c>
      <c r="E84" s="3" t="s">
        <v>16</v>
      </c>
      <c r="F84" s="3" t="s">
        <v>289</v>
      </c>
      <c r="G84" s="3" t="s">
        <v>23</v>
      </c>
      <c r="H84" s="3" t="s">
        <v>115</v>
      </c>
    </row>
    <row r="85" spans="1:8" x14ac:dyDescent="0.2">
      <c r="A85" s="3">
        <v>3060209002</v>
      </c>
      <c r="B85" s="4" t="s">
        <v>113</v>
      </c>
      <c r="C85" s="4" t="s">
        <v>114</v>
      </c>
      <c r="D85" s="3">
        <v>2</v>
      </c>
      <c r="E85" s="3" t="s">
        <v>16</v>
      </c>
      <c r="F85" s="3" t="s">
        <v>293</v>
      </c>
      <c r="G85" s="3" t="s">
        <v>29</v>
      </c>
      <c r="H85" s="3" t="s">
        <v>115</v>
      </c>
    </row>
    <row r="86" spans="1:8" x14ac:dyDescent="0.2">
      <c r="A86" s="3">
        <v>3030204032</v>
      </c>
      <c r="B86" s="4" t="s">
        <v>116</v>
      </c>
      <c r="C86" s="4" t="s">
        <v>117</v>
      </c>
      <c r="D86" s="3">
        <v>1</v>
      </c>
      <c r="E86" s="3" t="s">
        <v>16</v>
      </c>
      <c r="F86" s="3" t="s">
        <v>295</v>
      </c>
      <c r="G86" s="3" t="s">
        <v>17</v>
      </c>
      <c r="H86" s="3" t="s">
        <v>115</v>
      </c>
    </row>
    <row r="87" spans="1:8" x14ac:dyDescent="0.2">
      <c r="A87" s="3">
        <v>3040216001</v>
      </c>
      <c r="B87" s="4" t="s">
        <v>328</v>
      </c>
      <c r="C87" s="4" t="s">
        <v>329</v>
      </c>
      <c r="D87" s="3">
        <v>4</v>
      </c>
      <c r="E87" s="3" t="s">
        <v>16</v>
      </c>
      <c r="F87" s="3" t="s">
        <v>293</v>
      </c>
      <c r="G87" s="3" t="s">
        <v>29</v>
      </c>
      <c r="H87" s="3" t="s">
        <v>115</v>
      </c>
    </row>
    <row r="88" spans="1:8" x14ac:dyDescent="0.2">
      <c r="A88" s="3">
        <v>3030204006</v>
      </c>
      <c r="B88" s="4" t="s">
        <v>120</v>
      </c>
      <c r="C88" s="4" t="s">
        <v>121</v>
      </c>
      <c r="D88" s="3">
        <v>2</v>
      </c>
      <c r="E88" s="3" t="s">
        <v>16</v>
      </c>
      <c r="F88" s="3" t="s">
        <v>295</v>
      </c>
      <c r="G88" s="3" t="s">
        <v>17</v>
      </c>
      <c r="H88" s="3" t="s">
        <v>115</v>
      </c>
    </row>
    <row r="89" spans="1:8" x14ac:dyDescent="0.2">
      <c r="A89" s="3">
        <v>3030204008</v>
      </c>
      <c r="B89" s="4" t="s">
        <v>122</v>
      </c>
      <c r="C89" s="4" t="s">
        <v>123</v>
      </c>
      <c r="D89" s="3">
        <v>1</v>
      </c>
      <c r="E89" s="3" t="s">
        <v>16</v>
      </c>
      <c r="F89" s="3" t="s">
        <v>291</v>
      </c>
      <c r="G89" s="3" t="s">
        <v>26</v>
      </c>
      <c r="H89" s="3" t="s">
        <v>115</v>
      </c>
    </row>
    <row r="90" spans="1:8" x14ac:dyDescent="0.2">
      <c r="A90" s="3">
        <v>3030204010</v>
      </c>
      <c r="B90" s="4" t="s">
        <v>124</v>
      </c>
      <c r="C90" s="4" t="s">
        <v>125</v>
      </c>
      <c r="D90" s="3">
        <v>1</v>
      </c>
      <c r="E90" s="3" t="s">
        <v>16</v>
      </c>
      <c r="F90" s="3" t="s">
        <v>295</v>
      </c>
      <c r="G90" s="3" t="s">
        <v>17</v>
      </c>
      <c r="H90" s="3" t="s">
        <v>115</v>
      </c>
    </row>
    <row r="91" spans="1:8" x14ac:dyDescent="0.2">
      <c r="A91" s="3">
        <v>3030204012</v>
      </c>
      <c r="B91" s="4" t="s">
        <v>126</v>
      </c>
      <c r="C91" s="4" t="s">
        <v>127</v>
      </c>
      <c r="D91" s="3">
        <v>1</v>
      </c>
      <c r="E91" s="3" t="s">
        <v>16</v>
      </c>
      <c r="F91" s="3" t="s">
        <v>295</v>
      </c>
      <c r="G91" s="3" t="s">
        <v>17</v>
      </c>
      <c r="H91" s="3" t="s">
        <v>115</v>
      </c>
    </row>
    <row r="92" spans="1:8" x14ac:dyDescent="0.2">
      <c r="A92" s="3">
        <v>3070104002</v>
      </c>
      <c r="B92" s="4" t="s">
        <v>128</v>
      </c>
      <c r="C92" s="4" t="s">
        <v>129</v>
      </c>
      <c r="D92" s="3">
        <v>1</v>
      </c>
      <c r="E92" s="3" t="s">
        <v>16</v>
      </c>
      <c r="F92" s="3" t="s">
        <v>317</v>
      </c>
      <c r="G92" s="3" t="s">
        <v>318</v>
      </c>
      <c r="H92" s="3" t="s">
        <v>115</v>
      </c>
    </row>
    <row r="93" spans="1:8" x14ac:dyDescent="0.2">
      <c r="A93" s="3">
        <v>3070104001</v>
      </c>
      <c r="B93" s="4" t="s">
        <v>331</v>
      </c>
      <c r="C93" s="4" t="s">
        <v>332</v>
      </c>
      <c r="D93" s="3">
        <v>1</v>
      </c>
      <c r="E93" s="3" t="s">
        <v>16</v>
      </c>
      <c r="F93" s="3" t="s">
        <v>317</v>
      </c>
      <c r="G93" s="3" t="s">
        <v>318</v>
      </c>
      <c r="H93" s="3" t="s">
        <v>115</v>
      </c>
    </row>
    <row r="94" spans="1:8" x14ac:dyDescent="0.2">
      <c r="A94" s="3">
        <v>3030404003</v>
      </c>
      <c r="B94" s="4" t="s">
        <v>130</v>
      </c>
      <c r="C94" s="4" t="s">
        <v>131</v>
      </c>
      <c r="D94" s="3">
        <v>2</v>
      </c>
      <c r="E94" s="3" t="s">
        <v>16</v>
      </c>
      <c r="F94" s="3" t="s">
        <v>291</v>
      </c>
      <c r="G94" s="3" t="s">
        <v>26</v>
      </c>
      <c r="H94" s="3" t="s">
        <v>132</v>
      </c>
    </row>
    <row r="95" spans="1:8" x14ac:dyDescent="0.2">
      <c r="A95" s="3">
        <v>3990207002</v>
      </c>
      <c r="B95" s="4" t="s">
        <v>140</v>
      </c>
      <c r="C95" s="4" t="s">
        <v>714</v>
      </c>
      <c r="D95" s="3">
        <v>1</v>
      </c>
      <c r="E95" s="3" t="s">
        <v>16</v>
      </c>
      <c r="F95" s="3" t="s">
        <v>285</v>
      </c>
      <c r="G95" s="3" t="s">
        <v>142</v>
      </c>
      <c r="H95" s="3" t="s">
        <v>143</v>
      </c>
    </row>
    <row r="96" spans="1:8" x14ac:dyDescent="0.2">
      <c r="A96" s="3">
        <v>3030301005</v>
      </c>
      <c r="B96" s="4" t="s">
        <v>144</v>
      </c>
      <c r="C96" s="4" t="s">
        <v>145</v>
      </c>
      <c r="D96" s="3">
        <v>3</v>
      </c>
      <c r="E96" s="3" t="s">
        <v>16</v>
      </c>
      <c r="F96" s="3" t="s">
        <v>291</v>
      </c>
      <c r="G96" s="3" t="s">
        <v>26</v>
      </c>
      <c r="H96" s="3" t="s">
        <v>143</v>
      </c>
    </row>
    <row r="97" spans="1:8" x14ac:dyDescent="0.2">
      <c r="A97" s="3">
        <v>3990204002</v>
      </c>
      <c r="B97" s="4" t="s">
        <v>333</v>
      </c>
      <c r="C97" s="4" t="s">
        <v>334</v>
      </c>
      <c r="D97" s="3">
        <v>1</v>
      </c>
      <c r="E97" s="3" t="s">
        <v>16</v>
      </c>
      <c r="F97" s="3" t="s">
        <v>335</v>
      </c>
      <c r="G97" s="3" t="s">
        <v>336</v>
      </c>
      <c r="H97" s="3" t="s">
        <v>143</v>
      </c>
    </row>
    <row r="98" spans="1:8" x14ac:dyDescent="0.2">
      <c r="A98" s="3">
        <v>3990206001</v>
      </c>
      <c r="B98" s="4" t="s">
        <v>715</v>
      </c>
      <c r="C98" s="4" t="s">
        <v>716</v>
      </c>
      <c r="D98" s="3">
        <v>1</v>
      </c>
      <c r="E98" s="3" t="s">
        <v>16</v>
      </c>
      <c r="F98" s="3" t="s">
        <v>717</v>
      </c>
      <c r="G98" s="3" t="s">
        <v>718</v>
      </c>
      <c r="H98" s="3" t="s">
        <v>143</v>
      </c>
    </row>
    <row r="99" spans="1:8" x14ac:dyDescent="0.2">
      <c r="A99" s="3">
        <v>3990205001</v>
      </c>
      <c r="B99" s="4" t="s">
        <v>146</v>
      </c>
      <c r="C99" s="4" t="s">
        <v>147</v>
      </c>
      <c r="D99" s="3">
        <v>1</v>
      </c>
      <c r="E99" s="3" t="s">
        <v>16</v>
      </c>
      <c r="F99" s="3" t="s">
        <v>287</v>
      </c>
      <c r="G99" s="3" t="s">
        <v>148</v>
      </c>
      <c r="H99" s="3" t="s">
        <v>143</v>
      </c>
    </row>
    <row r="100" spans="1:8" x14ac:dyDescent="0.2">
      <c r="A100" s="3">
        <v>3060318001</v>
      </c>
      <c r="B100" s="4" t="s">
        <v>720</v>
      </c>
      <c r="C100" s="4" t="s">
        <v>721</v>
      </c>
      <c r="D100" s="3">
        <v>1</v>
      </c>
      <c r="E100" s="3" t="s">
        <v>16</v>
      </c>
      <c r="F100" s="3" t="s">
        <v>289</v>
      </c>
      <c r="G100" s="3" t="s">
        <v>23</v>
      </c>
      <c r="H100" s="3" t="s">
        <v>154</v>
      </c>
    </row>
    <row r="101" spans="1:8" x14ac:dyDescent="0.2">
      <c r="A101" s="3">
        <v>3060327003</v>
      </c>
      <c r="B101" s="4" t="s">
        <v>722</v>
      </c>
      <c r="C101" s="4" t="s">
        <v>723</v>
      </c>
      <c r="D101" s="3">
        <v>1</v>
      </c>
      <c r="E101" s="3" t="s">
        <v>16</v>
      </c>
      <c r="F101" s="3" t="s">
        <v>289</v>
      </c>
      <c r="G101" s="3" t="s">
        <v>23</v>
      </c>
      <c r="H101" s="3" t="s">
        <v>154</v>
      </c>
    </row>
    <row r="102" spans="1:8" x14ac:dyDescent="0.2">
      <c r="A102" s="3">
        <v>3030203004</v>
      </c>
      <c r="B102" s="4" t="s">
        <v>155</v>
      </c>
      <c r="C102" s="4" t="s">
        <v>156</v>
      </c>
      <c r="D102" s="3">
        <v>1</v>
      </c>
      <c r="E102" s="3" t="s">
        <v>16</v>
      </c>
      <c r="F102" s="3" t="s">
        <v>295</v>
      </c>
      <c r="G102" s="3" t="s">
        <v>17</v>
      </c>
      <c r="H102" s="3" t="s">
        <v>154</v>
      </c>
    </row>
    <row r="103" spans="1:8" x14ac:dyDescent="0.2">
      <c r="A103" s="3">
        <v>3040205005</v>
      </c>
      <c r="B103" s="4" t="s">
        <v>337</v>
      </c>
      <c r="C103" s="4" t="s">
        <v>338</v>
      </c>
      <c r="D103" s="3">
        <v>2</v>
      </c>
      <c r="E103" s="3" t="s">
        <v>16</v>
      </c>
      <c r="F103" s="3" t="s">
        <v>293</v>
      </c>
      <c r="G103" s="3" t="s">
        <v>29</v>
      </c>
      <c r="H103" s="3" t="s">
        <v>154</v>
      </c>
    </row>
    <row r="104" spans="1:8" x14ac:dyDescent="0.2">
      <c r="A104" s="3">
        <v>3030310010</v>
      </c>
      <c r="B104" s="4" t="s">
        <v>161</v>
      </c>
      <c r="C104" s="4" t="s">
        <v>162</v>
      </c>
      <c r="D104" s="3">
        <v>1</v>
      </c>
      <c r="E104" s="3" t="s">
        <v>16</v>
      </c>
      <c r="F104" s="3" t="s">
        <v>295</v>
      </c>
      <c r="G104" s="3" t="s">
        <v>17</v>
      </c>
      <c r="H104" s="3" t="s">
        <v>154</v>
      </c>
    </row>
    <row r="105" spans="1:8" x14ac:dyDescent="0.2">
      <c r="A105" s="3">
        <v>3040310003</v>
      </c>
      <c r="B105" s="4" t="s">
        <v>339</v>
      </c>
      <c r="C105" s="4" t="s">
        <v>340</v>
      </c>
      <c r="D105" s="3">
        <v>2</v>
      </c>
      <c r="E105" s="3" t="s">
        <v>16</v>
      </c>
      <c r="F105" s="3" t="s">
        <v>293</v>
      </c>
      <c r="G105" s="3" t="s">
        <v>29</v>
      </c>
      <c r="H105" s="3" t="s">
        <v>165</v>
      </c>
    </row>
    <row r="106" spans="1:8" x14ac:dyDescent="0.2">
      <c r="A106" s="3">
        <v>3030303067</v>
      </c>
      <c r="B106" s="4" t="s">
        <v>166</v>
      </c>
      <c r="C106" s="4" t="s">
        <v>167</v>
      </c>
      <c r="D106" s="3">
        <v>1</v>
      </c>
      <c r="E106" s="3" t="s">
        <v>16</v>
      </c>
      <c r="F106" s="3" t="s">
        <v>295</v>
      </c>
      <c r="G106" s="3" t="s">
        <v>17</v>
      </c>
      <c r="H106" s="3" t="s">
        <v>165</v>
      </c>
    </row>
    <row r="107" spans="1:8" x14ac:dyDescent="0.2">
      <c r="A107" s="3">
        <v>3040321002</v>
      </c>
      <c r="B107" s="4" t="s">
        <v>341</v>
      </c>
      <c r="C107" s="4" t="s">
        <v>340</v>
      </c>
      <c r="D107" s="3">
        <v>2</v>
      </c>
      <c r="E107" s="3" t="s">
        <v>16</v>
      </c>
      <c r="F107" s="3" t="s">
        <v>293</v>
      </c>
      <c r="G107" s="3" t="s">
        <v>29</v>
      </c>
      <c r="H107" s="3" t="s">
        <v>165</v>
      </c>
    </row>
    <row r="108" spans="1:8" x14ac:dyDescent="0.2">
      <c r="A108" s="3">
        <v>3040302003</v>
      </c>
      <c r="B108" s="4" t="s">
        <v>342</v>
      </c>
      <c r="C108" s="4" t="s">
        <v>343</v>
      </c>
      <c r="D108" s="3">
        <v>2</v>
      </c>
      <c r="E108" s="3" t="s">
        <v>16</v>
      </c>
      <c r="F108" s="3" t="s">
        <v>293</v>
      </c>
      <c r="G108" s="3" t="s">
        <v>29</v>
      </c>
      <c r="H108" s="3" t="s">
        <v>165</v>
      </c>
    </row>
    <row r="109" spans="1:8" x14ac:dyDescent="0.2">
      <c r="A109" s="3">
        <v>3040315002</v>
      </c>
      <c r="B109" s="4" t="s">
        <v>344</v>
      </c>
      <c r="C109" s="4" t="s">
        <v>340</v>
      </c>
      <c r="D109" s="3">
        <v>2</v>
      </c>
      <c r="E109" s="3" t="s">
        <v>16</v>
      </c>
      <c r="F109" s="3" t="s">
        <v>293</v>
      </c>
      <c r="G109" s="3" t="s">
        <v>29</v>
      </c>
      <c r="H109" s="3" t="s">
        <v>165</v>
      </c>
    </row>
    <row r="110" spans="1:8" x14ac:dyDescent="0.2">
      <c r="A110" s="3">
        <v>3060333003</v>
      </c>
      <c r="B110" s="4" t="s">
        <v>227</v>
      </c>
      <c r="C110" s="4" t="s">
        <v>724</v>
      </c>
      <c r="D110" s="3">
        <v>1</v>
      </c>
      <c r="E110" s="3" t="s">
        <v>16</v>
      </c>
      <c r="F110" s="3" t="s">
        <v>289</v>
      </c>
      <c r="G110" s="3" t="s">
        <v>23</v>
      </c>
      <c r="H110" s="3" t="s">
        <v>173</v>
      </c>
    </row>
    <row r="111" spans="1:8" x14ac:dyDescent="0.2">
      <c r="A111" s="3">
        <v>3030303003</v>
      </c>
      <c r="B111" s="4" t="s">
        <v>175</v>
      </c>
      <c r="C111" s="4" t="s">
        <v>176</v>
      </c>
      <c r="D111" s="3">
        <v>1</v>
      </c>
      <c r="E111" s="3" t="s">
        <v>16</v>
      </c>
      <c r="F111" s="3" t="s">
        <v>295</v>
      </c>
      <c r="G111" s="3" t="s">
        <v>17</v>
      </c>
      <c r="H111" s="3" t="s">
        <v>173</v>
      </c>
    </row>
    <row r="112" spans="1:8" x14ac:dyDescent="0.2">
      <c r="A112" s="3">
        <v>3030303005</v>
      </c>
      <c r="B112" s="4" t="s">
        <v>177</v>
      </c>
      <c r="C112" s="4" t="s">
        <v>176</v>
      </c>
      <c r="D112" s="3">
        <v>1</v>
      </c>
      <c r="E112" s="3" t="s">
        <v>16</v>
      </c>
      <c r="F112" s="3" t="s">
        <v>291</v>
      </c>
      <c r="G112" s="3" t="s">
        <v>26</v>
      </c>
      <c r="H112" s="3" t="s">
        <v>173</v>
      </c>
    </row>
    <row r="113" spans="1:8" x14ac:dyDescent="0.2">
      <c r="A113" s="3">
        <v>3040328005</v>
      </c>
      <c r="B113" s="4" t="s">
        <v>267</v>
      </c>
      <c r="C113" s="4" t="s">
        <v>345</v>
      </c>
      <c r="D113" s="3">
        <v>2</v>
      </c>
      <c r="E113" s="3" t="s">
        <v>16</v>
      </c>
      <c r="F113" s="3" t="s">
        <v>293</v>
      </c>
      <c r="G113" s="3" t="s">
        <v>29</v>
      </c>
      <c r="H113" s="3" t="s">
        <v>173</v>
      </c>
    </row>
    <row r="114" spans="1:8" x14ac:dyDescent="0.2">
      <c r="A114" s="3">
        <v>3040309001</v>
      </c>
      <c r="B114" s="4" t="s">
        <v>346</v>
      </c>
      <c r="C114" s="4" t="s">
        <v>347</v>
      </c>
      <c r="D114" s="3">
        <v>8</v>
      </c>
      <c r="E114" s="3" t="s">
        <v>16</v>
      </c>
      <c r="F114" s="3" t="s">
        <v>293</v>
      </c>
      <c r="G114" s="3" t="s">
        <v>29</v>
      </c>
      <c r="H114" s="3" t="s">
        <v>173</v>
      </c>
    </row>
    <row r="115" spans="1:8" x14ac:dyDescent="0.2">
      <c r="A115" s="3">
        <v>3070201002</v>
      </c>
      <c r="B115" s="4" t="s">
        <v>348</v>
      </c>
      <c r="C115" s="4" t="s">
        <v>349</v>
      </c>
      <c r="D115" s="3">
        <v>1</v>
      </c>
      <c r="E115" s="3" t="s">
        <v>16</v>
      </c>
      <c r="F115" s="3" t="s">
        <v>317</v>
      </c>
      <c r="G115" s="3" t="s">
        <v>318</v>
      </c>
      <c r="H115" s="3" t="s">
        <v>173</v>
      </c>
    </row>
    <row r="116" spans="1:8" x14ac:dyDescent="0.2">
      <c r="A116" s="3">
        <v>3060340001</v>
      </c>
      <c r="B116" s="4" t="s">
        <v>725</v>
      </c>
      <c r="C116" s="4" t="s">
        <v>726</v>
      </c>
      <c r="D116" s="3">
        <v>1</v>
      </c>
      <c r="E116" s="3" t="s">
        <v>16</v>
      </c>
      <c r="F116" s="3" t="s">
        <v>702</v>
      </c>
      <c r="G116" s="3" t="s">
        <v>703</v>
      </c>
      <c r="H116" s="3" t="s">
        <v>173</v>
      </c>
    </row>
    <row r="117" spans="1:8" x14ac:dyDescent="0.2">
      <c r="A117" s="3">
        <v>3030310007</v>
      </c>
      <c r="B117" s="4" t="s">
        <v>178</v>
      </c>
      <c r="C117" s="4" t="s">
        <v>179</v>
      </c>
      <c r="D117" s="3">
        <v>1</v>
      </c>
      <c r="E117" s="3" t="s">
        <v>16</v>
      </c>
      <c r="F117" s="3" t="s">
        <v>295</v>
      </c>
      <c r="G117" s="3" t="s">
        <v>17</v>
      </c>
      <c r="H117" s="3" t="s">
        <v>173</v>
      </c>
    </row>
    <row r="118" spans="1:8" x14ac:dyDescent="0.2">
      <c r="A118" s="3">
        <v>3030310009</v>
      </c>
      <c r="B118" s="4" t="s">
        <v>180</v>
      </c>
      <c r="C118" s="4" t="s">
        <v>179</v>
      </c>
      <c r="D118" s="3">
        <v>1</v>
      </c>
      <c r="E118" s="3" t="s">
        <v>16</v>
      </c>
      <c r="F118" s="3" t="s">
        <v>295</v>
      </c>
      <c r="G118" s="3" t="s">
        <v>17</v>
      </c>
      <c r="H118" s="3" t="s">
        <v>173</v>
      </c>
    </row>
    <row r="119" spans="1:8" x14ac:dyDescent="0.2">
      <c r="A119" s="3">
        <v>3050304001</v>
      </c>
      <c r="B119" s="4" t="s">
        <v>181</v>
      </c>
      <c r="C119" s="4" t="s">
        <v>182</v>
      </c>
      <c r="D119" s="3">
        <v>1</v>
      </c>
      <c r="E119" s="3" t="s">
        <v>16</v>
      </c>
      <c r="F119" s="3" t="s">
        <v>291</v>
      </c>
      <c r="G119" s="3" t="s">
        <v>26</v>
      </c>
      <c r="H119" s="3" t="s">
        <v>173</v>
      </c>
    </row>
    <row r="120" spans="1:8" x14ac:dyDescent="0.2">
      <c r="A120" s="3">
        <v>3020501014</v>
      </c>
      <c r="B120" s="4" t="s">
        <v>183</v>
      </c>
      <c r="C120" s="4" t="s">
        <v>350</v>
      </c>
      <c r="D120" s="3">
        <v>1</v>
      </c>
      <c r="E120" s="3" t="s">
        <v>16</v>
      </c>
      <c r="F120" s="3" t="s">
        <v>291</v>
      </c>
      <c r="G120" s="3" t="s">
        <v>26</v>
      </c>
      <c r="H120" s="3" t="s">
        <v>185</v>
      </c>
    </row>
    <row r="121" spans="1:8" x14ac:dyDescent="0.2">
      <c r="A121" s="3">
        <v>3990201003</v>
      </c>
      <c r="B121" s="4" t="s">
        <v>186</v>
      </c>
      <c r="C121" s="4" t="s">
        <v>94</v>
      </c>
      <c r="D121" s="3">
        <v>1</v>
      </c>
      <c r="E121" s="3" t="s">
        <v>16</v>
      </c>
      <c r="F121" s="3" t="s">
        <v>295</v>
      </c>
      <c r="G121" s="3" t="s">
        <v>17</v>
      </c>
      <c r="H121" s="3" t="s">
        <v>187</v>
      </c>
    </row>
    <row r="122" spans="1:8" x14ac:dyDescent="0.2">
      <c r="A122" s="3">
        <v>3990202003</v>
      </c>
      <c r="B122" s="4" t="s">
        <v>188</v>
      </c>
      <c r="C122" s="4" t="s">
        <v>94</v>
      </c>
      <c r="D122" s="3">
        <v>1</v>
      </c>
      <c r="E122" s="3" t="s">
        <v>16</v>
      </c>
      <c r="F122" s="3" t="s">
        <v>295</v>
      </c>
      <c r="G122" s="3" t="s">
        <v>17</v>
      </c>
      <c r="H122" s="3" t="s">
        <v>187</v>
      </c>
    </row>
    <row r="123" spans="1:8" x14ac:dyDescent="0.2">
      <c r="A123" s="3">
        <v>3990203001</v>
      </c>
      <c r="B123" s="4" t="s">
        <v>189</v>
      </c>
      <c r="C123" s="4" t="s">
        <v>94</v>
      </c>
      <c r="D123" s="3">
        <v>1</v>
      </c>
      <c r="E123" s="3" t="s">
        <v>16</v>
      </c>
      <c r="F123" s="3" t="s">
        <v>291</v>
      </c>
      <c r="G123" s="3" t="s">
        <v>26</v>
      </c>
      <c r="H123" s="3" t="s">
        <v>187</v>
      </c>
    </row>
    <row r="124" spans="1:8" x14ac:dyDescent="0.2">
      <c r="A124" s="3">
        <v>3030401002</v>
      </c>
      <c r="B124" s="4" t="s">
        <v>190</v>
      </c>
      <c r="C124" s="4" t="s">
        <v>191</v>
      </c>
      <c r="D124" s="3">
        <v>1</v>
      </c>
      <c r="E124" s="3" t="s">
        <v>16</v>
      </c>
      <c r="F124" s="3" t="s">
        <v>295</v>
      </c>
      <c r="G124" s="3" t="s">
        <v>17</v>
      </c>
      <c r="H124" s="3" t="s">
        <v>192</v>
      </c>
    </row>
    <row r="125" spans="1:8" x14ac:dyDescent="0.2">
      <c r="A125" s="3">
        <v>3060401001</v>
      </c>
      <c r="B125" s="4" t="s">
        <v>727</v>
      </c>
      <c r="C125" s="4" t="s">
        <v>728</v>
      </c>
      <c r="D125" s="3">
        <v>2</v>
      </c>
      <c r="E125" s="3" t="s">
        <v>16</v>
      </c>
      <c r="F125" s="3" t="s">
        <v>289</v>
      </c>
      <c r="G125" s="3" t="s">
        <v>23</v>
      </c>
      <c r="H125" s="3" t="s">
        <v>192</v>
      </c>
    </row>
    <row r="126" spans="1:8" x14ac:dyDescent="0.2">
      <c r="A126" s="3">
        <v>404060019</v>
      </c>
      <c r="B126" s="4" t="s">
        <v>30</v>
      </c>
      <c r="C126" s="4" t="s">
        <v>352</v>
      </c>
      <c r="D126" s="3">
        <v>1</v>
      </c>
      <c r="E126" s="3" t="s">
        <v>16</v>
      </c>
      <c r="F126" s="3" t="s">
        <v>291</v>
      </c>
      <c r="G126" s="3" t="s">
        <v>26</v>
      </c>
      <c r="H126" s="3" t="s">
        <v>198</v>
      </c>
    </row>
    <row r="127" spans="1:8" x14ac:dyDescent="0.2">
      <c r="A127" s="3">
        <v>401070022</v>
      </c>
      <c r="B127" s="4" t="s">
        <v>35</v>
      </c>
      <c r="C127" s="4" t="s">
        <v>203</v>
      </c>
      <c r="D127" s="3">
        <v>1</v>
      </c>
      <c r="E127" s="3" t="s">
        <v>16</v>
      </c>
      <c r="F127" s="3" t="s">
        <v>297</v>
      </c>
      <c r="G127" s="3" t="s">
        <v>204</v>
      </c>
      <c r="H127" s="3" t="s">
        <v>198</v>
      </c>
    </row>
    <row r="128" spans="1:8" x14ac:dyDescent="0.2">
      <c r="A128" s="3">
        <v>401070018</v>
      </c>
      <c r="B128" s="4" t="s">
        <v>35</v>
      </c>
      <c r="C128" s="4" t="s">
        <v>202</v>
      </c>
      <c r="D128" s="3">
        <v>1</v>
      </c>
      <c r="E128" s="3" t="s">
        <v>16</v>
      </c>
      <c r="F128" s="3" t="s">
        <v>291</v>
      </c>
      <c r="G128" s="3" t="s">
        <v>26</v>
      </c>
      <c r="H128" s="3" t="s">
        <v>198</v>
      </c>
    </row>
    <row r="129" spans="1:8" x14ac:dyDescent="0.2">
      <c r="A129" s="3">
        <v>404100008</v>
      </c>
      <c r="B129" s="4" t="s">
        <v>205</v>
      </c>
      <c r="C129" s="4" t="s">
        <v>206</v>
      </c>
      <c r="D129" s="3">
        <v>1</v>
      </c>
      <c r="E129" s="3" t="s">
        <v>16</v>
      </c>
      <c r="F129" s="3" t="s">
        <v>291</v>
      </c>
      <c r="G129" s="3" t="s">
        <v>26</v>
      </c>
      <c r="H129" s="3" t="s">
        <v>198</v>
      </c>
    </row>
    <row r="130" spans="1:8" x14ac:dyDescent="0.2">
      <c r="A130" s="3">
        <v>404100007</v>
      </c>
      <c r="B130" s="4" t="s">
        <v>207</v>
      </c>
      <c r="C130" s="4" t="s">
        <v>208</v>
      </c>
      <c r="D130" s="3">
        <v>1</v>
      </c>
      <c r="E130" s="3" t="s">
        <v>16</v>
      </c>
      <c r="F130" s="3" t="s">
        <v>291</v>
      </c>
      <c r="G130" s="3" t="s">
        <v>26</v>
      </c>
      <c r="H130" s="3" t="s">
        <v>198</v>
      </c>
    </row>
    <row r="131" spans="1:8" x14ac:dyDescent="0.2">
      <c r="A131" s="3">
        <v>3992002001</v>
      </c>
      <c r="B131" s="4" t="s">
        <v>212</v>
      </c>
      <c r="C131" s="4" t="s">
        <v>213</v>
      </c>
      <c r="D131" s="3">
        <v>2</v>
      </c>
      <c r="E131" s="3" t="s">
        <v>16</v>
      </c>
      <c r="F131" s="3" t="s">
        <v>295</v>
      </c>
      <c r="G131" s="3" t="s">
        <v>17</v>
      </c>
      <c r="H131" s="3" t="s">
        <v>214</v>
      </c>
    </row>
    <row r="132" spans="1:8" x14ac:dyDescent="0.2">
      <c r="A132" s="3">
        <v>3992001001</v>
      </c>
      <c r="B132" s="4" t="s">
        <v>215</v>
      </c>
      <c r="C132" s="4" t="s">
        <v>213</v>
      </c>
      <c r="D132" s="3">
        <v>2</v>
      </c>
      <c r="E132" s="3" t="s">
        <v>16</v>
      </c>
      <c r="F132" s="3" t="s">
        <v>295</v>
      </c>
      <c r="G132" s="3" t="s">
        <v>17</v>
      </c>
      <c r="H132" s="3" t="s">
        <v>214</v>
      </c>
    </row>
    <row r="133" spans="1:8" x14ac:dyDescent="0.2">
      <c r="A133" s="3">
        <v>3030201004</v>
      </c>
      <c r="B133" s="4" t="s">
        <v>216</v>
      </c>
      <c r="C133" s="4" t="s">
        <v>213</v>
      </c>
      <c r="D133" s="3">
        <v>2</v>
      </c>
      <c r="E133" s="3" t="s">
        <v>16</v>
      </c>
      <c r="F133" s="3" t="s">
        <v>295</v>
      </c>
      <c r="G133" s="3" t="s">
        <v>17</v>
      </c>
      <c r="H133" s="3" t="s">
        <v>214</v>
      </c>
    </row>
    <row r="134" spans="1:8" x14ac:dyDescent="0.2">
      <c r="A134" s="3">
        <v>3049904001</v>
      </c>
      <c r="B134" s="4" t="s">
        <v>354</v>
      </c>
      <c r="C134" s="4" t="s">
        <v>355</v>
      </c>
      <c r="D134" s="3">
        <v>4</v>
      </c>
      <c r="E134" s="3" t="s">
        <v>16</v>
      </c>
      <c r="F134" s="3" t="s">
        <v>293</v>
      </c>
      <c r="G134" s="3" t="s">
        <v>29</v>
      </c>
      <c r="H134" s="3" t="s">
        <v>214</v>
      </c>
    </row>
    <row r="135" spans="1:8" x14ac:dyDescent="0.2">
      <c r="A135" s="3">
        <v>3049902005</v>
      </c>
      <c r="B135" s="4" t="s">
        <v>356</v>
      </c>
      <c r="C135" s="4" t="s">
        <v>357</v>
      </c>
      <c r="D135" s="3">
        <v>2</v>
      </c>
      <c r="E135" s="3" t="s">
        <v>16</v>
      </c>
      <c r="F135" s="3" t="s">
        <v>293</v>
      </c>
      <c r="G135" s="3" t="s">
        <v>29</v>
      </c>
      <c r="H135" s="3" t="s">
        <v>214</v>
      </c>
    </row>
    <row r="136" spans="1:8" x14ac:dyDescent="0.2">
      <c r="A136" s="3">
        <v>3049902010</v>
      </c>
      <c r="B136" s="4" t="s">
        <v>358</v>
      </c>
      <c r="C136" s="4" t="s">
        <v>359</v>
      </c>
      <c r="D136" s="3">
        <v>2</v>
      </c>
      <c r="E136" s="3" t="s">
        <v>16</v>
      </c>
      <c r="F136" s="3" t="s">
        <v>293</v>
      </c>
      <c r="G136" s="3" t="s">
        <v>29</v>
      </c>
      <c r="H136" s="3" t="s">
        <v>214</v>
      </c>
    </row>
    <row r="137" spans="1:8" x14ac:dyDescent="0.2">
      <c r="A137" s="3">
        <v>3030201005</v>
      </c>
      <c r="B137" s="4" t="s">
        <v>217</v>
      </c>
      <c r="C137" s="4" t="s">
        <v>218</v>
      </c>
      <c r="D137" s="3">
        <v>12</v>
      </c>
      <c r="E137" s="3" t="s">
        <v>16</v>
      </c>
      <c r="F137" s="3" t="s">
        <v>295</v>
      </c>
      <c r="G137" s="3" t="s">
        <v>17</v>
      </c>
      <c r="H137" s="3" t="s">
        <v>214</v>
      </c>
    </row>
    <row r="138" spans="1:8" x14ac:dyDescent="0.2">
      <c r="A138" s="3">
        <v>3070105007</v>
      </c>
      <c r="B138" s="4" t="s">
        <v>360</v>
      </c>
      <c r="C138" s="4" t="s">
        <v>361</v>
      </c>
      <c r="D138" s="3">
        <v>1</v>
      </c>
      <c r="E138" s="3" t="s">
        <v>16</v>
      </c>
      <c r="F138" s="3" t="s">
        <v>317</v>
      </c>
      <c r="G138" s="3" t="s">
        <v>318</v>
      </c>
      <c r="H138" s="3" t="s">
        <v>214</v>
      </c>
    </row>
    <row r="139" spans="1:8" x14ac:dyDescent="0.2">
      <c r="A139" s="3">
        <v>3070105008</v>
      </c>
      <c r="B139" s="4" t="s">
        <v>362</v>
      </c>
      <c r="C139" s="4" t="s">
        <v>361</v>
      </c>
      <c r="D139" s="3">
        <v>1</v>
      </c>
      <c r="E139" s="3" t="s">
        <v>16</v>
      </c>
      <c r="F139" s="3" t="s">
        <v>317</v>
      </c>
      <c r="G139" s="3" t="s">
        <v>318</v>
      </c>
      <c r="H139" s="3" t="s">
        <v>214</v>
      </c>
    </row>
    <row r="140" spans="1:8" x14ac:dyDescent="0.2">
      <c r="A140" s="3">
        <v>3060404003</v>
      </c>
      <c r="B140" s="4" t="s">
        <v>729</v>
      </c>
      <c r="C140" s="4" t="s">
        <v>730</v>
      </c>
      <c r="D140" s="3">
        <v>1</v>
      </c>
      <c r="E140" s="3" t="s">
        <v>16</v>
      </c>
      <c r="F140" s="3" t="s">
        <v>289</v>
      </c>
      <c r="G140" s="3" t="s">
        <v>23</v>
      </c>
      <c r="H140" s="3" t="s">
        <v>221</v>
      </c>
    </row>
    <row r="141" spans="1:8" x14ac:dyDescent="0.2">
      <c r="A141" s="3">
        <v>3030403001</v>
      </c>
      <c r="B141" s="4" t="s">
        <v>219</v>
      </c>
      <c r="C141" s="4" t="s">
        <v>220</v>
      </c>
      <c r="D141" s="3">
        <v>1</v>
      </c>
      <c r="E141" s="3" t="s">
        <v>16</v>
      </c>
      <c r="F141" s="3" t="s">
        <v>295</v>
      </c>
      <c r="G141" s="3" t="s">
        <v>17</v>
      </c>
      <c r="H141" s="3" t="s">
        <v>221</v>
      </c>
    </row>
    <row r="142" spans="1:8" x14ac:dyDescent="0.2">
      <c r="A142" s="3">
        <v>3040402013</v>
      </c>
      <c r="B142" s="4" t="s">
        <v>193</v>
      </c>
      <c r="C142" s="4" t="s">
        <v>363</v>
      </c>
      <c r="D142" s="3">
        <v>1</v>
      </c>
      <c r="E142" s="3" t="s">
        <v>16</v>
      </c>
      <c r="F142" s="3" t="s">
        <v>293</v>
      </c>
      <c r="G142" s="3" t="s">
        <v>29</v>
      </c>
      <c r="H142" s="3" t="s">
        <v>221</v>
      </c>
    </row>
    <row r="143" spans="1:8" x14ac:dyDescent="0.2">
      <c r="A143" s="3">
        <v>3040402014</v>
      </c>
      <c r="B143" s="4" t="s">
        <v>193</v>
      </c>
      <c r="C143" s="4" t="s">
        <v>364</v>
      </c>
      <c r="D143" s="3">
        <v>1</v>
      </c>
      <c r="E143" s="3" t="s">
        <v>16</v>
      </c>
      <c r="F143" s="3" t="s">
        <v>293</v>
      </c>
      <c r="G143" s="3" t="s">
        <v>29</v>
      </c>
      <c r="H143" s="3" t="s">
        <v>221</v>
      </c>
    </row>
    <row r="144" spans="1:8" x14ac:dyDescent="0.2">
      <c r="A144" s="3">
        <v>3020301001</v>
      </c>
      <c r="B144" s="4" t="s">
        <v>209</v>
      </c>
      <c r="C144" s="4" t="s">
        <v>365</v>
      </c>
      <c r="D144" s="3">
        <v>1</v>
      </c>
      <c r="E144" s="3" t="s">
        <v>16</v>
      </c>
      <c r="F144" s="3" t="s">
        <v>291</v>
      </c>
      <c r="G144" s="3" t="s">
        <v>26</v>
      </c>
      <c r="H144" s="3" t="s">
        <v>221</v>
      </c>
    </row>
    <row r="145" spans="1:8" x14ac:dyDescent="0.2">
      <c r="A145" s="3">
        <v>403030051</v>
      </c>
      <c r="B145" s="4" t="s">
        <v>366</v>
      </c>
      <c r="C145" s="4" t="s">
        <v>367</v>
      </c>
      <c r="D145" s="3">
        <v>3</v>
      </c>
      <c r="E145" s="3" t="s">
        <v>16</v>
      </c>
      <c r="F145" s="3" t="s">
        <v>301</v>
      </c>
      <c r="G145" s="3" t="s">
        <v>32</v>
      </c>
      <c r="H145" s="3" t="s">
        <v>221</v>
      </c>
    </row>
    <row r="146" spans="1:8" x14ac:dyDescent="0.2">
      <c r="A146" s="3">
        <v>403030005</v>
      </c>
      <c r="B146" s="4" t="s">
        <v>366</v>
      </c>
      <c r="C146" s="4" t="s">
        <v>368</v>
      </c>
      <c r="D146" s="3">
        <v>2</v>
      </c>
      <c r="E146" s="3" t="s">
        <v>16</v>
      </c>
      <c r="F146" s="3" t="s">
        <v>301</v>
      </c>
      <c r="G146" s="3" t="s">
        <v>32</v>
      </c>
      <c r="H146" s="3" t="s">
        <v>221</v>
      </c>
    </row>
    <row r="147" spans="1:8" x14ac:dyDescent="0.2">
      <c r="A147" s="3">
        <v>3050401001</v>
      </c>
      <c r="B147" s="4" t="s">
        <v>222</v>
      </c>
      <c r="C147" s="4" t="s">
        <v>223</v>
      </c>
      <c r="D147" s="3">
        <v>1</v>
      </c>
      <c r="E147" s="3" t="s">
        <v>16</v>
      </c>
      <c r="F147" s="3" t="s">
        <v>291</v>
      </c>
      <c r="G147" s="3" t="s">
        <v>26</v>
      </c>
      <c r="H147" s="3" t="s">
        <v>221</v>
      </c>
    </row>
    <row r="148" spans="1:8" x14ac:dyDescent="0.2">
      <c r="A148" s="3">
        <v>407010029</v>
      </c>
      <c r="B148" s="4" t="s">
        <v>149</v>
      </c>
      <c r="C148" s="4" t="s">
        <v>754</v>
      </c>
      <c r="D148" s="3">
        <v>1</v>
      </c>
      <c r="E148" s="3" t="s">
        <v>16</v>
      </c>
      <c r="F148" s="3" t="s">
        <v>289</v>
      </c>
      <c r="G148" s="3" t="s">
        <v>23</v>
      </c>
      <c r="H148" s="3" t="s">
        <v>524</v>
      </c>
    </row>
    <row r="149" spans="1:8" x14ac:dyDescent="0.2">
      <c r="A149" s="3">
        <v>3040502057</v>
      </c>
      <c r="B149" s="4" t="s">
        <v>136</v>
      </c>
      <c r="C149" s="4" t="s">
        <v>369</v>
      </c>
      <c r="D149" s="3">
        <v>1</v>
      </c>
      <c r="E149" s="3" t="s">
        <v>16</v>
      </c>
      <c r="F149" s="3" t="s">
        <v>293</v>
      </c>
      <c r="G149" s="3" t="s">
        <v>29</v>
      </c>
      <c r="H149" s="3" t="s">
        <v>370</v>
      </c>
    </row>
    <row r="150" spans="1:8" x14ac:dyDescent="0.2">
      <c r="A150" s="3">
        <v>3040502056</v>
      </c>
      <c r="B150" s="4" t="s">
        <v>136</v>
      </c>
      <c r="C150" s="4" t="s">
        <v>371</v>
      </c>
      <c r="D150" s="3">
        <v>1</v>
      </c>
      <c r="E150" s="3" t="s">
        <v>16</v>
      </c>
      <c r="F150" s="3" t="s">
        <v>293</v>
      </c>
      <c r="G150" s="3" t="s">
        <v>29</v>
      </c>
      <c r="H150" s="3" t="s">
        <v>370</v>
      </c>
    </row>
    <row r="151" spans="1:8" x14ac:dyDescent="0.2">
      <c r="A151" s="3">
        <v>3030306008</v>
      </c>
      <c r="B151" s="4" t="s">
        <v>235</v>
      </c>
      <c r="C151" s="4" t="s">
        <v>236</v>
      </c>
      <c r="D151" s="3">
        <v>1</v>
      </c>
      <c r="E151" s="3" t="s">
        <v>16</v>
      </c>
      <c r="F151" s="3" t="s">
        <v>295</v>
      </c>
      <c r="G151" s="3" t="s">
        <v>17</v>
      </c>
      <c r="H151" s="3" t="s">
        <v>226</v>
      </c>
    </row>
    <row r="152" spans="1:8" x14ac:dyDescent="0.2">
      <c r="A152" s="3">
        <v>3030314001</v>
      </c>
      <c r="B152" s="4" t="s">
        <v>237</v>
      </c>
      <c r="C152" s="4" t="s">
        <v>238</v>
      </c>
      <c r="D152" s="3">
        <v>1</v>
      </c>
      <c r="E152" s="3" t="s">
        <v>16</v>
      </c>
      <c r="F152" s="3" t="s">
        <v>291</v>
      </c>
      <c r="G152" s="3" t="s">
        <v>26</v>
      </c>
      <c r="H152" s="3" t="s">
        <v>226</v>
      </c>
    </row>
    <row r="153" spans="1:8" x14ac:dyDescent="0.2">
      <c r="A153" s="3">
        <v>3020101003</v>
      </c>
      <c r="B153" s="4" t="s">
        <v>239</v>
      </c>
      <c r="C153" s="4" t="s">
        <v>733</v>
      </c>
      <c r="D153" s="3">
        <v>5</v>
      </c>
      <c r="E153" s="3" t="s">
        <v>16</v>
      </c>
      <c r="F153" s="3" t="s">
        <v>297</v>
      </c>
      <c r="G153" s="3" t="s">
        <v>204</v>
      </c>
      <c r="H153" s="3" t="s">
        <v>226</v>
      </c>
    </row>
    <row r="154" spans="1:8" x14ac:dyDescent="0.2">
      <c r="A154" s="3">
        <v>3030309028</v>
      </c>
      <c r="B154" s="4" t="s">
        <v>241</v>
      </c>
      <c r="C154" s="4" t="s">
        <v>242</v>
      </c>
      <c r="D154" s="3">
        <v>1</v>
      </c>
      <c r="E154" s="3" t="s">
        <v>16</v>
      </c>
      <c r="F154" s="3" t="s">
        <v>291</v>
      </c>
      <c r="G154" s="3" t="s">
        <v>26</v>
      </c>
      <c r="H154" s="3" t="s">
        <v>226</v>
      </c>
    </row>
    <row r="155" spans="1:8" x14ac:dyDescent="0.2">
      <c r="A155" s="3">
        <v>3070212001</v>
      </c>
      <c r="B155" s="4" t="s">
        <v>377</v>
      </c>
      <c r="C155" s="4" t="s">
        <v>378</v>
      </c>
      <c r="D155" s="3">
        <v>1</v>
      </c>
      <c r="E155" s="3" t="s">
        <v>16</v>
      </c>
      <c r="F155" s="3" t="s">
        <v>317</v>
      </c>
      <c r="G155" s="3" t="s">
        <v>318</v>
      </c>
      <c r="H155" s="3" t="s">
        <v>226</v>
      </c>
    </row>
    <row r="156" spans="1:8" x14ac:dyDescent="0.2">
      <c r="A156" s="3">
        <v>3070210001</v>
      </c>
      <c r="B156" s="4" t="s">
        <v>379</v>
      </c>
      <c r="C156" s="4" t="s">
        <v>280</v>
      </c>
      <c r="D156" s="3">
        <v>1</v>
      </c>
      <c r="E156" s="3" t="s">
        <v>16</v>
      </c>
      <c r="F156" s="3" t="s">
        <v>317</v>
      </c>
      <c r="G156" s="3" t="s">
        <v>318</v>
      </c>
      <c r="H156" s="3" t="s">
        <v>226</v>
      </c>
    </row>
    <row r="157" spans="1:8" x14ac:dyDescent="0.2">
      <c r="A157" s="3">
        <v>3030309026</v>
      </c>
      <c r="B157" s="4" t="s">
        <v>243</v>
      </c>
      <c r="C157" s="4" t="s">
        <v>242</v>
      </c>
      <c r="D157" s="3">
        <v>1</v>
      </c>
      <c r="E157" s="3" t="s">
        <v>16</v>
      </c>
      <c r="F157" s="3" t="s">
        <v>291</v>
      </c>
      <c r="G157" s="3" t="s">
        <v>26</v>
      </c>
      <c r="H157" s="3" t="s">
        <v>226</v>
      </c>
    </row>
    <row r="158" spans="1:8" x14ac:dyDescent="0.2">
      <c r="A158" s="3">
        <v>3030309027</v>
      </c>
      <c r="B158" s="4" t="s">
        <v>244</v>
      </c>
      <c r="C158" s="4" t="s">
        <v>242</v>
      </c>
      <c r="D158" s="3">
        <v>1</v>
      </c>
      <c r="E158" s="3" t="s">
        <v>16</v>
      </c>
      <c r="F158" s="3" t="s">
        <v>291</v>
      </c>
      <c r="G158" s="3" t="s">
        <v>26</v>
      </c>
      <c r="H158" s="3" t="s">
        <v>226</v>
      </c>
    </row>
    <row r="159" spans="1:8" x14ac:dyDescent="0.2">
      <c r="A159" s="3">
        <v>3050303002</v>
      </c>
      <c r="B159" s="4" t="s">
        <v>245</v>
      </c>
      <c r="C159" s="4" t="s">
        <v>246</v>
      </c>
      <c r="D159" s="3">
        <v>1</v>
      </c>
      <c r="E159" s="3" t="s">
        <v>16</v>
      </c>
      <c r="F159" s="3" t="s">
        <v>291</v>
      </c>
      <c r="G159" s="3" t="s">
        <v>26</v>
      </c>
      <c r="H159" s="3" t="s">
        <v>226</v>
      </c>
    </row>
    <row r="160" spans="1:8" x14ac:dyDescent="0.2">
      <c r="A160" s="3">
        <v>3080301002</v>
      </c>
      <c r="B160" s="4" t="s">
        <v>247</v>
      </c>
      <c r="C160" s="4" t="s">
        <v>248</v>
      </c>
      <c r="D160" s="3">
        <v>1</v>
      </c>
      <c r="E160" s="3" t="s">
        <v>16</v>
      </c>
      <c r="F160" s="3" t="s">
        <v>295</v>
      </c>
      <c r="G160" s="3" t="s">
        <v>17</v>
      </c>
      <c r="H160" s="3" t="s">
        <v>249</v>
      </c>
    </row>
    <row r="161" spans="1:8" x14ac:dyDescent="0.2">
      <c r="A161" s="3">
        <v>3080107017</v>
      </c>
      <c r="B161" s="4" t="s">
        <v>69</v>
      </c>
      <c r="C161" s="4" t="s">
        <v>251</v>
      </c>
      <c r="D161" s="3">
        <v>4</v>
      </c>
      <c r="E161" s="3" t="s">
        <v>16</v>
      </c>
      <c r="F161" s="3" t="s">
        <v>295</v>
      </c>
      <c r="G161" s="3" t="s">
        <v>17</v>
      </c>
      <c r="H161" s="3" t="s">
        <v>249</v>
      </c>
    </row>
    <row r="162" spans="1:8" x14ac:dyDescent="0.2">
      <c r="A162" s="3">
        <v>3060335005</v>
      </c>
      <c r="B162" s="4" t="s">
        <v>233</v>
      </c>
      <c r="C162" s="4" t="s">
        <v>734</v>
      </c>
      <c r="D162" s="3">
        <v>1</v>
      </c>
      <c r="E162" s="3" t="s">
        <v>16</v>
      </c>
      <c r="F162" s="3" t="s">
        <v>289</v>
      </c>
      <c r="G162" s="3" t="s">
        <v>23</v>
      </c>
      <c r="H162" s="3" t="s">
        <v>254</v>
      </c>
    </row>
    <row r="163" spans="1:8" x14ac:dyDescent="0.2">
      <c r="A163" s="3">
        <v>3060324001</v>
      </c>
      <c r="B163" s="4" t="s">
        <v>735</v>
      </c>
      <c r="C163" s="4" t="s">
        <v>736</v>
      </c>
      <c r="D163" s="3">
        <v>1</v>
      </c>
      <c r="E163" s="3" t="s">
        <v>16</v>
      </c>
      <c r="F163" s="3" t="s">
        <v>289</v>
      </c>
      <c r="G163" s="3" t="s">
        <v>23</v>
      </c>
      <c r="H163" s="3" t="s">
        <v>254</v>
      </c>
    </row>
    <row r="164" spans="1:8" x14ac:dyDescent="0.2">
      <c r="A164" s="3">
        <v>3030315001</v>
      </c>
      <c r="B164" s="4" t="s">
        <v>257</v>
      </c>
      <c r="C164" s="4" t="s">
        <v>258</v>
      </c>
      <c r="D164" s="3">
        <v>2</v>
      </c>
      <c r="E164" s="3" t="s">
        <v>16</v>
      </c>
      <c r="F164" s="3" t="s">
        <v>295</v>
      </c>
      <c r="G164" s="3" t="s">
        <v>17</v>
      </c>
      <c r="H164" s="3" t="s">
        <v>254</v>
      </c>
    </row>
    <row r="165" spans="1:8" x14ac:dyDescent="0.2">
      <c r="A165" s="3">
        <v>3030304002</v>
      </c>
      <c r="B165" s="4" t="s">
        <v>259</v>
      </c>
      <c r="C165" s="4" t="s">
        <v>258</v>
      </c>
      <c r="D165" s="3">
        <v>1</v>
      </c>
      <c r="E165" s="3" t="s">
        <v>16</v>
      </c>
      <c r="F165" s="3" t="s">
        <v>295</v>
      </c>
      <c r="G165" s="3" t="s">
        <v>17</v>
      </c>
      <c r="H165" s="3" t="s">
        <v>254</v>
      </c>
    </row>
    <row r="166" spans="1:8" x14ac:dyDescent="0.2">
      <c r="A166" s="3">
        <v>3030304004</v>
      </c>
      <c r="B166" s="4" t="s">
        <v>260</v>
      </c>
      <c r="C166" s="4" t="s">
        <v>258</v>
      </c>
      <c r="D166" s="3">
        <v>1</v>
      </c>
      <c r="E166" s="3" t="s">
        <v>16</v>
      </c>
      <c r="F166" s="3" t="s">
        <v>295</v>
      </c>
      <c r="G166" s="3" t="s">
        <v>17</v>
      </c>
      <c r="H166" s="3" t="s">
        <v>254</v>
      </c>
    </row>
    <row r="167" spans="1:8" x14ac:dyDescent="0.2">
      <c r="A167" s="3">
        <v>3030316001</v>
      </c>
      <c r="B167" s="4" t="s">
        <v>261</v>
      </c>
      <c r="C167" s="4" t="s">
        <v>262</v>
      </c>
      <c r="D167" s="3">
        <v>3</v>
      </c>
      <c r="E167" s="3" t="s">
        <v>16</v>
      </c>
      <c r="F167" s="3" t="s">
        <v>295</v>
      </c>
      <c r="G167" s="3" t="s">
        <v>17</v>
      </c>
      <c r="H167" s="3" t="s">
        <v>254</v>
      </c>
    </row>
    <row r="168" spans="1:8" x14ac:dyDescent="0.2">
      <c r="A168" s="3">
        <v>3040304005</v>
      </c>
      <c r="B168" s="4" t="s">
        <v>380</v>
      </c>
      <c r="C168" s="4" t="s">
        <v>381</v>
      </c>
      <c r="D168" s="3">
        <v>2</v>
      </c>
      <c r="E168" s="3" t="s">
        <v>16</v>
      </c>
      <c r="F168" s="3" t="s">
        <v>293</v>
      </c>
      <c r="G168" s="3" t="s">
        <v>29</v>
      </c>
      <c r="H168" s="3" t="s">
        <v>254</v>
      </c>
    </row>
    <row r="169" spans="1:8" x14ac:dyDescent="0.2">
      <c r="A169" s="3">
        <v>3040304006</v>
      </c>
      <c r="B169" s="4" t="s">
        <v>380</v>
      </c>
      <c r="C169" s="4" t="s">
        <v>382</v>
      </c>
      <c r="D169" s="3">
        <v>2</v>
      </c>
      <c r="E169" s="3" t="s">
        <v>16</v>
      </c>
      <c r="F169" s="3" t="s">
        <v>293</v>
      </c>
      <c r="G169" s="3" t="s">
        <v>29</v>
      </c>
      <c r="H169" s="3" t="s">
        <v>254</v>
      </c>
    </row>
    <row r="170" spans="1:8" x14ac:dyDescent="0.2">
      <c r="A170" s="3">
        <v>3049902004</v>
      </c>
      <c r="B170" s="4" t="s">
        <v>383</v>
      </c>
      <c r="C170" s="4" t="s">
        <v>384</v>
      </c>
      <c r="D170" s="3">
        <v>2</v>
      </c>
      <c r="E170" s="3" t="s">
        <v>16</v>
      </c>
      <c r="F170" s="3" t="s">
        <v>293</v>
      </c>
      <c r="G170" s="3" t="s">
        <v>29</v>
      </c>
      <c r="H170" s="3" t="s">
        <v>254</v>
      </c>
    </row>
    <row r="171" spans="1:8" x14ac:dyDescent="0.2">
      <c r="A171" s="3">
        <v>3040326018</v>
      </c>
      <c r="B171" s="4" t="s">
        <v>385</v>
      </c>
      <c r="C171" s="4" t="s">
        <v>384</v>
      </c>
      <c r="D171" s="3">
        <v>2</v>
      </c>
      <c r="E171" s="3" t="s">
        <v>16</v>
      </c>
      <c r="F171" s="3" t="s">
        <v>293</v>
      </c>
      <c r="G171" s="3" t="s">
        <v>29</v>
      </c>
      <c r="H171" s="3" t="s">
        <v>254</v>
      </c>
    </row>
    <row r="172" spans="1:8" x14ac:dyDescent="0.2">
      <c r="A172" s="3">
        <v>3040320015</v>
      </c>
      <c r="B172" s="4" t="s">
        <v>269</v>
      </c>
      <c r="C172" s="4" t="s">
        <v>386</v>
      </c>
      <c r="D172" s="3">
        <v>1</v>
      </c>
      <c r="E172" s="3" t="s">
        <v>16</v>
      </c>
      <c r="F172" s="3" t="s">
        <v>293</v>
      </c>
      <c r="G172" s="3" t="s">
        <v>29</v>
      </c>
      <c r="H172" s="3" t="s">
        <v>254</v>
      </c>
    </row>
    <row r="173" spans="1:8" x14ac:dyDescent="0.2">
      <c r="A173" s="3">
        <v>3040320014</v>
      </c>
      <c r="B173" s="4" t="s">
        <v>269</v>
      </c>
      <c r="C173" s="4" t="s">
        <v>387</v>
      </c>
      <c r="D173" s="3">
        <v>1</v>
      </c>
      <c r="E173" s="3" t="s">
        <v>16</v>
      </c>
      <c r="F173" s="3" t="s">
        <v>293</v>
      </c>
      <c r="G173" s="3" t="s">
        <v>29</v>
      </c>
      <c r="H173" s="3" t="s">
        <v>254</v>
      </c>
    </row>
    <row r="174" spans="1:8" x14ac:dyDescent="0.2">
      <c r="A174" s="3">
        <v>3030310004</v>
      </c>
      <c r="B174" s="4" t="s">
        <v>273</v>
      </c>
      <c r="C174" s="4" t="s">
        <v>274</v>
      </c>
      <c r="D174" s="3">
        <v>1</v>
      </c>
      <c r="E174" s="3" t="s">
        <v>16</v>
      </c>
      <c r="F174" s="3" t="s">
        <v>295</v>
      </c>
      <c r="G174" s="3" t="s">
        <v>17</v>
      </c>
      <c r="H174" s="3" t="s">
        <v>254</v>
      </c>
    </row>
    <row r="175" spans="1:8" x14ac:dyDescent="0.2">
      <c r="A175" s="3">
        <v>3030313004</v>
      </c>
      <c r="B175" s="4" t="s">
        <v>275</v>
      </c>
      <c r="C175" s="4" t="s">
        <v>258</v>
      </c>
      <c r="D175" s="3">
        <v>1</v>
      </c>
      <c r="E175" s="3" t="s">
        <v>16</v>
      </c>
      <c r="F175" s="3" t="s">
        <v>295</v>
      </c>
      <c r="G175" s="3" t="s">
        <v>17</v>
      </c>
      <c r="H175" s="3" t="s">
        <v>254</v>
      </c>
    </row>
    <row r="176" spans="1:8" x14ac:dyDescent="0.2">
      <c r="A176" s="3">
        <v>3080308001</v>
      </c>
      <c r="B176" s="4" t="s">
        <v>276</v>
      </c>
      <c r="C176" s="4" t="s">
        <v>258</v>
      </c>
      <c r="D176" s="3">
        <v>1</v>
      </c>
      <c r="E176" s="3" t="s">
        <v>16</v>
      </c>
      <c r="F176" s="3" t="s">
        <v>295</v>
      </c>
      <c r="G176" s="3" t="s">
        <v>17</v>
      </c>
      <c r="H176" s="3" t="s">
        <v>254</v>
      </c>
    </row>
    <row r="177" spans="1:8" x14ac:dyDescent="0.2">
      <c r="A177" s="3">
        <v>3070205003</v>
      </c>
      <c r="B177" s="4" t="s">
        <v>372</v>
      </c>
      <c r="C177" s="4" t="s">
        <v>747</v>
      </c>
      <c r="D177" s="3">
        <v>1</v>
      </c>
      <c r="E177" s="3" t="s">
        <v>16</v>
      </c>
      <c r="F177" s="3" t="s">
        <v>317</v>
      </c>
      <c r="G177" s="3" t="s">
        <v>318</v>
      </c>
      <c r="H177" s="3" t="s">
        <v>254</v>
      </c>
    </row>
    <row r="178" spans="1:8" x14ac:dyDescent="0.2">
      <c r="A178" s="3">
        <v>3070202019</v>
      </c>
      <c r="B178" s="4" t="s">
        <v>388</v>
      </c>
      <c r="C178" s="4" t="s">
        <v>389</v>
      </c>
      <c r="D178" s="3">
        <v>1</v>
      </c>
      <c r="E178" s="3" t="s">
        <v>16</v>
      </c>
      <c r="F178" s="3" t="s">
        <v>317</v>
      </c>
      <c r="G178" s="3" t="s">
        <v>318</v>
      </c>
      <c r="H178" s="3" t="s">
        <v>254</v>
      </c>
    </row>
    <row r="179" spans="1:8" x14ac:dyDescent="0.2">
      <c r="A179" s="3">
        <v>3070209001</v>
      </c>
      <c r="B179" s="4" t="s">
        <v>748</v>
      </c>
      <c r="C179" s="4" t="s">
        <v>246</v>
      </c>
      <c r="D179" s="3">
        <v>1</v>
      </c>
      <c r="E179" s="3" t="s">
        <v>16</v>
      </c>
      <c r="F179" s="3" t="s">
        <v>317</v>
      </c>
      <c r="G179" s="3" t="s">
        <v>318</v>
      </c>
      <c r="H179" s="3" t="s">
        <v>254</v>
      </c>
    </row>
    <row r="180" spans="1:8" x14ac:dyDescent="0.2">
      <c r="A180" s="3">
        <v>3060339002</v>
      </c>
      <c r="B180" s="4" t="s">
        <v>737</v>
      </c>
      <c r="C180" s="4" t="s">
        <v>738</v>
      </c>
      <c r="D180" s="3">
        <v>1</v>
      </c>
      <c r="E180" s="3" t="s">
        <v>16</v>
      </c>
      <c r="F180" s="3" t="s">
        <v>702</v>
      </c>
      <c r="G180" s="3" t="s">
        <v>703</v>
      </c>
      <c r="H180" s="3" t="s">
        <v>254</v>
      </c>
    </row>
    <row r="181" spans="1:8" x14ac:dyDescent="0.2">
      <c r="A181" s="3">
        <v>3060325001</v>
      </c>
      <c r="B181" s="4" t="s">
        <v>739</v>
      </c>
      <c r="C181" s="4" t="s">
        <v>740</v>
      </c>
      <c r="D181" s="3">
        <v>1</v>
      </c>
      <c r="E181" s="3" t="s">
        <v>16</v>
      </c>
      <c r="F181" s="3" t="s">
        <v>702</v>
      </c>
      <c r="G181" s="3" t="s">
        <v>703</v>
      </c>
      <c r="H181" s="3" t="s">
        <v>254</v>
      </c>
    </row>
    <row r="182" spans="1:8" x14ac:dyDescent="0.2">
      <c r="A182" s="3">
        <v>3030307007</v>
      </c>
      <c r="B182" s="4" t="s">
        <v>279</v>
      </c>
      <c r="C182" s="4" t="s">
        <v>280</v>
      </c>
      <c r="D182" s="3">
        <v>3</v>
      </c>
      <c r="E182" s="3" t="s">
        <v>16</v>
      </c>
      <c r="F182" s="3" t="s">
        <v>291</v>
      </c>
      <c r="G182" s="3" t="s">
        <v>26</v>
      </c>
      <c r="H182" s="3" t="s">
        <v>254</v>
      </c>
    </row>
    <row r="183" spans="1:8" x14ac:dyDescent="0.2">
      <c r="A183" s="3">
        <v>3030308009</v>
      </c>
      <c r="B183" s="4" t="s">
        <v>281</v>
      </c>
      <c r="C183" s="4" t="s">
        <v>282</v>
      </c>
      <c r="D183" s="3">
        <v>3</v>
      </c>
      <c r="E183" s="3" t="s">
        <v>16</v>
      </c>
      <c r="F183" s="3" t="s">
        <v>291</v>
      </c>
      <c r="G183" s="3" t="s">
        <v>26</v>
      </c>
      <c r="H183" s="3" t="s">
        <v>254</v>
      </c>
    </row>
  </sheetData>
  <phoneticPr fontId="2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55305-1698-4FF8-B851-0E5A667482FE}">
  <dimension ref="A1:H120"/>
  <sheetViews>
    <sheetView workbookViewId="0">
      <selection activeCell="D3" sqref="D3"/>
    </sheetView>
  </sheetViews>
  <sheetFormatPr defaultRowHeight="14.25" x14ac:dyDescent="0.2"/>
  <cols>
    <col min="1" max="1" width="13.5" customWidth="1"/>
    <col min="2" max="2" width="13.875" customWidth="1"/>
    <col min="3" max="3" width="19.125" customWidth="1"/>
  </cols>
  <sheetData>
    <row r="1" spans="1:8" x14ac:dyDescent="0.2">
      <c r="A1" s="3" t="s">
        <v>770</v>
      </c>
      <c r="B1" s="4"/>
      <c r="C1" s="4"/>
      <c r="D1" s="3"/>
      <c r="E1" s="3"/>
      <c r="F1" s="3"/>
      <c r="G1" s="3"/>
      <c r="H1" s="3"/>
    </row>
    <row r="2" spans="1:8" ht="28.5" x14ac:dyDescent="0.2">
      <c r="A2" s="1" t="s">
        <v>0</v>
      </c>
      <c r="B2" s="2" t="s">
        <v>1</v>
      </c>
      <c r="C2" s="2" t="s">
        <v>2</v>
      </c>
      <c r="D2" s="1" t="s">
        <v>4</v>
      </c>
      <c r="E2" s="1" t="s">
        <v>3</v>
      </c>
      <c r="F2" s="1" t="s">
        <v>5</v>
      </c>
      <c r="G2" s="1" t="s">
        <v>6</v>
      </c>
      <c r="H2" s="1" t="s">
        <v>7</v>
      </c>
    </row>
    <row r="3" spans="1:8" s="10" customFormat="1" x14ac:dyDescent="0.2">
      <c r="A3" s="8" t="s">
        <v>390</v>
      </c>
      <c r="B3" s="9" t="s">
        <v>8</v>
      </c>
      <c r="C3" s="9" t="s">
        <v>9</v>
      </c>
      <c r="D3" s="12">
        <f>0.3205/0.94</f>
        <v>0.34095744680851064</v>
      </c>
      <c r="E3" s="8" t="s">
        <v>596</v>
      </c>
      <c r="F3" s="8" t="s">
        <v>283</v>
      </c>
      <c r="G3" s="8" t="s">
        <v>13</v>
      </c>
      <c r="H3" s="8" t="s">
        <v>12</v>
      </c>
    </row>
    <row r="4" spans="1:8" x14ac:dyDescent="0.2">
      <c r="A4" s="3">
        <v>3030314005</v>
      </c>
      <c r="B4" s="4" t="s">
        <v>394</v>
      </c>
      <c r="C4" s="4" t="s">
        <v>395</v>
      </c>
      <c r="D4" s="3">
        <v>1</v>
      </c>
      <c r="E4" s="3" t="s">
        <v>16</v>
      </c>
      <c r="F4" s="3" t="s">
        <v>291</v>
      </c>
      <c r="G4" s="3" t="s">
        <v>26</v>
      </c>
      <c r="H4" s="3" t="s">
        <v>18</v>
      </c>
    </row>
    <row r="5" spans="1:8" x14ac:dyDescent="0.2">
      <c r="A5" s="3">
        <v>404040024</v>
      </c>
      <c r="B5" s="4" t="s">
        <v>30</v>
      </c>
      <c r="C5" s="4" t="s">
        <v>756</v>
      </c>
      <c r="D5" s="3">
        <v>1</v>
      </c>
      <c r="E5" s="3" t="s">
        <v>16</v>
      </c>
      <c r="F5" s="3" t="s">
        <v>301</v>
      </c>
      <c r="G5" s="3" t="s">
        <v>32</v>
      </c>
      <c r="H5" s="3" t="s">
        <v>33</v>
      </c>
    </row>
    <row r="6" spans="1:8" x14ac:dyDescent="0.2">
      <c r="A6" s="3">
        <v>404090282</v>
      </c>
      <c r="B6" s="4" t="s">
        <v>30</v>
      </c>
      <c r="C6" s="4" t="s">
        <v>757</v>
      </c>
      <c r="D6" s="3">
        <v>1</v>
      </c>
      <c r="E6" s="3" t="s">
        <v>16</v>
      </c>
      <c r="F6" s="3" t="s">
        <v>301</v>
      </c>
      <c r="G6" s="3" t="s">
        <v>32</v>
      </c>
      <c r="H6" s="3" t="s">
        <v>33</v>
      </c>
    </row>
    <row r="7" spans="1:8" x14ac:dyDescent="0.2">
      <c r="A7" s="3">
        <v>404090103</v>
      </c>
      <c r="B7" s="4" t="s">
        <v>30</v>
      </c>
      <c r="C7" s="4" t="s">
        <v>625</v>
      </c>
      <c r="D7" s="3">
        <v>1</v>
      </c>
      <c r="E7" s="3" t="s">
        <v>16</v>
      </c>
      <c r="F7" s="3" t="s">
        <v>301</v>
      </c>
      <c r="G7" s="3" t="s">
        <v>32</v>
      </c>
      <c r="H7" s="3" t="s">
        <v>33</v>
      </c>
    </row>
    <row r="8" spans="1:8" x14ac:dyDescent="0.2">
      <c r="A8" s="3">
        <v>404010128</v>
      </c>
      <c r="B8" s="4" t="s">
        <v>30</v>
      </c>
      <c r="C8" s="4" t="s">
        <v>624</v>
      </c>
      <c r="D8" s="3">
        <v>1</v>
      </c>
      <c r="E8" s="3" t="s">
        <v>16</v>
      </c>
      <c r="F8" s="3" t="s">
        <v>291</v>
      </c>
      <c r="G8" s="3" t="s">
        <v>26</v>
      </c>
      <c r="H8" s="3" t="s">
        <v>33</v>
      </c>
    </row>
    <row r="9" spans="1:8" x14ac:dyDescent="0.2">
      <c r="A9" s="3">
        <v>401020306</v>
      </c>
      <c r="B9" s="4" t="s">
        <v>35</v>
      </c>
      <c r="C9" s="4" t="s">
        <v>626</v>
      </c>
      <c r="D9" s="3">
        <v>1</v>
      </c>
      <c r="E9" s="3" t="s">
        <v>16</v>
      </c>
      <c r="F9" s="3" t="s">
        <v>301</v>
      </c>
      <c r="G9" s="3" t="s">
        <v>32</v>
      </c>
      <c r="H9" s="3" t="s">
        <v>33</v>
      </c>
    </row>
    <row r="10" spans="1:8" x14ac:dyDescent="0.2">
      <c r="A10" s="3">
        <v>3080401008</v>
      </c>
      <c r="B10" s="4" t="s">
        <v>41</v>
      </c>
      <c r="C10" s="4" t="s">
        <v>700</v>
      </c>
      <c r="D10" s="3">
        <v>2</v>
      </c>
      <c r="E10" s="3" t="s">
        <v>16</v>
      </c>
      <c r="F10" s="3" t="s">
        <v>289</v>
      </c>
      <c r="G10" s="3" t="s">
        <v>23</v>
      </c>
      <c r="H10" s="3" t="s">
        <v>40</v>
      </c>
    </row>
    <row r="11" spans="1:8" x14ac:dyDescent="0.2">
      <c r="A11" s="3">
        <v>3080401023</v>
      </c>
      <c r="B11" s="4" t="s">
        <v>41</v>
      </c>
      <c r="C11" s="4" t="s">
        <v>699</v>
      </c>
      <c r="D11" s="3">
        <v>2</v>
      </c>
      <c r="E11" s="3" t="s">
        <v>16</v>
      </c>
      <c r="F11" s="3" t="s">
        <v>289</v>
      </c>
      <c r="G11" s="3" t="s">
        <v>23</v>
      </c>
      <c r="H11" s="3" t="s">
        <v>40</v>
      </c>
    </row>
    <row r="12" spans="1:8" x14ac:dyDescent="0.2">
      <c r="A12" s="3">
        <v>3080401014</v>
      </c>
      <c r="B12" s="4" t="s">
        <v>41</v>
      </c>
      <c r="C12" s="4" t="s">
        <v>417</v>
      </c>
      <c r="D12" s="3">
        <v>4</v>
      </c>
      <c r="E12" s="3" t="s">
        <v>16</v>
      </c>
      <c r="F12" s="3" t="s">
        <v>291</v>
      </c>
      <c r="G12" s="3" t="s">
        <v>26</v>
      </c>
      <c r="H12" s="3" t="s">
        <v>40</v>
      </c>
    </row>
    <row r="13" spans="1:8" x14ac:dyDescent="0.2">
      <c r="A13" s="3">
        <v>3080104081</v>
      </c>
      <c r="B13" s="4" t="s">
        <v>45</v>
      </c>
      <c r="C13" s="4" t="s">
        <v>701</v>
      </c>
      <c r="D13" s="3">
        <v>2</v>
      </c>
      <c r="E13" s="3" t="s">
        <v>16</v>
      </c>
      <c r="F13" s="3" t="s">
        <v>289</v>
      </c>
      <c r="G13" s="3" t="s">
        <v>23</v>
      </c>
      <c r="H13" s="3" t="s">
        <v>40</v>
      </c>
    </row>
    <row r="14" spans="1:8" x14ac:dyDescent="0.2">
      <c r="A14" s="3">
        <v>3080104014</v>
      </c>
      <c r="B14" s="4" t="s">
        <v>45</v>
      </c>
      <c r="C14" s="4" t="s">
        <v>312</v>
      </c>
      <c r="D14" s="3">
        <v>2</v>
      </c>
      <c r="E14" s="3" t="s">
        <v>16</v>
      </c>
      <c r="F14" s="3" t="s">
        <v>293</v>
      </c>
      <c r="G14" s="3" t="s">
        <v>29</v>
      </c>
      <c r="H14" s="3" t="s">
        <v>40</v>
      </c>
    </row>
    <row r="15" spans="1:8" x14ac:dyDescent="0.2">
      <c r="A15" s="3">
        <v>3080104081</v>
      </c>
      <c r="B15" s="4" t="s">
        <v>45</v>
      </c>
      <c r="C15" s="4" t="s">
        <v>701</v>
      </c>
      <c r="D15" s="3">
        <v>2</v>
      </c>
      <c r="E15" s="3" t="s">
        <v>16</v>
      </c>
      <c r="F15" s="3" t="s">
        <v>702</v>
      </c>
      <c r="G15" s="3" t="s">
        <v>703</v>
      </c>
      <c r="H15" s="3" t="s">
        <v>40</v>
      </c>
    </row>
    <row r="16" spans="1:8" x14ac:dyDescent="0.2">
      <c r="A16" s="3">
        <v>3080104079</v>
      </c>
      <c r="B16" s="4" t="s">
        <v>45</v>
      </c>
      <c r="C16" s="4" t="s">
        <v>627</v>
      </c>
      <c r="D16" s="3">
        <v>4</v>
      </c>
      <c r="E16" s="3" t="s">
        <v>16</v>
      </c>
      <c r="F16" s="3" t="s">
        <v>291</v>
      </c>
      <c r="G16" s="3" t="s">
        <v>26</v>
      </c>
      <c r="H16" s="3" t="s">
        <v>40</v>
      </c>
    </row>
    <row r="17" spans="1:8" x14ac:dyDescent="0.2">
      <c r="A17" s="3">
        <v>3080104099</v>
      </c>
      <c r="B17" s="4" t="s">
        <v>45</v>
      </c>
      <c r="C17" s="4" t="s">
        <v>419</v>
      </c>
      <c r="D17" s="3">
        <v>2</v>
      </c>
      <c r="E17" s="3" t="s">
        <v>16</v>
      </c>
      <c r="F17" s="3" t="s">
        <v>291</v>
      </c>
      <c r="G17" s="3" t="s">
        <v>26</v>
      </c>
      <c r="H17" s="3" t="s">
        <v>40</v>
      </c>
    </row>
    <row r="18" spans="1:8" x14ac:dyDescent="0.2">
      <c r="A18" s="3">
        <v>3080105114</v>
      </c>
      <c r="B18" s="4" t="s">
        <v>50</v>
      </c>
      <c r="C18" s="4" t="s">
        <v>53</v>
      </c>
      <c r="D18" s="3">
        <v>5</v>
      </c>
      <c r="E18" s="3" t="s">
        <v>16</v>
      </c>
      <c r="F18" s="3" t="s">
        <v>289</v>
      </c>
      <c r="G18" s="3" t="s">
        <v>23</v>
      </c>
      <c r="H18" s="3" t="s">
        <v>40</v>
      </c>
    </row>
    <row r="19" spans="1:8" x14ac:dyDescent="0.2">
      <c r="A19" s="3">
        <v>3080105114</v>
      </c>
      <c r="B19" s="4" t="s">
        <v>50</v>
      </c>
      <c r="C19" s="4" t="s">
        <v>53</v>
      </c>
      <c r="D19" s="3">
        <v>4</v>
      </c>
      <c r="E19" s="3" t="s">
        <v>16</v>
      </c>
      <c r="F19" s="3" t="s">
        <v>289</v>
      </c>
      <c r="G19" s="3" t="s">
        <v>23</v>
      </c>
      <c r="H19" s="3" t="s">
        <v>40</v>
      </c>
    </row>
    <row r="20" spans="1:8" x14ac:dyDescent="0.2">
      <c r="A20" s="3">
        <v>3080105004</v>
      </c>
      <c r="B20" s="4" t="s">
        <v>50</v>
      </c>
      <c r="C20" s="4" t="s">
        <v>54</v>
      </c>
      <c r="D20" s="3">
        <v>6</v>
      </c>
      <c r="E20" s="3" t="s">
        <v>16</v>
      </c>
      <c r="F20" s="3" t="s">
        <v>289</v>
      </c>
      <c r="G20" s="3" t="s">
        <v>23</v>
      </c>
      <c r="H20" s="3" t="s">
        <v>40</v>
      </c>
    </row>
    <row r="21" spans="1:8" x14ac:dyDescent="0.2">
      <c r="A21" s="3">
        <v>3080105007</v>
      </c>
      <c r="B21" s="4" t="s">
        <v>50</v>
      </c>
      <c r="C21" s="4" t="s">
        <v>52</v>
      </c>
      <c r="D21" s="3">
        <v>2</v>
      </c>
      <c r="E21" s="3" t="s">
        <v>16</v>
      </c>
      <c r="F21" s="3" t="s">
        <v>293</v>
      </c>
      <c r="G21" s="3" t="s">
        <v>29</v>
      </c>
      <c r="H21" s="3" t="s">
        <v>40</v>
      </c>
    </row>
    <row r="22" spans="1:8" x14ac:dyDescent="0.2">
      <c r="A22" s="3">
        <v>3080105068</v>
      </c>
      <c r="B22" s="4" t="s">
        <v>50</v>
      </c>
      <c r="C22" s="4" t="s">
        <v>314</v>
      </c>
      <c r="D22" s="3">
        <v>10</v>
      </c>
      <c r="E22" s="3" t="s">
        <v>16</v>
      </c>
      <c r="F22" s="3" t="s">
        <v>293</v>
      </c>
      <c r="G22" s="3" t="s">
        <v>29</v>
      </c>
      <c r="H22" s="3" t="s">
        <v>40</v>
      </c>
    </row>
    <row r="23" spans="1:8" x14ac:dyDescent="0.2">
      <c r="A23" s="3">
        <v>3080105033</v>
      </c>
      <c r="B23" s="4" t="s">
        <v>50</v>
      </c>
      <c r="C23" s="4" t="s">
        <v>628</v>
      </c>
      <c r="D23" s="3">
        <v>4</v>
      </c>
      <c r="E23" s="3" t="s">
        <v>16</v>
      </c>
      <c r="F23" s="3" t="s">
        <v>293</v>
      </c>
      <c r="G23" s="3" t="s">
        <v>29</v>
      </c>
      <c r="H23" s="3" t="s">
        <v>40</v>
      </c>
    </row>
    <row r="24" spans="1:8" x14ac:dyDescent="0.2">
      <c r="A24" s="3">
        <v>3080105114</v>
      </c>
      <c r="B24" s="4" t="s">
        <v>50</v>
      </c>
      <c r="C24" s="4" t="s">
        <v>53</v>
      </c>
      <c r="D24" s="3">
        <v>6</v>
      </c>
      <c r="E24" s="3" t="s">
        <v>16</v>
      </c>
      <c r="F24" s="3" t="s">
        <v>702</v>
      </c>
      <c r="G24" s="3" t="s">
        <v>703</v>
      </c>
      <c r="H24" s="3" t="s">
        <v>40</v>
      </c>
    </row>
    <row r="25" spans="1:8" x14ac:dyDescent="0.2">
      <c r="A25" s="3">
        <v>3080105114</v>
      </c>
      <c r="B25" s="4" t="s">
        <v>50</v>
      </c>
      <c r="C25" s="4" t="s">
        <v>53</v>
      </c>
      <c r="D25" s="3">
        <v>3</v>
      </c>
      <c r="E25" s="3" t="s">
        <v>16</v>
      </c>
      <c r="F25" s="3" t="s">
        <v>702</v>
      </c>
      <c r="G25" s="3" t="s">
        <v>703</v>
      </c>
      <c r="H25" s="3" t="s">
        <v>40</v>
      </c>
    </row>
    <row r="26" spans="1:8" x14ac:dyDescent="0.2">
      <c r="A26" s="3">
        <v>3080105004</v>
      </c>
      <c r="B26" s="4" t="s">
        <v>50</v>
      </c>
      <c r="C26" s="4" t="s">
        <v>54</v>
      </c>
      <c r="D26" s="3">
        <v>2</v>
      </c>
      <c r="E26" s="3" t="s">
        <v>16</v>
      </c>
      <c r="F26" s="3" t="s">
        <v>291</v>
      </c>
      <c r="G26" s="3" t="s">
        <v>26</v>
      </c>
      <c r="H26" s="3" t="s">
        <v>40</v>
      </c>
    </row>
    <row r="27" spans="1:8" x14ac:dyDescent="0.2">
      <c r="A27" s="3">
        <v>3080105040</v>
      </c>
      <c r="B27" s="4" t="s">
        <v>50</v>
      </c>
      <c r="C27" s="4" t="s">
        <v>421</v>
      </c>
      <c r="D27" s="3">
        <v>2</v>
      </c>
      <c r="E27" s="3" t="s">
        <v>16</v>
      </c>
      <c r="F27" s="3" t="s">
        <v>291</v>
      </c>
      <c r="G27" s="3" t="s">
        <v>26</v>
      </c>
      <c r="H27" s="3" t="s">
        <v>40</v>
      </c>
    </row>
    <row r="28" spans="1:8" x14ac:dyDescent="0.2">
      <c r="A28" s="3">
        <v>3080105015</v>
      </c>
      <c r="B28" s="4" t="s">
        <v>50</v>
      </c>
      <c r="C28" s="4" t="s">
        <v>422</v>
      </c>
      <c r="D28" s="3">
        <v>6</v>
      </c>
      <c r="E28" s="3" t="s">
        <v>16</v>
      </c>
      <c r="F28" s="3" t="s">
        <v>291</v>
      </c>
      <c r="G28" s="3" t="s">
        <v>26</v>
      </c>
      <c r="H28" s="3" t="s">
        <v>40</v>
      </c>
    </row>
    <row r="29" spans="1:8" x14ac:dyDescent="0.2">
      <c r="A29" s="3">
        <v>3080104033</v>
      </c>
      <c r="B29" s="4" t="s">
        <v>50</v>
      </c>
      <c r="C29" s="4" t="s">
        <v>758</v>
      </c>
      <c r="D29" s="3">
        <v>2</v>
      </c>
      <c r="E29" s="3" t="s">
        <v>16</v>
      </c>
      <c r="F29" s="3" t="s">
        <v>291</v>
      </c>
      <c r="G29" s="3" t="s">
        <v>26</v>
      </c>
      <c r="H29" s="3" t="s">
        <v>40</v>
      </c>
    </row>
    <row r="30" spans="1:8" x14ac:dyDescent="0.2">
      <c r="A30" s="3">
        <v>3080501013</v>
      </c>
      <c r="B30" s="4" t="s">
        <v>57</v>
      </c>
      <c r="C30" s="4" t="s">
        <v>58</v>
      </c>
      <c r="D30" s="3">
        <v>2</v>
      </c>
      <c r="E30" s="3" t="s">
        <v>16</v>
      </c>
      <c r="F30" s="3" t="s">
        <v>293</v>
      </c>
      <c r="G30" s="3" t="s">
        <v>29</v>
      </c>
      <c r="H30" s="3" t="s">
        <v>40</v>
      </c>
    </row>
    <row r="31" spans="1:8" x14ac:dyDescent="0.2">
      <c r="A31" s="3">
        <v>3080501003</v>
      </c>
      <c r="B31" s="4" t="s">
        <v>57</v>
      </c>
      <c r="C31" s="4" t="s">
        <v>630</v>
      </c>
      <c r="D31" s="3">
        <v>2</v>
      </c>
      <c r="E31" s="3" t="s">
        <v>16</v>
      </c>
      <c r="F31" s="3" t="s">
        <v>291</v>
      </c>
      <c r="G31" s="3" t="s">
        <v>26</v>
      </c>
      <c r="H31" s="3" t="s">
        <v>40</v>
      </c>
    </row>
    <row r="32" spans="1:8" x14ac:dyDescent="0.2">
      <c r="A32" s="3">
        <v>3080201012</v>
      </c>
      <c r="B32" s="4" t="s">
        <v>60</v>
      </c>
      <c r="C32" s="4" t="s">
        <v>320</v>
      </c>
      <c r="D32" s="3">
        <v>1</v>
      </c>
      <c r="E32" s="3" t="s">
        <v>16</v>
      </c>
      <c r="F32" s="3" t="s">
        <v>289</v>
      </c>
      <c r="G32" s="3" t="s">
        <v>23</v>
      </c>
      <c r="H32" s="3" t="s">
        <v>40</v>
      </c>
    </row>
    <row r="33" spans="1:8" x14ac:dyDescent="0.2">
      <c r="A33" s="3">
        <v>3080201012</v>
      </c>
      <c r="B33" s="4" t="s">
        <v>60</v>
      </c>
      <c r="C33" s="4" t="s">
        <v>320</v>
      </c>
      <c r="D33" s="3">
        <v>1</v>
      </c>
      <c r="E33" s="3" t="s">
        <v>16</v>
      </c>
      <c r="F33" s="3" t="s">
        <v>702</v>
      </c>
      <c r="G33" s="3" t="s">
        <v>703</v>
      </c>
      <c r="H33" s="3" t="s">
        <v>40</v>
      </c>
    </row>
    <row r="34" spans="1:8" x14ac:dyDescent="0.2">
      <c r="A34" s="3">
        <v>3080106015</v>
      </c>
      <c r="B34" s="4" t="s">
        <v>66</v>
      </c>
      <c r="C34" s="4" t="s">
        <v>631</v>
      </c>
      <c r="D34" s="3">
        <v>4</v>
      </c>
      <c r="E34" s="3" t="s">
        <v>16</v>
      </c>
      <c r="F34" s="3" t="s">
        <v>291</v>
      </c>
      <c r="G34" s="3" t="s">
        <v>26</v>
      </c>
      <c r="H34" s="3" t="s">
        <v>40</v>
      </c>
    </row>
    <row r="35" spans="1:8" x14ac:dyDescent="0.2">
      <c r="A35" s="3">
        <v>3080107089</v>
      </c>
      <c r="B35" s="4" t="s">
        <v>69</v>
      </c>
      <c r="C35" s="4" t="s">
        <v>704</v>
      </c>
      <c r="D35" s="3">
        <v>1</v>
      </c>
      <c r="E35" s="3" t="s">
        <v>16</v>
      </c>
      <c r="F35" s="3" t="s">
        <v>289</v>
      </c>
      <c r="G35" s="3" t="s">
        <v>23</v>
      </c>
      <c r="H35" s="3" t="s">
        <v>40</v>
      </c>
    </row>
    <row r="36" spans="1:8" x14ac:dyDescent="0.2">
      <c r="A36" s="3">
        <v>3080107112</v>
      </c>
      <c r="B36" s="4" t="s">
        <v>69</v>
      </c>
      <c r="C36" s="4" t="s">
        <v>705</v>
      </c>
      <c r="D36" s="3">
        <v>2</v>
      </c>
      <c r="E36" s="3" t="s">
        <v>16</v>
      </c>
      <c r="F36" s="3" t="s">
        <v>289</v>
      </c>
      <c r="G36" s="3" t="s">
        <v>23</v>
      </c>
      <c r="H36" s="3" t="s">
        <v>40</v>
      </c>
    </row>
    <row r="37" spans="1:8" x14ac:dyDescent="0.2">
      <c r="A37" s="3">
        <v>3080107284</v>
      </c>
      <c r="B37" s="4" t="s">
        <v>69</v>
      </c>
      <c r="C37" s="4" t="s">
        <v>706</v>
      </c>
      <c r="D37" s="3">
        <v>1</v>
      </c>
      <c r="E37" s="3" t="s">
        <v>16</v>
      </c>
      <c r="F37" s="3" t="s">
        <v>702</v>
      </c>
      <c r="G37" s="3" t="s">
        <v>703</v>
      </c>
      <c r="H37" s="3" t="s">
        <v>40</v>
      </c>
    </row>
    <row r="38" spans="1:8" x14ac:dyDescent="0.2">
      <c r="A38" s="3">
        <v>3080107014</v>
      </c>
      <c r="B38" s="4" t="s">
        <v>69</v>
      </c>
      <c r="C38" s="4" t="s">
        <v>322</v>
      </c>
      <c r="D38" s="3">
        <v>2</v>
      </c>
      <c r="E38" s="3" t="s">
        <v>16</v>
      </c>
      <c r="F38" s="3" t="s">
        <v>291</v>
      </c>
      <c r="G38" s="3" t="s">
        <v>26</v>
      </c>
      <c r="H38" s="3" t="s">
        <v>40</v>
      </c>
    </row>
    <row r="39" spans="1:8" x14ac:dyDescent="0.2">
      <c r="A39" s="3">
        <v>3080107072</v>
      </c>
      <c r="B39" s="4" t="s">
        <v>69</v>
      </c>
      <c r="C39" s="4" t="s">
        <v>435</v>
      </c>
      <c r="D39" s="3">
        <v>4</v>
      </c>
      <c r="E39" s="3" t="s">
        <v>16</v>
      </c>
      <c r="F39" s="3" t="s">
        <v>291</v>
      </c>
      <c r="G39" s="3" t="s">
        <v>26</v>
      </c>
      <c r="H39" s="3" t="s">
        <v>40</v>
      </c>
    </row>
    <row r="40" spans="1:8" x14ac:dyDescent="0.2">
      <c r="A40" s="3">
        <v>3080110010</v>
      </c>
      <c r="B40" s="4" t="s">
        <v>632</v>
      </c>
      <c r="C40" s="4" t="s">
        <v>633</v>
      </c>
      <c r="D40" s="3">
        <v>2</v>
      </c>
      <c r="E40" s="3" t="s">
        <v>16</v>
      </c>
      <c r="F40" s="3" t="s">
        <v>291</v>
      </c>
      <c r="G40" s="3" t="s">
        <v>26</v>
      </c>
      <c r="H40" s="3" t="s">
        <v>40</v>
      </c>
    </row>
    <row r="41" spans="1:8" x14ac:dyDescent="0.2">
      <c r="A41" s="3">
        <v>3080111074</v>
      </c>
      <c r="B41" s="4" t="s">
        <v>79</v>
      </c>
      <c r="C41" s="4" t="s">
        <v>634</v>
      </c>
      <c r="D41" s="3">
        <v>4</v>
      </c>
      <c r="E41" s="3" t="s">
        <v>16</v>
      </c>
      <c r="F41" s="3" t="s">
        <v>291</v>
      </c>
      <c r="G41" s="3" t="s">
        <v>26</v>
      </c>
      <c r="H41" s="3" t="s">
        <v>40</v>
      </c>
    </row>
    <row r="42" spans="1:8" x14ac:dyDescent="0.2">
      <c r="A42" s="3">
        <v>3080111087</v>
      </c>
      <c r="B42" s="4" t="s">
        <v>79</v>
      </c>
      <c r="C42" s="4" t="s">
        <v>80</v>
      </c>
      <c r="D42" s="3">
        <v>7</v>
      </c>
      <c r="E42" s="3" t="s">
        <v>16</v>
      </c>
      <c r="F42" s="3" t="s">
        <v>291</v>
      </c>
      <c r="G42" s="3" t="s">
        <v>26</v>
      </c>
      <c r="H42" s="3" t="s">
        <v>40</v>
      </c>
    </row>
    <row r="43" spans="1:8" x14ac:dyDescent="0.2">
      <c r="A43" s="3">
        <v>3080111087</v>
      </c>
      <c r="B43" s="4" t="s">
        <v>79</v>
      </c>
      <c r="C43" s="4" t="s">
        <v>80</v>
      </c>
      <c r="D43" s="3">
        <v>9</v>
      </c>
      <c r="E43" s="3" t="s">
        <v>16</v>
      </c>
      <c r="F43" s="3" t="s">
        <v>291</v>
      </c>
      <c r="G43" s="3" t="s">
        <v>26</v>
      </c>
      <c r="H43" s="3" t="s">
        <v>40</v>
      </c>
    </row>
    <row r="44" spans="1:8" x14ac:dyDescent="0.2">
      <c r="A44" s="3">
        <v>3080111087</v>
      </c>
      <c r="B44" s="4" t="s">
        <v>79</v>
      </c>
      <c r="C44" s="4" t="s">
        <v>80</v>
      </c>
      <c r="D44" s="3">
        <v>4</v>
      </c>
      <c r="E44" s="3" t="s">
        <v>16</v>
      </c>
      <c r="F44" s="3" t="s">
        <v>291</v>
      </c>
      <c r="G44" s="3" t="s">
        <v>26</v>
      </c>
      <c r="H44" s="3" t="s">
        <v>40</v>
      </c>
    </row>
    <row r="45" spans="1:8" x14ac:dyDescent="0.2">
      <c r="A45" s="3">
        <v>407030126</v>
      </c>
      <c r="B45" s="4" t="s">
        <v>81</v>
      </c>
      <c r="C45" s="4" t="s">
        <v>759</v>
      </c>
      <c r="D45" s="3">
        <v>1</v>
      </c>
      <c r="E45" s="3" t="s">
        <v>16</v>
      </c>
      <c r="F45" s="3" t="s">
        <v>301</v>
      </c>
      <c r="G45" s="3" t="s">
        <v>32</v>
      </c>
      <c r="H45" s="3" t="s">
        <v>40</v>
      </c>
    </row>
    <row r="46" spans="1:8" x14ac:dyDescent="0.2">
      <c r="A46" s="3">
        <v>3030101061</v>
      </c>
      <c r="B46" s="4" t="s">
        <v>636</v>
      </c>
      <c r="C46" s="4" t="s">
        <v>760</v>
      </c>
      <c r="D46" s="3">
        <v>1</v>
      </c>
      <c r="E46" s="3" t="s">
        <v>16</v>
      </c>
      <c r="F46" s="3" t="s">
        <v>291</v>
      </c>
      <c r="G46" s="3" t="s">
        <v>26</v>
      </c>
      <c r="H46" s="3" t="s">
        <v>88</v>
      </c>
    </row>
    <row r="47" spans="1:8" x14ac:dyDescent="0.2">
      <c r="A47" s="3">
        <v>3099990501</v>
      </c>
      <c r="B47" s="4" t="s">
        <v>708</v>
      </c>
      <c r="C47" s="4" t="s">
        <v>105</v>
      </c>
      <c r="D47" s="3">
        <v>1</v>
      </c>
      <c r="E47" s="3" t="s">
        <v>16</v>
      </c>
      <c r="F47" s="3" t="s">
        <v>709</v>
      </c>
      <c r="G47" s="3" t="s">
        <v>710</v>
      </c>
      <c r="H47" s="3" t="s">
        <v>103</v>
      </c>
    </row>
    <row r="48" spans="1:8" x14ac:dyDescent="0.2">
      <c r="A48" s="3">
        <v>3099990104</v>
      </c>
      <c r="B48" s="4" t="s">
        <v>104</v>
      </c>
      <c r="C48" s="4" t="s">
        <v>448</v>
      </c>
      <c r="D48" s="3">
        <v>1</v>
      </c>
      <c r="E48" s="3" t="s">
        <v>16</v>
      </c>
      <c r="F48" s="3" t="s">
        <v>299</v>
      </c>
      <c r="G48" s="3" t="s">
        <v>106</v>
      </c>
      <c r="H48" s="3" t="s">
        <v>103</v>
      </c>
    </row>
    <row r="49" spans="1:8" x14ac:dyDescent="0.2">
      <c r="A49" s="3">
        <v>3099990704</v>
      </c>
      <c r="B49" s="4" t="s">
        <v>449</v>
      </c>
      <c r="C49" s="4" t="s">
        <v>450</v>
      </c>
      <c r="D49" s="3">
        <v>1</v>
      </c>
      <c r="E49" s="3" t="s">
        <v>16</v>
      </c>
      <c r="F49" s="3" t="s">
        <v>299</v>
      </c>
      <c r="G49" s="3" t="s">
        <v>106</v>
      </c>
      <c r="H49" s="3" t="s">
        <v>103</v>
      </c>
    </row>
    <row r="50" spans="1:8" x14ac:dyDescent="0.2">
      <c r="A50" s="3">
        <v>3099990604</v>
      </c>
      <c r="B50" s="4" t="s">
        <v>451</v>
      </c>
      <c r="C50" s="4" t="s">
        <v>450</v>
      </c>
      <c r="D50" s="3">
        <v>1</v>
      </c>
      <c r="E50" s="3" t="s">
        <v>16</v>
      </c>
      <c r="F50" s="3" t="s">
        <v>299</v>
      </c>
      <c r="G50" s="3" t="s">
        <v>106</v>
      </c>
      <c r="H50" s="3" t="s">
        <v>103</v>
      </c>
    </row>
    <row r="51" spans="1:8" x14ac:dyDescent="0.2">
      <c r="A51" s="3">
        <v>402030027</v>
      </c>
      <c r="B51" s="4" t="s">
        <v>107</v>
      </c>
      <c r="C51" s="4" t="s">
        <v>110</v>
      </c>
      <c r="D51" s="3">
        <v>1</v>
      </c>
      <c r="E51" s="3" t="s">
        <v>16</v>
      </c>
      <c r="F51" s="3" t="s">
        <v>289</v>
      </c>
      <c r="G51" s="3" t="s">
        <v>23</v>
      </c>
      <c r="H51" s="3" t="s">
        <v>109</v>
      </c>
    </row>
    <row r="52" spans="1:8" x14ac:dyDescent="0.2">
      <c r="A52" s="3">
        <v>402030019</v>
      </c>
      <c r="B52" s="4" t="s">
        <v>107</v>
      </c>
      <c r="C52" s="4" t="s">
        <v>638</v>
      </c>
      <c r="D52" s="3">
        <v>2</v>
      </c>
      <c r="E52" s="3" t="s">
        <v>16</v>
      </c>
      <c r="F52" s="3" t="s">
        <v>293</v>
      </c>
      <c r="G52" s="3" t="s">
        <v>29</v>
      </c>
      <c r="H52" s="3" t="s">
        <v>109</v>
      </c>
    </row>
    <row r="53" spans="1:8" x14ac:dyDescent="0.2">
      <c r="A53" s="3">
        <v>402030027</v>
      </c>
      <c r="B53" s="4" t="s">
        <v>107</v>
      </c>
      <c r="C53" s="4" t="s">
        <v>110</v>
      </c>
      <c r="D53" s="3">
        <v>1</v>
      </c>
      <c r="E53" s="3" t="s">
        <v>16</v>
      </c>
      <c r="F53" s="3" t="s">
        <v>291</v>
      </c>
      <c r="G53" s="3" t="s">
        <v>26</v>
      </c>
      <c r="H53" s="3" t="s">
        <v>109</v>
      </c>
    </row>
    <row r="54" spans="1:8" x14ac:dyDescent="0.2">
      <c r="A54" s="3">
        <v>3060210001</v>
      </c>
      <c r="B54" s="4" t="s">
        <v>711</v>
      </c>
      <c r="C54" s="4" t="s">
        <v>712</v>
      </c>
      <c r="D54" s="3">
        <v>4</v>
      </c>
      <c r="E54" s="3" t="s">
        <v>16</v>
      </c>
      <c r="F54" s="3" t="s">
        <v>289</v>
      </c>
      <c r="G54" s="3" t="s">
        <v>23</v>
      </c>
      <c r="H54" s="3" t="s">
        <v>115</v>
      </c>
    </row>
    <row r="55" spans="1:8" x14ac:dyDescent="0.2">
      <c r="A55" s="3">
        <v>3040113002</v>
      </c>
      <c r="B55" s="4" t="s">
        <v>118</v>
      </c>
      <c r="C55" s="4" t="s">
        <v>119</v>
      </c>
      <c r="D55" s="3">
        <v>2</v>
      </c>
      <c r="E55" s="3" t="s">
        <v>16</v>
      </c>
      <c r="F55" s="3" t="s">
        <v>293</v>
      </c>
      <c r="G55" s="3" t="s">
        <v>29</v>
      </c>
      <c r="H55" s="3" t="s">
        <v>115</v>
      </c>
    </row>
    <row r="56" spans="1:8" x14ac:dyDescent="0.2">
      <c r="A56" s="3">
        <v>3040216001</v>
      </c>
      <c r="B56" s="4" t="s">
        <v>328</v>
      </c>
      <c r="C56" s="4" t="s">
        <v>329</v>
      </c>
      <c r="D56" s="3">
        <v>4</v>
      </c>
      <c r="E56" s="3" t="s">
        <v>16</v>
      </c>
      <c r="F56" s="3" t="s">
        <v>293</v>
      </c>
      <c r="G56" s="3" t="s">
        <v>29</v>
      </c>
      <c r="H56" s="3" t="s">
        <v>115</v>
      </c>
    </row>
    <row r="57" spans="1:8" x14ac:dyDescent="0.2">
      <c r="A57" s="3">
        <v>3050203003</v>
      </c>
      <c r="B57" s="4" t="s">
        <v>120</v>
      </c>
      <c r="C57" s="4" t="s">
        <v>457</v>
      </c>
      <c r="D57" s="3">
        <v>2</v>
      </c>
      <c r="E57" s="3" t="s">
        <v>16</v>
      </c>
      <c r="F57" s="3" t="s">
        <v>291</v>
      </c>
      <c r="G57" s="3" t="s">
        <v>26</v>
      </c>
      <c r="H57" s="3" t="s">
        <v>115</v>
      </c>
    </row>
    <row r="58" spans="1:8" x14ac:dyDescent="0.2">
      <c r="A58" s="3">
        <v>3030204008</v>
      </c>
      <c r="B58" s="4" t="s">
        <v>122</v>
      </c>
      <c r="C58" s="4" t="s">
        <v>123</v>
      </c>
      <c r="D58" s="3">
        <v>1</v>
      </c>
      <c r="E58" s="3" t="s">
        <v>16</v>
      </c>
      <c r="F58" s="3" t="s">
        <v>291</v>
      </c>
      <c r="G58" s="3" t="s">
        <v>26</v>
      </c>
      <c r="H58" s="3" t="s">
        <v>115</v>
      </c>
    </row>
    <row r="59" spans="1:8" x14ac:dyDescent="0.2">
      <c r="A59" s="3">
        <v>401040438</v>
      </c>
      <c r="B59" s="4" t="s">
        <v>35</v>
      </c>
      <c r="C59" s="4" t="s">
        <v>639</v>
      </c>
      <c r="D59" s="3">
        <v>1</v>
      </c>
      <c r="E59" s="3" t="s">
        <v>16</v>
      </c>
      <c r="F59" s="3" t="s">
        <v>291</v>
      </c>
      <c r="G59" s="3" t="s">
        <v>26</v>
      </c>
      <c r="H59" s="3" t="s">
        <v>134</v>
      </c>
    </row>
    <row r="60" spans="1:8" x14ac:dyDescent="0.2">
      <c r="A60" s="3">
        <v>3990207002</v>
      </c>
      <c r="B60" s="4" t="s">
        <v>140</v>
      </c>
      <c r="C60" s="4" t="s">
        <v>714</v>
      </c>
      <c r="D60" s="3">
        <v>1</v>
      </c>
      <c r="E60" s="3" t="s">
        <v>16</v>
      </c>
      <c r="F60" s="3" t="s">
        <v>285</v>
      </c>
      <c r="G60" s="3" t="s">
        <v>142</v>
      </c>
      <c r="H60" s="3" t="s">
        <v>143</v>
      </c>
    </row>
    <row r="61" spans="1:8" x14ac:dyDescent="0.2">
      <c r="A61" s="3">
        <v>3030301005</v>
      </c>
      <c r="B61" s="4" t="s">
        <v>144</v>
      </c>
      <c r="C61" s="4" t="s">
        <v>145</v>
      </c>
      <c r="D61" s="3">
        <v>2</v>
      </c>
      <c r="E61" s="3" t="s">
        <v>16</v>
      </c>
      <c r="F61" s="3" t="s">
        <v>291</v>
      </c>
      <c r="G61" s="3" t="s">
        <v>26</v>
      </c>
      <c r="H61" s="3" t="s">
        <v>143</v>
      </c>
    </row>
    <row r="62" spans="1:8" x14ac:dyDescent="0.2">
      <c r="A62" s="3">
        <v>3990206001</v>
      </c>
      <c r="B62" s="4" t="s">
        <v>715</v>
      </c>
      <c r="C62" s="4" t="s">
        <v>716</v>
      </c>
      <c r="D62" s="3">
        <v>1</v>
      </c>
      <c r="E62" s="3" t="s">
        <v>16</v>
      </c>
      <c r="F62" s="3" t="s">
        <v>717</v>
      </c>
      <c r="G62" s="3" t="s">
        <v>718</v>
      </c>
      <c r="H62" s="3" t="s">
        <v>143</v>
      </c>
    </row>
    <row r="63" spans="1:8" x14ac:dyDescent="0.2">
      <c r="A63" s="3">
        <v>3990205003</v>
      </c>
      <c r="B63" s="4" t="s">
        <v>146</v>
      </c>
      <c r="C63" s="4" t="s">
        <v>460</v>
      </c>
      <c r="D63" s="3">
        <v>1</v>
      </c>
      <c r="E63" s="3" t="s">
        <v>16</v>
      </c>
      <c r="F63" s="3" t="s">
        <v>287</v>
      </c>
      <c r="G63" s="3" t="s">
        <v>148</v>
      </c>
      <c r="H63" s="3" t="s">
        <v>143</v>
      </c>
    </row>
    <row r="64" spans="1:8" x14ac:dyDescent="0.2">
      <c r="A64" s="3">
        <v>3060318001</v>
      </c>
      <c r="B64" s="4" t="s">
        <v>720</v>
      </c>
      <c r="C64" s="4" t="s">
        <v>721</v>
      </c>
      <c r="D64" s="3">
        <v>1</v>
      </c>
      <c r="E64" s="3" t="s">
        <v>16</v>
      </c>
      <c r="F64" s="3" t="s">
        <v>289</v>
      </c>
      <c r="G64" s="3" t="s">
        <v>23</v>
      </c>
      <c r="H64" s="3" t="s">
        <v>154</v>
      </c>
    </row>
    <row r="65" spans="1:8" x14ac:dyDescent="0.2">
      <c r="A65" s="3">
        <v>3060327003</v>
      </c>
      <c r="B65" s="4" t="s">
        <v>722</v>
      </c>
      <c r="C65" s="4" t="s">
        <v>723</v>
      </c>
      <c r="D65" s="3">
        <v>1</v>
      </c>
      <c r="E65" s="3" t="s">
        <v>16</v>
      </c>
      <c r="F65" s="3" t="s">
        <v>289</v>
      </c>
      <c r="G65" s="3" t="s">
        <v>23</v>
      </c>
      <c r="H65" s="3" t="s">
        <v>154</v>
      </c>
    </row>
    <row r="66" spans="1:8" x14ac:dyDescent="0.2">
      <c r="A66" s="3">
        <v>3080507001</v>
      </c>
      <c r="B66" s="4" t="s">
        <v>466</v>
      </c>
      <c r="C66" s="4" t="s">
        <v>467</v>
      </c>
      <c r="D66" s="3">
        <v>4</v>
      </c>
      <c r="E66" s="3" t="s">
        <v>16</v>
      </c>
      <c r="F66" s="3" t="s">
        <v>291</v>
      </c>
      <c r="G66" s="3" t="s">
        <v>26</v>
      </c>
      <c r="H66" s="3" t="s">
        <v>154</v>
      </c>
    </row>
    <row r="67" spans="1:8" x14ac:dyDescent="0.2">
      <c r="A67" s="3">
        <v>3050206006</v>
      </c>
      <c r="B67" s="4" t="s">
        <v>640</v>
      </c>
      <c r="C67" s="4" t="s">
        <v>641</v>
      </c>
      <c r="D67" s="3">
        <v>1</v>
      </c>
      <c r="E67" s="3" t="s">
        <v>16</v>
      </c>
      <c r="F67" s="3" t="s">
        <v>291</v>
      </c>
      <c r="G67" s="3" t="s">
        <v>26</v>
      </c>
      <c r="H67" s="3" t="s">
        <v>154</v>
      </c>
    </row>
    <row r="68" spans="1:8" x14ac:dyDescent="0.2">
      <c r="A68" s="3">
        <v>3110103002</v>
      </c>
      <c r="B68" s="4" t="s">
        <v>473</v>
      </c>
      <c r="C68" s="4" t="s">
        <v>474</v>
      </c>
      <c r="D68" s="3">
        <v>1</v>
      </c>
      <c r="E68" s="3" t="s">
        <v>16</v>
      </c>
      <c r="F68" s="3" t="s">
        <v>291</v>
      </c>
      <c r="G68" s="3" t="s">
        <v>26</v>
      </c>
      <c r="H68" s="3" t="s">
        <v>165</v>
      </c>
    </row>
    <row r="69" spans="1:8" x14ac:dyDescent="0.2">
      <c r="A69" s="3">
        <v>3030314007</v>
      </c>
      <c r="B69" s="4" t="s">
        <v>477</v>
      </c>
      <c r="C69" s="4" t="s">
        <v>478</v>
      </c>
      <c r="D69" s="3">
        <v>1</v>
      </c>
      <c r="E69" s="3" t="s">
        <v>16</v>
      </c>
      <c r="F69" s="3" t="s">
        <v>291</v>
      </c>
      <c r="G69" s="3" t="s">
        <v>26</v>
      </c>
      <c r="H69" s="3" t="s">
        <v>165</v>
      </c>
    </row>
    <row r="70" spans="1:8" x14ac:dyDescent="0.2">
      <c r="A70" s="3">
        <v>3030308013</v>
      </c>
      <c r="B70" s="4" t="s">
        <v>479</v>
      </c>
      <c r="C70" s="4" t="s">
        <v>478</v>
      </c>
      <c r="D70" s="3">
        <v>1</v>
      </c>
      <c r="E70" s="3" t="s">
        <v>16</v>
      </c>
      <c r="F70" s="3" t="s">
        <v>291</v>
      </c>
      <c r="G70" s="3" t="s">
        <v>26</v>
      </c>
      <c r="H70" s="3" t="s">
        <v>165</v>
      </c>
    </row>
    <row r="71" spans="1:8" x14ac:dyDescent="0.2">
      <c r="A71" s="3">
        <v>3010106010</v>
      </c>
      <c r="B71" s="4" t="s">
        <v>481</v>
      </c>
      <c r="C71" s="4" t="s">
        <v>482</v>
      </c>
      <c r="D71" s="3">
        <v>0.03</v>
      </c>
      <c r="E71" s="3" t="s">
        <v>10</v>
      </c>
      <c r="F71" s="3" t="s">
        <v>284</v>
      </c>
      <c r="G71" s="3" t="s">
        <v>11</v>
      </c>
      <c r="H71" s="3" t="s">
        <v>483</v>
      </c>
    </row>
    <row r="72" spans="1:8" x14ac:dyDescent="0.2">
      <c r="A72" s="3">
        <v>3060333003</v>
      </c>
      <c r="B72" s="4" t="s">
        <v>227</v>
      </c>
      <c r="C72" s="4" t="s">
        <v>724</v>
      </c>
      <c r="D72" s="3">
        <v>1</v>
      </c>
      <c r="E72" s="3" t="s">
        <v>16</v>
      </c>
      <c r="F72" s="3" t="s">
        <v>289</v>
      </c>
      <c r="G72" s="3" t="s">
        <v>23</v>
      </c>
      <c r="H72" s="3" t="s">
        <v>173</v>
      </c>
    </row>
    <row r="73" spans="1:8" x14ac:dyDescent="0.2">
      <c r="A73" s="3">
        <v>3040309001</v>
      </c>
      <c r="B73" s="4" t="s">
        <v>346</v>
      </c>
      <c r="C73" s="4" t="s">
        <v>347</v>
      </c>
      <c r="D73" s="3">
        <v>8</v>
      </c>
      <c r="E73" s="3" t="s">
        <v>16</v>
      </c>
      <c r="F73" s="3" t="s">
        <v>293</v>
      </c>
      <c r="G73" s="3" t="s">
        <v>29</v>
      </c>
      <c r="H73" s="3" t="s">
        <v>173</v>
      </c>
    </row>
    <row r="74" spans="1:8" x14ac:dyDescent="0.2">
      <c r="A74" s="3">
        <v>3060340001</v>
      </c>
      <c r="B74" s="4" t="s">
        <v>725</v>
      </c>
      <c r="C74" s="4" t="s">
        <v>726</v>
      </c>
      <c r="D74" s="3">
        <v>1</v>
      </c>
      <c r="E74" s="3" t="s">
        <v>16</v>
      </c>
      <c r="F74" s="3" t="s">
        <v>702</v>
      </c>
      <c r="G74" s="3" t="s">
        <v>703</v>
      </c>
      <c r="H74" s="3" t="s">
        <v>173</v>
      </c>
    </row>
    <row r="75" spans="1:8" x14ac:dyDescent="0.2">
      <c r="A75" s="3">
        <v>3050304006</v>
      </c>
      <c r="B75" s="4" t="s">
        <v>181</v>
      </c>
      <c r="C75" s="4" t="s">
        <v>491</v>
      </c>
      <c r="D75" s="3">
        <v>1</v>
      </c>
      <c r="E75" s="3" t="s">
        <v>16</v>
      </c>
      <c r="F75" s="3" t="s">
        <v>291</v>
      </c>
      <c r="G75" s="3" t="s">
        <v>26</v>
      </c>
      <c r="H75" s="3" t="s">
        <v>173</v>
      </c>
    </row>
    <row r="76" spans="1:8" x14ac:dyDescent="0.2">
      <c r="A76" s="3">
        <v>3020501004</v>
      </c>
      <c r="B76" s="4" t="s">
        <v>183</v>
      </c>
      <c r="C76" s="4" t="s">
        <v>761</v>
      </c>
      <c r="D76" s="3">
        <v>1</v>
      </c>
      <c r="E76" s="3" t="s">
        <v>16</v>
      </c>
      <c r="F76" s="3" t="s">
        <v>291</v>
      </c>
      <c r="G76" s="3" t="s">
        <v>26</v>
      </c>
      <c r="H76" s="3" t="s">
        <v>185</v>
      </c>
    </row>
    <row r="77" spans="1:8" x14ac:dyDescent="0.2">
      <c r="A77" s="3">
        <v>3110203003</v>
      </c>
      <c r="B77" s="4" t="s">
        <v>189</v>
      </c>
      <c r="C77" s="4" t="s">
        <v>643</v>
      </c>
      <c r="D77" s="3">
        <v>1</v>
      </c>
      <c r="E77" s="3" t="s">
        <v>16</v>
      </c>
      <c r="F77" s="3" t="s">
        <v>291</v>
      </c>
      <c r="G77" s="3" t="s">
        <v>26</v>
      </c>
      <c r="H77" s="3" t="s">
        <v>187</v>
      </c>
    </row>
    <row r="78" spans="1:8" x14ac:dyDescent="0.2">
      <c r="A78" s="3">
        <v>3060401001</v>
      </c>
      <c r="B78" s="4" t="s">
        <v>727</v>
      </c>
      <c r="C78" s="4" t="s">
        <v>728</v>
      </c>
      <c r="D78" s="3">
        <v>2</v>
      </c>
      <c r="E78" s="3" t="s">
        <v>16</v>
      </c>
      <c r="F78" s="3" t="s">
        <v>289</v>
      </c>
      <c r="G78" s="3" t="s">
        <v>23</v>
      </c>
      <c r="H78" s="3" t="s">
        <v>192</v>
      </c>
    </row>
    <row r="79" spans="1:8" x14ac:dyDescent="0.2">
      <c r="A79" s="3">
        <v>404110025</v>
      </c>
      <c r="B79" s="4" t="s">
        <v>504</v>
      </c>
      <c r="C79" s="4" t="s">
        <v>762</v>
      </c>
      <c r="D79" s="3">
        <v>1</v>
      </c>
      <c r="E79" s="3" t="s">
        <v>16</v>
      </c>
      <c r="F79" s="3" t="s">
        <v>301</v>
      </c>
      <c r="G79" s="3" t="s">
        <v>32</v>
      </c>
      <c r="H79" s="3" t="s">
        <v>198</v>
      </c>
    </row>
    <row r="80" spans="1:8" x14ac:dyDescent="0.2">
      <c r="A80" s="3">
        <v>401040473</v>
      </c>
      <c r="B80" s="4" t="s">
        <v>35</v>
      </c>
      <c r="C80" s="4" t="s">
        <v>645</v>
      </c>
      <c r="D80" s="3">
        <v>1</v>
      </c>
      <c r="E80" s="3" t="s">
        <v>16</v>
      </c>
      <c r="F80" s="3" t="s">
        <v>293</v>
      </c>
      <c r="G80" s="3" t="s">
        <v>29</v>
      </c>
      <c r="H80" s="3" t="s">
        <v>198</v>
      </c>
    </row>
    <row r="81" spans="1:8" x14ac:dyDescent="0.2">
      <c r="A81" s="3">
        <v>401070022</v>
      </c>
      <c r="B81" s="4" t="s">
        <v>35</v>
      </c>
      <c r="C81" s="4" t="s">
        <v>203</v>
      </c>
      <c r="D81" s="3">
        <v>1</v>
      </c>
      <c r="E81" s="3" t="s">
        <v>16</v>
      </c>
      <c r="F81" s="3" t="s">
        <v>297</v>
      </c>
      <c r="G81" s="3" t="s">
        <v>204</v>
      </c>
      <c r="H81" s="3" t="s">
        <v>198</v>
      </c>
    </row>
    <row r="82" spans="1:8" x14ac:dyDescent="0.2">
      <c r="A82" s="3">
        <v>401070018</v>
      </c>
      <c r="B82" s="4" t="s">
        <v>35</v>
      </c>
      <c r="C82" s="4" t="s">
        <v>202</v>
      </c>
      <c r="D82" s="3">
        <v>1</v>
      </c>
      <c r="E82" s="3" t="s">
        <v>16</v>
      </c>
      <c r="F82" s="3" t="s">
        <v>291</v>
      </c>
      <c r="G82" s="3" t="s">
        <v>26</v>
      </c>
      <c r="H82" s="3" t="s">
        <v>198</v>
      </c>
    </row>
    <row r="83" spans="1:8" x14ac:dyDescent="0.2">
      <c r="A83" s="3">
        <v>3049904001</v>
      </c>
      <c r="B83" s="4" t="s">
        <v>354</v>
      </c>
      <c r="C83" s="4" t="s">
        <v>355</v>
      </c>
      <c r="D83" s="3">
        <v>4</v>
      </c>
      <c r="E83" s="3" t="s">
        <v>16</v>
      </c>
      <c r="F83" s="3" t="s">
        <v>293</v>
      </c>
      <c r="G83" s="3" t="s">
        <v>29</v>
      </c>
      <c r="H83" s="3" t="s">
        <v>214</v>
      </c>
    </row>
    <row r="84" spans="1:8" x14ac:dyDescent="0.2">
      <c r="A84" s="3">
        <v>3049902012</v>
      </c>
      <c r="B84" s="4" t="s">
        <v>518</v>
      </c>
      <c r="C84" s="4" t="s">
        <v>646</v>
      </c>
      <c r="D84" s="3">
        <v>2</v>
      </c>
      <c r="E84" s="3" t="s">
        <v>16</v>
      </c>
      <c r="F84" s="3" t="s">
        <v>293</v>
      </c>
      <c r="G84" s="3" t="s">
        <v>29</v>
      </c>
      <c r="H84" s="3" t="s">
        <v>214</v>
      </c>
    </row>
    <row r="85" spans="1:8" x14ac:dyDescent="0.2">
      <c r="A85" s="3">
        <v>3049902005</v>
      </c>
      <c r="B85" s="4" t="s">
        <v>356</v>
      </c>
      <c r="C85" s="4" t="s">
        <v>357</v>
      </c>
      <c r="D85" s="3">
        <v>2</v>
      </c>
      <c r="E85" s="3" t="s">
        <v>16</v>
      </c>
      <c r="F85" s="3" t="s">
        <v>293</v>
      </c>
      <c r="G85" s="3" t="s">
        <v>29</v>
      </c>
      <c r="H85" s="3" t="s">
        <v>214</v>
      </c>
    </row>
    <row r="86" spans="1:8" x14ac:dyDescent="0.2">
      <c r="A86" s="3">
        <v>3060404036</v>
      </c>
      <c r="B86" s="4" t="s">
        <v>729</v>
      </c>
      <c r="C86" s="4" t="s">
        <v>763</v>
      </c>
      <c r="D86" s="3">
        <v>1</v>
      </c>
      <c r="E86" s="3" t="s">
        <v>16</v>
      </c>
      <c r="F86" s="3" t="s">
        <v>289</v>
      </c>
      <c r="G86" s="3" t="s">
        <v>23</v>
      </c>
      <c r="H86" s="3" t="s">
        <v>221</v>
      </c>
    </row>
    <row r="87" spans="1:8" x14ac:dyDescent="0.2">
      <c r="A87" s="3">
        <v>403030005</v>
      </c>
      <c r="B87" s="4" t="s">
        <v>366</v>
      </c>
      <c r="C87" s="4" t="s">
        <v>368</v>
      </c>
      <c r="D87" s="3">
        <v>2</v>
      </c>
      <c r="E87" s="3" t="s">
        <v>16</v>
      </c>
      <c r="F87" s="3" t="s">
        <v>301</v>
      </c>
      <c r="G87" s="3" t="s">
        <v>32</v>
      </c>
      <c r="H87" s="3" t="s">
        <v>221</v>
      </c>
    </row>
    <row r="88" spans="1:8" x14ac:dyDescent="0.2">
      <c r="A88" s="3">
        <v>403030051</v>
      </c>
      <c r="B88" s="4" t="s">
        <v>366</v>
      </c>
      <c r="C88" s="4" t="s">
        <v>367</v>
      </c>
      <c r="D88" s="3">
        <v>3</v>
      </c>
      <c r="E88" s="3" t="s">
        <v>16</v>
      </c>
      <c r="F88" s="3" t="s">
        <v>301</v>
      </c>
      <c r="G88" s="3" t="s">
        <v>32</v>
      </c>
      <c r="H88" s="3" t="s">
        <v>221</v>
      </c>
    </row>
    <row r="89" spans="1:8" x14ac:dyDescent="0.2">
      <c r="A89" s="3">
        <v>402050001</v>
      </c>
      <c r="B89" s="4" t="s">
        <v>522</v>
      </c>
      <c r="C89" s="4" t="s">
        <v>523</v>
      </c>
      <c r="D89" s="3">
        <v>1</v>
      </c>
      <c r="E89" s="3" t="s">
        <v>16</v>
      </c>
      <c r="F89" s="3" t="s">
        <v>289</v>
      </c>
      <c r="G89" s="3" t="s">
        <v>23</v>
      </c>
      <c r="H89" s="3" t="s">
        <v>524</v>
      </c>
    </row>
    <row r="90" spans="1:8" x14ac:dyDescent="0.2">
      <c r="A90" s="3">
        <v>407010289</v>
      </c>
      <c r="B90" s="4" t="s">
        <v>149</v>
      </c>
      <c r="C90" s="4" t="s">
        <v>764</v>
      </c>
      <c r="D90" s="3">
        <v>1</v>
      </c>
      <c r="E90" s="3" t="s">
        <v>16</v>
      </c>
      <c r="F90" s="3" t="s">
        <v>289</v>
      </c>
      <c r="G90" s="3" t="s">
        <v>23</v>
      </c>
      <c r="H90" s="3" t="s">
        <v>524</v>
      </c>
    </row>
    <row r="91" spans="1:8" x14ac:dyDescent="0.2">
      <c r="A91" s="3">
        <v>3040502063</v>
      </c>
      <c r="B91" s="4" t="s">
        <v>136</v>
      </c>
      <c r="C91" s="4" t="s">
        <v>648</v>
      </c>
      <c r="D91" s="3">
        <v>2</v>
      </c>
      <c r="E91" s="3" t="s">
        <v>16</v>
      </c>
      <c r="F91" s="3" t="s">
        <v>293</v>
      </c>
      <c r="G91" s="3" t="s">
        <v>29</v>
      </c>
      <c r="H91" s="3" t="s">
        <v>370</v>
      </c>
    </row>
    <row r="92" spans="1:8" x14ac:dyDescent="0.2">
      <c r="A92" s="3">
        <v>3060301001</v>
      </c>
      <c r="B92" s="4" t="s">
        <v>731</v>
      </c>
      <c r="C92" s="4" t="s">
        <v>732</v>
      </c>
      <c r="D92" s="3">
        <v>1</v>
      </c>
      <c r="E92" s="3" t="s">
        <v>16</v>
      </c>
      <c r="F92" s="3" t="s">
        <v>289</v>
      </c>
      <c r="G92" s="3" t="s">
        <v>23</v>
      </c>
      <c r="H92" s="3" t="s">
        <v>226</v>
      </c>
    </row>
    <row r="93" spans="1:8" x14ac:dyDescent="0.2">
      <c r="A93" s="3">
        <v>3050305016</v>
      </c>
      <c r="B93" s="4" t="s">
        <v>527</v>
      </c>
      <c r="C93" s="4" t="s">
        <v>528</v>
      </c>
      <c r="D93" s="3">
        <v>1</v>
      </c>
      <c r="E93" s="3" t="s">
        <v>16</v>
      </c>
      <c r="F93" s="3" t="s">
        <v>291</v>
      </c>
      <c r="G93" s="3" t="s">
        <v>26</v>
      </c>
      <c r="H93" s="3" t="s">
        <v>226</v>
      </c>
    </row>
    <row r="94" spans="1:8" x14ac:dyDescent="0.2">
      <c r="A94" s="3">
        <v>3050305015</v>
      </c>
      <c r="B94" s="4" t="s">
        <v>529</v>
      </c>
      <c r="C94" s="4" t="s">
        <v>530</v>
      </c>
      <c r="D94" s="3">
        <v>1</v>
      </c>
      <c r="E94" s="3" t="s">
        <v>16</v>
      </c>
      <c r="F94" s="3" t="s">
        <v>291</v>
      </c>
      <c r="G94" s="3" t="s">
        <v>26</v>
      </c>
      <c r="H94" s="3" t="s">
        <v>226</v>
      </c>
    </row>
    <row r="95" spans="1:8" x14ac:dyDescent="0.2">
      <c r="A95" s="3">
        <v>3050306011</v>
      </c>
      <c r="B95" s="4" t="s">
        <v>531</v>
      </c>
      <c r="C95" s="4" t="s">
        <v>609</v>
      </c>
      <c r="D95" s="3">
        <v>1</v>
      </c>
      <c r="E95" s="3" t="s">
        <v>16</v>
      </c>
      <c r="F95" s="3" t="s">
        <v>291</v>
      </c>
      <c r="G95" s="3" t="s">
        <v>26</v>
      </c>
      <c r="H95" s="3" t="s">
        <v>226</v>
      </c>
    </row>
    <row r="96" spans="1:8" x14ac:dyDescent="0.2">
      <c r="A96" s="3">
        <v>3030303046</v>
      </c>
      <c r="B96" s="4" t="s">
        <v>649</v>
      </c>
      <c r="C96" s="4" t="s">
        <v>650</v>
      </c>
      <c r="D96" s="3">
        <v>1</v>
      </c>
      <c r="E96" s="3" t="s">
        <v>16</v>
      </c>
      <c r="F96" s="3" t="s">
        <v>291</v>
      </c>
      <c r="G96" s="3" t="s">
        <v>26</v>
      </c>
      <c r="H96" s="3" t="s">
        <v>226</v>
      </c>
    </row>
    <row r="97" spans="1:8" x14ac:dyDescent="0.2">
      <c r="A97" s="3">
        <v>3030303047</v>
      </c>
      <c r="B97" s="4" t="s">
        <v>651</v>
      </c>
      <c r="C97" s="4" t="s">
        <v>650</v>
      </c>
      <c r="D97" s="3">
        <v>1</v>
      </c>
      <c r="E97" s="3" t="s">
        <v>16</v>
      </c>
      <c r="F97" s="3" t="s">
        <v>291</v>
      </c>
      <c r="G97" s="3" t="s">
        <v>26</v>
      </c>
      <c r="H97" s="3" t="s">
        <v>226</v>
      </c>
    </row>
    <row r="98" spans="1:8" x14ac:dyDescent="0.2">
      <c r="A98" s="3">
        <v>3040312026</v>
      </c>
      <c r="B98" s="4" t="s">
        <v>263</v>
      </c>
      <c r="C98" s="4" t="s">
        <v>652</v>
      </c>
      <c r="D98" s="3">
        <v>2</v>
      </c>
      <c r="E98" s="3" t="s">
        <v>16</v>
      </c>
      <c r="F98" s="3" t="s">
        <v>293</v>
      </c>
      <c r="G98" s="3" t="s">
        <v>29</v>
      </c>
      <c r="H98" s="3" t="s">
        <v>226</v>
      </c>
    </row>
    <row r="99" spans="1:8" x14ac:dyDescent="0.2">
      <c r="A99" s="3">
        <v>3040303008</v>
      </c>
      <c r="B99" s="4" t="s">
        <v>265</v>
      </c>
      <c r="C99" s="4" t="s">
        <v>653</v>
      </c>
      <c r="D99" s="3">
        <v>2</v>
      </c>
      <c r="E99" s="3" t="s">
        <v>16</v>
      </c>
      <c r="F99" s="3" t="s">
        <v>293</v>
      </c>
      <c r="G99" s="3" t="s">
        <v>29</v>
      </c>
      <c r="H99" s="3" t="s">
        <v>226</v>
      </c>
    </row>
    <row r="100" spans="1:8" x14ac:dyDescent="0.2">
      <c r="A100" s="3">
        <v>3040320017</v>
      </c>
      <c r="B100" s="4" t="s">
        <v>269</v>
      </c>
      <c r="C100" s="4" t="s">
        <v>654</v>
      </c>
      <c r="D100" s="3">
        <v>1</v>
      </c>
      <c r="E100" s="3" t="s">
        <v>16</v>
      </c>
      <c r="F100" s="3" t="s">
        <v>293</v>
      </c>
      <c r="G100" s="3" t="s">
        <v>29</v>
      </c>
      <c r="H100" s="3" t="s">
        <v>226</v>
      </c>
    </row>
    <row r="101" spans="1:8" x14ac:dyDescent="0.2">
      <c r="A101" s="3">
        <v>3040320016</v>
      </c>
      <c r="B101" s="4" t="s">
        <v>269</v>
      </c>
      <c r="C101" s="4" t="s">
        <v>655</v>
      </c>
      <c r="D101" s="3">
        <v>1</v>
      </c>
      <c r="E101" s="3" t="s">
        <v>16</v>
      </c>
      <c r="F101" s="3" t="s">
        <v>293</v>
      </c>
      <c r="G101" s="3" t="s">
        <v>29</v>
      </c>
      <c r="H101" s="3" t="s">
        <v>226</v>
      </c>
    </row>
    <row r="102" spans="1:8" x14ac:dyDescent="0.2">
      <c r="A102" s="3">
        <v>3040113006</v>
      </c>
      <c r="B102" s="4" t="s">
        <v>500</v>
      </c>
      <c r="C102" s="4" t="s">
        <v>656</v>
      </c>
      <c r="D102" s="3">
        <v>1</v>
      </c>
      <c r="E102" s="3" t="s">
        <v>16</v>
      </c>
      <c r="F102" s="3" t="s">
        <v>293</v>
      </c>
      <c r="G102" s="3" t="s">
        <v>29</v>
      </c>
      <c r="H102" s="3" t="s">
        <v>226</v>
      </c>
    </row>
    <row r="103" spans="1:8" x14ac:dyDescent="0.2">
      <c r="A103" s="3">
        <v>3040113007</v>
      </c>
      <c r="B103" s="4" t="s">
        <v>500</v>
      </c>
      <c r="C103" s="4" t="s">
        <v>657</v>
      </c>
      <c r="D103" s="3">
        <v>1</v>
      </c>
      <c r="E103" s="3" t="s">
        <v>16</v>
      </c>
      <c r="F103" s="3" t="s">
        <v>293</v>
      </c>
      <c r="G103" s="3" t="s">
        <v>29</v>
      </c>
      <c r="H103" s="3" t="s">
        <v>226</v>
      </c>
    </row>
    <row r="104" spans="1:8" x14ac:dyDescent="0.2">
      <c r="A104" s="3">
        <v>3030313003</v>
      </c>
      <c r="B104" s="4" t="s">
        <v>217</v>
      </c>
      <c r="C104" s="4" t="s">
        <v>544</v>
      </c>
      <c r="D104" s="3">
        <v>8</v>
      </c>
      <c r="E104" s="3" t="s">
        <v>16</v>
      </c>
      <c r="F104" s="3" t="s">
        <v>291</v>
      </c>
      <c r="G104" s="3" t="s">
        <v>26</v>
      </c>
      <c r="H104" s="3" t="s">
        <v>226</v>
      </c>
    </row>
    <row r="105" spans="1:8" x14ac:dyDescent="0.2">
      <c r="A105" s="3">
        <v>3020199010</v>
      </c>
      <c r="B105" s="4" t="s">
        <v>239</v>
      </c>
      <c r="C105" s="4" t="s">
        <v>545</v>
      </c>
      <c r="D105" s="3">
        <v>5</v>
      </c>
      <c r="E105" s="3" t="s">
        <v>16</v>
      </c>
      <c r="F105" s="3" t="s">
        <v>297</v>
      </c>
      <c r="G105" s="3" t="s">
        <v>204</v>
      </c>
      <c r="H105" s="3" t="s">
        <v>226</v>
      </c>
    </row>
    <row r="106" spans="1:8" x14ac:dyDescent="0.2">
      <c r="A106" s="3">
        <v>3050307065</v>
      </c>
      <c r="B106" s="4" t="s">
        <v>765</v>
      </c>
      <c r="C106" s="4" t="s">
        <v>766</v>
      </c>
      <c r="D106" s="3">
        <v>2</v>
      </c>
      <c r="E106" s="3" t="s">
        <v>16</v>
      </c>
      <c r="F106" s="3" t="s">
        <v>291</v>
      </c>
      <c r="G106" s="3" t="s">
        <v>26</v>
      </c>
      <c r="H106" s="3" t="s">
        <v>226</v>
      </c>
    </row>
    <row r="107" spans="1:8" x14ac:dyDescent="0.2">
      <c r="A107" s="3">
        <v>3050305056</v>
      </c>
      <c r="B107" s="4" t="s">
        <v>767</v>
      </c>
      <c r="C107" s="4" t="s">
        <v>766</v>
      </c>
      <c r="D107" s="3">
        <v>1</v>
      </c>
      <c r="E107" s="3" t="s">
        <v>16</v>
      </c>
      <c r="F107" s="3" t="s">
        <v>291</v>
      </c>
      <c r="G107" s="3" t="s">
        <v>26</v>
      </c>
      <c r="H107" s="3" t="s">
        <v>226</v>
      </c>
    </row>
    <row r="108" spans="1:8" x14ac:dyDescent="0.2">
      <c r="A108" s="3">
        <v>3050305019</v>
      </c>
      <c r="B108" s="4" t="s">
        <v>549</v>
      </c>
      <c r="C108" s="4" t="s">
        <v>530</v>
      </c>
      <c r="D108" s="3">
        <v>1</v>
      </c>
      <c r="E108" s="3" t="s">
        <v>16</v>
      </c>
      <c r="F108" s="3" t="s">
        <v>291</v>
      </c>
      <c r="G108" s="3" t="s">
        <v>26</v>
      </c>
      <c r="H108" s="3" t="s">
        <v>226</v>
      </c>
    </row>
    <row r="109" spans="1:8" x14ac:dyDescent="0.2">
      <c r="A109" s="3">
        <v>3050401019</v>
      </c>
      <c r="B109" s="4" t="s">
        <v>222</v>
      </c>
      <c r="C109" s="4" t="s">
        <v>658</v>
      </c>
      <c r="D109" s="3">
        <v>1</v>
      </c>
      <c r="E109" s="3" t="s">
        <v>16</v>
      </c>
      <c r="F109" s="3" t="s">
        <v>291</v>
      </c>
      <c r="G109" s="3" t="s">
        <v>26</v>
      </c>
      <c r="H109" s="3" t="s">
        <v>226</v>
      </c>
    </row>
    <row r="110" spans="1:8" x14ac:dyDescent="0.2">
      <c r="A110" s="3">
        <v>3050305026</v>
      </c>
      <c r="B110" s="4" t="s">
        <v>659</v>
      </c>
      <c r="C110" s="4" t="s">
        <v>660</v>
      </c>
      <c r="D110" s="3">
        <v>1</v>
      </c>
      <c r="E110" s="3" t="s">
        <v>16</v>
      </c>
      <c r="F110" s="3" t="s">
        <v>291</v>
      </c>
      <c r="G110" s="3" t="s">
        <v>26</v>
      </c>
      <c r="H110" s="3" t="s">
        <v>226</v>
      </c>
    </row>
    <row r="111" spans="1:8" x14ac:dyDescent="0.2">
      <c r="A111" s="3">
        <v>3050305027</v>
      </c>
      <c r="B111" s="4" t="s">
        <v>659</v>
      </c>
      <c r="C111" s="4" t="s">
        <v>661</v>
      </c>
      <c r="D111" s="3">
        <v>1</v>
      </c>
      <c r="E111" s="3" t="s">
        <v>16</v>
      </c>
      <c r="F111" s="3" t="s">
        <v>291</v>
      </c>
      <c r="G111" s="3" t="s">
        <v>26</v>
      </c>
      <c r="H111" s="3" t="s">
        <v>226</v>
      </c>
    </row>
    <row r="112" spans="1:8" x14ac:dyDescent="0.2">
      <c r="A112" s="3">
        <v>3080401031</v>
      </c>
      <c r="B112" s="4" t="s">
        <v>41</v>
      </c>
      <c r="C112" s="4" t="s">
        <v>551</v>
      </c>
      <c r="D112" s="3">
        <v>1</v>
      </c>
      <c r="E112" s="3" t="s">
        <v>16</v>
      </c>
      <c r="F112" s="3" t="s">
        <v>291</v>
      </c>
      <c r="G112" s="3" t="s">
        <v>26</v>
      </c>
      <c r="H112" s="3" t="s">
        <v>249</v>
      </c>
    </row>
    <row r="113" spans="1:8" x14ac:dyDescent="0.2">
      <c r="A113" s="3">
        <v>3060335005</v>
      </c>
      <c r="B113" s="4" t="s">
        <v>233</v>
      </c>
      <c r="C113" s="4" t="s">
        <v>734</v>
      </c>
      <c r="D113" s="3">
        <v>1</v>
      </c>
      <c r="E113" s="3" t="s">
        <v>16</v>
      </c>
      <c r="F113" s="3" t="s">
        <v>289</v>
      </c>
      <c r="G113" s="3" t="s">
        <v>23</v>
      </c>
      <c r="H113" s="3" t="s">
        <v>254</v>
      </c>
    </row>
    <row r="114" spans="1:8" x14ac:dyDescent="0.2">
      <c r="A114" s="3">
        <v>3060324001</v>
      </c>
      <c r="B114" s="4" t="s">
        <v>735</v>
      </c>
      <c r="C114" s="4" t="s">
        <v>736</v>
      </c>
      <c r="D114" s="3">
        <v>1</v>
      </c>
      <c r="E114" s="3" t="s">
        <v>16</v>
      </c>
      <c r="F114" s="3" t="s">
        <v>289</v>
      </c>
      <c r="G114" s="3" t="s">
        <v>23</v>
      </c>
      <c r="H114" s="3" t="s">
        <v>254</v>
      </c>
    </row>
    <row r="115" spans="1:8" x14ac:dyDescent="0.2">
      <c r="A115" s="3">
        <v>3049902004</v>
      </c>
      <c r="B115" s="4" t="s">
        <v>383</v>
      </c>
      <c r="C115" s="4" t="s">
        <v>384</v>
      </c>
      <c r="D115" s="3">
        <v>2</v>
      </c>
      <c r="E115" s="3" t="s">
        <v>16</v>
      </c>
      <c r="F115" s="3" t="s">
        <v>293</v>
      </c>
      <c r="G115" s="3" t="s">
        <v>29</v>
      </c>
      <c r="H115" s="3" t="s">
        <v>254</v>
      </c>
    </row>
    <row r="116" spans="1:8" x14ac:dyDescent="0.2">
      <c r="A116" s="3">
        <v>3040326018</v>
      </c>
      <c r="B116" s="4" t="s">
        <v>385</v>
      </c>
      <c r="C116" s="4" t="s">
        <v>384</v>
      </c>
      <c r="D116" s="3">
        <v>2</v>
      </c>
      <c r="E116" s="3" t="s">
        <v>16</v>
      </c>
      <c r="F116" s="3" t="s">
        <v>293</v>
      </c>
      <c r="G116" s="3" t="s">
        <v>29</v>
      </c>
      <c r="H116" s="3" t="s">
        <v>254</v>
      </c>
    </row>
    <row r="117" spans="1:8" x14ac:dyDescent="0.2">
      <c r="A117" s="3">
        <v>3060339002</v>
      </c>
      <c r="B117" s="4" t="s">
        <v>737</v>
      </c>
      <c r="C117" s="4" t="s">
        <v>738</v>
      </c>
      <c r="D117" s="3">
        <v>1</v>
      </c>
      <c r="E117" s="3" t="s">
        <v>16</v>
      </c>
      <c r="F117" s="3" t="s">
        <v>702</v>
      </c>
      <c r="G117" s="3" t="s">
        <v>703</v>
      </c>
      <c r="H117" s="3" t="s">
        <v>254</v>
      </c>
    </row>
    <row r="118" spans="1:8" x14ac:dyDescent="0.2">
      <c r="A118" s="3">
        <v>3060325001</v>
      </c>
      <c r="B118" s="4" t="s">
        <v>739</v>
      </c>
      <c r="C118" s="4" t="s">
        <v>740</v>
      </c>
      <c r="D118" s="3">
        <v>1</v>
      </c>
      <c r="E118" s="3" t="s">
        <v>16</v>
      </c>
      <c r="F118" s="3" t="s">
        <v>702</v>
      </c>
      <c r="G118" s="3" t="s">
        <v>703</v>
      </c>
      <c r="H118" s="3" t="s">
        <v>254</v>
      </c>
    </row>
    <row r="119" spans="1:8" x14ac:dyDescent="0.2">
      <c r="A119" s="3">
        <v>3050303006</v>
      </c>
      <c r="B119" s="4" t="s">
        <v>245</v>
      </c>
      <c r="C119" s="4" t="s">
        <v>587</v>
      </c>
      <c r="D119" s="3">
        <v>1</v>
      </c>
      <c r="E119" s="3" t="s">
        <v>16</v>
      </c>
      <c r="F119" s="3" t="s">
        <v>291</v>
      </c>
      <c r="G119" s="3" t="s">
        <v>26</v>
      </c>
      <c r="H119" s="3" t="s">
        <v>254</v>
      </c>
    </row>
    <row r="120" spans="1:8" x14ac:dyDescent="0.2">
      <c r="A120" s="3">
        <v>3020301012</v>
      </c>
      <c r="B120" s="4" t="s">
        <v>209</v>
      </c>
      <c r="C120" s="4" t="s">
        <v>768</v>
      </c>
      <c r="D120" s="3">
        <v>1</v>
      </c>
      <c r="E120" s="3" t="s">
        <v>16</v>
      </c>
      <c r="F120" s="3" t="s">
        <v>301</v>
      </c>
      <c r="G120" s="3" t="s">
        <v>32</v>
      </c>
      <c r="H120" s="3" t="s">
        <v>769</v>
      </c>
    </row>
  </sheetData>
  <phoneticPr fontId="2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D1AD3-A3AC-427B-B941-B7D32D540395}">
  <dimension ref="A1:H197"/>
  <sheetViews>
    <sheetView workbookViewId="0">
      <selection activeCell="D3" sqref="D3"/>
    </sheetView>
  </sheetViews>
  <sheetFormatPr defaultRowHeight="14.25" x14ac:dyDescent="0.2"/>
  <cols>
    <col min="1" max="1" width="11.875" customWidth="1"/>
    <col min="2" max="3" width="13.625" customWidth="1"/>
  </cols>
  <sheetData>
    <row r="1" spans="1:8" x14ac:dyDescent="0.2">
      <c r="A1" s="3" t="s">
        <v>783</v>
      </c>
      <c r="B1" s="4"/>
      <c r="C1" s="4"/>
      <c r="D1" s="3"/>
      <c r="E1" s="3"/>
      <c r="F1" s="3"/>
      <c r="G1" s="3"/>
      <c r="H1" s="3"/>
    </row>
    <row r="2" spans="1:8" ht="28.5" x14ac:dyDescent="0.2">
      <c r="A2" s="1" t="s">
        <v>0</v>
      </c>
      <c r="B2" s="2" t="s">
        <v>1</v>
      </c>
      <c r="C2" s="2" t="s">
        <v>2</v>
      </c>
      <c r="D2" s="1" t="s">
        <v>4</v>
      </c>
      <c r="E2" s="1" t="s">
        <v>3</v>
      </c>
      <c r="F2" s="1" t="s">
        <v>5</v>
      </c>
      <c r="G2" s="1" t="s">
        <v>6</v>
      </c>
      <c r="H2" s="1" t="s">
        <v>7</v>
      </c>
    </row>
    <row r="3" spans="1:8" s="10" customFormat="1" x14ac:dyDescent="0.2">
      <c r="A3" s="8" t="s">
        <v>390</v>
      </c>
      <c r="B3" s="9" t="s">
        <v>8</v>
      </c>
      <c r="C3" s="9" t="s">
        <v>9</v>
      </c>
      <c r="D3" s="12">
        <f>0.3205/0.94</f>
        <v>0.34095744680851064</v>
      </c>
      <c r="E3" s="8" t="s">
        <v>596</v>
      </c>
      <c r="F3" s="8" t="s">
        <v>283</v>
      </c>
      <c r="G3" s="8" t="s">
        <v>13</v>
      </c>
      <c r="H3" s="8" t="s">
        <v>12</v>
      </c>
    </row>
    <row r="4" spans="1:8" x14ac:dyDescent="0.2">
      <c r="A4" s="3">
        <v>3099980014</v>
      </c>
      <c r="B4" s="4" t="s">
        <v>391</v>
      </c>
      <c r="C4" s="4" t="s">
        <v>392</v>
      </c>
      <c r="D4" s="3">
        <v>1</v>
      </c>
      <c r="E4" s="3" t="s">
        <v>16</v>
      </c>
      <c r="F4" s="3" t="s">
        <v>291</v>
      </c>
      <c r="G4" s="3" t="s">
        <v>26</v>
      </c>
      <c r="H4" s="3" t="s">
        <v>393</v>
      </c>
    </row>
    <row r="5" spans="1:8" x14ac:dyDescent="0.2">
      <c r="A5" s="3">
        <v>3030314005</v>
      </c>
      <c r="B5" s="4" t="s">
        <v>394</v>
      </c>
      <c r="C5" s="4" t="s">
        <v>395</v>
      </c>
      <c r="D5" s="3">
        <v>1</v>
      </c>
      <c r="E5" s="3" t="s">
        <v>16</v>
      </c>
      <c r="F5" s="3" t="s">
        <v>291</v>
      </c>
      <c r="G5" s="3" t="s">
        <v>26</v>
      </c>
      <c r="H5" s="3" t="s">
        <v>18</v>
      </c>
    </row>
    <row r="6" spans="1:8" x14ac:dyDescent="0.2">
      <c r="A6" s="3">
        <v>3030210001</v>
      </c>
      <c r="B6" s="4" t="s">
        <v>396</v>
      </c>
      <c r="C6" s="4" t="s">
        <v>397</v>
      </c>
      <c r="D6" s="3">
        <v>1</v>
      </c>
      <c r="E6" s="3" t="s">
        <v>16</v>
      </c>
      <c r="F6" s="3" t="s">
        <v>295</v>
      </c>
      <c r="G6" s="3" t="s">
        <v>17</v>
      </c>
      <c r="H6" s="3" t="s">
        <v>18</v>
      </c>
    </row>
    <row r="7" spans="1:8" x14ac:dyDescent="0.2">
      <c r="A7" s="3">
        <v>3080301001</v>
      </c>
      <c r="B7" s="4" t="s">
        <v>247</v>
      </c>
      <c r="C7" s="4" t="s">
        <v>398</v>
      </c>
      <c r="D7" s="3">
        <v>1</v>
      </c>
      <c r="E7" s="3" t="s">
        <v>16</v>
      </c>
      <c r="F7" s="3" t="s">
        <v>295</v>
      </c>
      <c r="G7" s="3" t="s">
        <v>17</v>
      </c>
      <c r="H7" s="3" t="s">
        <v>18</v>
      </c>
    </row>
    <row r="8" spans="1:8" x14ac:dyDescent="0.2">
      <c r="A8" s="3">
        <v>3040201001</v>
      </c>
      <c r="B8" s="4" t="s">
        <v>399</v>
      </c>
      <c r="C8" s="4" t="s">
        <v>400</v>
      </c>
      <c r="D8" s="3">
        <v>2</v>
      </c>
      <c r="E8" s="3" t="s">
        <v>16</v>
      </c>
      <c r="F8" s="3" t="s">
        <v>293</v>
      </c>
      <c r="G8" s="3" t="s">
        <v>29</v>
      </c>
      <c r="H8" s="3" t="s">
        <v>18</v>
      </c>
    </row>
    <row r="9" spans="1:8" x14ac:dyDescent="0.2">
      <c r="A9" s="3">
        <v>3030202002</v>
      </c>
      <c r="B9" s="4" t="s">
        <v>401</v>
      </c>
      <c r="C9" s="4" t="s">
        <v>402</v>
      </c>
      <c r="D9" s="3">
        <v>1</v>
      </c>
      <c r="E9" s="3" t="s">
        <v>16</v>
      </c>
      <c r="F9" s="3" t="s">
        <v>295</v>
      </c>
      <c r="G9" s="3" t="s">
        <v>17</v>
      </c>
      <c r="H9" s="3" t="s">
        <v>18</v>
      </c>
    </row>
    <row r="10" spans="1:8" x14ac:dyDescent="0.2">
      <c r="A10" s="3">
        <v>3030202003</v>
      </c>
      <c r="B10" s="4" t="s">
        <v>403</v>
      </c>
      <c r="C10" s="4" t="s">
        <v>404</v>
      </c>
      <c r="D10" s="3">
        <v>1</v>
      </c>
      <c r="E10" s="3" t="s">
        <v>16</v>
      </c>
      <c r="F10" s="3" t="s">
        <v>295</v>
      </c>
      <c r="G10" s="3" t="s">
        <v>17</v>
      </c>
      <c r="H10" s="3" t="s">
        <v>18</v>
      </c>
    </row>
    <row r="11" spans="1:8" x14ac:dyDescent="0.2">
      <c r="A11" s="3">
        <v>3030212001</v>
      </c>
      <c r="B11" s="4" t="s">
        <v>405</v>
      </c>
      <c r="C11" s="4" t="s">
        <v>406</v>
      </c>
      <c r="D11" s="3">
        <v>1</v>
      </c>
      <c r="E11" s="3" t="s">
        <v>16</v>
      </c>
      <c r="F11" s="3" t="s">
        <v>295</v>
      </c>
      <c r="G11" s="3" t="s">
        <v>17</v>
      </c>
      <c r="H11" s="3" t="s">
        <v>18</v>
      </c>
    </row>
    <row r="12" spans="1:8" x14ac:dyDescent="0.2">
      <c r="A12" s="3">
        <v>3030206003</v>
      </c>
      <c r="B12" s="4" t="s">
        <v>407</v>
      </c>
      <c r="C12" s="4" t="s">
        <v>408</v>
      </c>
      <c r="D12" s="3">
        <v>1</v>
      </c>
      <c r="E12" s="3" t="s">
        <v>16</v>
      </c>
      <c r="F12" s="3" t="s">
        <v>295</v>
      </c>
      <c r="G12" s="3" t="s">
        <v>17</v>
      </c>
      <c r="H12" s="3" t="s">
        <v>18</v>
      </c>
    </row>
    <row r="13" spans="1:8" x14ac:dyDescent="0.2">
      <c r="A13" s="3">
        <v>404020072</v>
      </c>
      <c r="B13" s="4" t="s">
        <v>30</v>
      </c>
      <c r="C13" s="4" t="s">
        <v>308</v>
      </c>
      <c r="D13" s="3">
        <v>1</v>
      </c>
      <c r="E13" s="3" t="s">
        <v>16</v>
      </c>
      <c r="F13" s="3" t="s">
        <v>301</v>
      </c>
      <c r="G13" s="3" t="s">
        <v>32</v>
      </c>
      <c r="H13" s="3" t="s">
        <v>33</v>
      </c>
    </row>
    <row r="14" spans="1:8" x14ac:dyDescent="0.2">
      <c r="A14" s="3">
        <v>404090044</v>
      </c>
      <c r="B14" s="4" t="s">
        <v>30</v>
      </c>
      <c r="C14" s="4" t="s">
        <v>771</v>
      </c>
      <c r="D14" s="3">
        <v>1</v>
      </c>
      <c r="E14" s="3" t="s">
        <v>16</v>
      </c>
      <c r="F14" s="3" t="s">
        <v>301</v>
      </c>
      <c r="G14" s="3" t="s">
        <v>32</v>
      </c>
      <c r="H14" s="3" t="s">
        <v>33</v>
      </c>
    </row>
    <row r="15" spans="1:8" x14ac:dyDescent="0.2">
      <c r="A15" s="3">
        <v>404090061</v>
      </c>
      <c r="B15" s="4" t="s">
        <v>30</v>
      </c>
      <c r="C15" s="4" t="s">
        <v>772</v>
      </c>
      <c r="D15" s="3">
        <v>1</v>
      </c>
      <c r="E15" s="3" t="s">
        <v>16</v>
      </c>
      <c r="F15" s="3" t="s">
        <v>301</v>
      </c>
      <c r="G15" s="3" t="s">
        <v>32</v>
      </c>
      <c r="H15" s="3" t="s">
        <v>33</v>
      </c>
    </row>
    <row r="16" spans="1:8" x14ac:dyDescent="0.2">
      <c r="A16" s="3">
        <v>404020103</v>
      </c>
      <c r="B16" s="4" t="s">
        <v>30</v>
      </c>
      <c r="C16" s="4" t="s">
        <v>773</v>
      </c>
      <c r="D16" s="3">
        <v>1</v>
      </c>
      <c r="E16" s="3" t="s">
        <v>16</v>
      </c>
      <c r="F16" s="3" t="s">
        <v>291</v>
      </c>
      <c r="G16" s="3" t="s">
        <v>26</v>
      </c>
      <c r="H16" s="3" t="s">
        <v>33</v>
      </c>
    </row>
    <row r="17" spans="1:8" x14ac:dyDescent="0.2">
      <c r="A17" s="3">
        <v>401020105</v>
      </c>
      <c r="B17" s="4" t="s">
        <v>35</v>
      </c>
      <c r="C17" s="4" t="s">
        <v>774</v>
      </c>
      <c r="D17" s="3">
        <v>1</v>
      </c>
      <c r="E17" s="3" t="s">
        <v>16</v>
      </c>
      <c r="F17" s="3" t="s">
        <v>301</v>
      </c>
      <c r="G17" s="3" t="s">
        <v>32</v>
      </c>
      <c r="H17" s="3" t="s">
        <v>33</v>
      </c>
    </row>
    <row r="18" spans="1:8" x14ac:dyDescent="0.2">
      <c r="A18" s="3">
        <v>401040089</v>
      </c>
      <c r="B18" s="4" t="s">
        <v>35</v>
      </c>
      <c r="C18" s="4" t="s">
        <v>775</v>
      </c>
      <c r="D18" s="3">
        <v>1</v>
      </c>
      <c r="E18" s="3" t="s">
        <v>16</v>
      </c>
      <c r="F18" s="3" t="s">
        <v>301</v>
      </c>
      <c r="G18" s="3" t="s">
        <v>32</v>
      </c>
      <c r="H18" s="3" t="s">
        <v>33</v>
      </c>
    </row>
    <row r="19" spans="1:8" x14ac:dyDescent="0.2">
      <c r="A19" s="3">
        <v>401040087</v>
      </c>
      <c r="B19" s="4" t="s">
        <v>35</v>
      </c>
      <c r="C19" s="4" t="s">
        <v>410</v>
      </c>
      <c r="D19" s="3">
        <v>1</v>
      </c>
      <c r="E19" s="3" t="s">
        <v>16</v>
      </c>
      <c r="F19" s="3" t="s">
        <v>293</v>
      </c>
      <c r="G19" s="3" t="s">
        <v>29</v>
      </c>
      <c r="H19" s="3" t="s">
        <v>33</v>
      </c>
    </row>
    <row r="20" spans="1:8" x14ac:dyDescent="0.2">
      <c r="A20" s="3">
        <v>401040462</v>
      </c>
      <c r="B20" s="4" t="s">
        <v>35</v>
      </c>
      <c r="C20" s="4" t="s">
        <v>776</v>
      </c>
      <c r="D20" s="3">
        <v>1</v>
      </c>
      <c r="E20" s="3" t="s">
        <v>16</v>
      </c>
      <c r="F20" s="3" t="s">
        <v>291</v>
      </c>
      <c r="G20" s="3" t="s">
        <v>26</v>
      </c>
      <c r="H20" s="3" t="s">
        <v>33</v>
      </c>
    </row>
    <row r="21" spans="1:8" x14ac:dyDescent="0.2">
      <c r="A21" s="3">
        <v>3080101015</v>
      </c>
      <c r="B21" s="4" t="s">
        <v>411</v>
      </c>
      <c r="C21" s="4" t="s">
        <v>412</v>
      </c>
      <c r="D21" s="3">
        <v>2</v>
      </c>
      <c r="E21" s="3" t="s">
        <v>16</v>
      </c>
      <c r="F21" s="3" t="s">
        <v>293</v>
      </c>
      <c r="G21" s="3" t="s">
        <v>29</v>
      </c>
      <c r="H21" s="3" t="s">
        <v>40</v>
      </c>
    </row>
    <row r="22" spans="1:8" x14ac:dyDescent="0.2">
      <c r="A22" s="3">
        <v>3080101002</v>
      </c>
      <c r="B22" s="4" t="s">
        <v>411</v>
      </c>
      <c r="C22" s="4" t="s">
        <v>413</v>
      </c>
      <c r="D22" s="3">
        <v>2</v>
      </c>
      <c r="E22" s="3" t="s">
        <v>16</v>
      </c>
      <c r="F22" s="3" t="s">
        <v>291</v>
      </c>
      <c r="G22" s="3" t="s">
        <v>26</v>
      </c>
      <c r="H22" s="3" t="s">
        <v>40</v>
      </c>
    </row>
    <row r="23" spans="1:8" x14ac:dyDescent="0.2">
      <c r="A23" s="3">
        <v>3080401023</v>
      </c>
      <c r="B23" s="4" t="s">
        <v>41</v>
      </c>
      <c r="C23" s="4" t="s">
        <v>699</v>
      </c>
      <c r="D23" s="3">
        <v>2</v>
      </c>
      <c r="E23" s="3" t="s">
        <v>16</v>
      </c>
      <c r="F23" s="3" t="s">
        <v>289</v>
      </c>
      <c r="G23" s="3" t="s">
        <v>23</v>
      </c>
      <c r="H23" s="3" t="s">
        <v>40</v>
      </c>
    </row>
    <row r="24" spans="1:8" x14ac:dyDescent="0.2">
      <c r="A24" s="3">
        <v>3080401008</v>
      </c>
      <c r="B24" s="4" t="s">
        <v>41</v>
      </c>
      <c r="C24" s="4" t="s">
        <v>700</v>
      </c>
      <c r="D24" s="3">
        <v>2</v>
      </c>
      <c r="E24" s="3" t="s">
        <v>16</v>
      </c>
      <c r="F24" s="3" t="s">
        <v>289</v>
      </c>
      <c r="G24" s="3" t="s">
        <v>23</v>
      </c>
      <c r="H24" s="3" t="s">
        <v>40</v>
      </c>
    </row>
    <row r="25" spans="1:8" x14ac:dyDescent="0.2">
      <c r="A25" s="3">
        <v>3080401064</v>
      </c>
      <c r="B25" s="4" t="s">
        <v>41</v>
      </c>
      <c r="C25" s="4" t="s">
        <v>414</v>
      </c>
      <c r="D25" s="3">
        <v>1</v>
      </c>
      <c r="E25" s="3" t="s">
        <v>16</v>
      </c>
      <c r="F25" s="3" t="s">
        <v>295</v>
      </c>
      <c r="G25" s="3" t="s">
        <v>17</v>
      </c>
      <c r="H25" s="3" t="s">
        <v>40</v>
      </c>
    </row>
    <row r="26" spans="1:8" x14ac:dyDescent="0.2">
      <c r="A26" s="3">
        <v>3080401016</v>
      </c>
      <c r="B26" s="4" t="s">
        <v>41</v>
      </c>
      <c r="C26" s="4" t="s">
        <v>415</v>
      </c>
      <c r="D26" s="3">
        <v>1</v>
      </c>
      <c r="E26" s="3" t="s">
        <v>16</v>
      </c>
      <c r="F26" s="3" t="s">
        <v>295</v>
      </c>
      <c r="G26" s="3" t="s">
        <v>17</v>
      </c>
      <c r="H26" s="3" t="s">
        <v>40</v>
      </c>
    </row>
    <row r="27" spans="1:8" x14ac:dyDescent="0.2">
      <c r="A27" s="3">
        <v>3080401007</v>
      </c>
      <c r="B27" s="4" t="s">
        <v>41</v>
      </c>
      <c r="C27" s="4" t="s">
        <v>416</v>
      </c>
      <c r="D27" s="3">
        <v>2</v>
      </c>
      <c r="E27" s="3" t="s">
        <v>16</v>
      </c>
      <c r="F27" s="3" t="s">
        <v>293</v>
      </c>
      <c r="G27" s="3" t="s">
        <v>29</v>
      </c>
      <c r="H27" s="3" t="s">
        <v>40</v>
      </c>
    </row>
    <row r="28" spans="1:8" x14ac:dyDescent="0.2">
      <c r="A28" s="3">
        <v>3080401014</v>
      </c>
      <c r="B28" s="4" t="s">
        <v>41</v>
      </c>
      <c r="C28" s="4" t="s">
        <v>417</v>
      </c>
      <c r="D28" s="3">
        <v>4</v>
      </c>
      <c r="E28" s="3" t="s">
        <v>16</v>
      </c>
      <c r="F28" s="3" t="s">
        <v>291</v>
      </c>
      <c r="G28" s="3" t="s">
        <v>26</v>
      </c>
      <c r="H28" s="3" t="s">
        <v>40</v>
      </c>
    </row>
    <row r="29" spans="1:8" x14ac:dyDescent="0.2">
      <c r="A29" s="3">
        <v>3080104081</v>
      </c>
      <c r="B29" s="4" t="s">
        <v>45</v>
      </c>
      <c r="C29" s="4" t="s">
        <v>701</v>
      </c>
      <c r="D29" s="3">
        <v>4</v>
      </c>
      <c r="E29" s="3" t="s">
        <v>16</v>
      </c>
      <c r="F29" s="3" t="s">
        <v>289</v>
      </c>
      <c r="G29" s="3" t="s">
        <v>23</v>
      </c>
      <c r="H29" s="3" t="s">
        <v>40</v>
      </c>
    </row>
    <row r="30" spans="1:8" x14ac:dyDescent="0.2">
      <c r="A30" s="3">
        <v>3080104018</v>
      </c>
      <c r="B30" s="4" t="s">
        <v>45</v>
      </c>
      <c r="C30" s="4" t="s">
        <v>418</v>
      </c>
      <c r="D30" s="3">
        <v>2</v>
      </c>
      <c r="E30" s="3" t="s">
        <v>16</v>
      </c>
      <c r="F30" s="3" t="s">
        <v>293</v>
      </c>
      <c r="G30" s="3" t="s">
        <v>29</v>
      </c>
      <c r="H30" s="3" t="s">
        <v>40</v>
      </c>
    </row>
    <row r="31" spans="1:8" x14ac:dyDescent="0.2">
      <c r="A31" s="3">
        <v>3080104099</v>
      </c>
      <c r="B31" s="4" t="s">
        <v>45</v>
      </c>
      <c r="C31" s="4" t="s">
        <v>419</v>
      </c>
      <c r="D31" s="3">
        <v>2</v>
      </c>
      <c r="E31" s="3" t="s">
        <v>16</v>
      </c>
      <c r="F31" s="3" t="s">
        <v>291</v>
      </c>
      <c r="G31" s="3" t="s">
        <v>26</v>
      </c>
      <c r="H31" s="3" t="s">
        <v>40</v>
      </c>
    </row>
    <row r="32" spans="1:8" x14ac:dyDescent="0.2">
      <c r="A32" s="3">
        <v>3080105114</v>
      </c>
      <c r="B32" s="4" t="s">
        <v>50</v>
      </c>
      <c r="C32" s="4" t="s">
        <v>53</v>
      </c>
      <c r="D32" s="3">
        <v>5</v>
      </c>
      <c r="E32" s="3" t="s">
        <v>16</v>
      </c>
      <c r="F32" s="3" t="s">
        <v>289</v>
      </c>
      <c r="G32" s="3" t="s">
        <v>23</v>
      </c>
      <c r="H32" s="3" t="s">
        <v>40</v>
      </c>
    </row>
    <row r="33" spans="1:8" x14ac:dyDescent="0.2">
      <c r="A33" s="3">
        <v>3080105114</v>
      </c>
      <c r="B33" s="4" t="s">
        <v>50</v>
      </c>
      <c r="C33" s="4" t="s">
        <v>53</v>
      </c>
      <c r="D33" s="3">
        <v>4</v>
      </c>
      <c r="E33" s="3" t="s">
        <v>16</v>
      </c>
      <c r="F33" s="3" t="s">
        <v>289</v>
      </c>
      <c r="G33" s="3" t="s">
        <v>23</v>
      </c>
      <c r="H33" s="3" t="s">
        <v>40</v>
      </c>
    </row>
    <row r="34" spans="1:8" x14ac:dyDescent="0.2">
      <c r="A34" s="3">
        <v>3080105004</v>
      </c>
      <c r="B34" s="4" t="s">
        <v>50</v>
      </c>
      <c r="C34" s="4" t="s">
        <v>54</v>
      </c>
      <c r="D34" s="3">
        <v>6</v>
      </c>
      <c r="E34" s="3" t="s">
        <v>16</v>
      </c>
      <c r="F34" s="3" t="s">
        <v>289</v>
      </c>
      <c r="G34" s="3" t="s">
        <v>23</v>
      </c>
      <c r="H34" s="3" t="s">
        <v>40</v>
      </c>
    </row>
    <row r="35" spans="1:8" x14ac:dyDescent="0.2">
      <c r="A35" s="3">
        <v>3080105040</v>
      </c>
      <c r="B35" s="4" t="s">
        <v>50</v>
      </c>
      <c r="C35" s="4" t="s">
        <v>421</v>
      </c>
      <c r="D35" s="3">
        <v>12</v>
      </c>
      <c r="E35" s="3" t="s">
        <v>16</v>
      </c>
      <c r="F35" s="3" t="s">
        <v>293</v>
      </c>
      <c r="G35" s="3" t="s">
        <v>29</v>
      </c>
      <c r="H35" s="3" t="s">
        <v>40</v>
      </c>
    </row>
    <row r="36" spans="1:8" x14ac:dyDescent="0.2">
      <c r="A36" s="3">
        <v>3080105015</v>
      </c>
      <c r="B36" s="4" t="s">
        <v>50</v>
      </c>
      <c r="C36" s="4" t="s">
        <v>422</v>
      </c>
      <c r="D36" s="3">
        <v>8</v>
      </c>
      <c r="E36" s="3" t="s">
        <v>16</v>
      </c>
      <c r="F36" s="3" t="s">
        <v>293</v>
      </c>
      <c r="G36" s="3" t="s">
        <v>29</v>
      </c>
      <c r="H36" s="3" t="s">
        <v>40</v>
      </c>
    </row>
    <row r="37" spans="1:8" x14ac:dyDescent="0.2">
      <c r="A37" s="3">
        <v>3080105088</v>
      </c>
      <c r="B37" s="4" t="s">
        <v>50</v>
      </c>
      <c r="C37" s="4" t="s">
        <v>423</v>
      </c>
      <c r="D37" s="3">
        <v>2</v>
      </c>
      <c r="E37" s="3" t="s">
        <v>16</v>
      </c>
      <c r="F37" s="3" t="s">
        <v>293</v>
      </c>
      <c r="G37" s="3" t="s">
        <v>29</v>
      </c>
      <c r="H37" s="3" t="s">
        <v>40</v>
      </c>
    </row>
    <row r="38" spans="1:8" x14ac:dyDescent="0.2">
      <c r="A38" s="3">
        <v>3080105008</v>
      </c>
      <c r="B38" s="4" t="s">
        <v>50</v>
      </c>
      <c r="C38" s="4" t="s">
        <v>424</v>
      </c>
      <c r="D38" s="3">
        <v>8</v>
      </c>
      <c r="E38" s="3" t="s">
        <v>16</v>
      </c>
      <c r="F38" s="3" t="s">
        <v>293</v>
      </c>
      <c r="G38" s="3" t="s">
        <v>29</v>
      </c>
      <c r="H38" s="3" t="s">
        <v>40</v>
      </c>
    </row>
    <row r="39" spans="1:8" x14ac:dyDescent="0.2">
      <c r="A39" s="3">
        <v>3080105114</v>
      </c>
      <c r="B39" s="4" t="s">
        <v>50</v>
      </c>
      <c r="C39" s="4" t="s">
        <v>53</v>
      </c>
      <c r="D39" s="3">
        <v>6</v>
      </c>
      <c r="E39" s="3" t="s">
        <v>16</v>
      </c>
      <c r="F39" s="3" t="s">
        <v>702</v>
      </c>
      <c r="G39" s="3" t="s">
        <v>703</v>
      </c>
      <c r="H39" s="3" t="s">
        <v>40</v>
      </c>
    </row>
    <row r="40" spans="1:8" x14ac:dyDescent="0.2">
      <c r="A40" s="3">
        <v>3080105114</v>
      </c>
      <c r="B40" s="4" t="s">
        <v>50</v>
      </c>
      <c r="C40" s="4" t="s">
        <v>53</v>
      </c>
      <c r="D40" s="3">
        <v>3</v>
      </c>
      <c r="E40" s="3" t="s">
        <v>16</v>
      </c>
      <c r="F40" s="3" t="s">
        <v>702</v>
      </c>
      <c r="G40" s="3" t="s">
        <v>703</v>
      </c>
      <c r="H40" s="3" t="s">
        <v>40</v>
      </c>
    </row>
    <row r="41" spans="1:8" x14ac:dyDescent="0.2">
      <c r="A41" s="3">
        <v>3080104055</v>
      </c>
      <c r="B41" s="4" t="s">
        <v>50</v>
      </c>
      <c r="C41" s="4" t="s">
        <v>425</v>
      </c>
      <c r="D41" s="3">
        <v>2</v>
      </c>
      <c r="E41" s="3" t="s">
        <v>16</v>
      </c>
      <c r="F41" s="3" t="s">
        <v>291</v>
      </c>
      <c r="G41" s="3" t="s">
        <v>26</v>
      </c>
      <c r="H41" s="3" t="s">
        <v>40</v>
      </c>
    </row>
    <row r="42" spans="1:8" x14ac:dyDescent="0.2">
      <c r="A42" s="3">
        <v>3080105040</v>
      </c>
      <c r="B42" s="4" t="s">
        <v>50</v>
      </c>
      <c r="C42" s="4" t="s">
        <v>421</v>
      </c>
      <c r="D42" s="3">
        <v>2</v>
      </c>
      <c r="E42" s="3" t="s">
        <v>16</v>
      </c>
      <c r="F42" s="3" t="s">
        <v>291</v>
      </c>
      <c r="G42" s="3" t="s">
        <v>26</v>
      </c>
      <c r="H42" s="3" t="s">
        <v>40</v>
      </c>
    </row>
    <row r="43" spans="1:8" x14ac:dyDescent="0.2">
      <c r="A43" s="3">
        <v>3080502003</v>
      </c>
      <c r="B43" s="4" t="s">
        <v>55</v>
      </c>
      <c r="C43" s="4" t="s">
        <v>426</v>
      </c>
      <c r="D43" s="3">
        <v>2</v>
      </c>
      <c r="E43" s="3" t="s">
        <v>16</v>
      </c>
      <c r="F43" s="3" t="s">
        <v>291</v>
      </c>
      <c r="G43" s="3" t="s">
        <v>26</v>
      </c>
      <c r="H43" s="3" t="s">
        <v>40</v>
      </c>
    </row>
    <row r="44" spans="1:8" x14ac:dyDescent="0.2">
      <c r="A44" s="3">
        <v>3080201012</v>
      </c>
      <c r="B44" s="4" t="s">
        <v>60</v>
      </c>
      <c r="C44" s="4" t="s">
        <v>320</v>
      </c>
      <c r="D44" s="3">
        <v>2</v>
      </c>
      <c r="E44" s="3" t="s">
        <v>16</v>
      </c>
      <c r="F44" s="3" t="s">
        <v>289</v>
      </c>
      <c r="G44" s="3" t="s">
        <v>23</v>
      </c>
      <c r="H44" s="3" t="s">
        <v>40</v>
      </c>
    </row>
    <row r="45" spans="1:8" x14ac:dyDescent="0.2">
      <c r="A45" s="3">
        <v>3080201005</v>
      </c>
      <c r="B45" s="4" t="s">
        <v>60</v>
      </c>
      <c r="C45" s="4" t="s">
        <v>427</v>
      </c>
      <c r="D45" s="3">
        <v>1</v>
      </c>
      <c r="E45" s="3" t="s">
        <v>16</v>
      </c>
      <c r="F45" s="3" t="s">
        <v>291</v>
      </c>
      <c r="G45" s="3" t="s">
        <v>26</v>
      </c>
      <c r="H45" s="3" t="s">
        <v>40</v>
      </c>
    </row>
    <row r="46" spans="1:8" x14ac:dyDescent="0.2">
      <c r="A46" s="3">
        <v>3080201006</v>
      </c>
      <c r="B46" s="4" t="s">
        <v>60</v>
      </c>
      <c r="C46" s="4" t="s">
        <v>428</v>
      </c>
      <c r="D46" s="3">
        <v>1</v>
      </c>
      <c r="E46" s="3" t="s">
        <v>16</v>
      </c>
      <c r="F46" s="3" t="s">
        <v>291</v>
      </c>
      <c r="G46" s="3" t="s">
        <v>26</v>
      </c>
      <c r="H46" s="3" t="s">
        <v>40</v>
      </c>
    </row>
    <row r="47" spans="1:8" x14ac:dyDescent="0.2">
      <c r="A47" s="3">
        <v>3080107284</v>
      </c>
      <c r="B47" s="4" t="s">
        <v>69</v>
      </c>
      <c r="C47" s="4" t="s">
        <v>706</v>
      </c>
      <c r="D47" s="3">
        <v>1</v>
      </c>
      <c r="E47" s="3" t="s">
        <v>16</v>
      </c>
      <c r="F47" s="3" t="s">
        <v>289</v>
      </c>
      <c r="G47" s="3" t="s">
        <v>23</v>
      </c>
      <c r="H47" s="3" t="s">
        <v>40</v>
      </c>
    </row>
    <row r="48" spans="1:8" x14ac:dyDescent="0.2">
      <c r="A48" s="3">
        <v>3080107089</v>
      </c>
      <c r="B48" s="4" t="s">
        <v>69</v>
      </c>
      <c r="C48" s="4" t="s">
        <v>704</v>
      </c>
      <c r="D48" s="3">
        <v>1</v>
      </c>
      <c r="E48" s="3" t="s">
        <v>16</v>
      </c>
      <c r="F48" s="3" t="s">
        <v>289</v>
      </c>
      <c r="G48" s="3" t="s">
        <v>23</v>
      </c>
      <c r="H48" s="3" t="s">
        <v>40</v>
      </c>
    </row>
    <row r="49" spans="1:8" x14ac:dyDescent="0.2">
      <c r="A49" s="3">
        <v>3080107112</v>
      </c>
      <c r="B49" s="4" t="s">
        <v>69</v>
      </c>
      <c r="C49" s="4" t="s">
        <v>705</v>
      </c>
      <c r="D49" s="3">
        <v>2</v>
      </c>
      <c r="E49" s="3" t="s">
        <v>16</v>
      </c>
      <c r="F49" s="3" t="s">
        <v>289</v>
      </c>
      <c r="G49" s="3" t="s">
        <v>23</v>
      </c>
      <c r="H49" s="3" t="s">
        <v>40</v>
      </c>
    </row>
    <row r="50" spans="1:8" x14ac:dyDescent="0.2">
      <c r="A50" s="3">
        <v>3080107034</v>
      </c>
      <c r="B50" s="4" t="s">
        <v>69</v>
      </c>
      <c r="C50" s="4" t="s">
        <v>429</v>
      </c>
      <c r="D50" s="3">
        <v>2</v>
      </c>
      <c r="E50" s="3" t="s">
        <v>16</v>
      </c>
      <c r="F50" s="3" t="s">
        <v>295</v>
      </c>
      <c r="G50" s="3" t="s">
        <v>17</v>
      </c>
      <c r="H50" s="3" t="s">
        <v>40</v>
      </c>
    </row>
    <row r="51" spans="1:8" x14ac:dyDescent="0.2">
      <c r="A51" s="3">
        <v>3080107034</v>
      </c>
      <c r="B51" s="4" t="s">
        <v>69</v>
      </c>
      <c r="C51" s="4" t="s">
        <v>429</v>
      </c>
      <c r="D51" s="3">
        <v>6</v>
      </c>
      <c r="E51" s="3" t="s">
        <v>16</v>
      </c>
      <c r="F51" s="3" t="s">
        <v>295</v>
      </c>
      <c r="G51" s="3" t="s">
        <v>17</v>
      </c>
      <c r="H51" s="3" t="s">
        <v>40</v>
      </c>
    </row>
    <row r="52" spans="1:8" x14ac:dyDescent="0.2">
      <c r="A52" s="3">
        <v>3080107002</v>
      </c>
      <c r="B52" s="4" t="s">
        <v>69</v>
      </c>
      <c r="C52" s="4" t="s">
        <v>430</v>
      </c>
      <c r="D52" s="3">
        <v>4</v>
      </c>
      <c r="E52" s="3" t="s">
        <v>16</v>
      </c>
      <c r="F52" s="3" t="s">
        <v>295</v>
      </c>
      <c r="G52" s="3" t="s">
        <v>17</v>
      </c>
      <c r="H52" s="3" t="s">
        <v>40</v>
      </c>
    </row>
    <row r="53" spans="1:8" x14ac:dyDescent="0.2">
      <c r="A53" s="3">
        <v>3080107052</v>
      </c>
      <c r="B53" s="4" t="s">
        <v>69</v>
      </c>
      <c r="C53" s="4" t="s">
        <v>431</v>
      </c>
      <c r="D53" s="3">
        <v>1</v>
      </c>
      <c r="E53" s="3" t="s">
        <v>16</v>
      </c>
      <c r="F53" s="3" t="s">
        <v>295</v>
      </c>
      <c r="G53" s="3" t="s">
        <v>17</v>
      </c>
      <c r="H53" s="3" t="s">
        <v>40</v>
      </c>
    </row>
    <row r="54" spans="1:8" x14ac:dyDescent="0.2">
      <c r="A54" s="3">
        <v>3080107160</v>
      </c>
      <c r="B54" s="4" t="s">
        <v>69</v>
      </c>
      <c r="C54" s="4" t="s">
        <v>432</v>
      </c>
      <c r="D54" s="3">
        <v>4</v>
      </c>
      <c r="E54" s="3" t="s">
        <v>16</v>
      </c>
      <c r="F54" s="3" t="s">
        <v>293</v>
      </c>
      <c r="G54" s="3" t="s">
        <v>29</v>
      </c>
      <c r="H54" s="3" t="s">
        <v>40</v>
      </c>
    </row>
    <row r="55" spans="1:8" x14ac:dyDescent="0.2">
      <c r="A55" s="3">
        <v>3080107308</v>
      </c>
      <c r="B55" s="4" t="s">
        <v>69</v>
      </c>
      <c r="C55" s="4" t="s">
        <v>433</v>
      </c>
      <c r="D55" s="3">
        <v>2</v>
      </c>
      <c r="E55" s="3" t="s">
        <v>16</v>
      </c>
      <c r="F55" s="3" t="s">
        <v>291</v>
      </c>
      <c r="G55" s="3" t="s">
        <v>26</v>
      </c>
      <c r="H55" s="3" t="s">
        <v>40</v>
      </c>
    </row>
    <row r="56" spans="1:8" x14ac:dyDescent="0.2">
      <c r="A56" s="3">
        <v>3080107305</v>
      </c>
      <c r="B56" s="4" t="s">
        <v>69</v>
      </c>
      <c r="C56" s="4" t="s">
        <v>434</v>
      </c>
      <c r="D56" s="3">
        <v>2</v>
      </c>
      <c r="E56" s="3" t="s">
        <v>16</v>
      </c>
      <c r="F56" s="3" t="s">
        <v>291</v>
      </c>
      <c r="G56" s="3" t="s">
        <v>26</v>
      </c>
      <c r="H56" s="3" t="s">
        <v>40</v>
      </c>
    </row>
    <row r="57" spans="1:8" x14ac:dyDescent="0.2">
      <c r="A57" s="3">
        <v>3080107072</v>
      </c>
      <c r="B57" s="4" t="s">
        <v>69</v>
      </c>
      <c r="C57" s="4" t="s">
        <v>435</v>
      </c>
      <c r="D57" s="3">
        <v>4</v>
      </c>
      <c r="E57" s="3" t="s">
        <v>16</v>
      </c>
      <c r="F57" s="3" t="s">
        <v>291</v>
      </c>
      <c r="G57" s="3" t="s">
        <v>26</v>
      </c>
      <c r="H57" s="3" t="s">
        <v>40</v>
      </c>
    </row>
    <row r="58" spans="1:8" x14ac:dyDescent="0.2">
      <c r="A58" s="3">
        <v>3080107094</v>
      </c>
      <c r="B58" s="4" t="s">
        <v>69</v>
      </c>
      <c r="C58" s="4" t="s">
        <v>436</v>
      </c>
      <c r="D58" s="3">
        <v>2</v>
      </c>
      <c r="E58" s="3" t="s">
        <v>16</v>
      </c>
      <c r="F58" s="3" t="s">
        <v>291</v>
      </c>
      <c r="G58" s="3" t="s">
        <v>26</v>
      </c>
      <c r="H58" s="3" t="s">
        <v>40</v>
      </c>
    </row>
    <row r="59" spans="1:8" x14ac:dyDescent="0.2">
      <c r="A59" s="3">
        <v>3080108025</v>
      </c>
      <c r="B59" s="4" t="s">
        <v>77</v>
      </c>
      <c r="C59" s="4" t="s">
        <v>437</v>
      </c>
      <c r="D59" s="3">
        <v>7</v>
      </c>
      <c r="E59" s="3" t="s">
        <v>16</v>
      </c>
      <c r="F59" s="3" t="s">
        <v>295</v>
      </c>
      <c r="G59" s="3" t="s">
        <v>17</v>
      </c>
      <c r="H59" s="3" t="s">
        <v>40</v>
      </c>
    </row>
    <row r="60" spans="1:8" x14ac:dyDescent="0.2">
      <c r="A60" s="3">
        <v>3080108033</v>
      </c>
      <c r="B60" s="4" t="s">
        <v>77</v>
      </c>
      <c r="C60" s="4" t="s">
        <v>438</v>
      </c>
      <c r="D60" s="3">
        <v>4</v>
      </c>
      <c r="E60" s="3" t="s">
        <v>16</v>
      </c>
      <c r="F60" s="3" t="s">
        <v>291</v>
      </c>
      <c r="G60" s="3" t="s">
        <v>26</v>
      </c>
      <c r="H60" s="3" t="s">
        <v>40</v>
      </c>
    </row>
    <row r="61" spans="1:8" x14ac:dyDescent="0.2">
      <c r="A61" s="3">
        <v>3080403001</v>
      </c>
      <c r="B61" s="4" t="s">
        <v>439</v>
      </c>
      <c r="C61" s="4" t="s">
        <v>440</v>
      </c>
      <c r="D61" s="3">
        <v>1</v>
      </c>
      <c r="E61" s="3" t="s">
        <v>16</v>
      </c>
      <c r="F61" s="3" t="s">
        <v>295</v>
      </c>
      <c r="G61" s="3" t="s">
        <v>17</v>
      </c>
      <c r="H61" s="3" t="s">
        <v>40</v>
      </c>
    </row>
    <row r="62" spans="1:8" x14ac:dyDescent="0.2">
      <c r="A62" s="3">
        <v>3080109002</v>
      </c>
      <c r="B62" s="4" t="s">
        <v>441</v>
      </c>
      <c r="C62" s="4" t="s">
        <v>442</v>
      </c>
      <c r="D62" s="3">
        <v>2</v>
      </c>
      <c r="E62" s="3" t="s">
        <v>16</v>
      </c>
      <c r="F62" s="3" t="s">
        <v>295</v>
      </c>
      <c r="G62" s="3" t="s">
        <v>17</v>
      </c>
      <c r="H62" s="3" t="s">
        <v>40</v>
      </c>
    </row>
    <row r="63" spans="1:8" x14ac:dyDescent="0.2">
      <c r="A63" s="3">
        <v>3080111012</v>
      </c>
      <c r="B63" s="4" t="s">
        <v>79</v>
      </c>
      <c r="C63" s="4" t="s">
        <v>443</v>
      </c>
      <c r="D63" s="3">
        <v>2</v>
      </c>
      <c r="E63" s="3" t="s">
        <v>16</v>
      </c>
      <c r="F63" s="3" t="s">
        <v>295</v>
      </c>
      <c r="G63" s="3" t="s">
        <v>17</v>
      </c>
      <c r="H63" s="3" t="s">
        <v>40</v>
      </c>
    </row>
    <row r="64" spans="1:8" x14ac:dyDescent="0.2">
      <c r="A64" s="3">
        <v>3080111006</v>
      </c>
      <c r="B64" s="4" t="s">
        <v>79</v>
      </c>
      <c r="C64" s="4" t="s">
        <v>444</v>
      </c>
      <c r="D64" s="3">
        <v>1</v>
      </c>
      <c r="E64" s="3" t="s">
        <v>16</v>
      </c>
      <c r="F64" s="3" t="s">
        <v>295</v>
      </c>
      <c r="G64" s="3" t="s">
        <v>17</v>
      </c>
      <c r="H64" s="3" t="s">
        <v>40</v>
      </c>
    </row>
    <row r="65" spans="1:8" x14ac:dyDescent="0.2">
      <c r="A65" s="3">
        <v>3080111004</v>
      </c>
      <c r="B65" s="4" t="s">
        <v>79</v>
      </c>
      <c r="C65" s="4" t="s">
        <v>445</v>
      </c>
      <c r="D65" s="3">
        <v>2</v>
      </c>
      <c r="E65" s="3" t="s">
        <v>16</v>
      </c>
      <c r="F65" s="3" t="s">
        <v>293</v>
      </c>
      <c r="G65" s="3" t="s">
        <v>29</v>
      </c>
      <c r="H65" s="3" t="s">
        <v>40</v>
      </c>
    </row>
    <row r="66" spans="1:8" x14ac:dyDescent="0.2">
      <c r="A66" s="3">
        <v>3080111087</v>
      </c>
      <c r="B66" s="4" t="s">
        <v>79</v>
      </c>
      <c r="C66" s="4" t="s">
        <v>80</v>
      </c>
      <c r="D66" s="3">
        <v>7</v>
      </c>
      <c r="E66" s="3" t="s">
        <v>16</v>
      </c>
      <c r="F66" s="3" t="s">
        <v>291</v>
      </c>
      <c r="G66" s="3" t="s">
        <v>26</v>
      </c>
      <c r="H66" s="3" t="s">
        <v>40</v>
      </c>
    </row>
    <row r="67" spans="1:8" x14ac:dyDescent="0.2">
      <c r="A67" s="3">
        <v>3080111087</v>
      </c>
      <c r="B67" s="4" t="s">
        <v>79</v>
      </c>
      <c r="C67" s="4" t="s">
        <v>80</v>
      </c>
      <c r="D67" s="3">
        <v>9</v>
      </c>
      <c r="E67" s="3" t="s">
        <v>16</v>
      </c>
      <c r="F67" s="3" t="s">
        <v>291</v>
      </c>
      <c r="G67" s="3" t="s">
        <v>26</v>
      </c>
      <c r="H67" s="3" t="s">
        <v>40</v>
      </c>
    </row>
    <row r="68" spans="1:8" x14ac:dyDescent="0.2">
      <c r="A68" s="3">
        <v>3080111087</v>
      </c>
      <c r="B68" s="4" t="s">
        <v>79</v>
      </c>
      <c r="C68" s="4" t="s">
        <v>80</v>
      </c>
      <c r="D68" s="3">
        <v>4</v>
      </c>
      <c r="E68" s="3" t="s">
        <v>16</v>
      </c>
      <c r="F68" s="3" t="s">
        <v>291</v>
      </c>
      <c r="G68" s="3" t="s">
        <v>26</v>
      </c>
      <c r="H68" s="3" t="s">
        <v>40</v>
      </c>
    </row>
    <row r="69" spans="1:8" x14ac:dyDescent="0.2">
      <c r="A69" s="3">
        <v>3080111015</v>
      </c>
      <c r="B69" s="4" t="s">
        <v>79</v>
      </c>
      <c r="C69" s="4" t="s">
        <v>446</v>
      </c>
      <c r="D69" s="3">
        <v>4</v>
      </c>
      <c r="E69" s="3" t="s">
        <v>16</v>
      </c>
      <c r="F69" s="3" t="s">
        <v>291</v>
      </c>
      <c r="G69" s="3" t="s">
        <v>26</v>
      </c>
      <c r="H69" s="3" t="s">
        <v>40</v>
      </c>
    </row>
    <row r="70" spans="1:8" x14ac:dyDescent="0.2">
      <c r="A70" s="3">
        <v>407030049</v>
      </c>
      <c r="B70" s="4" t="s">
        <v>81</v>
      </c>
      <c r="C70" s="4" t="s">
        <v>777</v>
      </c>
      <c r="D70" s="3">
        <v>1</v>
      </c>
      <c r="E70" s="3" t="s">
        <v>16</v>
      </c>
      <c r="F70" s="3" t="s">
        <v>301</v>
      </c>
      <c r="G70" s="3" t="s">
        <v>32</v>
      </c>
      <c r="H70" s="3" t="s">
        <v>40</v>
      </c>
    </row>
    <row r="71" spans="1:8" x14ac:dyDescent="0.2">
      <c r="A71" s="3">
        <v>3099990501</v>
      </c>
      <c r="B71" s="4" t="s">
        <v>708</v>
      </c>
      <c r="C71" s="4" t="s">
        <v>105</v>
      </c>
      <c r="D71" s="3">
        <v>1</v>
      </c>
      <c r="E71" s="3" t="s">
        <v>16</v>
      </c>
      <c r="F71" s="3" t="s">
        <v>709</v>
      </c>
      <c r="G71" s="3" t="s">
        <v>710</v>
      </c>
      <c r="H71" s="3" t="s">
        <v>103</v>
      </c>
    </row>
    <row r="72" spans="1:8" x14ac:dyDescent="0.2">
      <c r="A72" s="3">
        <v>3099990104</v>
      </c>
      <c r="B72" s="4" t="s">
        <v>104</v>
      </c>
      <c r="C72" s="4" t="s">
        <v>448</v>
      </c>
      <c r="D72" s="3">
        <v>1</v>
      </c>
      <c r="E72" s="3" t="s">
        <v>16</v>
      </c>
      <c r="F72" s="3" t="s">
        <v>299</v>
      </c>
      <c r="G72" s="3" t="s">
        <v>106</v>
      </c>
      <c r="H72" s="3" t="s">
        <v>103</v>
      </c>
    </row>
    <row r="73" spans="1:8" x14ac:dyDescent="0.2">
      <c r="A73" s="3">
        <v>3099990704</v>
      </c>
      <c r="B73" s="4" t="s">
        <v>449</v>
      </c>
      <c r="C73" s="4" t="s">
        <v>450</v>
      </c>
      <c r="D73" s="3">
        <v>1</v>
      </c>
      <c r="E73" s="3" t="s">
        <v>16</v>
      </c>
      <c r="F73" s="3" t="s">
        <v>299</v>
      </c>
      <c r="G73" s="3" t="s">
        <v>106</v>
      </c>
      <c r="H73" s="3" t="s">
        <v>103</v>
      </c>
    </row>
    <row r="74" spans="1:8" x14ac:dyDescent="0.2">
      <c r="A74" s="3">
        <v>3099990604</v>
      </c>
      <c r="B74" s="4" t="s">
        <v>451</v>
      </c>
      <c r="C74" s="4" t="s">
        <v>450</v>
      </c>
      <c r="D74" s="3">
        <v>1</v>
      </c>
      <c r="E74" s="3" t="s">
        <v>16</v>
      </c>
      <c r="F74" s="3" t="s">
        <v>299</v>
      </c>
      <c r="G74" s="3" t="s">
        <v>106</v>
      </c>
      <c r="H74" s="3" t="s">
        <v>103</v>
      </c>
    </row>
    <row r="75" spans="1:8" x14ac:dyDescent="0.2">
      <c r="A75" s="3">
        <v>402030027</v>
      </c>
      <c r="B75" s="4" t="s">
        <v>107</v>
      </c>
      <c r="C75" s="4" t="s">
        <v>110</v>
      </c>
      <c r="D75" s="3">
        <v>1</v>
      </c>
      <c r="E75" s="3" t="s">
        <v>16</v>
      </c>
      <c r="F75" s="3" t="s">
        <v>289</v>
      </c>
      <c r="G75" s="3" t="s">
        <v>23</v>
      </c>
      <c r="H75" s="3" t="s">
        <v>109</v>
      </c>
    </row>
    <row r="76" spans="1:8" x14ac:dyDescent="0.2">
      <c r="A76" s="3">
        <v>402030027</v>
      </c>
      <c r="B76" s="4" t="s">
        <v>107</v>
      </c>
      <c r="C76" s="4" t="s">
        <v>110</v>
      </c>
      <c r="D76" s="3">
        <v>1</v>
      </c>
      <c r="E76" s="3" t="s">
        <v>16</v>
      </c>
      <c r="F76" s="3" t="s">
        <v>291</v>
      </c>
      <c r="G76" s="3" t="s">
        <v>26</v>
      </c>
      <c r="H76" s="3" t="s">
        <v>109</v>
      </c>
    </row>
    <row r="77" spans="1:8" x14ac:dyDescent="0.2">
      <c r="A77" s="3">
        <v>402020002</v>
      </c>
      <c r="B77" s="4" t="s">
        <v>111</v>
      </c>
      <c r="C77" s="4" t="s">
        <v>452</v>
      </c>
      <c r="D77" s="3">
        <v>2</v>
      </c>
      <c r="E77" s="3" t="s">
        <v>16</v>
      </c>
      <c r="F77" s="3" t="s">
        <v>293</v>
      </c>
      <c r="G77" s="3" t="s">
        <v>29</v>
      </c>
      <c r="H77" s="3" t="s">
        <v>109</v>
      </c>
    </row>
    <row r="78" spans="1:8" x14ac:dyDescent="0.2">
      <c r="A78" s="3">
        <v>3060210001</v>
      </c>
      <c r="B78" s="4" t="s">
        <v>711</v>
      </c>
      <c r="C78" s="4" t="s">
        <v>712</v>
      </c>
      <c r="D78" s="3">
        <v>4</v>
      </c>
      <c r="E78" s="3" t="s">
        <v>16</v>
      </c>
      <c r="F78" s="3" t="s">
        <v>289</v>
      </c>
      <c r="G78" s="3" t="s">
        <v>23</v>
      </c>
      <c r="H78" s="3" t="s">
        <v>115</v>
      </c>
    </row>
    <row r="79" spans="1:8" x14ac:dyDescent="0.2">
      <c r="A79" s="3">
        <v>3040216001</v>
      </c>
      <c r="B79" s="4" t="s">
        <v>328</v>
      </c>
      <c r="C79" s="4" t="s">
        <v>329</v>
      </c>
      <c r="D79" s="3">
        <v>4</v>
      </c>
      <c r="E79" s="3" t="s">
        <v>16</v>
      </c>
      <c r="F79" s="3" t="s">
        <v>293</v>
      </c>
      <c r="G79" s="3" t="s">
        <v>29</v>
      </c>
      <c r="H79" s="3" t="s">
        <v>115</v>
      </c>
    </row>
    <row r="80" spans="1:8" x14ac:dyDescent="0.2">
      <c r="A80" s="3">
        <v>3030204017</v>
      </c>
      <c r="B80" s="4" t="s">
        <v>453</v>
      </c>
      <c r="C80" s="4" t="s">
        <v>454</v>
      </c>
      <c r="D80" s="3">
        <v>1</v>
      </c>
      <c r="E80" s="3" t="s">
        <v>16</v>
      </c>
      <c r="F80" s="3" t="s">
        <v>295</v>
      </c>
      <c r="G80" s="3" t="s">
        <v>17</v>
      </c>
      <c r="H80" s="3" t="s">
        <v>115</v>
      </c>
    </row>
    <row r="81" spans="1:8" x14ac:dyDescent="0.2">
      <c r="A81" s="3">
        <v>3030204005</v>
      </c>
      <c r="B81" s="4" t="s">
        <v>455</v>
      </c>
      <c r="C81" s="4" t="s">
        <v>456</v>
      </c>
      <c r="D81" s="3">
        <v>1</v>
      </c>
      <c r="E81" s="3" t="s">
        <v>16</v>
      </c>
      <c r="F81" s="3" t="s">
        <v>295</v>
      </c>
      <c r="G81" s="3" t="s">
        <v>17</v>
      </c>
      <c r="H81" s="3" t="s">
        <v>115</v>
      </c>
    </row>
    <row r="82" spans="1:8" x14ac:dyDescent="0.2">
      <c r="A82" s="3">
        <v>3050203003</v>
      </c>
      <c r="B82" s="4" t="s">
        <v>120</v>
      </c>
      <c r="C82" s="4" t="s">
        <v>457</v>
      </c>
      <c r="D82" s="3">
        <v>2</v>
      </c>
      <c r="E82" s="3" t="s">
        <v>16</v>
      </c>
      <c r="F82" s="3" t="s">
        <v>291</v>
      </c>
      <c r="G82" s="3" t="s">
        <v>26</v>
      </c>
      <c r="H82" s="3" t="s">
        <v>115</v>
      </c>
    </row>
    <row r="83" spans="1:8" x14ac:dyDescent="0.2">
      <c r="A83" s="3">
        <v>3030204008</v>
      </c>
      <c r="B83" s="4" t="s">
        <v>122</v>
      </c>
      <c r="C83" s="4" t="s">
        <v>123</v>
      </c>
      <c r="D83" s="3">
        <v>1</v>
      </c>
      <c r="E83" s="3" t="s">
        <v>16</v>
      </c>
      <c r="F83" s="3" t="s">
        <v>291</v>
      </c>
      <c r="G83" s="3" t="s">
        <v>26</v>
      </c>
      <c r="H83" s="3" t="s">
        <v>115</v>
      </c>
    </row>
    <row r="84" spans="1:8" x14ac:dyDescent="0.2">
      <c r="A84" s="3">
        <v>3030206001</v>
      </c>
      <c r="B84" s="4" t="s">
        <v>458</v>
      </c>
      <c r="C84" s="4" t="s">
        <v>404</v>
      </c>
      <c r="D84" s="3">
        <v>1</v>
      </c>
      <c r="E84" s="3" t="s">
        <v>16</v>
      </c>
      <c r="F84" s="3" t="s">
        <v>295</v>
      </c>
      <c r="G84" s="3" t="s">
        <v>17</v>
      </c>
      <c r="H84" s="3" t="s">
        <v>132</v>
      </c>
    </row>
    <row r="85" spans="1:8" x14ac:dyDescent="0.2">
      <c r="A85" s="3">
        <v>3040502046</v>
      </c>
      <c r="B85" s="4" t="s">
        <v>136</v>
      </c>
      <c r="C85" s="4" t="s">
        <v>778</v>
      </c>
      <c r="D85" s="3">
        <v>1</v>
      </c>
      <c r="E85" s="3" t="s">
        <v>16</v>
      </c>
      <c r="F85" s="3" t="s">
        <v>293</v>
      </c>
      <c r="G85" s="3" t="s">
        <v>29</v>
      </c>
      <c r="H85" s="3" t="s">
        <v>138</v>
      </c>
    </row>
    <row r="86" spans="1:8" x14ac:dyDescent="0.2">
      <c r="A86" s="3">
        <v>3040502048</v>
      </c>
      <c r="B86" s="4" t="s">
        <v>136</v>
      </c>
      <c r="C86" s="4" t="s">
        <v>779</v>
      </c>
      <c r="D86" s="3">
        <v>1</v>
      </c>
      <c r="E86" s="3" t="s">
        <v>16</v>
      </c>
      <c r="F86" s="3" t="s">
        <v>293</v>
      </c>
      <c r="G86" s="3" t="s">
        <v>29</v>
      </c>
      <c r="H86" s="3" t="s">
        <v>138</v>
      </c>
    </row>
    <row r="87" spans="1:8" x14ac:dyDescent="0.2">
      <c r="A87" s="3">
        <v>3990207002</v>
      </c>
      <c r="B87" s="4" t="s">
        <v>140</v>
      </c>
      <c r="C87" s="4" t="s">
        <v>714</v>
      </c>
      <c r="D87" s="3">
        <v>1</v>
      </c>
      <c r="E87" s="3" t="s">
        <v>16</v>
      </c>
      <c r="F87" s="3" t="s">
        <v>285</v>
      </c>
      <c r="G87" s="3" t="s">
        <v>142</v>
      </c>
      <c r="H87" s="3" t="s">
        <v>143</v>
      </c>
    </row>
    <row r="88" spans="1:8" x14ac:dyDescent="0.2">
      <c r="A88" s="3">
        <v>3030301005</v>
      </c>
      <c r="B88" s="4" t="s">
        <v>144</v>
      </c>
      <c r="C88" s="4" t="s">
        <v>145</v>
      </c>
      <c r="D88" s="3">
        <v>2</v>
      </c>
      <c r="E88" s="3" t="s">
        <v>16</v>
      </c>
      <c r="F88" s="3" t="s">
        <v>291</v>
      </c>
      <c r="G88" s="3" t="s">
        <v>26</v>
      </c>
      <c r="H88" s="3" t="s">
        <v>143</v>
      </c>
    </row>
    <row r="89" spans="1:8" x14ac:dyDescent="0.2">
      <c r="A89" s="3">
        <v>3990206001</v>
      </c>
      <c r="B89" s="4" t="s">
        <v>715</v>
      </c>
      <c r="C89" s="4" t="s">
        <v>716</v>
      </c>
      <c r="D89" s="3">
        <v>1</v>
      </c>
      <c r="E89" s="3" t="s">
        <v>16</v>
      </c>
      <c r="F89" s="3" t="s">
        <v>717</v>
      </c>
      <c r="G89" s="3" t="s">
        <v>718</v>
      </c>
      <c r="H89" s="3" t="s">
        <v>143</v>
      </c>
    </row>
    <row r="90" spans="1:8" x14ac:dyDescent="0.2">
      <c r="A90" s="3">
        <v>3990205003</v>
      </c>
      <c r="B90" s="4" t="s">
        <v>146</v>
      </c>
      <c r="C90" s="4" t="s">
        <v>460</v>
      </c>
      <c r="D90" s="3">
        <v>1</v>
      </c>
      <c r="E90" s="3" t="s">
        <v>16</v>
      </c>
      <c r="F90" s="3" t="s">
        <v>287</v>
      </c>
      <c r="G90" s="3" t="s">
        <v>148</v>
      </c>
      <c r="H90" s="3" t="s">
        <v>143</v>
      </c>
    </row>
    <row r="91" spans="1:8" x14ac:dyDescent="0.2">
      <c r="A91" s="3">
        <v>408090008</v>
      </c>
      <c r="B91" s="4" t="s">
        <v>461</v>
      </c>
      <c r="C91" s="4" t="s">
        <v>462</v>
      </c>
      <c r="D91" s="3">
        <v>1</v>
      </c>
      <c r="E91" s="3" t="s">
        <v>16</v>
      </c>
      <c r="F91" s="3" t="s">
        <v>293</v>
      </c>
      <c r="G91" s="3" t="s">
        <v>29</v>
      </c>
      <c r="H91" s="3" t="s">
        <v>151</v>
      </c>
    </row>
    <row r="92" spans="1:8" x14ac:dyDescent="0.2">
      <c r="A92" s="3">
        <v>408090007</v>
      </c>
      <c r="B92" s="4" t="s">
        <v>463</v>
      </c>
      <c r="C92" s="4" t="s">
        <v>464</v>
      </c>
      <c r="D92" s="3">
        <v>1</v>
      </c>
      <c r="E92" s="3" t="s">
        <v>16</v>
      </c>
      <c r="F92" s="3" t="s">
        <v>293</v>
      </c>
      <c r="G92" s="3" t="s">
        <v>29</v>
      </c>
      <c r="H92" s="3" t="s">
        <v>151</v>
      </c>
    </row>
    <row r="93" spans="1:8" x14ac:dyDescent="0.2">
      <c r="A93" s="3">
        <v>407010068</v>
      </c>
      <c r="B93" s="4" t="s">
        <v>149</v>
      </c>
      <c r="C93" s="4" t="s">
        <v>780</v>
      </c>
      <c r="D93" s="3">
        <v>1</v>
      </c>
      <c r="E93" s="3" t="s">
        <v>16</v>
      </c>
      <c r="F93" s="3" t="s">
        <v>289</v>
      </c>
      <c r="G93" s="3" t="s">
        <v>23</v>
      </c>
      <c r="H93" s="3" t="s">
        <v>151</v>
      </c>
    </row>
    <row r="94" spans="1:8" x14ac:dyDescent="0.2">
      <c r="A94" s="3">
        <v>3060318001</v>
      </c>
      <c r="B94" s="4" t="s">
        <v>720</v>
      </c>
      <c r="C94" s="4" t="s">
        <v>721</v>
      </c>
      <c r="D94" s="3">
        <v>1</v>
      </c>
      <c r="E94" s="3" t="s">
        <v>16</v>
      </c>
      <c r="F94" s="3" t="s">
        <v>289</v>
      </c>
      <c r="G94" s="3" t="s">
        <v>23</v>
      </c>
      <c r="H94" s="3" t="s">
        <v>154</v>
      </c>
    </row>
    <row r="95" spans="1:8" x14ac:dyDescent="0.2">
      <c r="A95" s="3">
        <v>3060327003</v>
      </c>
      <c r="B95" s="4" t="s">
        <v>722</v>
      </c>
      <c r="C95" s="4" t="s">
        <v>723</v>
      </c>
      <c r="D95" s="3">
        <v>1</v>
      </c>
      <c r="E95" s="3" t="s">
        <v>16</v>
      </c>
      <c r="F95" s="3" t="s">
        <v>289</v>
      </c>
      <c r="G95" s="3" t="s">
        <v>23</v>
      </c>
      <c r="H95" s="3" t="s">
        <v>154</v>
      </c>
    </row>
    <row r="96" spans="1:8" x14ac:dyDescent="0.2">
      <c r="A96" s="3">
        <v>3080507001</v>
      </c>
      <c r="B96" s="4" t="s">
        <v>466</v>
      </c>
      <c r="C96" s="4" t="s">
        <v>467</v>
      </c>
      <c r="D96" s="3">
        <v>4</v>
      </c>
      <c r="E96" s="3" t="s">
        <v>16</v>
      </c>
      <c r="F96" s="3" t="s">
        <v>291</v>
      </c>
      <c r="G96" s="3" t="s">
        <v>26</v>
      </c>
      <c r="H96" s="3" t="s">
        <v>154</v>
      </c>
    </row>
    <row r="97" spans="1:8" x14ac:dyDescent="0.2">
      <c r="A97" s="3">
        <v>3030301010</v>
      </c>
      <c r="B97" s="4" t="s">
        <v>468</v>
      </c>
      <c r="C97" s="4" t="s">
        <v>469</v>
      </c>
      <c r="D97" s="3">
        <v>4</v>
      </c>
      <c r="E97" s="3" t="s">
        <v>16</v>
      </c>
      <c r="F97" s="3" t="s">
        <v>295</v>
      </c>
      <c r="G97" s="3" t="s">
        <v>17</v>
      </c>
      <c r="H97" s="3" t="s">
        <v>165</v>
      </c>
    </row>
    <row r="98" spans="1:8" x14ac:dyDescent="0.2">
      <c r="A98" s="3">
        <v>3060347005</v>
      </c>
      <c r="B98" s="4" t="s">
        <v>470</v>
      </c>
      <c r="C98" s="4" t="s">
        <v>471</v>
      </c>
      <c r="D98" s="3">
        <v>1</v>
      </c>
      <c r="E98" s="3" t="s">
        <v>16</v>
      </c>
      <c r="F98" s="3" t="s">
        <v>291</v>
      </c>
      <c r="G98" s="3" t="s">
        <v>26</v>
      </c>
      <c r="H98" s="3" t="s">
        <v>165</v>
      </c>
    </row>
    <row r="99" spans="1:8" x14ac:dyDescent="0.2">
      <c r="A99" s="3">
        <v>3060347006</v>
      </c>
      <c r="B99" s="4" t="s">
        <v>470</v>
      </c>
      <c r="C99" s="4" t="s">
        <v>472</v>
      </c>
      <c r="D99" s="3">
        <v>1</v>
      </c>
      <c r="E99" s="3" t="s">
        <v>16</v>
      </c>
      <c r="F99" s="3" t="s">
        <v>291</v>
      </c>
      <c r="G99" s="3" t="s">
        <v>26</v>
      </c>
      <c r="H99" s="3" t="s">
        <v>165</v>
      </c>
    </row>
    <row r="100" spans="1:8" x14ac:dyDescent="0.2">
      <c r="A100" s="3">
        <v>3110103002</v>
      </c>
      <c r="B100" s="4" t="s">
        <v>473</v>
      </c>
      <c r="C100" s="4" t="s">
        <v>474</v>
      </c>
      <c r="D100" s="3">
        <v>1</v>
      </c>
      <c r="E100" s="3" t="s">
        <v>16</v>
      </c>
      <c r="F100" s="3" t="s">
        <v>291</v>
      </c>
      <c r="G100" s="3" t="s">
        <v>26</v>
      </c>
      <c r="H100" s="3" t="s">
        <v>165</v>
      </c>
    </row>
    <row r="101" spans="1:8" x14ac:dyDescent="0.2">
      <c r="A101" s="3">
        <v>3030316006</v>
      </c>
      <c r="B101" s="4" t="s">
        <v>475</v>
      </c>
      <c r="C101" s="4" t="s">
        <v>476</v>
      </c>
      <c r="D101" s="3">
        <v>1</v>
      </c>
      <c r="E101" s="3" t="s">
        <v>16</v>
      </c>
      <c r="F101" s="3" t="s">
        <v>295</v>
      </c>
      <c r="G101" s="3" t="s">
        <v>17</v>
      </c>
      <c r="H101" s="3" t="s">
        <v>165</v>
      </c>
    </row>
    <row r="102" spans="1:8" x14ac:dyDescent="0.2">
      <c r="A102" s="3">
        <v>3030314007</v>
      </c>
      <c r="B102" s="4" t="s">
        <v>477</v>
      </c>
      <c r="C102" s="4" t="s">
        <v>478</v>
      </c>
      <c r="D102" s="3">
        <v>1</v>
      </c>
      <c r="E102" s="3" t="s">
        <v>16</v>
      </c>
      <c r="F102" s="3" t="s">
        <v>291</v>
      </c>
      <c r="G102" s="3" t="s">
        <v>26</v>
      </c>
      <c r="H102" s="3" t="s">
        <v>165</v>
      </c>
    </row>
    <row r="103" spans="1:8" x14ac:dyDescent="0.2">
      <c r="A103" s="3">
        <v>3030308013</v>
      </c>
      <c r="B103" s="4" t="s">
        <v>479</v>
      </c>
      <c r="C103" s="4" t="s">
        <v>478</v>
      </c>
      <c r="D103" s="3">
        <v>1</v>
      </c>
      <c r="E103" s="3" t="s">
        <v>16</v>
      </c>
      <c r="F103" s="3" t="s">
        <v>291</v>
      </c>
      <c r="G103" s="3" t="s">
        <v>26</v>
      </c>
      <c r="H103" s="3" t="s">
        <v>165</v>
      </c>
    </row>
    <row r="104" spans="1:8" x14ac:dyDescent="0.2">
      <c r="A104" s="3">
        <v>3050310030</v>
      </c>
      <c r="B104" s="4" t="s">
        <v>480</v>
      </c>
      <c r="C104" s="4" t="s">
        <v>469</v>
      </c>
      <c r="D104" s="3">
        <v>2</v>
      </c>
      <c r="E104" s="3" t="s">
        <v>16</v>
      </c>
      <c r="F104" s="3" t="s">
        <v>291</v>
      </c>
      <c r="G104" s="3" t="s">
        <v>26</v>
      </c>
      <c r="H104" s="3" t="s">
        <v>165</v>
      </c>
    </row>
    <row r="105" spans="1:8" x14ac:dyDescent="0.2">
      <c r="A105" s="3">
        <v>3010106010</v>
      </c>
      <c r="B105" s="4" t="s">
        <v>481</v>
      </c>
      <c r="C105" s="4" t="s">
        <v>482</v>
      </c>
      <c r="D105" s="3">
        <v>0.03</v>
      </c>
      <c r="E105" s="3" t="s">
        <v>10</v>
      </c>
      <c r="F105" s="3" t="s">
        <v>284</v>
      </c>
      <c r="G105" s="3" t="s">
        <v>11</v>
      </c>
      <c r="H105" s="3" t="s">
        <v>483</v>
      </c>
    </row>
    <row r="106" spans="1:8" x14ac:dyDescent="0.2">
      <c r="A106" s="3">
        <v>3060333003</v>
      </c>
      <c r="B106" s="4" t="s">
        <v>227</v>
      </c>
      <c r="C106" s="4" t="s">
        <v>724</v>
      </c>
      <c r="D106" s="3">
        <v>1</v>
      </c>
      <c r="E106" s="3" t="s">
        <v>16</v>
      </c>
      <c r="F106" s="3" t="s">
        <v>289</v>
      </c>
      <c r="G106" s="3" t="s">
        <v>23</v>
      </c>
      <c r="H106" s="3" t="s">
        <v>173</v>
      </c>
    </row>
    <row r="107" spans="1:8" x14ac:dyDescent="0.2">
      <c r="A107" s="3">
        <v>3050305013</v>
      </c>
      <c r="B107" s="4" t="s">
        <v>484</v>
      </c>
      <c r="C107" s="4" t="s">
        <v>485</v>
      </c>
      <c r="D107" s="3">
        <v>1</v>
      </c>
      <c r="E107" s="3" t="s">
        <v>16</v>
      </c>
      <c r="F107" s="3" t="s">
        <v>291</v>
      </c>
      <c r="G107" s="3" t="s">
        <v>26</v>
      </c>
      <c r="H107" s="3" t="s">
        <v>173</v>
      </c>
    </row>
    <row r="108" spans="1:8" x14ac:dyDescent="0.2">
      <c r="A108" s="3">
        <v>3040305002</v>
      </c>
      <c r="B108" s="4" t="s">
        <v>486</v>
      </c>
      <c r="C108" s="4" t="s">
        <v>487</v>
      </c>
      <c r="D108" s="3">
        <v>2</v>
      </c>
      <c r="E108" s="3" t="s">
        <v>16</v>
      </c>
      <c r="F108" s="3" t="s">
        <v>293</v>
      </c>
      <c r="G108" s="3" t="s">
        <v>29</v>
      </c>
      <c r="H108" s="3" t="s">
        <v>173</v>
      </c>
    </row>
    <row r="109" spans="1:8" x14ac:dyDescent="0.2">
      <c r="A109" s="3">
        <v>3040313002</v>
      </c>
      <c r="B109" s="4" t="s">
        <v>488</v>
      </c>
      <c r="C109" s="4" t="s">
        <v>489</v>
      </c>
      <c r="D109" s="3">
        <v>8</v>
      </c>
      <c r="E109" s="3" t="s">
        <v>16</v>
      </c>
      <c r="F109" s="3" t="s">
        <v>293</v>
      </c>
      <c r="G109" s="3" t="s">
        <v>29</v>
      </c>
      <c r="H109" s="3" t="s">
        <v>173</v>
      </c>
    </row>
    <row r="110" spans="1:8" x14ac:dyDescent="0.2">
      <c r="A110" s="3">
        <v>3040321001</v>
      </c>
      <c r="B110" s="4" t="s">
        <v>490</v>
      </c>
      <c r="C110" s="4" t="s">
        <v>347</v>
      </c>
      <c r="D110" s="3">
        <v>8</v>
      </c>
      <c r="E110" s="3" t="s">
        <v>16</v>
      </c>
      <c r="F110" s="3" t="s">
        <v>293</v>
      </c>
      <c r="G110" s="3" t="s">
        <v>29</v>
      </c>
      <c r="H110" s="3" t="s">
        <v>173</v>
      </c>
    </row>
    <row r="111" spans="1:8" x14ac:dyDescent="0.2">
      <c r="A111" s="3">
        <v>3040309001</v>
      </c>
      <c r="B111" s="4" t="s">
        <v>346</v>
      </c>
      <c r="C111" s="4" t="s">
        <v>347</v>
      </c>
      <c r="D111" s="3">
        <v>4</v>
      </c>
      <c r="E111" s="3" t="s">
        <v>16</v>
      </c>
      <c r="F111" s="3" t="s">
        <v>293</v>
      </c>
      <c r="G111" s="3" t="s">
        <v>29</v>
      </c>
      <c r="H111" s="3" t="s">
        <v>173</v>
      </c>
    </row>
    <row r="112" spans="1:8" x14ac:dyDescent="0.2">
      <c r="A112" s="3">
        <v>3060340001</v>
      </c>
      <c r="B112" s="4" t="s">
        <v>725</v>
      </c>
      <c r="C112" s="4" t="s">
        <v>726</v>
      </c>
      <c r="D112" s="3">
        <v>1</v>
      </c>
      <c r="E112" s="3" t="s">
        <v>16</v>
      </c>
      <c r="F112" s="3" t="s">
        <v>702</v>
      </c>
      <c r="G112" s="3" t="s">
        <v>703</v>
      </c>
      <c r="H112" s="3" t="s">
        <v>173</v>
      </c>
    </row>
    <row r="113" spans="1:8" x14ac:dyDescent="0.2">
      <c r="A113" s="3">
        <v>3050304006</v>
      </c>
      <c r="B113" s="4" t="s">
        <v>181</v>
      </c>
      <c r="C113" s="4" t="s">
        <v>491</v>
      </c>
      <c r="D113" s="3">
        <v>1</v>
      </c>
      <c r="E113" s="3" t="s">
        <v>16</v>
      </c>
      <c r="F113" s="3" t="s">
        <v>291</v>
      </c>
      <c r="G113" s="3" t="s">
        <v>26</v>
      </c>
      <c r="H113" s="3" t="s">
        <v>173</v>
      </c>
    </row>
    <row r="114" spans="1:8" x14ac:dyDescent="0.2">
      <c r="A114" s="3">
        <v>3020501014</v>
      </c>
      <c r="B114" s="4" t="s">
        <v>183</v>
      </c>
      <c r="C114" s="4" t="s">
        <v>350</v>
      </c>
      <c r="D114" s="3">
        <v>1</v>
      </c>
      <c r="E114" s="3" t="s">
        <v>16</v>
      </c>
      <c r="F114" s="3" t="s">
        <v>291</v>
      </c>
      <c r="G114" s="3" t="s">
        <v>26</v>
      </c>
      <c r="H114" s="3" t="s">
        <v>185</v>
      </c>
    </row>
    <row r="115" spans="1:8" x14ac:dyDescent="0.2">
      <c r="A115" s="3">
        <v>3030204003</v>
      </c>
      <c r="B115" s="4" t="s">
        <v>492</v>
      </c>
      <c r="C115" s="4" t="s">
        <v>493</v>
      </c>
      <c r="D115" s="3">
        <v>2</v>
      </c>
      <c r="E115" s="3" t="s">
        <v>16</v>
      </c>
      <c r="F115" s="3" t="s">
        <v>295</v>
      </c>
      <c r="G115" s="3" t="s">
        <v>17</v>
      </c>
      <c r="H115" s="3" t="s">
        <v>494</v>
      </c>
    </row>
    <row r="116" spans="1:8" x14ac:dyDescent="0.2">
      <c r="A116" s="3">
        <v>3990201008</v>
      </c>
      <c r="B116" s="4" t="s">
        <v>186</v>
      </c>
      <c r="C116" s="4" t="s">
        <v>495</v>
      </c>
      <c r="D116" s="3">
        <v>1</v>
      </c>
      <c r="E116" s="3" t="s">
        <v>16</v>
      </c>
      <c r="F116" s="3" t="s">
        <v>295</v>
      </c>
      <c r="G116" s="3" t="s">
        <v>17</v>
      </c>
      <c r="H116" s="3" t="s">
        <v>187</v>
      </c>
    </row>
    <row r="117" spans="1:8" x14ac:dyDescent="0.2">
      <c r="A117" s="3">
        <v>3990202007</v>
      </c>
      <c r="B117" s="4" t="s">
        <v>188</v>
      </c>
      <c r="C117" s="4" t="s">
        <v>495</v>
      </c>
      <c r="D117" s="3">
        <v>1</v>
      </c>
      <c r="E117" s="3" t="s">
        <v>16</v>
      </c>
      <c r="F117" s="3" t="s">
        <v>295</v>
      </c>
      <c r="G117" s="3" t="s">
        <v>17</v>
      </c>
      <c r="H117" s="3" t="s">
        <v>187</v>
      </c>
    </row>
    <row r="118" spans="1:8" x14ac:dyDescent="0.2">
      <c r="A118" s="3">
        <v>3990203002</v>
      </c>
      <c r="B118" s="4" t="s">
        <v>189</v>
      </c>
      <c r="C118" s="4" t="s">
        <v>495</v>
      </c>
      <c r="D118" s="3">
        <v>1</v>
      </c>
      <c r="E118" s="3" t="s">
        <v>16</v>
      </c>
      <c r="F118" s="3" t="s">
        <v>295</v>
      </c>
      <c r="G118" s="3" t="s">
        <v>17</v>
      </c>
      <c r="H118" s="3" t="s">
        <v>187</v>
      </c>
    </row>
    <row r="119" spans="1:8" x14ac:dyDescent="0.2">
      <c r="A119" s="3">
        <v>3050405001</v>
      </c>
      <c r="B119" s="4" t="s">
        <v>496</v>
      </c>
      <c r="C119" s="4" t="s">
        <v>497</v>
      </c>
      <c r="D119" s="3">
        <v>1</v>
      </c>
      <c r="E119" s="3" t="s">
        <v>16</v>
      </c>
      <c r="F119" s="3" t="s">
        <v>291</v>
      </c>
      <c r="G119" s="3" t="s">
        <v>26</v>
      </c>
      <c r="H119" s="3" t="s">
        <v>192</v>
      </c>
    </row>
    <row r="120" spans="1:8" x14ac:dyDescent="0.2">
      <c r="A120" s="3">
        <v>3060401001</v>
      </c>
      <c r="B120" s="4" t="s">
        <v>727</v>
      </c>
      <c r="C120" s="4" t="s">
        <v>728</v>
      </c>
      <c r="D120" s="3">
        <v>2</v>
      </c>
      <c r="E120" s="3" t="s">
        <v>16</v>
      </c>
      <c r="F120" s="3" t="s">
        <v>289</v>
      </c>
      <c r="G120" s="3" t="s">
        <v>23</v>
      </c>
      <c r="H120" s="3" t="s">
        <v>192</v>
      </c>
    </row>
    <row r="121" spans="1:8" x14ac:dyDescent="0.2">
      <c r="A121" s="3">
        <v>3030402001</v>
      </c>
      <c r="B121" s="4" t="s">
        <v>498</v>
      </c>
      <c r="C121" s="4" t="s">
        <v>499</v>
      </c>
      <c r="D121" s="3">
        <v>1</v>
      </c>
      <c r="E121" s="3" t="s">
        <v>16</v>
      </c>
      <c r="F121" s="3" t="s">
        <v>295</v>
      </c>
      <c r="G121" s="3" t="s">
        <v>17</v>
      </c>
      <c r="H121" s="3" t="s">
        <v>192</v>
      </c>
    </row>
    <row r="122" spans="1:8" x14ac:dyDescent="0.2">
      <c r="A122" s="3">
        <v>3040402005</v>
      </c>
      <c r="B122" s="4" t="s">
        <v>500</v>
      </c>
      <c r="C122" s="4" t="s">
        <v>501</v>
      </c>
      <c r="D122" s="3">
        <v>1</v>
      </c>
      <c r="E122" s="3" t="s">
        <v>16</v>
      </c>
      <c r="F122" s="3" t="s">
        <v>293</v>
      </c>
      <c r="G122" s="3" t="s">
        <v>29</v>
      </c>
      <c r="H122" s="3" t="s">
        <v>192</v>
      </c>
    </row>
    <row r="123" spans="1:8" x14ac:dyDescent="0.2">
      <c r="A123" s="3">
        <v>3040402006</v>
      </c>
      <c r="B123" s="4" t="s">
        <v>500</v>
      </c>
      <c r="C123" s="4" t="s">
        <v>502</v>
      </c>
      <c r="D123" s="3">
        <v>1</v>
      </c>
      <c r="E123" s="3" t="s">
        <v>16</v>
      </c>
      <c r="F123" s="3" t="s">
        <v>293</v>
      </c>
      <c r="G123" s="3" t="s">
        <v>29</v>
      </c>
      <c r="H123" s="3" t="s">
        <v>192</v>
      </c>
    </row>
    <row r="124" spans="1:8" x14ac:dyDescent="0.2">
      <c r="A124" s="3">
        <v>404110008</v>
      </c>
      <c r="B124" s="4" t="s">
        <v>504</v>
      </c>
      <c r="C124" s="4" t="s">
        <v>505</v>
      </c>
      <c r="D124" s="3">
        <v>2</v>
      </c>
      <c r="E124" s="3" t="s">
        <v>16</v>
      </c>
      <c r="F124" s="3" t="s">
        <v>291</v>
      </c>
      <c r="G124" s="3" t="s">
        <v>26</v>
      </c>
      <c r="H124" s="3" t="s">
        <v>198</v>
      </c>
    </row>
    <row r="125" spans="1:8" x14ac:dyDescent="0.2">
      <c r="A125" s="3">
        <v>404110001</v>
      </c>
      <c r="B125" s="4" t="s">
        <v>504</v>
      </c>
      <c r="C125" s="4" t="s">
        <v>506</v>
      </c>
      <c r="D125" s="3">
        <v>1</v>
      </c>
      <c r="E125" s="3" t="s">
        <v>16</v>
      </c>
      <c r="F125" s="3" t="s">
        <v>291</v>
      </c>
      <c r="G125" s="3" t="s">
        <v>26</v>
      </c>
      <c r="H125" s="3" t="s">
        <v>198</v>
      </c>
    </row>
    <row r="126" spans="1:8" x14ac:dyDescent="0.2">
      <c r="A126" s="3">
        <v>403030012</v>
      </c>
      <c r="B126" s="4" t="s">
        <v>366</v>
      </c>
      <c r="C126" s="4" t="s">
        <v>507</v>
      </c>
      <c r="D126" s="3">
        <v>2</v>
      </c>
      <c r="E126" s="3" t="s">
        <v>16</v>
      </c>
      <c r="F126" s="3" t="s">
        <v>291</v>
      </c>
      <c r="G126" s="3" t="s">
        <v>26</v>
      </c>
      <c r="H126" s="3" t="s">
        <v>198</v>
      </c>
    </row>
    <row r="127" spans="1:8" x14ac:dyDescent="0.2">
      <c r="A127" s="3">
        <v>401070022</v>
      </c>
      <c r="B127" s="4" t="s">
        <v>35</v>
      </c>
      <c r="C127" s="4" t="s">
        <v>203</v>
      </c>
      <c r="D127" s="3">
        <v>1</v>
      </c>
      <c r="E127" s="3" t="s">
        <v>16</v>
      </c>
      <c r="F127" s="3" t="s">
        <v>297</v>
      </c>
      <c r="G127" s="3" t="s">
        <v>204</v>
      </c>
      <c r="H127" s="3" t="s">
        <v>198</v>
      </c>
    </row>
    <row r="128" spans="1:8" x14ac:dyDescent="0.2">
      <c r="A128" s="3">
        <v>401070018</v>
      </c>
      <c r="B128" s="4" t="s">
        <v>35</v>
      </c>
      <c r="C128" s="4" t="s">
        <v>202</v>
      </c>
      <c r="D128" s="3">
        <v>1</v>
      </c>
      <c r="E128" s="3" t="s">
        <v>16</v>
      </c>
      <c r="F128" s="3" t="s">
        <v>291</v>
      </c>
      <c r="G128" s="3" t="s">
        <v>26</v>
      </c>
      <c r="H128" s="3" t="s">
        <v>198</v>
      </c>
    </row>
    <row r="129" spans="1:8" x14ac:dyDescent="0.2">
      <c r="A129" s="3">
        <v>404100003</v>
      </c>
      <c r="B129" s="4" t="s">
        <v>205</v>
      </c>
      <c r="C129" s="4" t="s">
        <v>509</v>
      </c>
      <c r="D129" s="3">
        <v>1</v>
      </c>
      <c r="E129" s="3" t="s">
        <v>16</v>
      </c>
      <c r="F129" s="3" t="s">
        <v>291</v>
      </c>
      <c r="G129" s="3" t="s">
        <v>26</v>
      </c>
      <c r="H129" s="3" t="s">
        <v>198</v>
      </c>
    </row>
    <row r="130" spans="1:8" x14ac:dyDescent="0.2">
      <c r="A130" s="3">
        <v>404100004</v>
      </c>
      <c r="B130" s="4" t="s">
        <v>207</v>
      </c>
      <c r="C130" s="4" t="s">
        <v>510</v>
      </c>
      <c r="D130" s="3">
        <v>1</v>
      </c>
      <c r="E130" s="3" t="s">
        <v>16</v>
      </c>
      <c r="F130" s="3" t="s">
        <v>291</v>
      </c>
      <c r="G130" s="3" t="s">
        <v>26</v>
      </c>
      <c r="H130" s="3" t="s">
        <v>198</v>
      </c>
    </row>
    <row r="131" spans="1:8" x14ac:dyDescent="0.2">
      <c r="A131" s="3">
        <v>3030305007</v>
      </c>
      <c r="B131" s="4" t="s">
        <v>511</v>
      </c>
      <c r="C131" s="4" t="s">
        <v>512</v>
      </c>
      <c r="D131" s="3">
        <v>1</v>
      </c>
      <c r="E131" s="3" t="s">
        <v>16</v>
      </c>
      <c r="F131" s="3" t="s">
        <v>295</v>
      </c>
      <c r="G131" s="3" t="s">
        <v>17</v>
      </c>
      <c r="H131" s="3" t="s">
        <v>211</v>
      </c>
    </row>
    <row r="132" spans="1:8" x14ac:dyDescent="0.2">
      <c r="A132" s="3">
        <v>3030305006</v>
      </c>
      <c r="B132" s="4" t="s">
        <v>513</v>
      </c>
      <c r="C132" s="4" t="s">
        <v>512</v>
      </c>
      <c r="D132" s="3">
        <v>1</v>
      </c>
      <c r="E132" s="3" t="s">
        <v>16</v>
      </c>
      <c r="F132" s="3" t="s">
        <v>295</v>
      </c>
      <c r="G132" s="3" t="s">
        <v>17</v>
      </c>
      <c r="H132" s="3" t="s">
        <v>211</v>
      </c>
    </row>
    <row r="133" spans="1:8" x14ac:dyDescent="0.2">
      <c r="A133" s="3">
        <v>3069904001</v>
      </c>
      <c r="B133" s="4" t="s">
        <v>514</v>
      </c>
      <c r="C133" s="4" t="s">
        <v>355</v>
      </c>
      <c r="D133" s="3">
        <v>4</v>
      </c>
      <c r="E133" s="3" t="s">
        <v>16</v>
      </c>
      <c r="F133" s="3" t="s">
        <v>295</v>
      </c>
      <c r="G133" s="3" t="s">
        <v>17</v>
      </c>
      <c r="H133" s="3" t="s">
        <v>214</v>
      </c>
    </row>
    <row r="134" spans="1:8" x14ac:dyDescent="0.2">
      <c r="A134" s="3">
        <v>3030201003</v>
      </c>
      <c r="B134" s="4" t="s">
        <v>515</v>
      </c>
      <c r="C134" s="4" t="s">
        <v>516</v>
      </c>
      <c r="D134" s="3">
        <v>1</v>
      </c>
      <c r="E134" s="3" t="s">
        <v>16</v>
      </c>
      <c r="F134" s="3" t="s">
        <v>295</v>
      </c>
      <c r="G134" s="3" t="s">
        <v>17</v>
      </c>
      <c r="H134" s="3" t="s">
        <v>214</v>
      </c>
    </row>
    <row r="135" spans="1:8" x14ac:dyDescent="0.2">
      <c r="A135" s="3">
        <v>3049903001</v>
      </c>
      <c r="B135" s="4" t="s">
        <v>517</v>
      </c>
      <c r="C135" s="4" t="s">
        <v>355</v>
      </c>
      <c r="D135" s="3">
        <v>2</v>
      </c>
      <c r="E135" s="3" t="s">
        <v>16</v>
      </c>
      <c r="F135" s="3" t="s">
        <v>293</v>
      </c>
      <c r="G135" s="3" t="s">
        <v>29</v>
      </c>
      <c r="H135" s="3" t="s">
        <v>214</v>
      </c>
    </row>
    <row r="136" spans="1:8" x14ac:dyDescent="0.2">
      <c r="A136" s="3">
        <v>3049904001</v>
      </c>
      <c r="B136" s="4" t="s">
        <v>354</v>
      </c>
      <c r="C136" s="4" t="s">
        <v>355</v>
      </c>
      <c r="D136" s="3">
        <v>4</v>
      </c>
      <c r="E136" s="3" t="s">
        <v>16</v>
      </c>
      <c r="F136" s="3" t="s">
        <v>293</v>
      </c>
      <c r="G136" s="3" t="s">
        <v>29</v>
      </c>
      <c r="H136" s="3" t="s">
        <v>214</v>
      </c>
    </row>
    <row r="137" spans="1:8" x14ac:dyDescent="0.2">
      <c r="A137" s="3">
        <v>3049902001</v>
      </c>
      <c r="B137" s="4" t="s">
        <v>518</v>
      </c>
      <c r="C137" s="4" t="s">
        <v>355</v>
      </c>
      <c r="D137" s="3">
        <v>2</v>
      </c>
      <c r="E137" s="3" t="s">
        <v>16</v>
      </c>
      <c r="F137" s="3" t="s">
        <v>293</v>
      </c>
      <c r="G137" s="3" t="s">
        <v>29</v>
      </c>
      <c r="H137" s="3" t="s">
        <v>214</v>
      </c>
    </row>
    <row r="138" spans="1:8" x14ac:dyDescent="0.2">
      <c r="A138" s="3">
        <v>3050204001</v>
      </c>
      <c r="B138" s="4" t="s">
        <v>519</v>
      </c>
      <c r="C138" s="4" t="s">
        <v>355</v>
      </c>
      <c r="D138" s="3">
        <v>2</v>
      </c>
      <c r="E138" s="3" t="s">
        <v>16</v>
      </c>
      <c r="F138" s="3" t="s">
        <v>291</v>
      </c>
      <c r="G138" s="3" t="s">
        <v>26</v>
      </c>
      <c r="H138" s="3" t="s">
        <v>214</v>
      </c>
    </row>
    <row r="139" spans="1:8" x14ac:dyDescent="0.2">
      <c r="A139" s="3">
        <v>3050204002</v>
      </c>
      <c r="B139" s="4" t="s">
        <v>520</v>
      </c>
      <c r="C139" s="4" t="s">
        <v>355</v>
      </c>
      <c r="D139" s="3">
        <v>2</v>
      </c>
      <c r="E139" s="3" t="s">
        <v>16</v>
      </c>
      <c r="F139" s="3" t="s">
        <v>291</v>
      </c>
      <c r="G139" s="3" t="s">
        <v>26</v>
      </c>
      <c r="H139" s="3" t="s">
        <v>214</v>
      </c>
    </row>
    <row r="140" spans="1:8" x14ac:dyDescent="0.2">
      <c r="A140" s="3">
        <v>3060403034</v>
      </c>
      <c r="B140" s="4" t="s">
        <v>190</v>
      </c>
      <c r="C140" s="4" t="s">
        <v>521</v>
      </c>
      <c r="D140" s="3">
        <v>1</v>
      </c>
      <c r="E140" s="3" t="s">
        <v>16</v>
      </c>
      <c r="F140" s="3" t="s">
        <v>295</v>
      </c>
      <c r="G140" s="3" t="s">
        <v>17</v>
      </c>
      <c r="H140" s="3" t="s">
        <v>221</v>
      </c>
    </row>
    <row r="141" spans="1:8" x14ac:dyDescent="0.2">
      <c r="A141" s="3">
        <v>3060404003</v>
      </c>
      <c r="B141" s="4" t="s">
        <v>729</v>
      </c>
      <c r="C141" s="4" t="s">
        <v>730</v>
      </c>
      <c r="D141" s="3">
        <v>1</v>
      </c>
      <c r="E141" s="3" t="s">
        <v>16</v>
      </c>
      <c r="F141" s="3" t="s">
        <v>289</v>
      </c>
      <c r="G141" s="3" t="s">
        <v>23</v>
      </c>
      <c r="H141" s="3" t="s">
        <v>221</v>
      </c>
    </row>
    <row r="142" spans="1:8" x14ac:dyDescent="0.2">
      <c r="A142" s="3">
        <v>3020301001</v>
      </c>
      <c r="B142" s="4" t="s">
        <v>209</v>
      </c>
      <c r="C142" s="4" t="s">
        <v>365</v>
      </c>
      <c r="D142" s="3">
        <v>1</v>
      </c>
      <c r="E142" s="3" t="s">
        <v>16</v>
      </c>
      <c r="F142" s="3" t="s">
        <v>301</v>
      </c>
      <c r="G142" s="3" t="s">
        <v>32</v>
      </c>
      <c r="H142" s="3" t="s">
        <v>221</v>
      </c>
    </row>
    <row r="143" spans="1:8" x14ac:dyDescent="0.2">
      <c r="A143" s="3">
        <v>403030051</v>
      </c>
      <c r="B143" s="4" t="s">
        <v>366</v>
      </c>
      <c r="C143" s="4" t="s">
        <v>367</v>
      </c>
      <c r="D143" s="3">
        <v>3</v>
      </c>
      <c r="E143" s="3" t="s">
        <v>16</v>
      </c>
      <c r="F143" s="3" t="s">
        <v>301</v>
      </c>
      <c r="G143" s="3" t="s">
        <v>32</v>
      </c>
      <c r="H143" s="3" t="s">
        <v>221</v>
      </c>
    </row>
    <row r="144" spans="1:8" x14ac:dyDescent="0.2">
      <c r="A144" s="3">
        <v>403030005</v>
      </c>
      <c r="B144" s="4" t="s">
        <v>366</v>
      </c>
      <c r="C144" s="4" t="s">
        <v>368</v>
      </c>
      <c r="D144" s="3">
        <v>2</v>
      </c>
      <c r="E144" s="3" t="s">
        <v>16</v>
      </c>
      <c r="F144" s="3" t="s">
        <v>301</v>
      </c>
      <c r="G144" s="3" t="s">
        <v>32</v>
      </c>
      <c r="H144" s="3" t="s">
        <v>221</v>
      </c>
    </row>
    <row r="145" spans="1:8" x14ac:dyDescent="0.2">
      <c r="A145" s="3">
        <v>402050001</v>
      </c>
      <c r="B145" s="4" t="s">
        <v>522</v>
      </c>
      <c r="C145" s="4" t="s">
        <v>523</v>
      </c>
      <c r="D145" s="3">
        <v>1</v>
      </c>
      <c r="E145" s="3" t="s">
        <v>16</v>
      </c>
      <c r="F145" s="3" t="s">
        <v>289</v>
      </c>
      <c r="G145" s="3" t="s">
        <v>23</v>
      </c>
      <c r="H145" s="3" t="s">
        <v>524</v>
      </c>
    </row>
    <row r="146" spans="1:8" x14ac:dyDescent="0.2">
      <c r="A146" s="3">
        <v>408120036</v>
      </c>
      <c r="B146" s="4" t="s">
        <v>525</v>
      </c>
      <c r="C146" s="4" t="s">
        <v>526</v>
      </c>
      <c r="D146" s="3">
        <v>2</v>
      </c>
      <c r="E146" s="3" t="s">
        <v>16</v>
      </c>
      <c r="F146" s="3" t="s">
        <v>291</v>
      </c>
      <c r="G146" s="3" t="s">
        <v>26</v>
      </c>
      <c r="H146" s="3" t="s">
        <v>524</v>
      </c>
    </row>
    <row r="147" spans="1:8" x14ac:dyDescent="0.2">
      <c r="A147" s="3">
        <v>3060301001</v>
      </c>
      <c r="B147" s="4" t="s">
        <v>731</v>
      </c>
      <c r="C147" s="4" t="s">
        <v>732</v>
      </c>
      <c r="D147" s="3">
        <v>1</v>
      </c>
      <c r="E147" s="3" t="s">
        <v>16</v>
      </c>
      <c r="F147" s="3" t="s">
        <v>289</v>
      </c>
      <c r="G147" s="3" t="s">
        <v>23</v>
      </c>
      <c r="H147" s="3" t="s">
        <v>226</v>
      </c>
    </row>
    <row r="148" spans="1:8" x14ac:dyDescent="0.2">
      <c r="A148" s="3">
        <v>3050305016</v>
      </c>
      <c r="B148" s="4" t="s">
        <v>527</v>
      </c>
      <c r="C148" s="4" t="s">
        <v>528</v>
      </c>
      <c r="D148" s="3">
        <v>1</v>
      </c>
      <c r="E148" s="3" t="s">
        <v>16</v>
      </c>
      <c r="F148" s="3" t="s">
        <v>291</v>
      </c>
      <c r="G148" s="3" t="s">
        <v>26</v>
      </c>
      <c r="H148" s="3" t="s">
        <v>226</v>
      </c>
    </row>
    <row r="149" spans="1:8" x14ac:dyDescent="0.2">
      <c r="A149" s="3">
        <v>3050305015</v>
      </c>
      <c r="B149" s="4" t="s">
        <v>529</v>
      </c>
      <c r="C149" s="4" t="s">
        <v>530</v>
      </c>
      <c r="D149" s="3">
        <v>1</v>
      </c>
      <c r="E149" s="3" t="s">
        <v>16</v>
      </c>
      <c r="F149" s="3" t="s">
        <v>291</v>
      </c>
      <c r="G149" s="3" t="s">
        <v>26</v>
      </c>
      <c r="H149" s="3" t="s">
        <v>226</v>
      </c>
    </row>
    <row r="150" spans="1:8" x14ac:dyDescent="0.2">
      <c r="A150" s="3">
        <v>3030309020</v>
      </c>
      <c r="B150" s="4" t="s">
        <v>531</v>
      </c>
      <c r="C150" s="4" t="s">
        <v>532</v>
      </c>
      <c r="D150" s="3">
        <v>1</v>
      </c>
      <c r="E150" s="3" t="s">
        <v>16</v>
      </c>
      <c r="F150" s="3" t="s">
        <v>291</v>
      </c>
      <c r="G150" s="3" t="s">
        <v>26</v>
      </c>
      <c r="H150" s="3" t="s">
        <v>226</v>
      </c>
    </row>
    <row r="151" spans="1:8" x14ac:dyDescent="0.2">
      <c r="A151" s="3">
        <v>3030302002</v>
      </c>
      <c r="B151" s="4" t="s">
        <v>533</v>
      </c>
      <c r="C151" s="4" t="s">
        <v>534</v>
      </c>
      <c r="D151" s="3">
        <v>1</v>
      </c>
      <c r="E151" s="3" t="s">
        <v>16</v>
      </c>
      <c r="F151" s="3" t="s">
        <v>295</v>
      </c>
      <c r="G151" s="3" t="s">
        <v>17</v>
      </c>
      <c r="H151" s="3" t="s">
        <v>226</v>
      </c>
    </row>
    <row r="152" spans="1:8" x14ac:dyDescent="0.2">
      <c r="A152" s="3">
        <v>3030306012</v>
      </c>
      <c r="B152" s="4" t="s">
        <v>535</v>
      </c>
      <c r="C152" s="4" t="s">
        <v>536</v>
      </c>
      <c r="D152" s="3">
        <v>1</v>
      </c>
      <c r="E152" s="3" t="s">
        <v>16</v>
      </c>
      <c r="F152" s="3" t="s">
        <v>295</v>
      </c>
      <c r="G152" s="3" t="s">
        <v>17</v>
      </c>
      <c r="H152" s="3" t="s">
        <v>226</v>
      </c>
    </row>
    <row r="153" spans="1:8" x14ac:dyDescent="0.2">
      <c r="A153" s="3">
        <v>3030306011</v>
      </c>
      <c r="B153" s="4" t="s">
        <v>537</v>
      </c>
      <c r="C153" s="4" t="s">
        <v>536</v>
      </c>
      <c r="D153" s="3">
        <v>1</v>
      </c>
      <c r="E153" s="3" t="s">
        <v>16</v>
      </c>
      <c r="F153" s="3" t="s">
        <v>295</v>
      </c>
      <c r="G153" s="3" t="s">
        <v>17</v>
      </c>
      <c r="H153" s="3" t="s">
        <v>226</v>
      </c>
    </row>
    <row r="154" spans="1:8" x14ac:dyDescent="0.2">
      <c r="A154" s="3">
        <v>3030303002</v>
      </c>
      <c r="B154" s="4" t="s">
        <v>175</v>
      </c>
      <c r="C154" s="4" t="s">
        <v>538</v>
      </c>
      <c r="D154" s="3">
        <v>1</v>
      </c>
      <c r="E154" s="3" t="s">
        <v>16</v>
      </c>
      <c r="F154" s="3" t="s">
        <v>295</v>
      </c>
      <c r="G154" s="3" t="s">
        <v>17</v>
      </c>
      <c r="H154" s="3" t="s">
        <v>226</v>
      </c>
    </row>
    <row r="155" spans="1:8" x14ac:dyDescent="0.2">
      <c r="A155" s="3">
        <v>3030303017</v>
      </c>
      <c r="B155" s="4" t="s">
        <v>539</v>
      </c>
      <c r="C155" s="4" t="s">
        <v>540</v>
      </c>
      <c r="D155" s="3">
        <v>1</v>
      </c>
      <c r="E155" s="3" t="s">
        <v>16</v>
      </c>
      <c r="F155" s="3" t="s">
        <v>295</v>
      </c>
      <c r="G155" s="3" t="s">
        <v>17</v>
      </c>
      <c r="H155" s="3" t="s">
        <v>226</v>
      </c>
    </row>
    <row r="156" spans="1:8" x14ac:dyDescent="0.2">
      <c r="A156" s="3">
        <v>3040312012</v>
      </c>
      <c r="B156" s="4" t="s">
        <v>263</v>
      </c>
      <c r="C156" s="4" t="s">
        <v>541</v>
      </c>
      <c r="D156" s="3">
        <v>2</v>
      </c>
      <c r="E156" s="3" t="s">
        <v>16</v>
      </c>
      <c r="F156" s="3" t="s">
        <v>293</v>
      </c>
      <c r="G156" s="3" t="s">
        <v>29</v>
      </c>
      <c r="H156" s="3" t="s">
        <v>226</v>
      </c>
    </row>
    <row r="157" spans="1:8" x14ac:dyDescent="0.2">
      <c r="A157" s="3">
        <v>3040320010</v>
      </c>
      <c r="B157" s="4" t="s">
        <v>269</v>
      </c>
      <c r="C157" s="4" t="s">
        <v>542</v>
      </c>
      <c r="D157" s="3">
        <v>1</v>
      </c>
      <c r="E157" s="3" t="s">
        <v>16</v>
      </c>
      <c r="F157" s="3" t="s">
        <v>293</v>
      </c>
      <c r="G157" s="3" t="s">
        <v>29</v>
      </c>
      <c r="H157" s="3" t="s">
        <v>226</v>
      </c>
    </row>
    <row r="158" spans="1:8" x14ac:dyDescent="0.2">
      <c r="A158" s="3">
        <v>3040320011</v>
      </c>
      <c r="B158" s="4" t="s">
        <v>269</v>
      </c>
      <c r="C158" s="4" t="s">
        <v>543</v>
      </c>
      <c r="D158" s="3">
        <v>1</v>
      </c>
      <c r="E158" s="3" t="s">
        <v>16</v>
      </c>
      <c r="F158" s="3" t="s">
        <v>293</v>
      </c>
      <c r="G158" s="3" t="s">
        <v>29</v>
      </c>
      <c r="H158" s="3" t="s">
        <v>226</v>
      </c>
    </row>
    <row r="159" spans="1:8" x14ac:dyDescent="0.2">
      <c r="A159" s="3">
        <v>3030313003</v>
      </c>
      <c r="B159" s="4" t="s">
        <v>217</v>
      </c>
      <c r="C159" s="4" t="s">
        <v>544</v>
      </c>
      <c r="D159" s="3">
        <v>8</v>
      </c>
      <c r="E159" s="3" t="s">
        <v>16</v>
      </c>
      <c r="F159" s="3" t="s">
        <v>291</v>
      </c>
      <c r="G159" s="3" t="s">
        <v>26</v>
      </c>
      <c r="H159" s="3" t="s">
        <v>226</v>
      </c>
    </row>
    <row r="160" spans="1:8" x14ac:dyDescent="0.2">
      <c r="A160" s="3">
        <v>3020199010</v>
      </c>
      <c r="B160" s="4" t="s">
        <v>239</v>
      </c>
      <c r="C160" s="4" t="s">
        <v>545</v>
      </c>
      <c r="D160" s="3">
        <v>5</v>
      </c>
      <c r="E160" s="3" t="s">
        <v>16</v>
      </c>
      <c r="F160" s="3" t="s">
        <v>297</v>
      </c>
      <c r="G160" s="3" t="s">
        <v>204</v>
      </c>
      <c r="H160" s="3" t="s">
        <v>226</v>
      </c>
    </row>
    <row r="161" spans="1:8" x14ac:dyDescent="0.2">
      <c r="A161" s="3">
        <v>3050305019</v>
      </c>
      <c r="B161" s="4" t="s">
        <v>549</v>
      </c>
      <c r="C161" s="4" t="s">
        <v>530</v>
      </c>
      <c r="D161" s="3">
        <v>1</v>
      </c>
      <c r="E161" s="3" t="s">
        <v>16</v>
      </c>
      <c r="F161" s="3" t="s">
        <v>291</v>
      </c>
      <c r="G161" s="3" t="s">
        <v>26</v>
      </c>
      <c r="H161" s="3" t="s">
        <v>226</v>
      </c>
    </row>
    <row r="162" spans="1:8" x14ac:dyDescent="0.2">
      <c r="A162" s="3">
        <v>3050401014</v>
      </c>
      <c r="B162" s="4" t="s">
        <v>222</v>
      </c>
      <c r="C162" s="4" t="s">
        <v>550</v>
      </c>
      <c r="D162" s="3">
        <v>1</v>
      </c>
      <c r="E162" s="3" t="s">
        <v>16</v>
      </c>
      <c r="F162" s="3" t="s">
        <v>291</v>
      </c>
      <c r="G162" s="3" t="s">
        <v>26</v>
      </c>
      <c r="H162" s="3" t="s">
        <v>226</v>
      </c>
    </row>
    <row r="163" spans="1:8" x14ac:dyDescent="0.2">
      <c r="A163" s="3">
        <v>3080401031</v>
      </c>
      <c r="B163" s="4" t="s">
        <v>41</v>
      </c>
      <c r="C163" s="4" t="s">
        <v>551</v>
      </c>
      <c r="D163" s="3">
        <v>1</v>
      </c>
      <c r="E163" s="3" t="s">
        <v>16</v>
      </c>
      <c r="F163" s="3" t="s">
        <v>291</v>
      </c>
      <c r="G163" s="3" t="s">
        <v>26</v>
      </c>
      <c r="H163" s="3" t="s">
        <v>249</v>
      </c>
    </row>
    <row r="164" spans="1:8" x14ac:dyDescent="0.2">
      <c r="A164" s="3">
        <v>3030211001</v>
      </c>
      <c r="B164" s="4" t="s">
        <v>552</v>
      </c>
      <c r="C164" s="4" t="s">
        <v>553</v>
      </c>
      <c r="D164" s="3">
        <v>1</v>
      </c>
      <c r="E164" s="3" t="s">
        <v>16</v>
      </c>
      <c r="F164" s="3" t="s">
        <v>295</v>
      </c>
      <c r="G164" s="3" t="s">
        <v>17</v>
      </c>
      <c r="H164" s="3" t="s">
        <v>249</v>
      </c>
    </row>
    <row r="165" spans="1:8" x14ac:dyDescent="0.2">
      <c r="A165" s="3">
        <v>3080309001</v>
      </c>
      <c r="B165" s="4" t="s">
        <v>554</v>
      </c>
      <c r="C165" s="4" t="s">
        <v>555</v>
      </c>
      <c r="D165" s="3">
        <v>1</v>
      </c>
      <c r="E165" s="3" t="s">
        <v>16</v>
      </c>
      <c r="F165" s="3" t="s">
        <v>295</v>
      </c>
      <c r="G165" s="3" t="s">
        <v>17</v>
      </c>
      <c r="H165" s="3" t="s">
        <v>249</v>
      </c>
    </row>
    <row r="166" spans="1:8" x14ac:dyDescent="0.2">
      <c r="A166" s="3">
        <v>3080107268</v>
      </c>
      <c r="B166" s="4" t="s">
        <v>69</v>
      </c>
      <c r="C166" s="4" t="s">
        <v>556</v>
      </c>
      <c r="D166" s="3">
        <v>2</v>
      </c>
      <c r="E166" s="3" t="s">
        <v>16</v>
      </c>
      <c r="F166" s="3" t="s">
        <v>291</v>
      </c>
      <c r="G166" s="3" t="s">
        <v>26</v>
      </c>
      <c r="H166" s="3" t="s">
        <v>249</v>
      </c>
    </row>
    <row r="167" spans="1:8" x14ac:dyDescent="0.2">
      <c r="A167" s="3">
        <v>3080107269</v>
      </c>
      <c r="B167" s="4" t="s">
        <v>69</v>
      </c>
      <c r="C167" s="4" t="s">
        <v>557</v>
      </c>
      <c r="D167" s="3">
        <v>2</v>
      </c>
      <c r="E167" s="3" t="s">
        <v>16</v>
      </c>
      <c r="F167" s="3" t="s">
        <v>291</v>
      </c>
      <c r="G167" s="3" t="s">
        <v>26</v>
      </c>
      <c r="H167" s="3" t="s">
        <v>249</v>
      </c>
    </row>
    <row r="168" spans="1:8" x14ac:dyDescent="0.2">
      <c r="A168" s="3">
        <v>3060335005</v>
      </c>
      <c r="B168" s="4" t="s">
        <v>233</v>
      </c>
      <c r="C168" s="4" t="s">
        <v>734</v>
      </c>
      <c r="D168" s="3">
        <v>1</v>
      </c>
      <c r="E168" s="3" t="s">
        <v>16</v>
      </c>
      <c r="F168" s="3" t="s">
        <v>289</v>
      </c>
      <c r="G168" s="3" t="s">
        <v>23</v>
      </c>
      <c r="H168" s="3" t="s">
        <v>254</v>
      </c>
    </row>
    <row r="169" spans="1:8" x14ac:dyDescent="0.2">
      <c r="A169" s="3">
        <v>3060324001</v>
      </c>
      <c r="B169" s="4" t="s">
        <v>735</v>
      </c>
      <c r="C169" s="4" t="s">
        <v>736</v>
      </c>
      <c r="D169" s="3">
        <v>1</v>
      </c>
      <c r="E169" s="3" t="s">
        <v>16</v>
      </c>
      <c r="F169" s="3" t="s">
        <v>289</v>
      </c>
      <c r="G169" s="3" t="s">
        <v>23</v>
      </c>
      <c r="H169" s="3" t="s">
        <v>254</v>
      </c>
    </row>
    <row r="170" spans="1:8" x14ac:dyDescent="0.2">
      <c r="A170" s="3">
        <v>3030302001</v>
      </c>
      <c r="B170" s="4" t="s">
        <v>558</v>
      </c>
      <c r="C170" s="4" t="s">
        <v>534</v>
      </c>
      <c r="D170" s="3">
        <v>1</v>
      </c>
      <c r="E170" s="3" t="s">
        <v>16</v>
      </c>
      <c r="F170" s="3" t="s">
        <v>295</v>
      </c>
      <c r="G170" s="3" t="s">
        <v>17</v>
      </c>
      <c r="H170" s="3" t="s">
        <v>254</v>
      </c>
    </row>
    <row r="171" spans="1:8" x14ac:dyDescent="0.2">
      <c r="A171" s="3">
        <v>3030306031</v>
      </c>
      <c r="B171" s="4" t="s">
        <v>559</v>
      </c>
      <c r="C171" s="4" t="s">
        <v>560</v>
      </c>
      <c r="D171" s="3">
        <v>1</v>
      </c>
      <c r="E171" s="3" t="s">
        <v>16</v>
      </c>
      <c r="F171" s="3" t="s">
        <v>295</v>
      </c>
      <c r="G171" s="3" t="s">
        <v>17</v>
      </c>
      <c r="H171" s="3" t="s">
        <v>254</v>
      </c>
    </row>
    <row r="172" spans="1:8" x14ac:dyDescent="0.2">
      <c r="A172" s="3">
        <v>3080311002</v>
      </c>
      <c r="B172" s="4" t="s">
        <v>561</v>
      </c>
      <c r="C172" s="4" t="s">
        <v>536</v>
      </c>
      <c r="D172" s="3">
        <v>1</v>
      </c>
      <c r="E172" s="3" t="s">
        <v>16</v>
      </c>
      <c r="F172" s="3" t="s">
        <v>295</v>
      </c>
      <c r="G172" s="3" t="s">
        <v>17</v>
      </c>
      <c r="H172" s="3" t="s">
        <v>254</v>
      </c>
    </row>
    <row r="173" spans="1:8" x14ac:dyDescent="0.2">
      <c r="A173" s="3">
        <v>3030303016</v>
      </c>
      <c r="B173" s="4" t="s">
        <v>562</v>
      </c>
      <c r="C173" s="4" t="s">
        <v>563</v>
      </c>
      <c r="D173" s="3">
        <v>1</v>
      </c>
      <c r="E173" s="3" t="s">
        <v>16</v>
      </c>
      <c r="F173" s="3" t="s">
        <v>295</v>
      </c>
      <c r="G173" s="3" t="s">
        <v>17</v>
      </c>
      <c r="H173" s="3" t="s">
        <v>254</v>
      </c>
    </row>
    <row r="174" spans="1:8" x14ac:dyDescent="0.2">
      <c r="A174" s="3">
        <v>3030303015</v>
      </c>
      <c r="B174" s="4" t="s">
        <v>564</v>
      </c>
      <c r="C174" s="4" t="s">
        <v>563</v>
      </c>
      <c r="D174" s="3">
        <v>1</v>
      </c>
      <c r="E174" s="3" t="s">
        <v>16</v>
      </c>
      <c r="F174" s="3" t="s">
        <v>295</v>
      </c>
      <c r="G174" s="3" t="s">
        <v>17</v>
      </c>
      <c r="H174" s="3" t="s">
        <v>254</v>
      </c>
    </row>
    <row r="175" spans="1:8" x14ac:dyDescent="0.2">
      <c r="A175" s="3">
        <v>3040323001</v>
      </c>
      <c r="B175" s="4" t="s">
        <v>565</v>
      </c>
      <c r="C175" s="4" t="s">
        <v>566</v>
      </c>
      <c r="D175" s="3">
        <v>2</v>
      </c>
      <c r="E175" s="3" t="s">
        <v>16</v>
      </c>
      <c r="F175" s="3" t="s">
        <v>293</v>
      </c>
      <c r="G175" s="3" t="s">
        <v>29</v>
      </c>
      <c r="H175" s="3" t="s">
        <v>254</v>
      </c>
    </row>
    <row r="176" spans="1:8" x14ac:dyDescent="0.2">
      <c r="A176" s="3">
        <v>3040302001</v>
      </c>
      <c r="B176" s="4" t="s">
        <v>567</v>
      </c>
      <c r="C176" s="4" t="s">
        <v>568</v>
      </c>
      <c r="D176" s="3">
        <v>1</v>
      </c>
      <c r="E176" s="3" t="s">
        <v>16</v>
      </c>
      <c r="F176" s="3" t="s">
        <v>293</v>
      </c>
      <c r="G176" s="3" t="s">
        <v>29</v>
      </c>
      <c r="H176" s="3" t="s">
        <v>254</v>
      </c>
    </row>
    <row r="177" spans="1:8" x14ac:dyDescent="0.2">
      <c r="A177" s="3">
        <v>3040302002</v>
      </c>
      <c r="B177" s="4" t="s">
        <v>567</v>
      </c>
      <c r="C177" s="4" t="s">
        <v>569</v>
      </c>
      <c r="D177" s="3">
        <v>1</v>
      </c>
      <c r="E177" s="3" t="s">
        <v>16</v>
      </c>
      <c r="F177" s="3" t="s">
        <v>293</v>
      </c>
      <c r="G177" s="3" t="s">
        <v>29</v>
      </c>
      <c r="H177" s="3" t="s">
        <v>254</v>
      </c>
    </row>
    <row r="178" spans="1:8" x14ac:dyDescent="0.2">
      <c r="A178" s="3">
        <v>3040324004</v>
      </c>
      <c r="B178" s="4" t="s">
        <v>570</v>
      </c>
      <c r="C178" s="4" t="s">
        <v>536</v>
      </c>
      <c r="D178" s="3">
        <v>2</v>
      </c>
      <c r="E178" s="3" t="s">
        <v>16</v>
      </c>
      <c r="F178" s="3" t="s">
        <v>293</v>
      </c>
      <c r="G178" s="3" t="s">
        <v>29</v>
      </c>
      <c r="H178" s="3" t="s">
        <v>254</v>
      </c>
    </row>
    <row r="179" spans="1:8" x14ac:dyDescent="0.2">
      <c r="A179" s="3">
        <v>3030302008</v>
      </c>
      <c r="B179" s="4" t="s">
        <v>571</v>
      </c>
      <c r="C179" s="4" t="s">
        <v>572</v>
      </c>
      <c r="D179" s="3">
        <v>1</v>
      </c>
      <c r="E179" s="3" t="s">
        <v>16</v>
      </c>
      <c r="F179" s="3" t="s">
        <v>295</v>
      </c>
      <c r="G179" s="3" t="s">
        <v>17</v>
      </c>
      <c r="H179" s="3" t="s">
        <v>254</v>
      </c>
    </row>
    <row r="180" spans="1:8" x14ac:dyDescent="0.2">
      <c r="A180" s="3">
        <v>3030302009</v>
      </c>
      <c r="B180" s="4" t="s">
        <v>571</v>
      </c>
      <c r="C180" s="4" t="s">
        <v>573</v>
      </c>
      <c r="D180" s="3">
        <v>1</v>
      </c>
      <c r="E180" s="3" t="s">
        <v>16</v>
      </c>
      <c r="F180" s="3" t="s">
        <v>295</v>
      </c>
      <c r="G180" s="3" t="s">
        <v>17</v>
      </c>
      <c r="H180" s="3" t="s">
        <v>254</v>
      </c>
    </row>
    <row r="181" spans="1:8" x14ac:dyDescent="0.2">
      <c r="A181" s="3">
        <v>3030302004</v>
      </c>
      <c r="B181" s="4" t="s">
        <v>574</v>
      </c>
      <c r="C181" s="4" t="s">
        <v>575</v>
      </c>
      <c r="D181" s="3">
        <v>1</v>
      </c>
      <c r="E181" s="3" t="s">
        <v>16</v>
      </c>
      <c r="F181" s="3" t="s">
        <v>295</v>
      </c>
      <c r="G181" s="3" t="s">
        <v>17</v>
      </c>
      <c r="H181" s="3" t="s">
        <v>254</v>
      </c>
    </row>
    <row r="182" spans="1:8" x14ac:dyDescent="0.2">
      <c r="A182" s="3">
        <v>3030302006</v>
      </c>
      <c r="B182" s="4" t="s">
        <v>576</v>
      </c>
      <c r="C182" s="4" t="s">
        <v>575</v>
      </c>
      <c r="D182" s="3">
        <v>1</v>
      </c>
      <c r="E182" s="3" t="s">
        <v>16</v>
      </c>
      <c r="F182" s="3" t="s">
        <v>295</v>
      </c>
      <c r="G182" s="3" t="s">
        <v>17</v>
      </c>
      <c r="H182" s="3" t="s">
        <v>254</v>
      </c>
    </row>
    <row r="183" spans="1:8" x14ac:dyDescent="0.2">
      <c r="A183" s="3">
        <v>3030314004</v>
      </c>
      <c r="B183" s="4" t="s">
        <v>577</v>
      </c>
      <c r="C183" s="4" t="s">
        <v>575</v>
      </c>
      <c r="D183" s="3">
        <v>1</v>
      </c>
      <c r="E183" s="3" t="s">
        <v>16</v>
      </c>
      <c r="F183" s="3" t="s">
        <v>295</v>
      </c>
      <c r="G183" s="3" t="s">
        <v>17</v>
      </c>
      <c r="H183" s="3" t="s">
        <v>254</v>
      </c>
    </row>
    <row r="184" spans="1:8" x14ac:dyDescent="0.2">
      <c r="A184" s="3">
        <v>3030308001</v>
      </c>
      <c r="B184" s="4" t="s">
        <v>578</v>
      </c>
      <c r="C184" s="4" t="s">
        <v>575</v>
      </c>
      <c r="D184" s="3">
        <v>1</v>
      </c>
      <c r="E184" s="3" t="s">
        <v>16</v>
      </c>
      <c r="F184" s="3" t="s">
        <v>295</v>
      </c>
      <c r="G184" s="3" t="s">
        <v>17</v>
      </c>
      <c r="H184" s="3" t="s">
        <v>254</v>
      </c>
    </row>
    <row r="185" spans="1:8" x14ac:dyDescent="0.2">
      <c r="A185" s="3">
        <v>3030314003</v>
      </c>
      <c r="B185" s="4" t="s">
        <v>579</v>
      </c>
      <c r="C185" s="4" t="s">
        <v>575</v>
      </c>
      <c r="D185" s="3">
        <v>1</v>
      </c>
      <c r="E185" s="3" t="s">
        <v>16</v>
      </c>
      <c r="F185" s="3" t="s">
        <v>295</v>
      </c>
      <c r="G185" s="3" t="s">
        <v>17</v>
      </c>
      <c r="H185" s="3" t="s">
        <v>254</v>
      </c>
    </row>
    <row r="186" spans="1:8" x14ac:dyDescent="0.2">
      <c r="A186" s="3">
        <v>3030308003</v>
      </c>
      <c r="B186" s="4" t="s">
        <v>580</v>
      </c>
      <c r="C186" s="4" t="s">
        <v>581</v>
      </c>
      <c r="D186" s="3">
        <v>1</v>
      </c>
      <c r="E186" s="3" t="s">
        <v>16</v>
      </c>
      <c r="F186" s="3" t="s">
        <v>295</v>
      </c>
      <c r="G186" s="3" t="s">
        <v>17</v>
      </c>
      <c r="H186" s="3" t="s">
        <v>254</v>
      </c>
    </row>
    <row r="187" spans="1:8" x14ac:dyDescent="0.2">
      <c r="A187" s="3">
        <v>3040325007</v>
      </c>
      <c r="B187" s="4" t="s">
        <v>582</v>
      </c>
      <c r="C187" s="4" t="s">
        <v>543</v>
      </c>
      <c r="D187" s="3">
        <v>1</v>
      </c>
      <c r="E187" s="3" t="s">
        <v>16</v>
      </c>
      <c r="F187" s="3" t="s">
        <v>293</v>
      </c>
      <c r="G187" s="3" t="s">
        <v>29</v>
      </c>
      <c r="H187" s="3" t="s">
        <v>254</v>
      </c>
    </row>
    <row r="188" spans="1:8" x14ac:dyDescent="0.2">
      <c r="A188" s="3">
        <v>3040325008</v>
      </c>
      <c r="B188" s="4" t="s">
        <v>582</v>
      </c>
      <c r="C188" s="4" t="s">
        <v>542</v>
      </c>
      <c r="D188" s="3">
        <v>1</v>
      </c>
      <c r="E188" s="3" t="s">
        <v>16</v>
      </c>
      <c r="F188" s="3" t="s">
        <v>293</v>
      </c>
      <c r="G188" s="3" t="s">
        <v>29</v>
      </c>
      <c r="H188" s="3" t="s">
        <v>254</v>
      </c>
    </row>
    <row r="189" spans="1:8" x14ac:dyDescent="0.2">
      <c r="A189" s="3">
        <v>3040326013</v>
      </c>
      <c r="B189" s="4" t="s">
        <v>546</v>
      </c>
      <c r="C189" s="4" t="s">
        <v>781</v>
      </c>
      <c r="D189" s="3">
        <v>1</v>
      </c>
      <c r="E189" s="3" t="s">
        <v>16</v>
      </c>
      <c r="F189" s="3" t="s">
        <v>293</v>
      </c>
      <c r="G189" s="3" t="s">
        <v>29</v>
      </c>
      <c r="H189" s="3" t="s">
        <v>254</v>
      </c>
    </row>
    <row r="190" spans="1:8" x14ac:dyDescent="0.2">
      <c r="A190" s="3">
        <v>3040326011</v>
      </c>
      <c r="B190" s="4" t="s">
        <v>546</v>
      </c>
      <c r="C190" s="4" t="s">
        <v>782</v>
      </c>
      <c r="D190" s="3">
        <v>1</v>
      </c>
      <c r="E190" s="3" t="s">
        <v>16</v>
      </c>
      <c r="F190" s="3" t="s">
        <v>293</v>
      </c>
      <c r="G190" s="3" t="s">
        <v>29</v>
      </c>
      <c r="H190" s="3" t="s">
        <v>254</v>
      </c>
    </row>
    <row r="191" spans="1:8" x14ac:dyDescent="0.2">
      <c r="A191" s="3">
        <v>3040308003</v>
      </c>
      <c r="B191" s="4" t="s">
        <v>583</v>
      </c>
      <c r="C191" s="4" t="s">
        <v>536</v>
      </c>
      <c r="D191" s="3">
        <v>2</v>
      </c>
      <c r="E191" s="3" t="s">
        <v>16</v>
      </c>
      <c r="F191" s="3" t="s">
        <v>293</v>
      </c>
      <c r="G191" s="3" t="s">
        <v>29</v>
      </c>
      <c r="H191" s="3" t="s">
        <v>254</v>
      </c>
    </row>
    <row r="192" spans="1:8" x14ac:dyDescent="0.2">
      <c r="A192" s="3">
        <v>3030302007</v>
      </c>
      <c r="B192" s="4" t="s">
        <v>584</v>
      </c>
      <c r="C192" s="4" t="s">
        <v>575</v>
      </c>
      <c r="D192" s="3">
        <v>1</v>
      </c>
      <c r="E192" s="3" t="s">
        <v>16</v>
      </c>
      <c r="F192" s="3" t="s">
        <v>295</v>
      </c>
      <c r="G192" s="3" t="s">
        <v>17</v>
      </c>
      <c r="H192" s="3" t="s">
        <v>254</v>
      </c>
    </row>
    <row r="193" spans="1:8" x14ac:dyDescent="0.2">
      <c r="A193" s="3">
        <v>3111601003</v>
      </c>
      <c r="B193" s="4" t="s">
        <v>585</v>
      </c>
      <c r="C193" s="4" t="s">
        <v>586</v>
      </c>
      <c r="D193" s="3">
        <v>2</v>
      </c>
      <c r="E193" s="3" t="s">
        <v>16</v>
      </c>
      <c r="F193" s="3" t="s">
        <v>291</v>
      </c>
      <c r="G193" s="3" t="s">
        <v>26</v>
      </c>
      <c r="H193" s="3" t="s">
        <v>254</v>
      </c>
    </row>
    <row r="194" spans="1:8" x14ac:dyDescent="0.2">
      <c r="A194" s="3">
        <v>3060339002</v>
      </c>
      <c r="B194" s="4" t="s">
        <v>737</v>
      </c>
      <c r="C194" s="4" t="s">
        <v>738</v>
      </c>
      <c r="D194" s="3">
        <v>1</v>
      </c>
      <c r="E194" s="3" t="s">
        <v>16</v>
      </c>
      <c r="F194" s="3" t="s">
        <v>702</v>
      </c>
      <c r="G194" s="3" t="s">
        <v>703</v>
      </c>
      <c r="H194" s="3" t="s">
        <v>254</v>
      </c>
    </row>
    <row r="195" spans="1:8" x14ac:dyDescent="0.2">
      <c r="A195" s="3">
        <v>3060325001</v>
      </c>
      <c r="B195" s="4" t="s">
        <v>739</v>
      </c>
      <c r="C195" s="4" t="s">
        <v>740</v>
      </c>
      <c r="D195" s="3">
        <v>1</v>
      </c>
      <c r="E195" s="3" t="s">
        <v>16</v>
      </c>
      <c r="F195" s="3" t="s">
        <v>289</v>
      </c>
      <c r="G195" s="3" t="s">
        <v>23</v>
      </c>
      <c r="H195" s="3" t="s">
        <v>254</v>
      </c>
    </row>
    <row r="196" spans="1:8" x14ac:dyDescent="0.2">
      <c r="A196" s="3">
        <v>3050303006</v>
      </c>
      <c r="B196" s="4" t="s">
        <v>245</v>
      </c>
      <c r="C196" s="4" t="s">
        <v>587</v>
      </c>
      <c r="D196" s="3">
        <v>1</v>
      </c>
      <c r="E196" s="3" t="s">
        <v>16</v>
      </c>
      <c r="F196" s="3" t="s">
        <v>291</v>
      </c>
      <c r="G196" s="3" t="s">
        <v>26</v>
      </c>
      <c r="H196" s="3" t="s">
        <v>254</v>
      </c>
    </row>
    <row r="197" spans="1:8" x14ac:dyDescent="0.2">
      <c r="A197" s="3">
        <v>3080310002</v>
      </c>
      <c r="B197" s="4" t="s">
        <v>588</v>
      </c>
      <c r="C197" s="4" t="s">
        <v>589</v>
      </c>
      <c r="D197" s="3">
        <v>1</v>
      </c>
      <c r="E197" s="3" t="s">
        <v>16</v>
      </c>
      <c r="F197" s="3" t="s">
        <v>295</v>
      </c>
      <c r="G197" s="3" t="s">
        <v>17</v>
      </c>
      <c r="H197" s="3" t="s">
        <v>590</v>
      </c>
    </row>
  </sheetData>
  <phoneticPr fontId="2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05600-111A-4C53-8DC0-CE7780B35938}">
  <dimension ref="A1:H213"/>
  <sheetViews>
    <sheetView workbookViewId="0">
      <selection activeCell="D3" sqref="D3"/>
    </sheetView>
  </sheetViews>
  <sheetFormatPr defaultRowHeight="14.25" x14ac:dyDescent="0.2"/>
  <cols>
    <col min="1" max="1" width="13.875" customWidth="1"/>
  </cols>
  <sheetData>
    <row r="1" spans="1:8" x14ac:dyDescent="0.2">
      <c r="A1" s="3" t="s">
        <v>792</v>
      </c>
      <c r="B1" s="4"/>
      <c r="C1" s="4"/>
      <c r="D1" s="3"/>
      <c r="E1" s="3"/>
      <c r="F1" s="3"/>
      <c r="G1" s="3"/>
      <c r="H1" s="3"/>
    </row>
    <row r="2" spans="1:8" ht="28.5" x14ac:dyDescent="0.2">
      <c r="A2" s="1" t="s">
        <v>0</v>
      </c>
      <c r="B2" s="2" t="s">
        <v>1</v>
      </c>
      <c r="C2" s="2" t="s">
        <v>2</v>
      </c>
      <c r="D2" s="1" t="s">
        <v>4</v>
      </c>
      <c r="E2" s="1" t="s">
        <v>3</v>
      </c>
      <c r="F2" s="1" t="s">
        <v>5</v>
      </c>
      <c r="G2" s="1" t="s">
        <v>6</v>
      </c>
      <c r="H2" s="1" t="s">
        <v>7</v>
      </c>
    </row>
    <row r="3" spans="1:8" s="10" customFormat="1" x14ac:dyDescent="0.2">
      <c r="A3" s="8" t="s">
        <v>390</v>
      </c>
      <c r="B3" s="9" t="s">
        <v>8</v>
      </c>
      <c r="C3" s="9" t="s">
        <v>9</v>
      </c>
      <c r="D3" s="12">
        <f>0.3555/0.94</f>
        <v>0.3781914893617021</v>
      </c>
      <c r="E3" s="8" t="s">
        <v>596</v>
      </c>
      <c r="F3" s="8" t="s">
        <v>283</v>
      </c>
      <c r="G3" s="8" t="s">
        <v>13</v>
      </c>
      <c r="H3" s="8" t="s">
        <v>12</v>
      </c>
    </row>
    <row r="4" spans="1:8" x14ac:dyDescent="0.2">
      <c r="A4" s="3">
        <v>402030028</v>
      </c>
      <c r="B4" s="4" t="s">
        <v>107</v>
      </c>
      <c r="C4" s="4" t="s">
        <v>305</v>
      </c>
      <c r="D4" s="3">
        <v>1</v>
      </c>
      <c r="E4" s="3" t="s">
        <v>16</v>
      </c>
      <c r="F4" s="3" t="s">
        <v>289</v>
      </c>
      <c r="G4" s="3" t="s">
        <v>23</v>
      </c>
      <c r="H4" s="3" t="s">
        <v>306</v>
      </c>
    </row>
    <row r="5" spans="1:8" x14ac:dyDescent="0.2">
      <c r="A5" s="3">
        <v>3099980014</v>
      </c>
      <c r="B5" s="4" t="s">
        <v>391</v>
      </c>
      <c r="C5" s="4" t="s">
        <v>392</v>
      </c>
      <c r="D5" s="3">
        <v>1</v>
      </c>
      <c r="E5" s="3" t="s">
        <v>16</v>
      </c>
      <c r="F5" s="3" t="s">
        <v>291</v>
      </c>
      <c r="G5" s="3" t="s">
        <v>26</v>
      </c>
      <c r="H5" s="3" t="s">
        <v>393</v>
      </c>
    </row>
    <row r="6" spans="1:8" x14ac:dyDescent="0.2">
      <c r="A6" s="3">
        <v>3030314005</v>
      </c>
      <c r="B6" s="4" t="s">
        <v>394</v>
      </c>
      <c r="C6" s="4" t="s">
        <v>395</v>
      </c>
      <c r="D6" s="3">
        <v>1</v>
      </c>
      <c r="E6" s="3" t="s">
        <v>16</v>
      </c>
      <c r="F6" s="3" t="s">
        <v>291</v>
      </c>
      <c r="G6" s="3" t="s">
        <v>26</v>
      </c>
      <c r="H6" s="3" t="s">
        <v>18</v>
      </c>
    </row>
    <row r="7" spans="1:8" x14ac:dyDescent="0.2">
      <c r="A7" s="3">
        <v>3030210001</v>
      </c>
      <c r="B7" s="4" t="s">
        <v>396</v>
      </c>
      <c r="C7" s="4" t="s">
        <v>397</v>
      </c>
      <c r="D7" s="3">
        <v>1</v>
      </c>
      <c r="E7" s="3" t="s">
        <v>16</v>
      </c>
      <c r="F7" s="3" t="s">
        <v>295</v>
      </c>
      <c r="G7" s="3" t="s">
        <v>17</v>
      </c>
      <c r="H7" s="3" t="s">
        <v>18</v>
      </c>
    </row>
    <row r="8" spans="1:8" x14ac:dyDescent="0.2">
      <c r="A8" s="3">
        <v>3080301001</v>
      </c>
      <c r="B8" s="4" t="s">
        <v>247</v>
      </c>
      <c r="C8" s="4" t="s">
        <v>398</v>
      </c>
      <c r="D8" s="3">
        <v>1</v>
      </c>
      <c r="E8" s="3" t="s">
        <v>16</v>
      </c>
      <c r="F8" s="3" t="s">
        <v>295</v>
      </c>
      <c r="G8" s="3" t="s">
        <v>17</v>
      </c>
      <c r="H8" s="3" t="s">
        <v>18</v>
      </c>
    </row>
    <row r="9" spans="1:8" x14ac:dyDescent="0.2">
      <c r="A9" s="3">
        <v>3040201001</v>
      </c>
      <c r="B9" s="4" t="s">
        <v>399</v>
      </c>
      <c r="C9" s="4" t="s">
        <v>400</v>
      </c>
      <c r="D9" s="3">
        <v>2</v>
      </c>
      <c r="E9" s="3" t="s">
        <v>16</v>
      </c>
      <c r="F9" s="3" t="s">
        <v>293</v>
      </c>
      <c r="G9" s="3" t="s">
        <v>29</v>
      </c>
      <c r="H9" s="3" t="s">
        <v>18</v>
      </c>
    </row>
    <row r="10" spans="1:8" x14ac:dyDescent="0.2">
      <c r="A10" s="3">
        <v>3030202002</v>
      </c>
      <c r="B10" s="4" t="s">
        <v>401</v>
      </c>
      <c r="C10" s="4" t="s">
        <v>402</v>
      </c>
      <c r="D10" s="3">
        <v>1</v>
      </c>
      <c r="E10" s="3" t="s">
        <v>16</v>
      </c>
      <c r="F10" s="3" t="s">
        <v>295</v>
      </c>
      <c r="G10" s="3" t="s">
        <v>17</v>
      </c>
      <c r="H10" s="3" t="s">
        <v>18</v>
      </c>
    </row>
    <row r="11" spans="1:8" x14ac:dyDescent="0.2">
      <c r="A11" s="3">
        <v>3030202003</v>
      </c>
      <c r="B11" s="4" t="s">
        <v>403</v>
      </c>
      <c r="C11" s="4" t="s">
        <v>404</v>
      </c>
      <c r="D11" s="3">
        <v>1</v>
      </c>
      <c r="E11" s="3" t="s">
        <v>16</v>
      </c>
      <c r="F11" s="3" t="s">
        <v>295</v>
      </c>
      <c r="G11" s="3" t="s">
        <v>17</v>
      </c>
      <c r="H11" s="3" t="s">
        <v>18</v>
      </c>
    </row>
    <row r="12" spans="1:8" x14ac:dyDescent="0.2">
      <c r="A12" s="3">
        <v>3030212001</v>
      </c>
      <c r="B12" s="4" t="s">
        <v>405</v>
      </c>
      <c r="C12" s="4" t="s">
        <v>406</v>
      </c>
      <c r="D12" s="3">
        <v>1</v>
      </c>
      <c r="E12" s="3" t="s">
        <v>16</v>
      </c>
      <c r="F12" s="3" t="s">
        <v>295</v>
      </c>
      <c r="G12" s="3" t="s">
        <v>17</v>
      </c>
      <c r="H12" s="3" t="s">
        <v>18</v>
      </c>
    </row>
    <row r="13" spans="1:8" x14ac:dyDescent="0.2">
      <c r="A13" s="3">
        <v>3030206003</v>
      </c>
      <c r="B13" s="4" t="s">
        <v>407</v>
      </c>
      <c r="C13" s="4" t="s">
        <v>408</v>
      </c>
      <c r="D13" s="3">
        <v>1</v>
      </c>
      <c r="E13" s="3" t="s">
        <v>16</v>
      </c>
      <c r="F13" s="3" t="s">
        <v>295</v>
      </c>
      <c r="G13" s="3" t="s">
        <v>17</v>
      </c>
      <c r="H13" s="3" t="s">
        <v>18</v>
      </c>
    </row>
    <row r="14" spans="1:8" x14ac:dyDescent="0.2">
      <c r="A14" s="3">
        <v>404090136</v>
      </c>
      <c r="B14" s="4" t="s">
        <v>30</v>
      </c>
      <c r="C14" s="4" t="s">
        <v>784</v>
      </c>
      <c r="D14" s="3">
        <v>1</v>
      </c>
      <c r="E14" s="3" t="s">
        <v>16</v>
      </c>
      <c r="F14" s="3" t="s">
        <v>301</v>
      </c>
      <c r="G14" s="3" t="s">
        <v>32</v>
      </c>
      <c r="H14" s="3" t="s">
        <v>33</v>
      </c>
    </row>
    <row r="15" spans="1:8" x14ac:dyDescent="0.2">
      <c r="A15" s="3">
        <v>404090225</v>
      </c>
      <c r="B15" s="4" t="s">
        <v>30</v>
      </c>
      <c r="C15" s="4" t="s">
        <v>785</v>
      </c>
      <c r="D15" s="3">
        <v>1</v>
      </c>
      <c r="E15" s="3" t="s">
        <v>16</v>
      </c>
      <c r="F15" s="3" t="s">
        <v>301</v>
      </c>
      <c r="G15" s="3" t="s">
        <v>32</v>
      </c>
      <c r="H15" s="3" t="s">
        <v>33</v>
      </c>
    </row>
    <row r="16" spans="1:8" x14ac:dyDescent="0.2">
      <c r="A16" s="3">
        <v>404020072</v>
      </c>
      <c r="B16" s="4" t="s">
        <v>30</v>
      </c>
      <c r="C16" s="4" t="s">
        <v>308</v>
      </c>
      <c r="D16" s="3">
        <v>1</v>
      </c>
      <c r="E16" s="3" t="s">
        <v>16</v>
      </c>
      <c r="F16" s="3" t="s">
        <v>291</v>
      </c>
      <c r="G16" s="3" t="s">
        <v>26</v>
      </c>
      <c r="H16" s="3" t="s">
        <v>33</v>
      </c>
    </row>
    <row r="17" spans="1:8" x14ac:dyDescent="0.2">
      <c r="A17" s="3">
        <v>401020104</v>
      </c>
      <c r="B17" s="4" t="s">
        <v>35</v>
      </c>
      <c r="C17" s="4" t="s">
        <v>786</v>
      </c>
      <c r="D17" s="3">
        <v>1</v>
      </c>
      <c r="E17" s="3" t="s">
        <v>16</v>
      </c>
      <c r="F17" s="3" t="s">
        <v>301</v>
      </c>
      <c r="G17" s="3" t="s">
        <v>32</v>
      </c>
      <c r="H17" s="3" t="s">
        <v>33</v>
      </c>
    </row>
    <row r="18" spans="1:8" x14ac:dyDescent="0.2">
      <c r="A18" s="3">
        <v>401040087</v>
      </c>
      <c r="B18" s="4" t="s">
        <v>35</v>
      </c>
      <c r="C18" s="4" t="s">
        <v>410</v>
      </c>
      <c r="D18" s="3">
        <v>1</v>
      </c>
      <c r="E18" s="3" t="s">
        <v>16</v>
      </c>
      <c r="F18" s="3" t="s">
        <v>293</v>
      </c>
      <c r="G18" s="3" t="s">
        <v>29</v>
      </c>
      <c r="H18" s="3" t="s">
        <v>33</v>
      </c>
    </row>
    <row r="19" spans="1:8" x14ac:dyDescent="0.2">
      <c r="A19" s="3">
        <v>3080101015</v>
      </c>
      <c r="B19" s="4" t="s">
        <v>411</v>
      </c>
      <c r="C19" s="4" t="s">
        <v>412</v>
      </c>
      <c r="D19" s="3">
        <v>2</v>
      </c>
      <c r="E19" s="3" t="s">
        <v>16</v>
      </c>
      <c r="F19" s="3" t="s">
        <v>293</v>
      </c>
      <c r="G19" s="3" t="s">
        <v>29</v>
      </c>
      <c r="H19" s="3" t="s">
        <v>40</v>
      </c>
    </row>
    <row r="20" spans="1:8" x14ac:dyDescent="0.2">
      <c r="A20" s="3">
        <v>3080101002</v>
      </c>
      <c r="B20" s="4" t="s">
        <v>411</v>
      </c>
      <c r="C20" s="4" t="s">
        <v>413</v>
      </c>
      <c r="D20" s="3">
        <v>2</v>
      </c>
      <c r="E20" s="3" t="s">
        <v>16</v>
      </c>
      <c r="F20" s="3" t="s">
        <v>291</v>
      </c>
      <c r="G20" s="3" t="s">
        <v>26</v>
      </c>
      <c r="H20" s="3" t="s">
        <v>40</v>
      </c>
    </row>
    <row r="21" spans="1:8" x14ac:dyDescent="0.2">
      <c r="A21" s="3">
        <v>3080401023</v>
      </c>
      <c r="B21" s="4" t="s">
        <v>41</v>
      </c>
      <c r="C21" s="4" t="s">
        <v>699</v>
      </c>
      <c r="D21" s="3">
        <v>2</v>
      </c>
      <c r="E21" s="3" t="s">
        <v>16</v>
      </c>
      <c r="F21" s="3" t="s">
        <v>289</v>
      </c>
      <c r="G21" s="3" t="s">
        <v>23</v>
      </c>
      <c r="H21" s="3" t="s">
        <v>40</v>
      </c>
    </row>
    <row r="22" spans="1:8" x14ac:dyDescent="0.2">
      <c r="A22" s="3">
        <v>3080401064</v>
      </c>
      <c r="B22" s="4" t="s">
        <v>41</v>
      </c>
      <c r="C22" s="4" t="s">
        <v>414</v>
      </c>
      <c r="D22" s="3">
        <v>1</v>
      </c>
      <c r="E22" s="3" t="s">
        <v>16</v>
      </c>
      <c r="F22" s="3" t="s">
        <v>295</v>
      </c>
      <c r="G22" s="3" t="s">
        <v>17</v>
      </c>
      <c r="H22" s="3" t="s">
        <v>40</v>
      </c>
    </row>
    <row r="23" spans="1:8" x14ac:dyDescent="0.2">
      <c r="A23" s="3">
        <v>3080401016</v>
      </c>
      <c r="B23" s="4" t="s">
        <v>41</v>
      </c>
      <c r="C23" s="4" t="s">
        <v>415</v>
      </c>
      <c r="D23" s="3">
        <v>1</v>
      </c>
      <c r="E23" s="3" t="s">
        <v>16</v>
      </c>
      <c r="F23" s="3" t="s">
        <v>295</v>
      </c>
      <c r="G23" s="3" t="s">
        <v>17</v>
      </c>
      <c r="H23" s="3" t="s">
        <v>40</v>
      </c>
    </row>
    <row r="24" spans="1:8" x14ac:dyDescent="0.2">
      <c r="A24" s="3">
        <v>3080401007</v>
      </c>
      <c r="B24" s="4" t="s">
        <v>41</v>
      </c>
      <c r="C24" s="4" t="s">
        <v>416</v>
      </c>
      <c r="D24" s="3">
        <v>2</v>
      </c>
      <c r="E24" s="3" t="s">
        <v>16</v>
      </c>
      <c r="F24" s="3" t="s">
        <v>293</v>
      </c>
      <c r="G24" s="3" t="s">
        <v>29</v>
      </c>
      <c r="H24" s="3" t="s">
        <v>40</v>
      </c>
    </row>
    <row r="25" spans="1:8" x14ac:dyDescent="0.2">
      <c r="A25" s="3">
        <v>3080401008</v>
      </c>
      <c r="B25" s="4" t="s">
        <v>41</v>
      </c>
      <c r="C25" s="4" t="s">
        <v>700</v>
      </c>
      <c r="D25" s="3">
        <v>2</v>
      </c>
      <c r="E25" s="3" t="s">
        <v>16</v>
      </c>
      <c r="F25" s="3" t="s">
        <v>317</v>
      </c>
      <c r="G25" s="3" t="s">
        <v>318</v>
      </c>
      <c r="H25" s="3" t="s">
        <v>40</v>
      </c>
    </row>
    <row r="26" spans="1:8" x14ac:dyDescent="0.2">
      <c r="A26" s="3">
        <v>3080401014</v>
      </c>
      <c r="B26" s="4" t="s">
        <v>41</v>
      </c>
      <c r="C26" s="4" t="s">
        <v>417</v>
      </c>
      <c r="D26" s="3">
        <v>4</v>
      </c>
      <c r="E26" s="3" t="s">
        <v>16</v>
      </c>
      <c r="F26" s="3" t="s">
        <v>291</v>
      </c>
      <c r="G26" s="3" t="s">
        <v>26</v>
      </c>
      <c r="H26" s="3" t="s">
        <v>40</v>
      </c>
    </row>
    <row r="27" spans="1:8" x14ac:dyDescent="0.2">
      <c r="A27" s="3">
        <v>3080104081</v>
      </c>
      <c r="B27" s="4" t="s">
        <v>45</v>
      </c>
      <c r="C27" s="4" t="s">
        <v>701</v>
      </c>
      <c r="D27" s="3">
        <v>4</v>
      </c>
      <c r="E27" s="3" t="s">
        <v>16</v>
      </c>
      <c r="F27" s="3" t="s">
        <v>289</v>
      </c>
      <c r="G27" s="3" t="s">
        <v>23</v>
      </c>
      <c r="H27" s="3" t="s">
        <v>40</v>
      </c>
    </row>
    <row r="28" spans="1:8" x14ac:dyDescent="0.2">
      <c r="A28" s="3">
        <v>3080104018</v>
      </c>
      <c r="B28" s="4" t="s">
        <v>45</v>
      </c>
      <c r="C28" s="4" t="s">
        <v>418</v>
      </c>
      <c r="D28" s="3">
        <v>2</v>
      </c>
      <c r="E28" s="3" t="s">
        <v>16</v>
      </c>
      <c r="F28" s="3" t="s">
        <v>293</v>
      </c>
      <c r="G28" s="3" t="s">
        <v>29</v>
      </c>
      <c r="H28" s="3" t="s">
        <v>40</v>
      </c>
    </row>
    <row r="29" spans="1:8" x14ac:dyDescent="0.2">
      <c r="A29" s="3">
        <v>3080104099</v>
      </c>
      <c r="B29" s="4" t="s">
        <v>45</v>
      </c>
      <c r="C29" s="4" t="s">
        <v>419</v>
      </c>
      <c r="D29" s="3">
        <v>2</v>
      </c>
      <c r="E29" s="3" t="s">
        <v>16</v>
      </c>
      <c r="F29" s="3" t="s">
        <v>291</v>
      </c>
      <c r="G29" s="3" t="s">
        <v>26</v>
      </c>
      <c r="H29" s="3" t="s">
        <v>40</v>
      </c>
    </row>
    <row r="30" spans="1:8" x14ac:dyDescent="0.2">
      <c r="A30" s="3">
        <v>3080105004</v>
      </c>
      <c r="B30" s="4" t="s">
        <v>50</v>
      </c>
      <c r="C30" s="4" t="s">
        <v>54</v>
      </c>
      <c r="D30" s="3">
        <v>6</v>
      </c>
      <c r="E30" s="3" t="s">
        <v>16</v>
      </c>
      <c r="F30" s="3" t="s">
        <v>289</v>
      </c>
      <c r="G30" s="3" t="s">
        <v>23</v>
      </c>
      <c r="H30" s="3" t="s">
        <v>40</v>
      </c>
    </row>
    <row r="31" spans="1:8" x14ac:dyDescent="0.2">
      <c r="A31" s="3">
        <v>3080105114</v>
      </c>
      <c r="B31" s="4" t="s">
        <v>50</v>
      </c>
      <c r="C31" s="4" t="s">
        <v>53</v>
      </c>
      <c r="D31" s="3">
        <v>5</v>
      </c>
      <c r="E31" s="3" t="s">
        <v>16</v>
      </c>
      <c r="F31" s="3" t="s">
        <v>289</v>
      </c>
      <c r="G31" s="3" t="s">
        <v>23</v>
      </c>
      <c r="H31" s="3" t="s">
        <v>40</v>
      </c>
    </row>
    <row r="32" spans="1:8" x14ac:dyDescent="0.2">
      <c r="A32" s="3">
        <v>3080105114</v>
      </c>
      <c r="B32" s="4" t="s">
        <v>50</v>
      </c>
      <c r="C32" s="4" t="s">
        <v>53</v>
      </c>
      <c r="D32" s="3">
        <v>4</v>
      </c>
      <c r="E32" s="3" t="s">
        <v>16</v>
      </c>
      <c r="F32" s="3" t="s">
        <v>289</v>
      </c>
      <c r="G32" s="3" t="s">
        <v>23</v>
      </c>
      <c r="H32" s="3" t="s">
        <v>40</v>
      </c>
    </row>
    <row r="33" spans="1:8" x14ac:dyDescent="0.2">
      <c r="A33" s="3">
        <v>3080105040</v>
      </c>
      <c r="B33" s="4" t="s">
        <v>50</v>
      </c>
      <c r="C33" s="4" t="s">
        <v>421</v>
      </c>
      <c r="D33" s="3">
        <v>12</v>
      </c>
      <c r="E33" s="3" t="s">
        <v>16</v>
      </c>
      <c r="F33" s="3" t="s">
        <v>293</v>
      </c>
      <c r="G33" s="3" t="s">
        <v>29</v>
      </c>
      <c r="H33" s="3" t="s">
        <v>40</v>
      </c>
    </row>
    <row r="34" spans="1:8" x14ac:dyDescent="0.2">
      <c r="A34" s="3">
        <v>3080105015</v>
      </c>
      <c r="B34" s="4" t="s">
        <v>50</v>
      </c>
      <c r="C34" s="4" t="s">
        <v>422</v>
      </c>
      <c r="D34" s="3">
        <v>8</v>
      </c>
      <c r="E34" s="3" t="s">
        <v>16</v>
      </c>
      <c r="F34" s="3" t="s">
        <v>293</v>
      </c>
      <c r="G34" s="3" t="s">
        <v>29</v>
      </c>
      <c r="H34" s="3" t="s">
        <v>40</v>
      </c>
    </row>
    <row r="35" spans="1:8" x14ac:dyDescent="0.2">
      <c r="A35" s="3">
        <v>3080105088</v>
      </c>
      <c r="B35" s="4" t="s">
        <v>50</v>
      </c>
      <c r="C35" s="4" t="s">
        <v>423</v>
      </c>
      <c r="D35" s="3">
        <v>2</v>
      </c>
      <c r="E35" s="3" t="s">
        <v>16</v>
      </c>
      <c r="F35" s="3" t="s">
        <v>293</v>
      </c>
      <c r="G35" s="3" t="s">
        <v>29</v>
      </c>
      <c r="H35" s="3" t="s">
        <v>40</v>
      </c>
    </row>
    <row r="36" spans="1:8" x14ac:dyDescent="0.2">
      <c r="A36" s="3">
        <v>3080105008</v>
      </c>
      <c r="B36" s="4" t="s">
        <v>50</v>
      </c>
      <c r="C36" s="4" t="s">
        <v>424</v>
      </c>
      <c r="D36" s="3">
        <v>8</v>
      </c>
      <c r="E36" s="3" t="s">
        <v>16</v>
      </c>
      <c r="F36" s="3" t="s">
        <v>293</v>
      </c>
      <c r="G36" s="3" t="s">
        <v>29</v>
      </c>
      <c r="H36" s="3" t="s">
        <v>40</v>
      </c>
    </row>
    <row r="37" spans="1:8" x14ac:dyDescent="0.2">
      <c r="A37" s="3">
        <v>3080105121</v>
      </c>
      <c r="B37" s="4" t="s">
        <v>50</v>
      </c>
      <c r="C37" s="4" t="s">
        <v>316</v>
      </c>
      <c r="D37" s="3">
        <v>2</v>
      </c>
      <c r="E37" s="3" t="s">
        <v>16</v>
      </c>
      <c r="F37" s="3" t="s">
        <v>317</v>
      </c>
      <c r="G37" s="3" t="s">
        <v>318</v>
      </c>
      <c r="H37" s="3" t="s">
        <v>40</v>
      </c>
    </row>
    <row r="38" spans="1:8" x14ac:dyDescent="0.2">
      <c r="A38" s="3">
        <v>3080105021</v>
      </c>
      <c r="B38" s="4" t="s">
        <v>50</v>
      </c>
      <c r="C38" s="4" t="s">
        <v>319</v>
      </c>
      <c r="D38" s="3">
        <v>8</v>
      </c>
      <c r="E38" s="3" t="s">
        <v>16</v>
      </c>
      <c r="F38" s="3" t="s">
        <v>317</v>
      </c>
      <c r="G38" s="3" t="s">
        <v>318</v>
      </c>
      <c r="H38" s="3" t="s">
        <v>40</v>
      </c>
    </row>
    <row r="39" spans="1:8" x14ac:dyDescent="0.2">
      <c r="A39" s="3">
        <v>3080105114</v>
      </c>
      <c r="B39" s="4" t="s">
        <v>50</v>
      </c>
      <c r="C39" s="4" t="s">
        <v>53</v>
      </c>
      <c r="D39" s="3">
        <v>6</v>
      </c>
      <c r="E39" s="3" t="s">
        <v>16</v>
      </c>
      <c r="F39" s="3" t="s">
        <v>702</v>
      </c>
      <c r="G39" s="3" t="s">
        <v>703</v>
      </c>
      <c r="H39" s="3" t="s">
        <v>40</v>
      </c>
    </row>
    <row r="40" spans="1:8" x14ac:dyDescent="0.2">
      <c r="A40" s="3">
        <v>3080105114</v>
      </c>
      <c r="B40" s="4" t="s">
        <v>50</v>
      </c>
      <c r="C40" s="4" t="s">
        <v>53</v>
      </c>
      <c r="D40" s="3">
        <v>3</v>
      </c>
      <c r="E40" s="3" t="s">
        <v>16</v>
      </c>
      <c r="F40" s="3" t="s">
        <v>702</v>
      </c>
      <c r="G40" s="3" t="s">
        <v>703</v>
      </c>
      <c r="H40" s="3" t="s">
        <v>40</v>
      </c>
    </row>
    <row r="41" spans="1:8" x14ac:dyDescent="0.2">
      <c r="A41" s="3">
        <v>3080104055</v>
      </c>
      <c r="B41" s="4" t="s">
        <v>50</v>
      </c>
      <c r="C41" s="4" t="s">
        <v>425</v>
      </c>
      <c r="D41" s="3">
        <v>2</v>
      </c>
      <c r="E41" s="3" t="s">
        <v>16</v>
      </c>
      <c r="F41" s="3" t="s">
        <v>291</v>
      </c>
      <c r="G41" s="3" t="s">
        <v>26</v>
      </c>
      <c r="H41" s="3" t="s">
        <v>40</v>
      </c>
    </row>
    <row r="42" spans="1:8" x14ac:dyDescent="0.2">
      <c r="A42" s="3">
        <v>3080105040</v>
      </c>
      <c r="B42" s="4" t="s">
        <v>50</v>
      </c>
      <c r="C42" s="4" t="s">
        <v>421</v>
      </c>
      <c r="D42" s="3">
        <v>2</v>
      </c>
      <c r="E42" s="3" t="s">
        <v>16</v>
      </c>
      <c r="F42" s="3" t="s">
        <v>291</v>
      </c>
      <c r="G42" s="3" t="s">
        <v>26</v>
      </c>
      <c r="H42" s="3" t="s">
        <v>40</v>
      </c>
    </row>
    <row r="43" spans="1:8" x14ac:dyDescent="0.2">
      <c r="A43" s="3">
        <v>3080502002</v>
      </c>
      <c r="B43" s="4" t="s">
        <v>55</v>
      </c>
      <c r="C43" s="4" t="s">
        <v>56</v>
      </c>
      <c r="D43" s="3">
        <v>1</v>
      </c>
      <c r="E43" s="3" t="s">
        <v>16</v>
      </c>
      <c r="F43" s="3" t="s">
        <v>317</v>
      </c>
      <c r="G43" s="3" t="s">
        <v>318</v>
      </c>
      <c r="H43" s="3" t="s">
        <v>40</v>
      </c>
    </row>
    <row r="44" spans="1:8" x14ac:dyDescent="0.2">
      <c r="A44" s="3">
        <v>3080502003</v>
      </c>
      <c r="B44" s="4" t="s">
        <v>55</v>
      </c>
      <c r="C44" s="4" t="s">
        <v>426</v>
      </c>
      <c r="D44" s="3">
        <v>2</v>
      </c>
      <c r="E44" s="3" t="s">
        <v>16</v>
      </c>
      <c r="F44" s="3" t="s">
        <v>291</v>
      </c>
      <c r="G44" s="3" t="s">
        <v>26</v>
      </c>
      <c r="H44" s="3" t="s">
        <v>40</v>
      </c>
    </row>
    <row r="45" spans="1:8" x14ac:dyDescent="0.2">
      <c r="A45" s="3">
        <v>3080201012</v>
      </c>
      <c r="B45" s="4" t="s">
        <v>60</v>
      </c>
      <c r="C45" s="4" t="s">
        <v>320</v>
      </c>
      <c r="D45" s="3">
        <v>2</v>
      </c>
      <c r="E45" s="3" t="s">
        <v>16</v>
      </c>
      <c r="F45" s="3" t="s">
        <v>289</v>
      </c>
      <c r="G45" s="3" t="s">
        <v>23</v>
      </c>
      <c r="H45" s="3" t="s">
        <v>40</v>
      </c>
    </row>
    <row r="46" spans="1:8" x14ac:dyDescent="0.2">
      <c r="A46" s="3">
        <v>3080201012</v>
      </c>
      <c r="B46" s="4" t="s">
        <v>60</v>
      </c>
      <c r="C46" s="4" t="s">
        <v>320</v>
      </c>
      <c r="D46" s="3">
        <v>1</v>
      </c>
      <c r="E46" s="3" t="s">
        <v>16</v>
      </c>
      <c r="F46" s="3" t="s">
        <v>317</v>
      </c>
      <c r="G46" s="3" t="s">
        <v>318</v>
      </c>
      <c r="H46" s="3" t="s">
        <v>40</v>
      </c>
    </row>
    <row r="47" spans="1:8" x14ac:dyDescent="0.2">
      <c r="A47" s="3">
        <v>3080201005</v>
      </c>
      <c r="B47" s="4" t="s">
        <v>60</v>
      </c>
      <c r="C47" s="4" t="s">
        <v>427</v>
      </c>
      <c r="D47" s="3">
        <v>1</v>
      </c>
      <c r="E47" s="3" t="s">
        <v>16</v>
      </c>
      <c r="F47" s="3" t="s">
        <v>291</v>
      </c>
      <c r="G47" s="3" t="s">
        <v>26</v>
      </c>
      <c r="H47" s="3" t="s">
        <v>40</v>
      </c>
    </row>
    <row r="48" spans="1:8" x14ac:dyDescent="0.2">
      <c r="A48" s="3">
        <v>3080201006</v>
      </c>
      <c r="B48" s="4" t="s">
        <v>60</v>
      </c>
      <c r="C48" s="4" t="s">
        <v>428</v>
      </c>
      <c r="D48" s="3">
        <v>1</v>
      </c>
      <c r="E48" s="3" t="s">
        <v>16</v>
      </c>
      <c r="F48" s="3" t="s">
        <v>291</v>
      </c>
      <c r="G48" s="3" t="s">
        <v>26</v>
      </c>
      <c r="H48" s="3" t="s">
        <v>40</v>
      </c>
    </row>
    <row r="49" spans="1:8" x14ac:dyDescent="0.2">
      <c r="A49" s="3">
        <v>3080107284</v>
      </c>
      <c r="B49" s="4" t="s">
        <v>69</v>
      </c>
      <c r="C49" s="4" t="s">
        <v>706</v>
      </c>
      <c r="D49" s="3">
        <v>1</v>
      </c>
      <c r="E49" s="3" t="s">
        <v>16</v>
      </c>
      <c r="F49" s="3" t="s">
        <v>289</v>
      </c>
      <c r="G49" s="3" t="s">
        <v>23</v>
      </c>
      <c r="H49" s="3" t="s">
        <v>40</v>
      </c>
    </row>
    <row r="50" spans="1:8" x14ac:dyDescent="0.2">
      <c r="A50" s="3">
        <v>3080107111</v>
      </c>
      <c r="B50" s="4" t="s">
        <v>69</v>
      </c>
      <c r="C50" s="4" t="s">
        <v>787</v>
      </c>
      <c r="D50" s="3">
        <v>1</v>
      </c>
      <c r="E50" s="3" t="s">
        <v>16</v>
      </c>
      <c r="F50" s="3" t="s">
        <v>289</v>
      </c>
      <c r="G50" s="3" t="s">
        <v>23</v>
      </c>
      <c r="H50" s="3" t="s">
        <v>40</v>
      </c>
    </row>
    <row r="51" spans="1:8" x14ac:dyDescent="0.2">
      <c r="A51" s="3">
        <v>3080107112</v>
      </c>
      <c r="B51" s="4" t="s">
        <v>69</v>
      </c>
      <c r="C51" s="4" t="s">
        <v>705</v>
      </c>
      <c r="D51" s="3">
        <v>2</v>
      </c>
      <c r="E51" s="3" t="s">
        <v>16</v>
      </c>
      <c r="F51" s="3" t="s">
        <v>289</v>
      </c>
      <c r="G51" s="3" t="s">
        <v>23</v>
      </c>
      <c r="H51" s="3" t="s">
        <v>40</v>
      </c>
    </row>
    <row r="52" spans="1:8" x14ac:dyDescent="0.2">
      <c r="A52" s="3">
        <v>3080107034</v>
      </c>
      <c r="B52" s="4" t="s">
        <v>69</v>
      </c>
      <c r="C52" s="4" t="s">
        <v>429</v>
      </c>
      <c r="D52" s="3">
        <v>2</v>
      </c>
      <c r="E52" s="3" t="s">
        <v>16</v>
      </c>
      <c r="F52" s="3" t="s">
        <v>295</v>
      </c>
      <c r="G52" s="3" t="s">
        <v>17</v>
      </c>
      <c r="H52" s="3" t="s">
        <v>40</v>
      </c>
    </row>
    <row r="53" spans="1:8" x14ac:dyDescent="0.2">
      <c r="A53" s="3">
        <v>3080107034</v>
      </c>
      <c r="B53" s="4" t="s">
        <v>69</v>
      </c>
      <c r="C53" s="4" t="s">
        <v>429</v>
      </c>
      <c r="D53" s="3">
        <v>6</v>
      </c>
      <c r="E53" s="3" t="s">
        <v>16</v>
      </c>
      <c r="F53" s="3" t="s">
        <v>295</v>
      </c>
      <c r="G53" s="3" t="s">
        <v>17</v>
      </c>
      <c r="H53" s="3" t="s">
        <v>40</v>
      </c>
    </row>
    <row r="54" spans="1:8" x14ac:dyDescent="0.2">
      <c r="A54" s="3">
        <v>3080107002</v>
      </c>
      <c r="B54" s="4" t="s">
        <v>69</v>
      </c>
      <c r="C54" s="4" t="s">
        <v>430</v>
      </c>
      <c r="D54" s="3">
        <v>4</v>
      </c>
      <c r="E54" s="3" t="s">
        <v>16</v>
      </c>
      <c r="F54" s="3" t="s">
        <v>295</v>
      </c>
      <c r="G54" s="3" t="s">
        <v>17</v>
      </c>
      <c r="H54" s="3" t="s">
        <v>40</v>
      </c>
    </row>
    <row r="55" spans="1:8" x14ac:dyDescent="0.2">
      <c r="A55" s="3">
        <v>3080107052</v>
      </c>
      <c r="B55" s="4" t="s">
        <v>69</v>
      </c>
      <c r="C55" s="4" t="s">
        <v>431</v>
      </c>
      <c r="D55" s="3">
        <v>1</v>
      </c>
      <c r="E55" s="3" t="s">
        <v>16</v>
      </c>
      <c r="F55" s="3" t="s">
        <v>295</v>
      </c>
      <c r="G55" s="3" t="s">
        <v>17</v>
      </c>
      <c r="H55" s="3" t="s">
        <v>40</v>
      </c>
    </row>
    <row r="56" spans="1:8" x14ac:dyDescent="0.2">
      <c r="A56" s="3">
        <v>3080107160</v>
      </c>
      <c r="B56" s="4" t="s">
        <v>69</v>
      </c>
      <c r="C56" s="4" t="s">
        <v>432</v>
      </c>
      <c r="D56" s="3">
        <v>4</v>
      </c>
      <c r="E56" s="3" t="s">
        <v>16</v>
      </c>
      <c r="F56" s="3" t="s">
        <v>293</v>
      </c>
      <c r="G56" s="3" t="s">
        <v>29</v>
      </c>
      <c r="H56" s="3" t="s">
        <v>40</v>
      </c>
    </row>
    <row r="57" spans="1:8" x14ac:dyDescent="0.2">
      <c r="A57" s="3">
        <v>3080107284</v>
      </c>
      <c r="B57" s="4" t="s">
        <v>69</v>
      </c>
      <c r="C57" s="4" t="s">
        <v>706</v>
      </c>
      <c r="D57" s="3">
        <v>1</v>
      </c>
      <c r="E57" s="3" t="s">
        <v>16</v>
      </c>
      <c r="F57" s="3" t="s">
        <v>317</v>
      </c>
      <c r="G57" s="3" t="s">
        <v>318</v>
      </c>
      <c r="H57" s="3" t="s">
        <v>40</v>
      </c>
    </row>
    <row r="58" spans="1:8" x14ac:dyDescent="0.2">
      <c r="A58" s="3">
        <v>3080107308</v>
      </c>
      <c r="B58" s="4" t="s">
        <v>69</v>
      </c>
      <c r="C58" s="4" t="s">
        <v>433</v>
      </c>
      <c r="D58" s="3">
        <v>2</v>
      </c>
      <c r="E58" s="3" t="s">
        <v>16</v>
      </c>
      <c r="F58" s="3" t="s">
        <v>291</v>
      </c>
      <c r="G58" s="3" t="s">
        <v>26</v>
      </c>
      <c r="H58" s="3" t="s">
        <v>40</v>
      </c>
    </row>
    <row r="59" spans="1:8" x14ac:dyDescent="0.2">
      <c r="A59" s="3">
        <v>3080107305</v>
      </c>
      <c r="B59" s="4" t="s">
        <v>69</v>
      </c>
      <c r="C59" s="4" t="s">
        <v>434</v>
      </c>
      <c r="D59" s="3">
        <v>2</v>
      </c>
      <c r="E59" s="3" t="s">
        <v>16</v>
      </c>
      <c r="F59" s="3" t="s">
        <v>291</v>
      </c>
      <c r="G59" s="3" t="s">
        <v>26</v>
      </c>
      <c r="H59" s="3" t="s">
        <v>40</v>
      </c>
    </row>
    <row r="60" spans="1:8" x14ac:dyDescent="0.2">
      <c r="A60" s="3">
        <v>3080107072</v>
      </c>
      <c r="B60" s="4" t="s">
        <v>69</v>
      </c>
      <c r="C60" s="4" t="s">
        <v>435</v>
      </c>
      <c r="D60" s="3">
        <v>4</v>
      </c>
      <c r="E60" s="3" t="s">
        <v>16</v>
      </c>
      <c r="F60" s="3" t="s">
        <v>291</v>
      </c>
      <c r="G60" s="3" t="s">
        <v>26</v>
      </c>
      <c r="H60" s="3" t="s">
        <v>40</v>
      </c>
    </row>
    <row r="61" spans="1:8" x14ac:dyDescent="0.2">
      <c r="A61" s="3">
        <v>3080107094</v>
      </c>
      <c r="B61" s="4" t="s">
        <v>69</v>
      </c>
      <c r="C61" s="4" t="s">
        <v>436</v>
      </c>
      <c r="D61" s="3">
        <v>2</v>
      </c>
      <c r="E61" s="3" t="s">
        <v>16</v>
      </c>
      <c r="F61" s="3" t="s">
        <v>291</v>
      </c>
      <c r="G61" s="3" t="s">
        <v>26</v>
      </c>
      <c r="H61" s="3" t="s">
        <v>40</v>
      </c>
    </row>
    <row r="62" spans="1:8" x14ac:dyDescent="0.2">
      <c r="A62" s="3">
        <v>3080108025</v>
      </c>
      <c r="B62" s="4" t="s">
        <v>77</v>
      </c>
      <c r="C62" s="4" t="s">
        <v>437</v>
      </c>
      <c r="D62" s="3">
        <v>7</v>
      </c>
      <c r="E62" s="3" t="s">
        <v>16</v>
      </c>
      <c r="F62" s="3" t="s">
        <v>295</v>
      </c>
      <c r="G62" s="3" t="s">
        <v>17</v>
      </c>
      <c r="H62" s="3" t="s">
        <v>40</v>
      </c>
    </row>
    <row r="63" spans="1:8" x14ac:dyDescent="0.2">
      <c r="A63" s="3">
        <v>3080108033</v>
      </c>
      <c r="B63" s="4" t="s">
        <v>77</v>
      </c>
      <c r="C63" s="4" t="s">
        <v>438</v>
      </c>
      <c r="D63" s="3">
        <v>4</v>
      </c>
      <c r="E63" s="3" t="s">
        <v>16</v>
      </c>
      <c r="F63" s="3" t="s">
        <v>291</v>
      </c>
      <c r="G63" s="3" t="s">
        <v>26</v>
      </c>
      <c r="H63" s="3" t="s">
        <v>40</v>
      </c>
    </row>
    <row r="64" spans="1:8" x14ac:dyDescent="0.2">
      <c r="A64" s="3">
        <v>3080403001</v>
      </c>
      <c r="B64" s="4" t="s">
        <v>439</v>
      </c>
      <c r="C64" s="4" t="s">
        <v>440</v>
      </c>
      <c r="D64" s="3">
        <v>1</v>
      </c>
      <c r="E64" s="3" t="s">
        <v>16</v>
      </c>
      <c r="F64" s="3" t="s">
        <v>295</v>
      </c>
      <c r="G64" s="3" t="s">
        <v>17</v>
      </c>
      <c r="H64" s="3" t="s">
        <v>40</v>
      </c>
    </row>
    <row r="65" spans="1:8" x14ac:dyDescent="0.2">
      <c r="A65" s="3">
        <v>3080109002</v>
      </c>
      <c r="B65" s="4" t="s">
        <v>441</v>
      </c>
      <c r="C65" s="4" t="s">
        <v>442</v>
      </c>
      <c r="D65" s="3">
        <v>2</v>
      </c>
      <c r="E65" s="3" t="s">
        <v>16</v>
      </c>
      <c r="F65" s="3" t="s">
        <v>295</v>
      </c>
      <c r="G65" s="3" t="s">
        <v>17</v>
      </c>
      <c r="H65" s="3" t="s">
        <v>40</v>
      </c>
    </row>
    <row r="66" spans="1:8" x14ac:dyDescent="0.2">
      <c r="A66" s="3">
        <v>3080111012</v>
      </c>
      <c r="B66" s="4" t="s">
        <v>79</v>
      </c>
      <c r="C66" s="4" t="s">
        <v>443</v>
      </c>
      <c r="D66" s="3">
        <v>2</v>
      </c>
      <c r="E66" s="3" t="s">
        <v>16</v>
      </c>
      <c r="F66" s="3" t="s">
        <v>295</v>
      </c>
      <c r="G66" s="3" t="s">
        <v>17</v>
      </c>
      <c r="H66" s="3" t="s">
        <v>40</v>
      </c>
    </row>
    <row r="67" spans="1:8" x14ac:dyDescent="0.2">
      <c r="A67" s="3">
        <v>3080111006</v>
      </c>
      <c r="B67" s="4" t="s">
        <v>79</v>
      </c>
      <c r="C67" s="4" t="s">
        <v>444</v>
      </c>
      <c r="D67" s="3">
        <v>1</v>
      </c>
      <c r="E67" s="3" t="s">
        <v>16</v>
      </c>
      <c r="F67" s="3" t="s">
        <v>295</v>
      </c>
      <c r="G67" s="3" t="s">
        <v>17</v>
      </c>
      <c r="H67" s="3" t="s">
        <v>40</v>
      </c>
    </row>
    <row r="68" spans="1:8" x14ac:dyDescent="0.2">
      <c r="A68" s="3">
        <v>3080111004</v>
      </c>
      <c r="B68" s="4" t="s">
        <v>79</v>
      </c>
      <c r="C68" s="4" t="s">
        <v>445</v>
      </c>
      <c r="D68" s="3">
        <v>2</v>
      </c>
      <c r="E68" s="3" t="s">
        <v>16</v>
      </c>
      <c r="F68" s="3" t="s">
        <v>293</v>
      </c>
      <c r="G68" s="3" t="s">
        <v>29</v>
      </c>
      <c r="H68" s="3" t="s">
        <v>40</v>
      </c>
    </row>
    <row r="69" spans="1:8" x14ac:dyDescent="0.2">
      <c r="A69" s="3">
        <v>3080111087</v>
      </c>
      <c r="B69" s="4" t="s">
        <v>79</v>
      </c>
      <c r="C69" s="4" t="s">
        <v>80</v>
      </c>
      <c r="D69" s="3">
        <v>7</v>
      </c>
      <c r="E69" s="3" t="s">
        <v>16</v>
      </c>
      <c r="F69" s="3" t="s">
        <v>291</v>
      </c>
      <c r="G69" s="3" t="s">
        <v>26</v>
      </c>
      <c r="H69" s="3" t="s">
        <v>40</v>
      </c>
    </row>
    <row r="70" spans="1:8" x14ac:dyDescent="0.2">
      <c r="A70" s="3">
        <v>3080111087</v>
      </c>
      <c r="B70" s="4" t="s">
        <v>79</v>
      </c>
      <c r="C70" s="4" t="s">
        <v>80</v>
      </c>
      <c r="D70" s="3">
        <v>9</v>
      </c>
      <c r="E70" s="3" t="s">
        <v>16</v>
      </c>
      <c r="F70" s="3" t="s">
        <v>291</v>
      </c>
      <c r="G70" s="3" t="s">
        <v>26</v>
      </c>
      <c r="H70" s="3" t="s">
        <v>40</v>
      </c>
    </row>
    <row r="71" spans="1:8" x14ac:dyDescent="0.2">
      <c r="A71" s="3">
        <v>3080111087</v>
      </c>
      <c r="B71" s="4" t="s">
        <v>79</v>
      </c>
      <c r="C71" s="4" t="s">
        <v>80</v>
      </c>
      <c r="D71" s="3">
        <v>4</v>
      </c>
      <c r="E71" s="3" t="s">
        <v>16</v>
      </c>
      <c r="F71" s="3" t="s">
        <v>291</v>
      </c>
      <c r="G71" s="3" t="s">
        <v>26</v>
      </c>
      <c r="H71" s="3" t="s">
        <v>40</v>
      </c>
    </row>
    <row r="72" spans="1:8" x14ac:dyDescent="0.2">
      <c r="A72" s="3">
        <v>3080111015</v>
      </c>
      <c r="B72" s="4" t="s">
        <v>79</v>
      </c>
      <c r="C72" s="4" t="s">
        <v>446</v>
      </c>
      <c r="D72" s="3">
        <v>4</v>
      </c>
      <c r="E72" s="3" t="s">
        <v>16</v>
      </c>
      <c r="F72" s="3" t="s">
        <v>291</v>
      </c>
      <c r="G72" s="3" t="s">
        <v>26</v>
      </c>
      <c r="H72" s="3" t="s">
        <v>40</v>
      </c>
    </row>
    <row r="73" spans="1:8" x14ac:dyDescent="0.2">
      <c r="A73" s="3">
        <v>407030049</v>
      </c>
      <c r="B73" s="4" t="s">
        <v>81</v>
      </c>
      <c r="C73" s="4" t="s">
        <v>777</v>
      </c>
      <c r="D73" s="3">
        <v>1</v>
      </c>
      <c r="E73" s="3" t="s">
        <v>16</v>
      </c>
      <c r="F73" s="3" t="s">
        <v>301</v>
      </c>
      <c r="G73" s="3" t="s">
        <v>32</v>
      </c>
      <c r="H73" s="3" t="s">
        <v>40</v>
      </c>
    </row>
    <row r="74" spans="1:8" x14ac:dyDescent="0.2">
      <c r="A74" s="3">
        <v>3099990501</v>
      </c>
      <c r="B74" s="4" t="s">
        <v>708</v>
      </c>
      <c r="C74" s="4" t="s">
        <v>105</v>
      </c>
      <c r="D74" s="3">
        <v>1</v>
      </c>
      <c r="E74" s="3" t="s">
        <v>16</v>
      </c>
      <c r="F74" s="3" t="s">
        <v>709</v>
      </c>
      <c r="G74" s="3" t="s">
        <v>710</v>
      </c>
      <c r="H74" s="3" t="s">
        <v>103</v>
      </c>
    </row>
    <row r="75" spans="1:8" x14ac:dyDescent="0.2">
      <c r="A75" s="3">
        <v>3099990104</v>
      </c>
      <c r="B75" s="4" t="s">
        <v>104</v>
      </c>
      <c r="C75" s="4" t="s">
        <v>448</v>
      </c>
      <c r="D75" s="3">
        <v>1</v>
      </c>
      <c r="E75" s="3" t="s">
        <v>16</v>
      </c>
      <c r="F75" s="3" t="s">
        <v>299</v>
      </c>
      <c r="G75" s="3" t="s">
        <v>106</v>
      </c>
      <c r="H75" s="3" t="s">
        <v>103</v>
      </c>
    </row>
    <row r="76" spans="1:8" x14ac:dyDescent="0.2">
      <c r="A76" s="3">
        <v>3099990704</v>
      </c>
      <c r="B76" s="4" t="s">
        <v>449</v>
      </c>
      <c r="C76" s="4" t="s">
        <v>450</v>
      </c>
      <c r="D76" s="3">
        <v>1</v>
      </c>
      <c r="E76" s="3" t="s">
        <v>16</v>
      </c>
      <c r="F76" s="3" t="s">
        <v>299</v>
      </c>
      <c r="G76" s="3" t="s">
        <v>106</v>
      </c>
      <c r="H76" s="3" t="s">
        <v>103</v>
      </c>
    </row>
    <row r="77" spans="1:8" x14ac:dyDescent="0.2">
      <c r="A77" s="3">
        <v>3099990604</v>
      </c>
      <c r="B77" s="4" t="s">
        <v>451</v>
      </c>
      <c r="C77" s="4" t="s">
        <v>450</v>
      </c>
      <c r="D77" s="3">
        <v>1</v>
      </c>
      <c r="E77" s="3" t="s">
        <v>16</v>
      </c>
      <c r="F77" s="3" t="s">
        <v>299</v>
      </c>
      <c r="G77" s="3" t="s">
        <v>106</v>
      </c>
      <c r="H77" s="3" t="s">
        <v>103</v>
      </c>
    </row>
    <row r="78" spans="1:8" x14ac:dyDescent="0.2">
      <c r="A78" s="3">
        <v>402030027</v>
      </c>
      <c r="B78" s="4" t="s">
        <v>107</v>
      </c>
      <c r="C78" s="4" t="s">
        <v>110</v>
      </c>
      <c r="D78" s="3">
        <v>1</v>
      </c>
      <c r="E78" s="3" t="s">
        <v>16</v>
      </c>
      <c r="F78" s="3" t="s">
        <v>291</v>
      </c>
      <c r="G78" s="3" t="s">
        <v>26</v>
      </c>
      <c r="H78" s="3" t="s">
        <v>109</v>
      </c>
    </row>
    <row r="79" spans="1:8" x14ac:dyDescent="0.2">
      <c r="A79" s="3">
        <v>402020002</v>
      </c>
      <c r="B79" s="4" t="s">
        <v>111</v>
      </c>
      <c r="C79" s="4" t="s">
        <v>452</v>
      </c>
      <c r="D79" s="3">
        <v>2</v>
      </c>
      <c r="E79" s="3" t="s">
        <v>16</v>
      </c>
      <c r="F79" s="3" t="s">
        <v>293</v>
      </c>
      <c r="G79" s="3" t="s">
        <v>29</v>
      </c>
      <c r="H79" s="3" t="s">
        <v>109</v>
      </c>
    </row>
    <row r="80" spans="1:8" x14ac:dyDescent="0.2">
      <c r="A80" s="3">
        <v>3060210001</v>
      </c>
      <c r="B80" s="4" t="s">
        <v>711</v>
      </c>
      <c r="C80" s="4" t="s">
        <v>712</v>
      </c>
      <c r="D80" s="3">
        <v>4</v>
      </c>
      <c r="E80" s="3" t="s">
        <v>16</v>
      </c>
      <c r="F80" s="3" t="s">
        <v>289</v>
      </c>
      <c r="G80" s="3" t="s">
        <v>23</v>
      </c>
      <c r="H80" s="3" t="s">
        <v>115</v>
      </c>
    </row>
    <row r="81" spans="1:8" x14ac:dyDescent="0.2">
      <c r="A81" s="3">
        <v>3040216001</v>
      </c>
      <c r="B81" s="4" t="s">
        <v>328</v>
      </c>
      <c r="C81" s="4" t="s">
        <v>329</v>
      </c>
      <c r="D81" s="3">
        <v>4</v>
      </c>
      <c r="E81" s="3" t="s">
        <v>16</v>
      </c>
      <c r="F81" s="3" t="s">
        <v>293</v>
      </c>
      <c r="G81" s="3" t="s">
        <v>29</v>
      </c>
      <c r="H81" s="3" t="s">
        <v>115</v>
      </c>
    </row>
    <row r="82" spans="1:8" x14ac:dyDescent="0.2">
      <c r="A82" s="3">
        <v>3030204017</v>
      </c>
      <c r="B82" s="4" t="s">
        <v>453</v>
      </c>
      <c r="C82" s="4" t="s">
        <v>454</v>
      </c>
      <c r="D82" s="3">
        <v>1</v>
      </c>
      <c r="E82" s="3" t="s">
        <v>16</v>
      </c>
      <c r="F82" s="3" t="s">
        <v>295</v>
      </c>
      <c r="G82" s="3" t="s">
        <v>17</v>
      </c>
      <c r="H82" s="3" t="s">
        <v>115</v>
      </c>
    </row>
    <row r="83" spans="1:8" x14ac:dyDescent="0.2">
      <c r="A83" s="3">
        <v>3030204005</v>
      </c>
      <c r="B83" s="4" t="s">
        <v>455</v>
      </c>
      <c r="C83" s="4" t="s">
        <v>456</v>
      </c>
      <c r="D83" s="3">
        <v>1</v>
      </c>
      <c r="E83" s="3" t="s">
        <v>16</v>
      </c>
      <c r="F83" s="3" t="s">
        <v>295</v>
      </c>
      <c r="G83" s="3" t="s">
        <v>17</v>
      </c>
      <c r="H83" s="3" t="s">
        <v>115</v>
      </c>
    </row>
    <row r="84" spans="1:8" x14ac:dyDescent="0.2">
      <c r="A84" s="3">
        <v>3050203003</v>
      </c>
      <c r="B84" s="4" t="s">
        <v>120</v>
      </c>
      <c r="C84" s="4" t="s">
        <v>457</v>
      </c>
      <c r="D84" s="3">
        <v>2</v>
      </c>
      <c r="E84" s="3" t="s">
        <v>16</v>
      </c>
      <c r="F84" s="3" t="s">
        <v>291</v>
      </c>
      <c r="G84" s="3" t="s">
        <v>26</v>
      </c>
      <c r="H84" s="3" t="s">
        <v>115</v>
      </c>
    </row>
    <row r="85" spans="1:8" x14ac:dyDescent="0.2">
      <c r="A85" s="3">
        <v>3030204008</v>
      </c>
      <c r="B85" s="4" t="s">
        <v>122</v>
      </c>
      <c r="C85" s="4" t="s">
        <v>123</v>
      </c>
      <c r="D85" s="3">
        <v>1</v>
      </c>
      <c r="E85" s="3" t="s">
        <v>16</v>
      </c>
      <c r="F85" s="3" t="s">
        <v>291</v>
      </c>
      <c r="G85" s="3" t="s">
        <v>26</v>
      </c>
      <c r="H85" s="3" t="s">
        <v>115</v>
      </c>
    </row>
    <row r="86" spans="1:8" x14ac:dyDescent="0.2">
      <c r="A86" s="3">
        <v>3070104002</v>
      </c>
      <c r="B86" s="4" t="s">
        <v>128</v>
      </c>
      <c r="C86" s="4" t="s">
        <v>129</v>
      </c>
      <c r="D86" s="3">
        <v>1</v>
      </c>
      <c r="E86" s="3" t="s">
        <v>16</v>
      </c>
      <c r="F86" s="3" t="s">
        <v>317</v>
      </c>
      <c r="G86" s="3" t="s">
        <v>318</v>
      </c>
      <c r="H86" s="3" t="s">
        <v>115</v>
      </c>
    </row>
    <row r="87" spans="1:8" x14ac:dyDescent="0.2">
      <c r="A87" s="3">
        <v>3070104001</v>
      </c>
      <c r="B87" s="4" t="s">
        <v>331</v>
      </c>
      <c r="C87" s="4" t="s">
        <v>332</v>
      </c>
      <c r="D87" s="3">
        <v>1</v>
      </c>
      <c r="E87" s="3" t="s">
        <v>16</v>
      </c>
      <c r="F87" s="3" t="s">
        <v>317</v>
      </c>
      <c r="G87" s="3" t="s">
        <v>318</v>
      </c>
      <c r="H87" s="3" t="s">
        <v>115</v>
      </c>
    </row>
    <row r="88" spans="1:8" x14ac:dyDescent="0.2">
      <c r="A88" s="3">
        <v>3030206001</v>
      </c>
      <c r="B88" s="4" t="s">
        <v>458</v>
      </c>
      <c r="C88" s="4" t="s">
        <v>404</v>
      </c>
      <c r="D88" s="3">
        <v>1</v>
      </c>
      <c r="E88" s="3" t="s">
        <v>16</v>
      </c>
      <c r="F88" s="3" t="s">
        <v>295</v>
      </c>
      <c r="G88" s="3" t="s">
        <v>17</v>
      </c>
      <c r="H88" s="3" t="s">
        <v>132</v>
      </c>
    </row>
    <row r="89" spans="1:8" x14ac:dyDescent="0.2">
      <c r="A89" s="3">
        <v>3040502046</v>
      </c>
      <c r="B89" s="4" t="s">
        <v>136</v>
      </c>
      <c r="C89" s="4" t="s">
        <v>778</v>
      </c>
      <c r="D89" s="3">
        <v>1</v>
      </c>
      <c r="E89" s="3" t="s">
        <v>16</v>
      </c>
      <c r="F89" s="3" t="s">
        <v>293</v>
      </c>
      <c r="G89" s="3" t="s">
        <v>29</v>
      </c>
      <c r="H89" s="3" t="s">
        <v>138</v>
      </c>
    </row>
    <row r="90" spans="1:8" x14ac:dyDescent="0.2">
      <c r="A90" s="3">
        <v>3040502048</v>
      </c>
      <c r="B90" s="4" t="s">
        <v>136</v>
      </c>
      <c r="C90" s="4" t="s">
        <v>779</v>
      </c>
      <c r="D90" s="3">
        <v>1</v>
      </c>
      <c r="E90" s="3" t="s">
        <v>16</v>
      </c>
      <c r="F90" s="3" t="s">
        <v>293</v>
      </c>
      <c r="G90" s="3" t="s">
        <v>29</v>
      </c>
      <c r="H90" s="3" t="s">
        <v>138</v>
      </c>
    </row>
    <row r="91" spans="1:8" x14ac:dyDescent="0.2">
      <c r="A91" s="3">
        <v>3990207002</v>
      </c>
      <c r="B91" s="4" t="s">
        <v>140</v>
      </c>
      <c r="C91" s="4" t="s">
        <v>714</v>
      </c>
      <c r="D91" s="3">
        <v>1</v>
      </c>
      <c r="E91" s="3" t="s">
        <v>16</v>
      </c>
      <c r="F91" s="3" t="s">
        <v>285</v>
      </c>
      <c r="G91" s="3" t="s">
        <v>142</v>
      </c>
      <c r="H91" s="3" t="s">
        <v>143</v>
      </c>
    </row>
    <row r="92" spans="1:8" x14ac:dyDescent="0.2">
      <c r="A92" s="3">
        <v>3030301005</v>
      </c>
      <c r="B92" s="4" t="s">
        <v>144</v>
      </c>
      <c r="C92" s="4" t="s">
        <v>145</v>
      </c>
      <c r="D92" s="3">
        <v>2</v>
      </c>
      <c r="E92" s="3" t="s">
        <v>16</v>
      </c>
      <c r="F92" s="3" t="s">
        <v>291</v>
      </c>
      <c r="G92" s="3" t="s">
        <v>26</v>
      </c>
      <c r="H92" s="3" t="s">
        <v>143</v>
      </c>
    </row>
    <row r="93" spans="1:8" x14ac:dyDescent="0.2">
      <c r="A93" s="3">
        <v>3990204002</v>
      </c>
      <c r="B93" s="4" t="s">
        <v>333</v>
      </c>
      <c r="C93" s="4" t="s">
        <v>334</v>
      </c>
      <c r="D93" s="3">
        <v>1</v>
      </c>
      <c r="E93" s="3" t="s">
        <v>16</v>
      </c>
      <c r="F93" s="3" t="s">
        <v>335</v>
      </c>
      <c r="G93" s="3" t="s">
        <v>336</v>
      </c>
      <c r="H93" s="3" t="s">
        <v>143</v>
      </c>
    </row>
    <row r="94" spans="1:8" x14ac:dyDescent="0.2">
      <c r="A94" s="3">
        <v>3990206001</v>
      </c>
      <c r="B94" s="4" t="s">
        <v>715</v>
      </c>
      <c r="C94" s="4" t="s">
        <v>716</v>
      </c>
      <c r="D94" s="3">
        <v>1</v>
      </c>
      <c r="E94" s="3" t="s">
        <v>16</v>
      </c>
      <c r="F94" s="3" t="s">
        <v>717</v>
      </c>
      <c r="G94" s="3" t="s">
        <v>718</v>
      </c>
      <c r="H94" s="3" t="s">
        <v>143</v>
      </c>
    </row>
    <row r="95" spans="1:8" x14ac:dyDescent="0.2">
      <c r="A95" s="3">
        <v>3990205003</v>
      </c>
      <c r="B95" s="4" t="s">
        <v>146</v>
      </c>
      <c r="C95" s="4" t="s">
        <v>460</v>
      </c>
      <c r="D95" s="3">
        <v>1</v>
      </c>
      <c r="E95" s="3" t="s">
        <v>16</v>
      </c>
      <c r="F95" s="3" t="s">
        <v>287</v>
      </c>
      <c r="G95" s="3" t="s">
        <v>148</v>
      </c>
      <c r="H95" s="3" t="s">
        <v>143</v>
      </c>
    </row>
    <row r="96" spans="1:8" x14ac:dyDescent="0.2">
      <c r="A96" s="3">
        <v>408090008</v>
      </c>
      <c r="B96" s="4" t="s">
        <v>461</v>
      </c>
      <c r="C96" s="4" t="s">
        <v>462</v>
      </c>
      <c r="D96" s="3">
        <v>1</v>
      </c>
      <c r="E96" s="3" t="s">
        <v>16</v>
      </c>
      <c r="F96" s="3" t="s">
        <v>293</v>
      </c>
      <c r="G96" s="3" t="s">
        <v>29</v>
      </c>
      <c r="H96" s="3" t="s">
        <v>151</v>
      </c>
    </row>
    <row r="97" spans="1:8" x14ac:dyDescent="0.2">
      <c r="A97" s="3">
        <v>408090007</v>
      </c>
      <c r="B97" s="4" t="s">
        <v>463</v>
      </c>
      <c r="C97" s="4" t="s">
        <v>464</v>
      </c>
      <c r="D97" s="3">
        <v>1</v>
      </c>
      <c r="E97" s="3" t="s">
        <v>16</v>
      </c>
      <c r="F97" s="3" t="s">
        <v>293</v>
      </c>
      <c r="G97" s="3" t="s">
        <v>29</v>
      </c>
      <c r="H97" s="3" t="s">
        <v>151</v>
      </c>
    </row>
    <row r="98" spans="1:8" x14ac:dyDescent="0.2">
      <c r="A98" s="3">
        <v>407010060</v>
      </c>
      <c r="B98" s="4" t="s">
        <v>149</v>
      </c>
      <c r="C98" s="4" t="s">
        <v>788</v>
      </c>
      <c r="D98" s="3">
        <v>1</v>
      </c>
      <c r="E98" s="3" t="s">
        <v>16</v>
      </c>
      <c r="F98" s="3" t="s">
        <v>289</v>
      </c>
      <c r="G98" s="3" t="s">
        <v>23</v>
      </c>
      <c r="H98" s="3" t="s">
        <v>151</v>
      </c>
    </row>
    <row r="99" spans="1:8" x14ac:dyDescent="0.2">
      <c r="A99" s="3">
        <v>3060318001</v>
      </c>
      <c r="B99" s="4" t="s">
        <v>720</v>
      </c>
      <c r="C99" s="4" t="s">
        <v>721</v>
      </c>
      <c r="D99" s="3">
        <v>1</v>
      </c>
      <c r="E99" s="3" t="s">
        <v>16</v>
      </c>
      <c r="F99" s="3" t="s">
        <v>289</v>
      </c>
      <c r="G99" s="3" t="s">
        <v>23</v>
      </c>
      <c r="H99" s="3" t="s">
        <v>154</v>
      </c>
    </row>
    <row r="100" spans="1:8" x14ac:dyDescent="0.2">
      <c r="A100" s="3">
        <v>3060327003</v>
      </c>
      <c r="B100" s="4" t="s">
        <v>722</v>
      </c>
      <c r="C100" s="4" t="s">
        <v>723</v>
      </c>
      <c r="D100" s="3">
        <v>1</v>
      </c>
      <c r="E100" s="3" t="s">
        <v>16</v>
      </c>
      <c r="F100" s="3" t="s">
        <v>289</v>
      </c>
      <c r="G100" s="3" t="s">
        <v>23</v>
      </c>
      <c r="H100" s="3" t="s">
        <v>154</v>
      </c>
    </row>
    <row r="101" spans="1:8" x14ac:dyDescent="0.2">
      <c r="A101" s="3">
        <v>3080507001</v>
      </c>
      <c r="B101" s="4" t="s">
        <v>466</v>
      </c>
      <c r="C101" s="4" t="s">
        <v>467</v>
      </c>
      <c r="D101" s="3">
        <v>4</v>
      </c>
      <c r="E101" s="3" t="s">
        <v>16</v>
      </c>
      <c r="F101" s="3" t="s">
        <v>291</v>
      </c>
      <c r="G101" s="3" t="s">
        <v>26</v>
      </c>
      <c r="H101" s="3" t="s">
        <v>154</v>
      </c>
    </row>
    <row r="102" spans="1:8" x14ac:dyDescent="0.2">
      <c r="A102" s="3">
        <v>3030301010</v>
      </c>
      <c r="B102" s="4" t="s">
        <v>468</v>
      </c>
      <c r="C102" s="4" t="s">
        <v>469</v>
      </c>
      <c r="D102" s="3">
        <v>4</v>
      </c>
      <c r="E102" s="3" t="s">
        <v>16</v>
      </c>
      <c r="F102" s="3" t="s">
        <v>295</v>
      </c>
      <c r="G102" s="3" t="s">
        <v>17</v>
      </c>
      <c r="H102" s="3" t="s">
        <v>165</v>
      </c>
    </row>
    <row r="103" spans="1:8" x14ac:dyDescent="0.2">
      <c r="A103" s="3">
        <v>3060347005</v>
      </c>
      <c r="B103" s="4" t="s">
        <v>470</v>
      </c>
      <c r="C103" s="4" t="s">
        <v>471</v>
      </c>
      <c r="D103" s="3">
        <v>1</v>
      </c>
      <c r="E103" s="3" t="s">
        <v>16</v>
      </c>
      <c r="F103" s="3" t="s">
        <v>291</v>
      </c>
      <c r="G103" s="3" t="s">
        <v>26</v>
      </c>
      <c r="H103" s="3" t="s">
        <v>165</v>
      </c>
    </row>
    <row r="104" spans="1:8" x14ac:dyDescent="0.2">
      <c r="A104" s="3">
        <v>3060347006</v>
      </c>
      <c r="B104" s="4" t="s">
        <v>470</v>
      </c>
      <c r="C104" s="4" t="s">
        <v>472</v>
      </c>
      <c r="D104" s="3">
        <v>1</v>
      </c>
      <c r="E104" s="3" t="s">
        <v>16</v>
      </c>
      <c r="F104" s="3" t="s">
        <v>291</v>
      </c>
      <c r="G104" s="3" t="s">
        <v>26</v>
      </c>
      <c r="H104" s="3" t="s">
        <v>165</v>
      </c>
    </row>
    <row r="105" spans="1:8" x14ac:dyDescent="0.2">
      <c r="A105" s="3">
        <v>3110103002</v>
      </c>
      <c r="B105" s="4" t="s">
        <v>473</v>
      </c>
      <c r="C105" s="4" t="s">
        <v>474</v>
      </c>
      <c r="D105" s="3">
        <v>1</v>
      </c>
      <c r="E105" s="3" t="s">
        <v>16</v>
      </c>
      <c r="F105" s="3" t="s">
        <v>291</v>
      </c>
      <c r="G105" s="3" t="s">
        <v>26</v>
      </c>
      <c r="H105" s="3" t="s">
        <v>165</v>
      </c>
    </row>
    <row r="106" spans="1:8" x14ac:dyDescent="0.2">
      <c r="A106" s="3">
        <v>3030316006</v>
      </c>
      <c r="B106" s="4" t="s">
        <v>475</v>
      </c>
      <c r="C106" s="4" t="s">
        <v>476</v>
      </c>
      <c r="D106" s="3">
        <v>1</v>
      </c>
      <c r="E106" s="3" t="s">
        <v>16</v>
      </c>
      <c r="F106" s="3" t="s">
        <v>295</v>
      </c>
      <c r="G106" s="3" t="s">
        <v>17</v>
      </c>
      <c r="H106" s="3" t="s">
        <v>165</v>
      </c>
    </row>
    <row r="107" spans="1:8" x14ac:dyDescent="0.2">
      <c r="A107" s="3">
        <v>3030314007</v>
      </c>
      <c r="B107" s="4" t="s">
        <v>477</v>
      </c>
      <c r="C107" s="4" t="s">
        <v>478</v>
      </c>
      <c r="D107" s="3">
        <v>1</v>
      </c>
      <c r="E107" s="3" t="s">
        <v>16</v>
      </c>
      <c r="F107" s="3" t="s">
        <v>291</v>
      </c>
      <c r="G107" s="3" t="s">
        <v>26</v>
      </c>
      <c r="H107" s="3" t="s">
        <v>165</v>
      </c>
    </row>
    <row r="108" spans="1:8" x14ac:dyDescent="0.2">
      <c r="A108" s="3">
        <v>3030308013</v>
      </c>
      <c r="B108" s="4" t="s">
        <v>479</v>
      </c>
      <c r="C108" s="4" t="s">
        <v>478</v>
      </c>
      <c r="D108" s="3">
        <v>1</v>
      </c>
      <c r="E108" s="3" t="s">
        <v>16</v>
      </c>
      <c r="F108" s="3" t="s">
        <v>291</v>
      </c>
      <c r="G108" s="3" t="s">
        <v>26</v>
      </c>
      <c r="H108" s="3" t="s">
        <v>165</v>
      </c>
    </row>
    <row r="109" spans="1:8" x14ac:dyDescent="0.2">
      <c r="A109" s="3">
        <v>3050310030</v>
      </c>
      <c r="B109" s="4" t="s">
        <v>480</v>
      </c>
      <c r="C109" s="4" t="s">
        <v>469</v>
      </c>
      <c r="D109" s="3">
        <v>2</v>
      </c>
      <c r="E109" s="3" t="s">
        <v>16</v>
      </c>
      <c r="F109" s="3" t="s">
        <v>291</v>
      </c>
      <c r="G109" s="3" t="s">
        <v>26</v>
      </c>
      <c r="H109" s="3" t="s">
        <v>165</v>
      </c>
    </row>
    <row r="110" spans="1:8" x14ac:dyDescent="0.2">
      <c r="A110" s="3">
        <v>3010106010</v>
      </c>
      <c r="B110" s="4" t="s">
        <v>481</v>
      </c>
      <c r="C110" s="4" t="s">
        <v>482</v>
      </c>
      <c r="D110" s="3">
        <v>0.03</v>
      </c>
      <c r="E110" s="3" t="s">
        <v>10</v>
      </c>
      <c r="F110" s="3" t="s">
        <v>284</v>
      </c>
      <c r="G110" s="3" t="s">
        <v>11</v>
      </c>
      <c r="H110" s="3" t="s">
        <v>483</v>
      </c>
    </row>
    <row r="111" spans="1:8" x14ac:dyDescent="0.2">
      <c r="A111" s="3">
        <v>3060333003</v>
      </c>
      <c r="B111" s="4" t="s">
        <v>227</v>
      </c>
      <c r="C111" s="4" t="s">
        <v>724</v>
      </c>
      <c r="D111" s="3">
        <v>1</v>
      </c>
      <c r="E111" s="3" t="s">
        <v>16</v>
      </c>
      <c r="F111" s="3" t="s">
        <v>289</v>
      </c>
      <c r="G111" s="3" t="s">
        <v>23</v>
      </c>
      <c r="H111" s="3" t="s">
        <v>173</v>
      </c>
    </row>
    <row r="112" spans="1:8" x14ac:dyDescent="0.2">
      <c r="A112" s="3">
        <v>3050305013</v>
      </c>
      <c r="B112" s="4" t="s">
        <v>484</v>
      </c>
      <c r="C112" s="4" t="s">
        <v>485</v>
      </c>
      <c r="D112" s="3">
        <v>1</v>
      </c>
      <c r="E112" s="3" t="s">
        <v>16</v>
      </c>
      <c r="F112" s="3" t="s">
        <v>291</v>
      </c>
      <c r="G112" s="3" t="s">
        <v>26</v>
      </c>
      <c r="H112" s="3" t="s">
        <v>173</v>
      </c>
    </row>
    <row r="113" spans="1:8" x14ac:dyDescent="0.2">
      <c r="A113" s="3">
        <v>3040305002</v>
      </c>
      <c r="B113" s="4" t="s">
        <v>486</v>
      </c>
      <c r="C113" s="4" t="s">
        <v>487</v>
      </c>
      <c r="D113" s="3">
        <v>2</v>
      </c>
      <c r="E113" s="3" t="s">
        <v>16</v>
      </c>
      <c r="F113" s="3" t="s">
        <v>293</v>
      </c>
      <c r="G113" s="3" t="s">
        <v>29</v>
      </c>
      <c r="H113" s="3" t="s">
        <v>173</v>
      </c>
    </row>
    <row r="114" spans="1:8" x14ac:dyDescent="0.2">
      <c r="A114" s="3">
        <v>3040313002</v>
      </c>
      <c r="B114" s="4" t="s">
        <v>488</v>
      </c>
      <c r="C114" s="4" t="s">
        <v>489</v>
      </c>
      <c r="D114" s="3">
        <v>8</v>
      </c>
      <c r="E114" s="3" t="s">
        <v>16</v>
      </c>
      <c r="F114" s="3" t="s">
        <v>293</v>
      </c>
      <c r="G114" s="3" t="s">
        <v>29</v>
      </c>
      <c r="H114" s="3" t="s">
        <v>173</v>
      </c>
    </row>
    <row r="115" spans="1:8" x14ac:dyDescent="0.2">
      <c r="A115" s="3">
        <v>3040321001</v>
      </c>
      <c r="B115" s="4" t="s">
        <v>490</v>
      </c>
      <c r="C115" s="4" t="s">
        <v>347</v>
      </c>
      <c r="D115" s="3">
        <v>8</v>
      </c>
      <c r="E115" s="3" t="s">
        <v>16</v>
      </c>
      <c r="F115" s="3" t="s">
        <v>293</v>
      </c>
      <c r="G115" s="3" t="s">
        <v>29</v>
      </c>
      <c r="H115" s="3" t="s">
        <v>173</v>
      </c>
    </row>
    <row r="116" spans="1:8" x14ac:dyDescent="0.2">
      <c r="A116" s="3">
        <v>3040309001</v>
      </c>
      <c r="B116" s="4" t="s">
        <v>346</v>
      </c>
      <c r="C116" s="4" t="s">
        <v>347</v>
      </c>
      <c r="D116" s="3">
        <v>4</v>
      </c>
      <c r="E116" s="3" t="s">
        <v>16</v>
      </c>
      <c r="F116" s="3" t="s">
        <v>293</v>
      </c>
      <c r="G116" s="3" t="s">
        <v>29</v>
      </c>
      <c r="H116" s="3" t="s">
        <v>173</v>
      </c>
    </row>
    <row r="117" spans="1:8" x14ac:dyDescent="0.2">
      <c r="A117" s="3">
        <v>3070201002</v>
      </c>
      <c r="B117" s="4" t="s">
        <v>348</v>
      </c>
      <c r="C117" s="4" t="s">
        <v>349</v>
      </c>
      <c r="D117" s="3">
        <v>1</v>
      </c>
      <c r="E117" s="3" t="s">
        <v>16</v>
      </c>
      <c r="F117" s="3" t="s">
        <v>317</v>
      </c>
      <c r="G117" s="3" t="s">
        <v>318</v>
      </c>
      <c r="H117" s="3" t="s">
        <v>173</v>
      </c>
    </row>
    <row r="118" spans="1:8" x14ac:dyDescent="0.2">
      <c r="A118" s="3">
        <v>3060340001</v>
      </c>
      <c r="B118" s="4" t="s">
        <v>725</v>
      </c>
      <c r="C118" s="4" t="s">
        <v>726</v>
      </c>
      <c r="D118" s="3">
        <v>1</v>
      </c>
      <c r="E118" s="3" t="s">
        <v>16</v>
      </c>
      <c r="F118" s="3" t="s">
        <v>702</v>
      </c>
      <c r="G118" s="3" t="s">
        <v>703</v>
      </c>
      <c r="H118" s="3" t="s">
        <v>173</v>
      </c>
    </row>
    <row r="119" spans="1:8" x14ac:dyDescent="0.2">
      <c r="A119" s="3">
        <v>3050304006</v>
      </c>
      <c r="B119" s="4" t="s">
        <v>181</v>
      </c>
      <c r="C119" s="4" t="s">
        <v>491</v>
      </c>
      <c r="D119" s="3">
        <v>1</v>
      </c>
      <c r="E119" s="3" t="s">
        <v>16</v>
      </c>
      <c r="F119" s="3" t="s">
        <v>291</v>
      </c>
      <c r="G119" s="3" t="s">
        <v>26</v>
      </c>
      <c r="H119" s="3" t="s">
        <v>173</v>
      </c>
    </row>
    <row r="120" spans="1:8" x14ac:dyDescent="0.2">
      <c r="A120" s="3">
        <v>3020501014</v>
      </c>
      <c r="B120" s="4" t="s">
        <v>183</v>
      </c>
      <c r="C120" s="4" t="s">
        <v>350</v>
      </c>
      <c r="D120" s="3">
        <v>1</v>
      </c>
      <c r="E120" s="3" t="s">
        <v>16</v>
      </c>
      <c r="F120" s="3" t="s">
        <v>291</v>
      </c>
      <c r="G120" s="3" t="s">
        <v>26</v>
      </c>
      <c r="H120" s="3" t="s">
        <v>185</v>
      </c>
    </row>
    <row r="121" spans="1:8" x14ac:dyDescent="0.2">
      <c r="A121" s="3">
        <v>3030204003</v>
      </c>
      <c r="B121" s="4" t="s">
        <v>492</v>
      </c>
      <c r="C121" s="4" t="s">
        <v>493</v>
      </c>
      <c r="D121" s="3">
        <v>2</v>
      </c>
      <c r="E121" s="3" t="s">
        <v>16</v>
      </c>
      <c r="F121" s="3" t="s">
        <v>295</v>
      </c>
      <c r="G121" s="3" t="s">
        <v>17</v>
      </c>
      <c r="H121" s="3" t="s">
        <v>494</v>
      </c>
    </row>
    <row r="122" spans="1:8" x14ac:dyDescent="0.2">
      <c r="A122" s="3">
        <v>3990201008</v>
      </c>
      <c r="B122" s="4" t="s">
        <v>186</v>
      </c>
      <c r="C122" s="4" t="s">
        <v>495</v>
      </c>
      <c r="D122" s="3">
        <v>1</v>
      </c>
      <c r="E122" s="3" t="s">
        <v>16</v>
      </c>
      <c r="F122" s="3" t="s">
        <v>295</v>
      </c>
      <c r="G122" s="3" t="s">
        <v>17</v>
      </c>
      <c r="H122" s="3" t="s">
        <v>187</v>
      </c>
    </row>
    <row r="123" spans="1:8" x14ac:dyDescent="0.2">
      <c r="A123" s="3">
        <v>3990202007</v>
      </c>
      <c r="B123" s="4" t="s">
        <v>188</v>
      </c>
      <c r="C123" s="4" t="s">
        <v>495</v>
      </c>
      <c r="D123" s="3">
        <v>1</v>
      </c>
      <c r="E123" s="3" t="s">
        <v>16</v>
      </c>
      <c r="F123" s="3" t="s">
        <v>295</v>
      </c>
      <c r="G123" s="3" t="s">
        <v>17</v>
      </c>
      <c r="H123" s="3" t="s">
        <v>187</v>
      </c>
    </row>
    <row r="124" spans="1:8" x14ac:dyDescent="0.2">
      <c r="A124" s="3">
        <v>3990203002</v>
      </c>
      <c r="B124" s="4" t="s">
        <v>189</v>
      </c>
      <c r="C124" s="4" t="s">
        <v>495</v>
      </c>
      <c r="D124" s="3">
        <v>1</v>
      </c>
      <c r="E124" s="3" t="s">
        <v>16</v>
      </c>
      <c r="F124" s="3" t="s">
        <v>295</v>
      </c>
      <c r="G124" s="3" t="s">
        <v>17</v>
      </c>
      <c r="H124" s="3" t="s">
        <v>187</v>
      </c>
    </row>
    <row r="125" spans="1:8" x14ac:dyDescent="0.2">
      <c r="A125" s="3">
        <v>3050405001</v>
      </c>
      <c r="B125" s="4" t="s">
        <v>496</v>
      </c>
      <c r="C125" s="4" t="s">
        <v>497</v>
      </c>
      <c r="D125" s="3">
        <v>1</v>
      </c>
      <c r="E125" s="3" t="s">
        <v>16</v>
      </c>
      <c r="F125" s="3" t="s">
        <v>291</v>
      </c>
      <c r="G125" s="3" t="s">
        <v>26</v>
      </c>
      <c r="H125" s="3" t="s">
        <v>192</v>
      </c>
    </row>
    <row r="126" spans="1:8" x14ac:dyDescent="0.2">
      <c r="A126" s="3">
        <v>3060401001</v>
      </c>
      <c r="B126" s="4" t="s">
        <v>727</v>
      </c>
      <c r="C126" s="4" t="s">
        <v>728</v>
      </c>
      <c r="D126" s="3">
        <v>2</v>
      </c>
      <c r="E126" s="3" t="s">
        <v>16</v>
      </c>
      <c r="F126" s="3" t="s">
        <v>289</v>
      </c>
      <c r="G126" s="3" t="s">
        <v>23</v>
      </c>
      <c r="H126" s="3" t="s">
        <v>192</v>
      </c>
    </row>
    <row r="127" spans="1:8" x14ac:dyDescent="0.2">
      <c r="A127" s="3">
        <v>3030402001</v>
      </c>
      <c r="B127" s="4" t="s">
        <v>498</v>
      </c>
      <c r="C127" s="4" t="s">
        <v>499</v>
      </c>
      <c r="D127" s="3">
        <v>1</v>
      </c>
      <c r="E127" s="3" t="s">
        <v>16</v>
      </c>
      <c r="F127" s="3" t="s">
        <v>295</v>
      </c>
      <c r="G127" s="3" t="s">
        <v>17</v>
      </c>
      <c r="H127" s="3" t="s">
        <v>192</v>
      </c>
    </row>
    <row r="128" spans="1:8" x14ac:dyDescent="0.2">
      <c r="A128" s="3">
        <v>3040402005</v>
      </c>
      <c r="B128" s="4" t="s">
        <v>500</v>
      </c>
      <c r="C128" s="4" t="s">
        <v>501</v>
      </c>
      <c r="D128" s="3">
        <v>1</v>
      </c>
      <c r="E128" s="3" t="s">
        <v>16</v>
      </c>
      <c r="F128" s="3" t="s">
        <v>293</v>
      </c>
      <c r="G128" s="3" t="s">
        <v>29</v>
      </c>
      <c r="H128" s="3" t="s">
        <v>192</v>
      </c>
    </row>
    <row r="129" spans="1:8" x14ac:dyDescent="0.2">
      <c r="A129" s="3">
        <v>3040402006</v>
      </c>
      <c r="B129" s="4" t="s">
        <v>500</v>
      </c>
      <c r="C129" s="4" t="s">
        <v>502</v>
      </c>
      <c r="D129" s="3">
        <v>1</v>
      </c>
      <c r="E129" s="3" t="s">
        <v>16</v>
      </c>
      <c r="F129" s="3" t="s">
        <v>293</v>
      </c>
      <c r="G129" s="3" t="s">
        <v>29</v>
      </c>
      <c r="H129" s="3" t="s">
        <v>192</v>
      </c>
    </row>
    <row r="130" spans="1:8" x14ac:dyDescent="0.2">
      <c r="A130" s="3">
        <v>404100044</v>
      </c>
      <c r="B130" s="4" t="s">
        <v>196</v>
      </c>
      <c r="C130" s="4" t="s">
        <v>789</v>
      </c>
      <c r="D130" s="3">
        <v>1</v>
      </c>
      <c r="E130" s="3" t="s">
        <v>16</v>
      </c>
      <c r="F130" s="3" t="s">
        <v>301</v>
      </c>
      <c r="G130" s="3" t="s">
        <v>32</v>
      </c>
      <c r="H130" s="3" t="s">
        <v>198</v>
      </c>
    </row>
    <row r="131" spans="1:8" x14ac:dyDescent="0.2">
      <c r="A131" s="3">
        <v>404110007</v>
      </c>
      <c r="B131" s="4" t="s">
        <v>504</v>
      </c>
      <c r="C131" s="4" t="s">
        <v>790</v>
      </c>
      <c r="D131" s="3">
        <v>1</v>
      </c>
      <c r="E131" s="3" t="s">
        <v>16</v>
      </c>
      <c r="F131" s="3" t="s">
        <v>301</v>
      </c>
      <c r="G131" s="3" t="s">
        <v>32</v>
      </c>
      <c r="H131" s="3" t="s">
        <v>198</v>
      </c>
    </row>
    <row r="132" spans="1:8" x14ac:dyDescent="0.2">
      <c r="A132" s="3">
        <v>404110009</v>
      </c>
      <c r="B132" s="4" t="s">
        <v>504</v>
      </c>
      <c r="C132" s="4" t="s">
        <v>791</v>
      </c>
      <c r="D132" s="3">
        <v>1</v>
      </c>
      <c r="E132" s="3" t="s">
        <v>16</v>
      </c>
      <c r="F132" s="3" t="s">
        <v>301</v>
      </c>
      <c r="G132" s="3" t="s">
        <v>32</v>
      </c>
      <c r="H132" s="3" t="s">
        <v>198</v>
      </c>
    </row>
    <row r="133" spans="1:8" x14ac:dyDescent="0.2">
      <c r="A133" s="3">
        <v>404110008</v>
      </c>
      <c r="B133" s="4" t="s">
        <v>504</v>
      </c>
      <c r="C133" s="4" t="s">
        <v>505</v>
      </c>
      <c r="D133" s="3">
        <v>2</v>
      </c>
      <c r="E133" s="3" t="s">
        <v>16</v>
      </c>
      <c r="F133" s="3" t="s">
        <v>291</v>
      </c>
      <c r="G133" s="3" t="s">
        <v>26</v>
      </c>
      <c r="H133" s="3" t="s">
        <v>198</v>
      </c>
    </row>
    <row r="134" spans="1:8" x14ac:dyDescent="0.2">
      <c r="A134" s="3">
        <v>404110001</v>
      </c>
      <c r="B134" s="4" t="s">
        <v>504</v>
      </c>
      <c r="C134" s="4" t="s">
        <v>506</v>
      </c>
      <c r="D134" s="3">
        <v>1</v>
      </c>
      <c r="E134" s="3" t="s">
        <v>16</v>
      </c>
      <c r="F134" s="3" t="s">
        <v>291</v>
      </c>
      <c r="G134" s="3" t="s">
        <v>26</v>
      </c>
      <c r="H134" s="3" t="s">
        <v>198</v>
      </c>
    </row>
    <row r="135" spans="1:8" x14ac:dyDescent="0.2">
      <c r="A135" s="3">
        <v>403030012</v>
      </c>
      <c r="B135" s="4" t="s">
        <v>366</v>
      </c>
      <c r="C135" s="4" t="s">
        <v>507</v>
      </c>
      <c r="D135" s="3">
        <v>2</v>
      </c>
      <c r="E135" s="3" t="s">
        <v>16</v>
      </c>
      <c r="F135" s="3" t="s">
        <v>291</v>
      </c>
      <c r="G135" s="3" t="s">
        <v>26</v>
      </c>
      <c r="H135" s="3" t="s">
        <v>198</v>
      </c>
    </row>
    <row r="136" spans="1:8" x14ac:dyDescent="0.2">
      <c r="A136" s="3">
        <v>401070022</v>
      </c>
      <c r="B136" s="4" t="s">
        <v>35</v>
      </c>
      <c r="C136" s="4" t="s">
        <v>203</v>
      </c>
      <c r="D136" s="3">
        <v>1</v>
      </c>
      <c r="E136" s="3" t="s">
        <v>16</v>
      </c>
      <c r="F136" s="3" t="s">
        <v>297</v>
      </c>
      <c r="G136" s="3" t="s">
        <v>204</v>
      </c>
      <c r="H136" s="3" t="s">
        <v>198</v>
      </c>
    </row>
    <row r="137" spans="1:8" x14ac:dyDescent="0.2">
      <c r="A137" s="3">
        <v>401070018</v>
      </c>
      <c r="B137" s="4" t="s">
        <v>35</v>
      </c>
      <c r="C137" s="4" t="s">
        <v>202</v>
      </c>
      <c r="D137" s="3">
        <v>1</v>
      </c>
      <c r="E137" s="3" t="s">
        <v>16</v>
      </c>
      <c r="F137" s="3" t="s">
        <v>291</v>
      </c>
      <c r="G137" s="3" t="s">
        <v>26</v>
      </c>
      <c r="H137" s="3" t="s">
        <v>198</v>
      </c>
    </row>
    <row r="138" spans="1:8" x14ac:dyDescent="0.2">
      <c r="A138" s="3">
        <v>401040100</v>
      </c>
      <c r="B138" s="4" t="s">
        <v>35</v>
      </c>
      <c r="C138" s="4" t="s">
        <v>508</v>
      </c>
      <c r="D138" s="3">
        <v>1</v>
      </c>
      <c r="E138" s="3" t="s">
        <v>16</v>
      </c>
      <c r="F138" s="3" t="s">
        <v>291</v>
      </c>
      <c r="G138" s="3" t="s">
        <v>26</v>
      </c>
      <c r="H138" s="3" t="s">
        <v>198</v>
      </c>
    </row>
    <row r="139" spans="1:8" x14ac:dyDescent="0.2">
      <c r="A139" s="3">
        <v>404100003</v>
      </c>
      <c r="B139" s="4" t="s">
        <v>205</v>
      </c>
      <c r="C139" s="4" t="s">
        <v>509</v>
      </c>
      <c r="D139" s="3">
        <v>1</v>
      </c>
      <c r="E139" s="3" t="s">
        <v>16</v>
      </c>
      <c r="F139" s="3" t="s">
        <v>291</v>
      </c>
      <c r="G139" s="3" t="s">
        <v>26</v>
      </c>
      <c r="H139" s="3" t="s">
        <v>198</v>
      </c>
    </row>
    <row r="140" spans="1:8" x14ac:dyDescent="0.2">
      <c r="A140" s="3">
        <v>404100004</v>
      </c>
      <c r="B140" s="4" t="s">
        <v>207</v>
      </c>
      <c r="C140" s="4" t="s">
        <v>510</v>
      </c>
      <c r="D140" s="3">
        <v>1</v>
      </c>
      <c r="E140" s="3" t="s">
        <v>16</v>
      </c>
      <c r="F140" s="3" t="s">
        <v>291</v>
      </c>
      <c r="G140" s="3" t="s">
        <v>26</v>
      </c>
      <c r="H140" s="3" t="s">
        <v>198</v>
      </c>
    </row>
    <row r="141" spans="1:8" x14ac:dyDescent="0.2">
      <c r="A141" s="3">
        <v>3030305007</v>
      </c>
      <c r="B141" s="4" t="s">
        <v>511</v>
      </c>
      <c r="C141" s="4" t="s">
        <v>512</v>
      </c>
      <c r="D141" s="3">
        <v>1</v>
      </c>
      <c r="E141" s="3" t="s">
        <v>16</v>
      </c>
      <c r="F141" s="3" t="s">
        <v>295</v>
      </c>
      <c r="G141" s="3" t="s">
        <v>17</v>
      </c>
      <c r="H141" s="3" t="s">
        <v>211</v>
      </c>
    </row>
    <row r="142" spans="1:8" x14ac:dyDescent="0.2">
      <c r="A142" s="3">
        <v>3030305006</v>
      </c>
      <c r="B142" s="4" t="s">
        <v>513</v>
      </c>
      <c r="C142" s="4" t="s">
        <v>512</v>
      </c>
      <c r="D142" s="3">
        <v>1</v>
      </c>
      <c r="E142" s="3" t="s">
        <v>16</v>
      </c>
      <c r="F142" s="3" t="s">
        <v>295</v>
      </c>
      <c r="G142" s="3" t="s">
        <v>17</v>
      </c>
      <c r="H142" s="3" t="s">
        <v>211</v>
      </c>
    </row>
    <row r="143" spans="1:8" x14ac:dyDescent="0.2">
      <c r="A143" s="3">
        <v>3069904001</v>
      </c>
      <c r="B143" s="4" t="s">
        <v>514</v>
      </c>
      <c r="C143" s="4" t="s">
        <v>355</v>
      </c>
      <c r="D143" s="3">
        <v>4</v>
      </c>
      <c r="E143" s="3" t="s">
        <v>16</v>
      </c>
      <c r="F143" s="3" t="s">
        <v>295</v>
      </c>
      <c r="G143" s="3" t="s">
        <v>17</v>
      </c>
      <c r="H143" s="3" t="s">
        <v>214</v>
      </c>
    </row>
    <row r="144" spans="1:8" x14ac:dyDescent="0.2">
      <c r="A144" s="3">
        <v>3030201003</v>
      </c>
      <c r="B144" s="4" t="s">
        <v>515</v>
      </c>
      <c r="C144" s="4" t="s">
        <v>516</v>
      </c>
      <c r="D144" s="3">
        <v>1</v>
      </c>
      <c r="E144" s="3" t="s">
        <v>16</v>
      </c>
      <c r="F144" s="3" t="s">
        <v>295</v>
      </c>
      <c r="G144" s="3" t="s">
        <v>17</v>
      </c>
      <c r="H144" s="3" t="s">
        <v>214</v>
      </c>
    </row>
    <row r="145" spans="1:8" x14ac:dyDescent="0.2">
      <c r="A145" s="3">
        <v>3049903001</v>
      </c>
      <c r="B145" s="4" t="s">
        <v>517</v>
      </c>
      <c r="C145" s="4" t="s">
        <v>355</v>
      </c>
      <c r="D145" s="3">
        <v>2</v>
      </c>
      <c r="E145" s="3" t="s">
        <v>16</v>
      </c>
      <c r="F145" s="3" t="s">
        <v>293</v>
      </c>
      <c r="G145" s="3" t="s">
        <v>29</v>
      </c>
      <c r="H145" s="3" t="s">
        <v>214</v>
      </c>
    </row>
    <row r="146" spans="1:8" x14ac:dyDescent="0.2">
      <c r="A146" s="3">
        <v>3049904001</v>
      </c>
      <c r="B146" s="4" t="s">
        <v>354</v>
      </c>
      <c r="C146" s="4" t="s">
        <v>355</v>
      </c>
      <c r="D146" s="3">
        <v>4</v>
      </c>
      <c r="E146" s="3" t="s">
        <v>16</v>
      </c>
      <c r="F146" s="3" t="s">
        <v>293</v>
      </c>
      <c r="G146" s="3" t="s">
        <v>29</v>
      </c>
      <c r="H146" s="3" t="s">
        <v>214</v>
      </c>
    </row>
    <row r="147" spans="1:8" x14ac:dyDescent="0.2">
      <c r="A147" s="3">
        <v>3049902001</v>
      </c>
      <c r="B147" s="4" t="s">
        <v>518</v>
      </c>
      <c r="C147" s="4" t="s">
        <v>355</v>
      </c>
      <c r="D147" s="3">
        <v>2</v>
      </c>
      <c r="E147" s="3" t="s">
        <v>16</v>
      </c>
      <c r="F147" s="3" t="s">
        <v>293</v>
      </c>
      <c r="G147" s="3" t="s">
        <v>29</v>
      </c>
      <c r="H147" s="3" t="s">
        <v>214</v>
      </c>
    </row>
    <row r="148" spans="1:8" x14ac:dyDescent="0.2">
      <c r="A148" s="3">
        <v>3070105007</v>
      </c>
      <c r="B148" s="4" t="s">
        <v>360</v>
      </c>
      <c r="C148" s="4" t="s">
        <v>361</v>
      </c>
      <c r="D148" s="3">
        <v>1</v>
      </c>
      <c r="E148" s="3" t="s">
        <v>16</v>
      </c>
      <c r="F148" s="3" t="s">
        <v>317</v>
      </c>
      <c r="G148" s="3" t="s">
        <v>318</v>
      </c>
      <c r="H148" s="3" t="s">
        <v>214</v>
      </c>
    </row>
    <row r="149" spans="1:8" x14ac:dyDescent="0.2">
      <c r="A149" s="3">
        <v>3070105008</v>
      </c>
      <c r="B149" s="4" t="s">
        <v>362</v>
      </c>
      <c r="C149" s="4" t="s">
        <v>361</v>
      </c>
      <c r="D149" s="3">
        <v>1</v>
      </c>
      <c r="E149" s="3" t="s">
        <v>16</v>
      </c>
      <c r="F149" s="3" t="s">
        <v>317</v>
      </c>
      <c r="G149" s="3" t="s">
        <v>318</v>
      </c>
      <c r="H149" s="3" t="s">
        <v>214</v>
      </c>
    </row>
    <row r="150" spans="1:8" x14ac:dyDescent="0.2">
      <c r="A150" s="3">
        <v>3050204001</v>
      </c>
      <c r="B150" s="4" t="s">
        <v>519</v>
      </c>
      <c r="C150" s="4" t="s">
        <v>355</v>
      </c>
      <c r="D150" s="3">
        <v>2</v>
      </c>
      <c r="E150" s="3" t="s">
        <v>16</v>
      </c>
      <c r="F150" s="3" t="s">
        <v>291</v>
      </c>
      <c r="G150" s="3" t="s">
        <v>26</v>
      </c>
      <c r="H150" s="3" t="s">
        <v>214</v>
      </c>
    </row>
    <row r="151" spans="1:8" x14ac:dyDescent="0.2">
      <c r="A151" s="3">
        <v>3050204002</v>
      </c>
      <c r="B151" s="4" t="s">
        <v>520</v>
      </c>
      <c r="C151" s="4" t="s">
        <v>355</v>
      </c>
      <c r="D151" s="3">
        <v>2</v>
      </c>
      <c r="E151" s="3" t="s">
        <v>16</v>
      </c>
      <c r="F151" s="3" t="s">
        <v>291</v>
      </c>
      <c r="G151" s="3" t="s">
        <v>26</v>
      </c>
      <c r="H151" s="3" t="s">
        <v>214</v>
      </c>
    </row>
    <row r="152" spans="1:8" x14ac:dyDescent="0.2">
      <c r="A152" s="3">
        <v>3060403034</v>
      </c>
      <c r="B152" s="4" t="s">
        <v>190</v>
      </c>
      <c r="C152" s="4" t="s">
        <v>521</v>
      </c>
      <c r="D152" s="3">
        <v>1</v>
      </c>
      <c r="E152" s="3" t="s">
        <v>16</v>
      </c>
      <c r="F152" s="3" t="s">
        <v>295</v>
      </c>
      <c r="G152" s="3" t="s">
        <v>17</v>
      </c>
      <c r="H152" s="3" t="s">
        <v>221</v>
      </c>
    </row>
    <row r="153" spans="1:8" x14ac:dyDescent="0.2">
      <c r="A153" s="3">
        <v>3060404003</v>
      </c>
      <c r="B153" s="4" t="s">
        <v>729</v>
      </c>
      <c r="C153" s="4" t="s">
        <v>730</v>
      </c>
      <c r="D153" s="3">
        <v>1</v>
      </c>
      <c r="E153" s="3" t="s">
        <v>16</v>
      </c>
      <c r="F153" s="3" t="s">
        <v>289</v>
      </c>
      <c r="G153" s="3" t="s">
        <v>23</v>
      </c>
      <c r="H153" s="3" t="s">
        <v>221</v>
      </c>
    </row>
    <row r="154" spans="1:8" x14ac:dyDescent="0.2">
      <c r="A154" s="3">
        <v>3020301001</v>
      </c>
      <c r="B154" s="4" t="s">
        <v>209</v>
      </c>
      <c r="C154" s="4" t="s">
        <v>365</v>
      </c>
      <c r="D154" s="3">
        <v>1</v>
      </c>
      <c r="E154" s="3" t="s">
        <v>16</v>
      </c>
      <c r="F154" s="3" t="s">
        <v>301</v>
      </c>
      <c r="G154" s="3" t="s">
        <v>32</v>
      </c>
      <c r="H154" s="3" t="s">
        <v>221</v>
      </c>
    </row>
    <row r="155" spans="1:8" x14ac:dyDescent="0.2">
      <c r="A155" s="3">
        <v>403030051</v>
      </c>
      <c r="B155" s="4" t="s">
        <v>366</v>
      </c>
      <c r="C155" s="4" t="s">
        <v>367</v>
      </c>
      <c r="D155" s="3">
        <v>3</v>
      </c>
      <c r="E155" s="3" t="s">
        <v>16</v>
      </c>
      <c r="F155" s="3" t="s">
        <v>301</v>
      </c>
      <c r="G155" s="3" t="s">
        <v>32</v>
      </c>
      <c r="H155" s="3" t="s">
        <v>221</v>
      </c>
    </row>
    <row r="156" spans="1:8" x14ac:dyDescent="0.2">
      <c r="A156" s="3">
        <v>403030005</v>
      </c>
      <c r="B156" s="4" t="s">
        <v>366</v>
      </c>
      <c r="C156" s="4" t="s">
        <v>368</v>
      </c>
      <c r="D156" s="3">
        <v>2</v>
      </c>
      <c r="E156" s="3" t="s">
        <v>16</v>
      </c>
      <c r="F156" s="3" t="s">
        <v>301</v>
      </c>
      <c r="G156" s="3" t="s">
        <v>32</v>
      </c>
      <c r="H156" s="3" t="s">
        <v>221</v>
      </c>
    </row>
    <row r="157" spans="1:8" x14ac:dyDescent="0.2">
      <c r="A157" s="3">
        <v>402050001</v>
      </c>
      <c r="B157" s="4" t="s">
        <v>522</v>
      </c>
      <c r="C157" s="4" t="s">
        <v>523</v>
      </c>
      <c r="D157" s="3">
        <v>1</v>
      </c>
      <c r="E157" s="3" t="s">
        <v>16</v>
      </c>
      <c r="F157" s="3" t="s">
        <v>289</v>
      </c>
      <c r="G157" s="3" t="s">
        <v>23</v>
      </c>
      <c r="H157" s="3" t="s">
        <v>524</v>
      </c>
    </row>
    <row r="158" spans="1:8" x14ac:dyDescent="0.2">
      <c r="A158" s="3">
        <v>408120036</v>
      </c>
      <c r="B158" s="4" t="s">
        <v>525</v>
      </c>
      <c r="C158" s="4" t="s">
        <v>526</v>
      </c>
      <c r="D158" s="3">
        <v>2</v>
      </c>
      <c r="E158" s="3" t="s">
        <v>16</v>
      </c>
      <c r="F158" s="3" t="s">
        <v>291</v>
      </c>
      <c r="G158" s="3" t="s">
        <v>26</v>
      </c>
      <c r="H158" s="3" t="s">
        <v>524</v>
      </c>
    </row>
    <row r="159" spans="1:8" x14ac:dyDescent="0.2">
      <c r="A159" s="3">
        <v>3050305016</v>
      </c>
      <c r="B159" s="4" t="s">
        <v>527</v>
      </c>
      <c r="C159" s="4" t="s">
        <v>528</v>
      </c>
      <c r="D159" s="3">
        <v>1</v>
      </c>
      <c r="E159" s="3" t="s">
        <v>16</v>
      </c>
      <c r="F159" s="3" t="s">
        <v>291</v>
      </c>
      <c r="G159" s="3" t="s">
        <v>26</v>
      </c>
      <c r="H159" s="3" t="s">
        <v>226</v>
      </c>
    </row>
    <row r="160" spans="1:8" x14ac:dyDescent="0.2">
      <c r="A160" s="3">
        <v>3050305015</v>
      </c>
      <c r="B160" s="4" t="s">
        <v>529</v>
      </c>
      <c r="C160" s="4" t="s">
        <v>530</v>
      </c>
      <c r="D160" s="3">
        <v>1</v>
      </c>
      <c r="E160" s="3" t="s">
        <v>16</v>
      </c>
      <c r="F160" s="3" t="s">
        <v>291</v>
      </c>
      <c r="G160" s="3" t="s">
        <v>26</v>
      </c>
      <c r="H160" s="3" t="s">
        <v>226</v>
      </c>
    </row>
    <row r="161" spans="1:8" x14ac:dyDescent="0.2">
      <c r="A161" s="3">
        <v>3030309020</v>
      </c>
      <c r="B161" s="4" t="s">
        <v>531</v>
      </c>
      <c r="C161" s="4" t="s">
        <v>532</v>
      </c>
      <c r="D161" s="3">
        <v>1</v>
      </c>
      <c r="E161" s="3" t="s">
        <v>16</v>
      </c>
      <c r="F161" s="3" t="s">
        <v>291</v>
      </c>
      <c r="G161" s="3" t="s">
        <v>26</v>
      </c>
      <c r="H161" s="3" t="s">
        <v>226</v>
      </c>
    </row>
    <row r="162" spans="1:8" x14ac:dyDescent="0.2">
      <c r="A162" s="3">
        <v>3030302002</v>
      </c>
      <c r="B162" s="4" t="s">
        <v>533</v>
      </c>
      <c r="C162" s="4" t="s">
        <v>534</v>
      </c>
      <c r="D162" s="3">
        <v>1</v>
      </c>
      <c r="E162" s="3" t="s">
        <v>16</v>
      </c>
      <c r="F162" s="3" t="s">
        <v>295</v>
      </c>
      <c r="G162" s="3" t="s">
        <v>17</v>
      </c>
      <c r="H162" s="3" t="s">
        <v>226</v>
      </c>
    </row>
    <row r="163" spans="1:8" x14ac:dyDescent="0.2">
      <c r="A163" s="3">
        <v>3030306012</v>
      </c>
      <c r="B163" s="4" t="s">
        <v>535</v>
      </c>
      <c r="C163" s="4" t="s">
        <v>536</v>
      </c>
      <c r="D163" s="3">
        <v>1</v>
      </c>
      <c r="E163" s="3" t="s">
        <v>16</v>
      </c>
      <c r="F163" s="3" t="s">
        <v>295</v>
      </c>
      <c r="G163" s="3" t="s">
        <v>17</v>
      </c>
      <c r="H163" s="3" t="s">
        <v>226</v>
      </c>
    </row>
    <row r="164" spans="1:8" x14ac:dyDescent="0.2">
      <c r="A164" s="3">
        <v>3030306011</v>
      </c>
      <c r="B164" s="4" t="s">
        <v>537</v>
      </c>
      <c r="C164" s="4" t="s">
        <v>536</v>
      </c>
      <c r="D164" s="3">
        <v>1</v>
      </c>
      <c r="E164" s="3" t="s">
        <v>16</v>
      </c>
      <c r="F164" s="3" t="s">
        <v>295</v>
      </c>
      <c r="G164" s="3" t="s">
        <v>17</v>
      </c>
      <c r="H164" s="3" t="s">
        <v>226</v>
      </c>
    </row>
    <row r="165" spans="1:8" x14ac:dyDescent="0.2">
      <c r="A165" s="3">
        <v>3030303002</v>
      </c>
      <c r="B165" s="4" t="s">
        <v>175</v>
      </c>
      <c r="C165" s="4" t="s">
        <v>538</v>
      </c>
      <c r="D165" s="3">
        <v>1</v>
      </c>
      <c r="E165" s="3" t="s">
        <v>16</v>
      </c>
      <c r="F165" s="3" t="s">
        <v>295</v>
      </c>
      <c r="G165" s="3" t="s">
        <v>17</v>
      </c>
      <c r="H165" s="3" t="s">
        <v>226</v>
      </c>
    </row>
    <row r="166" spans="1:8" x14ac:dyDescent="0.2">
      <c r="A166" s="3">
        <v>3030303017</v>
      </c>
      <c r="B166" s="4" t="s">
        <v>539</v>
      </c>
      <c r="C166" s="4" t="s">
        <v>540</v>
      </c>
      <c r="D166" s="3">
        <v>1</v>
      </c>
      <c r="E166" s="3" t="s">
        <v>16</v>
      </c>
      <c r="F166" s="3" t="s">
        <v>295</v>
      </c>
      <c r="G166" s="3" t="s">
        <v>17</v>
      </c>
      <c r="H166" s="3" t="s">
        <v>226</v>
      </c>
    </row>
    <row r="167" spans="1:8" x14ac:dyDescent="0.2">
      <c r="A167" s="3">
        <v>3040312012</v>
      </c>
      <c r="B167" s="4" t="s">
        <v>263</v>
      </c>
      <c r="C167" s="4" t="s">
        <v>541</v>
      </c>
      <c r="D167" s="3">
        <v>2</v>
      </c>
      <c r="E167" s="3" t="s">
        <v>16</v>
      </c>
      <c r="F167" s="3" t="s">
        <v>293</v>
      </c>
      <c r="G167" s="3" t="s">
        <v>29</v>
      </c>
      <c r="H167" s="3" t="s">
        <v>226</v>
      </c>
    </row>
    <row r="168" spans="1:8" x14ac:dyDescent="0.2">
      <c r="A168" s="3">
        <v>3040320010</v>
      </c>
      <c r="B168" s="4" t="s">
        <v>269</v>
      </c>
      <c r="C168" s="4" t="s">
        <v>542</v>
      </c>
      <c r="D168" s="3">
        <v>1</v>
      </c>
      <c r="E168" s="3" t="s">
        <v>16</v>
      </c>
      <c r="F168" s="3" t="s">
        <v>293</v>
      </c>
      <c r="G168" s="3" t="s">
        <v>29</v>
      </c>
      <c r="H168" s="3" t="s">
        <v>226</v>
      </c>
    </row>
    <row r="169" spans="1:8" x14ac:dyDescent="0.2">
      <c r="A169" s="3">
        <v>3040320011</v>
      </c>
      <c r="B169" s="4" t="s">
        <v>269</v>
      </c>
      <c r="C169" s="4" t="s">
        <v>543</v>
      </c>
      <c r="D169" s="3">
        <v>1</v>
      </c>
      <c r="E169" s="3" t="s">
        <v>16</v>
      </c>
      <c r="F169" s="3" t="s">
        <v>293</v>
      </c>
      <c r="G169" s="3" t="s">
        <v>29</v>
      </c>
      <c r="H169" s="3" t="s">
        <v>226</v>
      </c>
    </row>
    <row r="170" spans="1:8" x14ac:dyDescent="0.2">
      <c r="A170" s="3">
        <v>3030313003</v>
      </c>
      <c r="B170" s="4" t="s">
        <v>217</v>
      </c>
      <c r="C170" s="4" t="s">
        <v>544</v>
      </c>
      <c r="D170" s="3">
        <v>8</v>
      </c>
      <c r="E170" s="3" t="s">
        <v>16</v>
      </c>
      <c r="F170" s="3" t="s">
        <v>291</v>
      </c>
      <c r="G170" s="3" t="s">
        <v>26</v>
      </c>
      <c r="H170" s="3" t="s">
        <v>226</v>
      </c>
    </row>
    <row r="171" spans="1:8" x14ac:dyDescent="0.2">
      <c r="A171" s="3">
        <v>3020199010</v>
      </c>
      <c r="B171" s="4" t="s">
        <v>239</v>
      </c>
      <c r="C171" s="4" t="s">
        <v>545</v>
      </c>
      <c r="D171" s="3">
        <v>5</v>
      </c>
      <c r="E171" s="3" t="s">
        <v>16</v>
      </c>
      <c r="F171" s="3" t="s">
        <v>301</v>
      </c>
      <c r="G171" s="3" t="s">
        <v>32</v>
      </c>
      <c r="H171" s="3" t="s">
        <v>226</v>
      </c>
    </row>
    <row r="172" spans="1:8" x14ac:dyDescent="0.2">
      <c r="A172" s="3">
        <v>3070212001</v>
      </c>
      <c r="B172" s="4" t="s">
        <v>377</v>
      </c>
      <c r="C172" s="4" t="s">
        <v>378</v>
      </c>
      <c r="D172" s="3">
        <v>1</v>
      </c>
      <c r="E172" s="3" t="s">
        <v>16</v>
      </c>
      <c r="F172" s="3" t="s">
        <v>317</v>
      </c>
      <c r="G172" s="3" t="s">
        <v>318</v>
      </c>
      <c r="H172" s="3" t="s">
        <v>226</v>
      </c>
    </row>
    <row r="173" spans="1:8" x14ac:dyDescent="0.2">
      <c r="A173" s="3">
        <v>3070210001</v>
      </c>
      <c r="B173" s="4" t="s">
        <v>379</v>
      </c>
      <c r="C173" s="4" t="s">
        <v>280</v>
      </c>
      <c r="D173" s="3">
        <v>1</v>
      </c>
      <c r="E173" s="3" t="s">
        <v>16</v>
      </c>
      <c r="F173" s="3" t="s">
        <v>317</v>
      </c>
      <c r="G173" s="3" t="s">
        <v>318</v>
      </c>
      <c r="H173" s="3" t="s">
        <v>226</v>
      </c>
    </row>
    <row r="174" spans="1:8" x14ac:dyDescent="0.2">
      <c r="A174" s="3">
        <v>3050305019</v>
      </c>
      <c r="B174" s="4" t="s">
        <v>549</v>
      </c>
      <c r="C174" s="4" t="s">
        <v>530</v>
      </c>
      <c r="D174" s="3">
        <v>1</v>
      </c>
      <c r="E174" s="3" t="s">
        <v>16</v>
      </c>
      <c r="F174" s="3" t="s">
        <v>291</v>
      </c>
      <c r="G174" s="3" t="s">
        <v>26</v>
      </c>
      <c r="H174" s="3" t="s">
        <v>226</v>
      </c>
    </row>
    <row r="175" spans="1:8" x14ac:dyDescent="0.2">
      <c r="A175" s="3">
        <v>3050401014</v>
      </c>
      <c r="B175" s="4" t="s">
        <v>222</v>
      </c>
      <c r="C175" s="4" t="s">
        <v>550</v>
      </c>
      <c r="D175" s="3">
        <v>1</v>
      </c>
      <c r="E175" s="3" t="s">
        <v>16</v>
      </c>
      <c r="F175" s="3" t="s">
        <v>291</v>
      </c>
      <c r="G175" s="3" t="s">
        <v>26</v>
      </c>
      <c r="H175" s="3" t="s">
        <v>226</v>
      </c>
    </row>
    <row r="176" spans="1:8" x14ac:dyDescent="0.2">
      <c r="A176" s="3">
        <v>3080401031</v>
      </c>
      <c r="B176" s="4" t="s">
        <v>41</v>
      </c>
      <c r="C176" s="4" t="s">
        <v>551</v>
      </c>
      <c r="D176" s="3">
        <v>1</v>
      </c>
      <c r="E176" s="3" t="s">
        <v>16</v>
      </c>
      <c r="F176" s="3" t="s">
        <v>291</v>
      </c>
      <c r="G176" s="3" t="s">
        <v>26</v>
      </c>
      <c r="H176" s="3" t="s">
        <v>249</v>
      </c>
    </row>
    <row r="177" spans="1:8" x14ac:dyDescent="0.2">
      <c r="A177" s="3">
        <v>3030211001</v>
      </c>
      <c r="B177" s="4" t="s">
        <v>552</v>
      </c>
      <c r="C177" s="4" t="s">
        <v>553</v>
      </c>
      <c r="D177" s="3">
        <v>1</v>
      </c>
      <c r="E177" s="3" t="s">
        <v>16</v>
      </c>
      <c r="F177" s="3" t="s">
        <v>295</v>
      </c>
      <c r="G177" s="3" t="s">
        <v>17</v>
      </c>
      <c r="H177" s="3" t="s">
        <v>249</v>
      </c>
    </row>
    <row r="178" spans="1:8" x14ac:dyDescent="0.2">
      <c r="A178" s="3">
        <v>3080309001</v>
      </c>
      <c r="B178" s="4" t="s">
        <v>554</v>
      </c>
      <c r="C178" s="4" t="s">
        <v>555</v>
      </c>
      <c r="D178" s="3">
        <v>1</v>
      </c>
      <c r="E178" s="3" t="s">
        <v>16</v>
      </c>
      <c r="F178" s="3" t="s">
        <v>295</v>
      </c>
      <c r="G178" s="3" t="s">
        <v>17</v>
      </c>
      <c r="H178" s="3" t="s">
        <v>249</v>
      </c>
    </row>
    <row r="179" spans="1:8" x14ac:dyDescent="0.2">
      <c r="A179" s="3">
        <v>3080107268</v>
      </c>
      <c r="B179" s="4" t="s">
        <v>69</v>
      </c>
      <c r="C179" s="4" t="s">
        <v>556</v>
      </c>
      <c r="D179" s="3">
        <v>2</v>
      </c>
      <c r="E179" s="3" t="s">
        <v>16</v>
      </c>
      <c r="F179" s="3" t="s">
        <v>291</v>
      </c>
      <c r="G179" s="3" t="s">
        <v>26</v>
      </c>
      <c r="H179" s="3" t="s">
        <v>249</v>
      </c>
    </row>
    <row r="180" spans="1:8" x14ac:dyDescent="0.2">
      <c r="A180" s="3">
        <v>3080107269</v>
      </c>
      <c r="B180" s="4" t="s">
        <v>69</v>
      </c>
      <c r="C180" s="4" t="s">
        <v>557</v>
      </c>
      <c r="D180" s="3">
        <v>2</v>
      </c>
      <c r="E180" s="3" t="s">
        <v>16</v>
      </c>
      <c r="F180" s="3" t="s">
        <v>291</v>
      </c>
      <c r="G180" s="3" t="s">
        <v>26</v>
      </c>
      <c r="H180" s="3" t="s">
        <v>249</v>
      </c>
    </row>
    <row r="181" spans="1:8" x14ac:dyDescent="0.2">
      <c r="A181" s="3">
        <v>3060335005</v>
      </c>
      <c r="B181" s="4" t="s">
        <v>233</v>
      </c>
      <c r="C181" s="4" t="s">
        <v>734</v>
      </c>
      <c r="D181" s="3">
        <v>1</v>
      </c>
      <c r="E181" s="3" t="s">
        <v>16</v>
      </c>
      <c r="F181" s="3" t="s">
        <v>289</v>
      </c>
      <c r="G181" s="3" t="s">
        <v>23</v>
      </c>
      <c r="H181" s="3" t="s">
        <v>254</v>
      </c>
    </row>
    <row r="182" spans="1:8" x14ac:dyDescent="0.2">
      <c r="A182" s="3">
        <v>3060324001</v>
      </c>
      <c r="B182" s="4" t="s">
        <v>735</v>
      </c>
      <c r="C182" s="4" t="s">
        <v>736</v>
      </c>
      <c r="D182" s="3">
        <v>1</v>
      </c>
      <c r="E182" s="3" t="s">
        <v>16</v>
      </c>
      <c r="F182" s="3" t="s">
        <v>289</v>
      </c>
      <c r="G182" s="3" t="s">
        <v>23</v>
      </c>
      <c r="H182" s="3" t="s">
        <v>254</v>
      </c>
    </row>
    <row r="183" spans="1:8" x14ac:dyDescent="0.2">
      <c r="A183" s="3">
        <v>3030302001</v>
      </c>
      <c r="B183" s="4" t="s">
        <v>558</v>
      </c>
      <c r="C183" s="4" t="s">
        <v>534</v>
      </c>
      <c r="D183" s="3">
        <v>1</v>
      </c>
      <c r="E183" s="3" t="s">
        <v>16</v>
      </c>
      <c r="F183" s="3" t="s">
        <v>295</v>
      </c>
      <c r="G183" s="3" t="s">
        <v>17</v>
      </c>
      <c r="H183" s="3" t="s">
        <v>254</v>
      </c>
    </row>
    <row r="184" spans="1:8" x14ac:dyDescent="0.2">
      <c r="A184" s="3">
        <v>3030306031</v>
      </c>
      <c r="B184" s="4" t="s">
        <v>559</v>
      </c>
      <c r="C184" s="4" t="s">
        <v>560</v>
      </c>
      <c r="D184" s="3">
        <v>1</v>
      </c>
      <c r="E184" s="3" t="s">
        <v>16</v>
      </c>
      <c r="F184" s="3" t="s">
        <v>295</v>
      </c>
      <c r="G184" s="3" t="s">
        <v>17</v>
      </c>
      <c r="H184" s="3" t="s">
        <v>254</v>
      </c>
    </row>
    <row r="185" spans="1:8" x14ac:dyDescent="0.2">
      <c r="A185" s="3">
        <v>3080311002</v>
      </c>
      <c r="B185" s="4" t="s">
        <v>561</v>
      </c>
      <c r="C185" s="4" t="s">
        <v>536</v>
      </c>
      <c r="D185" s="3">
        <v>1</v>
      </c>
      <c r="E185" s="3" t="s">
        <v>16</v>
      </c>
      <c r="F185" s="3" t="s">
        <v>295</v>
      </c>
      <c r="G185" s="3" t="s">
        <v>17</v>
      </c>
      <c r="H185" s="3" t="s">
        <v>254</v>
      </c>
    </row>
    <row r="186" spans="1:8" x14ac:dyDescent="0.2">
      <c r="A186" s="3">
        <v>3030303016</v>
      </c>
      <c r="B186" s="4" t="s">
        <v>562</v>
      </c>
      <c r="C186" s="4" t="s">
        <v>563</v>
      </c>
      <c r="D186" s="3">
        <v>1</v>
      </c>
      <c r="E186" s="3" t="s">
        <v>16</v>
      </c>
      <c r="F186" s="3" t="s">
        <v>295</v>
      </c>
      <c r="G186" s="3" t="s">
        <v>17</v>
      </c>
      <c r="H186" s="3" t="s">
        <v>254</v>
      </c>
    </row>
    <row r="187" spans="1:8" x14ac:dyDescent="0.2">
      <c r="A187" s="3">
        <v>3030303015</v>
      </c>
      <c r="B187" s="4" t="s">
        <v>564</v>
      </c>
      <c r="C187" s="4" t="s">
        <v>563</v>
      </c>
      <c r="D187" s="3">
        <v>1</v>
      </c>
      <c r="E187" s="3" t="s">
        <v>16</v>
      </c>
      <c r="F187" s="3" t="s">
        <v>295</v>
      </c>
      <c r="G187" s="3" t="s">
        <v>17</v>
      </c>
      <c r="H187" s="3" t="s">
        <v>254</v>
      </c>
    </row>
    <row r="188" spans="1:8" x14ac:dyDescent="0.2">
      <c r="A188" s="3">
        <v>3040323001</v>
      </c>
      <c r="B188" s="4" t="s">
        <v>565</v>
      </c>
      <c r="C188" s="4" t="s">
        <v>566</v>
      </c>
      <c r="D188" s="3">
        <v>2</v>
      </c>
      <c r="E188" s="3" t="s">
        <v>16</v>
      </c>
      <c r="F188" s="3" t="s">
        <v>293</v>
      </c>
      <c r="G188" s="3" t="s">
        <v>29</v>
      </c>
      <c r="H188" s="3" t="s">
        <v>254</v>
      </c>
    </row>
    <row r="189" spans="1:8" x14ac:dyDescent="0.2">
      <c r="A189" s="3">
        <v>3040302001</v>
      </c>
      <c r="B189" s="4" t="s">
        <v>567</v>
      </c>
      <c r="C189" s="4" t="s">
        <v>568</v>
      </c>
      <c r="D189" s="3">
        <v>1</v>
      </c>
      <c r="E189" s="3" t="s">
        <v>16</v>
      </c>
      <c r="F189" s="3" t="s">
        <v>293</v>
      </c>
      <c r="G189" s="3" t="s">
        <v>29</v>
      </c>
      <c r="H189" s="3" t="s">
        <v>254</v>
      </c>
    </row>
    <row r="190" spans="1:8" x14ac:dyDescent="0.2">
      <c r="A190" s="3">
        <v>3040302002</v>
      </c>
      <c r="B190" s="4" t="s">
        <v>567</v>
      </c>
      <c r="C190" s="4" t="s">
        <v>569</v>
      </c>
      <c r="D190" s="3">
        <v>1</v>
      </c>
      <c r="E190" s="3" t="s">
        <v>16</v>
      </c>
      <c r="F190" s="3" t="s">
        <v>293</v>
      </c>
      <c r="G190" s="3" t="s">
        <v>29</v>
      </c>
      <c r="H190" s="3" t="s">
        <v>254</v>
      </c>
    </row>
    <row r="191" spans="1:8" x14ac:dyDescent="0.2">
      <c r="A191" s="3">
        <v>3040324004</v>
      </c>
      <c r="B191" s="4" t="s">
        <v>570</v>
      </c>
      <c r="C191" s="4" t="s">
        <v>536</v>
      </c>
      <c r="D191" s="3">
        <v>2</v>
      </c>
      <c r="E191" s="3" t="s">
        <v>16</v>
      </c>
      <c r="F191" s="3" t="s">
        <v>293</v>
      </c>
      <c r="G191" s="3" t="s">
        <v>29</v>
      </c>
      <c r="H191" s="3" t="s">
        <v>254</v>
      </c>
    </row>
    <row r="192" spans="1:8" x14ac:dyDescent="0.2">
      <c r="A192" s="3">
        <v>3030302008</v>
      </c>
      <c r="B192" s="4" t="s">
        <v>571</v>
      </c>
      <c r="C192" s="4" t="s">
        <v>572</v>
      </c>
      <c r="D192" s="3">
        <v>1</v>
      </c>
      <c r="E192" s="3" t="s">
        <v>16</v>
      </c>
      <c r="F192" s="3" t="s">
        <v>295</v>
      </c>
      <c r="G192" s="3" t="s">
        <v>17</v>
      </c>
      <c r="H192" s="3" t="s">
        <v>254</v>
      </c>
    </row>
    <row r="193" spans="1:8" x14ac:dyDescent="0.2">
      <c r="A193" s="3">
        <v>3030302009</v>
      </c>
      <c r="B193" s="4" t="s">
        <v>571</v>
      </c>
      <c r="C193" s="4" t="s">
        <v>573</v>
      </c>
      <c r="D193" s="3">
        <v>1</v>
      </c>
      <c r="E193" s="3" t="s">
        <v>16</v>
      </c>
      <c r="F193" s="3" t="s">
        <v>295</v>
      </c>
      <c r="G193" s="3" t="s">
        <v>17</v>
      </c>
      <c r="H193" s="3" t="s">
        <v>254</v>
      </c>
    </row>
    <row r="194" spans="1:8" x14ac:dyDescent="0.2">
      <c r="A194" s="3">
        <v>3030302004</v>
      </c>
      <c r="B194" s="4" t="s">
        <v>574</v>
      </c>
      <c r="C194" s="4" t="s">
        <v>575</v>
      </c>
      <c r="D194" s="3">
        <v>1</v>
      </c>
      <c r="E194" s="3" t="s">
        <v>16</v>
      </c>
      <c r="F194" s="3" t="s">
        <v>295</v>
      </c>
      <c r="G194" s="3" t="s">
        <v>17</v>
      </c>
      <c r="H194" s="3" t="s">
        <v>254</v>
      </c>
    </row>
    <row r="195" spans="1:8" x14ac:dyDescent="0.2">
      <c r="A195" s="3">
        <v>3030302006</v>
      </c>
      <c r="B195" s="4" t="s">
        <v>576</v>
      </c>
      <c r="C195" s="4" t="s">
        <v>575</v>
      </c>
      <c r="D195" s="3">
        <v>1</v>
      </c>
      <c r="E195" s="3" t="s">
        <v>16</v>
      </c>
      <c r="F195" s="3" t="s">
        <v>295</v>
      </c>
      <c r="G195" s="3" t="s">
        <v>17</v>
      </c>
      <c r="H195" s="3" t="s">
        <v>254</v>
      </c>
    </row>
    <row r="196" spans="1:8" x14ac:dyDescent="0.2">
      <c r="A196" s="3">
        <v>3030314004</v>
      </c>
      <c r="B196" s="4" t="s">
        <v>577</v>
      </c>
      <c r="C196" s="4" t="s">
        <v>575</v>
      </c>
      <c r="D196" s="3">
        <v>1</v>
      </c>
      <c r="E196" s="3" t="s">
        <v>16</v>
      </c>
      <c r="F196" s="3" t="s">
        <v>295</v>
      </c>
      <c r="G196" s="3" t="s">
        <v>17</v>
      </c>
      <c r="H196" s="3" t="s">
        <v>254</v>
      </c>
    </row>
    <row r="197" spans="1:8" x14ac:dyDescent="0.2">
      <c r="A197" s="3">
        <v>3030308001</v>
      </c>
      <c r="B197" s="4" t="s">
        <v>578</v>
      </c>
      <c r="C197" s="4" t="s">
        <v>575</v>
      </c>
      <c r="D197" s="3">
        <v>1</v>
      </c>
      <c r="E197" s="3" t="s">
        <v>16</v>
      </c>
      <c r="F197" s="3" t="s">
        <v>295</v>
      </c>
      <c r="G197" s="3" t="s">
        <v>17</v>
      </c>
      <c r="H197" s="3" t="s">
        <v>254</v>
      </c>
    </row>
    <row r="198" spans="1:8" x14ac:dyDescent="0.2">
      <c r="A198" s="3">
        <v>3030314003</v>
      </c>
      <c r="B198" s="4" t="s">
        <v>579</v>
      </c>
      <c r="C198" s="4" t="s">
        <v>575</v>
      </c>
      <c r="D198" s="3">
        <v>1</v>
      </c>
      <c r="E198" s="3" t="s">
        <v>16</v>
      </c>
      <c r="F198" s="3" t="s">
        <v>295</v>
      </c>
      <c r="G198" s="3" t="s">
        <v>17</v>
      </c>
      <c r="H198" s="3" t="s">
        <v>254</v>
      </c>
    </row>
    <row r="199" spans="1:8" x14ac:dyDescent="0.2">
      <c r="A199" s="3">
        <v>3030308003</v>
      </c>
      <c r="B199" s="4" t="s">
        <v>580</v>
      </c>
      <c r="C199" s="4" t="s">
        <v>581</v>
      </c>
      <c r="D199" s="3">
        <v>1</v>
      </c>
      <c r="E199" s="3" t="s">
        <v>16</v>
      </c>
      <c r="F199" s="3" t="s">
        <v>295</v>
      </c>
      <c r="G199" s="3" t="s">
        <v>17</v>
      </c>
      <c r="H199" s="3" t="s">
        <v>254</v>
      </c>
    </row>
    <row r="200" spans="1:8" x14ac:dyDescent="0.2">
      <c r="A200" s="3">
        <v>3040325007</v>
      </c>
      <c r="B200" s="4" t="s">
        <v>582</v>
      </c>
      <c r="C200" s="4" t="s">
        <v>543</v>
      </c>
      <c r="D200" s="3">
        <v>1</v>
      </c>
      <c r="E200" s="3" t="s">
        <v>16</v>
      </c>
      <c r="F200" s="3" t="s">
        <v>293</v>
      </c>
      <c r="G200" s="3" t="s">
        <v>29</v>
      </c>
      <c r="H200" s="3" t="s">
        <v>254</v>
      </c>
    </row>
    <row r="201" spans="1:8" x14ac:dyDescent="0.2">
      <c r="A201" s="3">
        <v>3040325008</v>
      </c>
      <c r="B201" s="4" t="s">
        <v>582</v>
      </c>
      <c r="C201" s="4" t="s">
        <v>542</v>
      </c>
      <c r="D201" s="3">
        <v>1</v>
      </c>
      <c r="E201" s="3" t="s">
        <v>16</v>
      </c>
      <c r="F201" s="3" t="s">
        <v>293</v>
      </c>
      <c r="G201" s="3" t="s">
        <v>29</v>
      </c>
      <c r="H201" s="3" t="s">
        <v>254</v>
      </c>
    </row>
    <row r="202" spans="1:8" x14ac:dyDescent="0.2">
      <c r="A202" s="3">
        <v>3040326013</v>
      </c>
      <c r="B202" s="4" t="s">
        <v>546</v>
      </c>
      <c r="C202" s="4" t="s">
        <v>781</v>
      </c>
      <c r="D202" s="3">
        <v>1</v>
      </c>
      <c r="E202" s="3" t="s">
        <v>16</v>
      </c>
      <c r="F202" s="3" t="s">
        <v>293</v>
      </c>
      <c r="G202" s="3" t="s">
        <v>29</v>
      </c>
      <c r="H202" s="3" t="s">
        <v>254</v>
      </c>
    </row>
    <row r="203" spans="1:8" x14ac:dyDescent="0.2">
      <c r="A203" s="3">
        <v>3040326011</v>
      </c>
      <c r="B203" s="4" t="s">
        <v>546</v>
      </c>
      <c r="C203" s="4" t="s">
        <v>782</v>
      </c>
      <c r="D203" s="3">
        <v>1</v>
      </c>
      <c r="E203" s="3" t="s">
        <v>16</v>
      </c>
      <c r="F203" s="3" t="s">
        <v>293</v>
      </c>
      <c r="G203" s="3" t="s">
        <v>29</v>
      </c>
      <c r="H203" s="3" t="s">
        <v>254</v>
      </c>
    </row>
    <row r="204" spans="1:8" x14ac:dyDescent="0.2">
      <c r="A204" s="3">
        <v>3040308003</v>
      </c>
      <c r="B204" s="4" t="s">
        <v>583</v>
      </c>
      <c r="C204" s="4" t="s">
        <v>536</v>
      </c>
      <c r="D204" s="3">
        <v>2</v>
      </c>
      <c r="E204" s="3" t="s">
        <v>16</v>
      </c>
      <c r="F204" s="3" t="s">
        <v>293</v>
      </c>
      <c r="G204" s="3" t="s">
        <v>29</v>
      </c>
      <c r="H204" s="3" t="s">
        <v>254</v>
      </c>
    </row>
    <row r="205" spans="1:8" x14ac:dyDescent="0.2">
      <c r="A205" s="3">
        <v>3030302007</v>
      </c>
      <c r="B205" s="4" t="s">
        <v>584</v>
      </c>
      <c r="C205" s="4" t="s">
        <v>575</v>
      </c>
      <c r="D205" s="3">
        <v>1</v>
      </c>
      <c r="E205" s="3" t="s">
        <v>16</v>
      </c>
      <c r="F205" s="3" t="s">
        <v>295</v>
      </c>
      <c r="G205" s="3" t="s">
        <v>17</v>
      </c>
      <c r="H205" s="3" t="s">
        <v>254</v>
      </c>
    </row>
    <row r="206" spans="1:8" x14ac:dyDescent="0.2">
      <c r="A206" s="3">
        <v>3070205003</v>
      </c>
      <c r="B206" s="4" t="s">
        <v>372</v>
      </c>
      <c r="C206" s="4" t="s">
        <v>747</v>
      </c>
      <c r="D206" s="3">
        <v>1</v>
      </c>
      <c r="E206" s="3" t="s">
        <v>16</v>
      </c>
      <c r="F206" s="3" t="s">
        <v>317</v>
      </c>
      <c r="G206" s="3" t="s">
        <v>318</v>
      </c>
      <c r="H206" s="3" t="s">
        <v>254</v>
      </c>
    </row>
    <row r="207" spans="1:8" x14ac:dyDescent="0.2">
      <c r="A207" s="3">
        <v>3070202019</v>
      </c>
      <c r="B207" s="4" t="s">
        <v>388</v>
      </c>
      <c r="C207" s="4" t="s">
        <v>389</v>
      </c>
      <c r="D207" s="3">
        <v>1</v>
      </c>
      <c r="E207" s="3" t="s">
        <v>16</v>
      </c>
      <c r="F207" s="3" t="s">
        <v>317</v>
      </c>
      <c r="G207" s="3" t="s">
        <v>318</v>
      </c>
      <c r="H207" s="3" t="s">
        <v>254</v>
      </c>
    </row>
    <row r="208" spans="1:8" x14ac:dyDescent="0.2">
      <c r="A208" s="3">
        <v>3070209001</v>
      </c>
      <c r="B208" s="4" t="s">
        <v>748</v>
      </c>
      <c r="C208" s="4" t="s">
        <v>246</v>
      </c>
      <c r="D208" s="3">
        <v>1</v>
      </c>
      <c r="E208" s="3" t="s">
        <v>16</v>
      </c>
      <c r="F208" s="3" t="s">
        <v>317</v>
      </c>
      <c r="G208" s="3" t="s">
        <v>318</v>
      </c>
      <c r="H208" s="3" t="s">
        <v>254</v>
      </c>
    </row>
    <row r="209" spans="1:8" x14ac:dyDescent="0.2">
      <c r="A209" s="3">
        <v>3111601003</v>
      </c>
      <c r="B209" s="4" t="s">
        <v>585</v>
      </c>
      <c r="C209" s="4" t="s">
        <v>586</v>
      </c>
      <c r="D209" s="3">
        <v>2</v>
      </c>
      <c r="E209" s="3" t="s">
        <v>16</v>
      </c>
      <c r="F209" s="3" t="s">
        <v>291</v>
      </c>
      <c r="G209" s="3" t="s">
        <v>26</v>
      </c>
      <c r="H209" s="3" t="s">
        <v>254</v>
      </c>
    </row>
    <row r="210" spans="1:8" x14ac:dyDescent="0.2">
      <c r="A210" s="3">
        <v>3060339002</v>
      </c>
      <c r="B210" s="4" t="s">
        <v>737</v>
      </c>
      <c r="C210" s="4" t="s">
        <v>738</v>
      </c>
      <c r="D210" s="3">
        <v>1</v>
      </c>
      <c r="E210" s="3" t="s">
        <v>16</v>
      </c>
      <c r="F210" s="3" t="s">
        <v>702</v>
      </c>
      <c r="G210" s="3" t="s">
        <v>703</v>
      </c>
      <c r="H210" s="3" t="s">
        <v>254</v>
      </c>
    </row>
    <row r="211" spans="1:8" x14ac:dyDescent="0.2">
      <c r="A211" s="3">
        <v>3060325001</v>
      </c>
      <c r="B211" s="4" t="s">
        <v>739</v>
      </c>
      <c r="C211" s="4" t="s">
        <v>740</v>
      </c>
      <c r="D211" s="3">
        <v>1</v>
      </c>
      <c r="E211" s="3" t="s">
        <v>16</v>
      </c>
      <c r="F211" s="3" t="s">
        <v>289</v>
      </c>
      <c r="G211" s="3" t="s">
        <v>23</v>
      </c>
      <c r="H211" s="3" t="s">
        <v>254</v>
      </c>
    </row>
    <row r="212" spans="1:8" x14ac:dyDescent="0.2">
      <c r="A212" s="3">
        <v>3050303006</v>
      </c>
      <c r="B212" s="4" t="s">
        <v>245</v>
      </c>
      <c r="C212" s="4" t="s">
        <v>587</v>
      </c>
      <c r="D212" s="3">
        <v>1</v>
      </c>
      <c r="E212" s="3" t="s">
        <v>16</v>
      </c>
      <c r="F212" s="3" t="s">
        <v>291</v>
      </c>
      <c r="G212" s="3" t="s">
        <v>26</v>
      </c>
      <c r="H212" s="3" t="s">
        <v>254</v>
      </c>
    </row>
    <row r="213" spans="1:8" x14ac:dyDescent="0.2">
      <c r="A213" s="3">
        <v>3080310002</v>
      </c>
      <c r="B213" s="4" t="s">
        <v>588</v>
      </c>
      <c r="C213" s="4" t="s">
        <v>589</v>
      </c>
      <c r="D213" s="3">
        <v>1</v>
      </c>
      <c r="E213" s="3" t="s">
        <v>16</v>
      </c>
      <c r="F213" s="3" t="s">
        <v>295</v>
      </c>
      <c r="G213" s="3" t="s">
        <v>17</v>
      </c>
      <c r="H213" s="3" t="s">
        <v>590</v>
      </c>
    </row>
  </sheetData>
  <phoneticPr fontId="2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563C47-2D87-40A5-B6EA-949B4604D9DB}">
  <dimension ref="A1:H238"/>
  <sheetViews>
    <sheetView workbookViewId="0">
      <selection activeCell="D3" sqref="D3"/>
    </sheetView>
  </sheetViews>
  <sheetFormatPr defaultRowHeight="14.25" x14ac:dyDescent="0.2"/>
  <cols>
    <col min="1" max="1" width="11.25" customWidth="1"/>
    <col min="2" max="3" width="17.875" customWidth="1"/>
  </cols>
  <sheetData>
    <row r="1" spans="1:8" x14ac:dyDescent="0.2">
      <c r="A1" s="3" t="s">
        <v>836</v>
      </c>
      <c r="B1" s="4"/>
      <c r="C1" s="4"/>
      <c r="D1" s="3"/>
      <c r="E1" s="3"/>
      <c r="F1" s="3"/>
      <c r="G1" s="3"/>
      <c r="H1" s="3"/>
    </row>
    <row r="2" spans="1:8" ht="28.5" x14ac:dyDescent="0.2">
      <c r="A2" s="1" t="s">
        <v>0</v>
      </c>
      <c r="B2" s="2" t="s">
        <v>1</v>
      </c>
      <c r="C2" s="2" t="s">
        <v>2</v>
      </c>
      <c r="D2" s="1" t="s">
        <v>4</v>
      </c>
      <c r="E2" s="1" t="s">
        <v>3</v>
      </c>
      <c r="F2" s="1" t="s">
        <v>5</v>
      </c>
      <c r="G2" s="1" t="s">
        <v>6</v>
      </c>
      <c r="H2" s="1" t="s">
        <v>7</v>
      </c>
    </row>
    <row r="3" spans="1:8" s="10" customFormat="1" x14ac:dyDescent="0.2">
      <c r="A3" s="8" t="s">
        <v>390</v>
      </c>
      <c r="B3" s="9" t="s">
        <v>8</v>
      </c>
      <c r="C3" s="9" t="s">
        <v>9</v>
      </c>
      <c r="D3" s="12">
        <f>0.4021/0.94</f>
        <v>0.42776595744680856</v>
      </c>
      <c r="E3" s="8" t="s">
        <v>596</v>
      </c>
      <c r="F3" s="8" t="s">
        <v>283</v>
      </c>
      <c r="G3" s="8" t="s">
        <v>13</v>
      </c>
      <c r="H3" s="8" t="s">
        <v>12</v>
      </c>
    </row>
    <row r="4" spans="1:8" x14ac:dyDescent="0.2">
      <c r="A4" s="3">
        <v>402030028</v>
      </c>
      <c r="B4" s="4" t="s">
        <v>107</v>
      </c>
      <c r="C4" s="4" t="s">
        <v>305</v>
      </c>
      <c r="D4" s="3">
        <v>1</v>
      </c>
      <c r="E4" s="3" t="s">
        <v>16</v>
      </c>
      <c r="F4" s="3" t="s">
        <v>289</v>
      </c>
      <c r="G4" s="3" t="s">
        <v>23</v>
      </c>
      <c r="H4" s="3" t="s">
        <v>306</v>
      </c>
    </row>
    <row r="5" spans="1:8" x14ac:dyDescent="0.2">
      <c r="A5" s="3">
        <v>3099980014</v>
      </c>
      <c r="B5" s="4" t="s">
        <v>391</v>
      </c>
      <c r="C5" s="4" t="s">
        <v>392</v>
      </c>
      <c r="D5" s="3">
        <v>1</v>
      </c>
      <c r="E5" s="3" t="s">
        <v>16</v>
      </c>
      <c r="F5" s="3" t="s">
        <v>291</v>
      </c>
      <c r="G5" s="3" t="s">
        <v>26</v>
      </c>
      <c r="H5" s="3" t="s">
        <v>393</v>
      </c>
    </row>
    <row r="6" spans="1:8" x14ac:dyDescent="0.2">
      <c r="A6" s="3">
        <v>3030314005</v>
      </c>
      <c r="B6" s="4" t="s">
        <v>394</v>
      </c>
      <c r="C6" s="4" t="s">
        <v>395</v>
      </c>
      <c r="D6" s="3">
        <v>1</v>
      </c>
      <c r="E6" s="3" t="s">
        <v>16</v>
      </c>
      <c r="F6" s="3" t="s">
        <v>291</v>
      </c>
      <c r="G6" s="3" t="s">
        <v>26</v>
      </c>
      <c r="H6" s="3" t="s">
        <v>18</v>
      </c>
    </row>
    <row r="7" spans="1:8" x14ac:dyDescent="0.2">
      <c r="A7" s="3">
        <v>3030210001</v>
      </c>
      <c r="B7" s="4" t="s">
        <v>396</v>
      </c>
      <c r="C7" s="4" t="s">
        <v>397</v>
      </c>
      <c r="D7" s="3">
        <v>1</v>
      </c>
      <c r="E7" s="3" t="s">
        <v>16</v>
      </c>
      <c r="F7" s="3" t="s">
        <v>295</v>
      </c>
      <c r="G7" s="3" t="s">
        <v>17</v>
      </c>
      <c r="H7" s="3" t="s">
        <v>18</v>
      </c>
    </row>
    <row r="8" spans="1:8" x14ac:dyDescent="0.2">
      <c r="A8" s="3">
        <v>3080301001</v>
      </c>
      <c r="B8" s="4" t="s">
        <v>247</v>
      </c>
      <c r="C8" s="4" t="s">
        <v>398</v>
      </c>
      <c r="D8" s="3">
        <v>1</v>
      </c>
      <c r="E8" s="3" t="s">
        <v>16</v>
      </c>
      <c r="F8" s="3" t="s">
        <v>295</v>
      </c>
      <c r="G8" s="3" t="s">
        <v>17</v>
      </c>
      <c r="H8" s="3" t="s">
        <v>18</v>
      </c>
    </row>
    <row r="9" spans="1:8" x14ac:dyDescent="0.2">
      <c r="A9" s="3">
        <v>3040201001</v>
      </c>
      <c r="B9" s="4" t="s">
        <v>399</v>
      </c>
      <c r="C9" s="4" t="s">
        <v>400</v>
      </c>
      <c r="D9" s="3">
        <v>2</v>
      </c>
      <c r="E9" s="3" t="s">
        <v>16</v>
      </c>
      <c r="F9" s="3" t="s">
        <v>293</v>
      </c>
      <c r="G9" s="3" t="s">
        <v>29</v>
      </c>
      <c r="H9" s="3" t="s">
        <v>18</v>
      </c>
    </row>
    <row r="10" spans="1:8" x14ac:dyDescent="0.2">
      <c r="A10" s="3">
        <v>3030202002</v>
      </c>
      <c r="B10" s="4" t="s">
        <v>401</v>
      </c>
      <c r="C10" s="4" t="s">
        <v>402</v>
      </c>
      <c r="D10" s="3">
        <v>1</v>
      </c>
      <c r="E10" s="3" t="s">
        <v>16</v>
      </c>
      <c r="F10" s="3" t="s">
        <v>295</v>
      </c>
      <c r="G10" s="3" t="s">
        <v>17</v>
      </c>
      <c r="H10" s="3" t="s">
        <v>18</v>
      </c>
    </row>
    <row r="11" spans="1:8" x14ac:dyDescent="0.2">
      <c r="A11" s="3">
        <v>3030202003</v>
      </c>
      <c r="B11" s="4" t="s">
        <v>403</v>
      </c>
      <c r="C11" s="4" t="s">
        <v>404</v>
      </c>
      <c r="D11" s="3">
        <v>1</v>
      </c>
      <c r="E11" s="3" t="s">
        <v>16</v>
      </c>
      <c r="F11" s="3" t="s">
        <v>295</v>
      </c>
      <c r="G11" s="3" t="s">
        <v>17</v>
      </c>
      <c r="H11" s="3" t="s">
        <v>18</v>
      </c>
    </row>
    <row r="12" spans="1:8" x14ac:dyDescent="0.2">
      <c r="A12" s="3">
        <v>3030212001</v>
      </c>
      <c r="B12" s="4" t="s">
        <v>405</v>
      </c>
      <c r="C12" s="4" t="s">
        <v>406</v>
      </c>
      <c r="D12" s="3">
        <v>1</v>
      </c>
      <c r="E12" s="3" t="s">
        <v>16</v>
      </c>
      <c r="F12" s="3" t="s">
        <v>295</v>
      </c>
      <c r="G12" s="3" t="s">
        <v>17</v>
      </c>
      <c r="H12" s="3" t="s">
        <v>18</v>
      </c>
    </row>
    <row r="13" spans="1:8" x14ac:dyDescent="0.2">
      <c r="A13" s="3">
        <v>3030206003</v>
      </c>
      <c r="B13" s="4" t="s">
        <v>407</v>
      </c>
      <c r="C13" s="4" t="s">
        <v>408</v>
      </c>
      <c r="D13" s="3">
        <v>1</v>
      </c>
      <c r="E13" s="3" t="s">
        <v>16</v>
      </c>
      <c r="F13" s="3" t="s">
        <v>295</v>
      </c>
      <c r="G13" s="3" t="s">
        <v>17</v>
      </c>
      <c r="H13" s="3" t="s">
        <v>18</v>
      </c>
    </row>
    <row r="14" spans="1:8" x14ac:dyDescent="0.2">
      <c r="A14" s="3">
        <v>404090136</v>
      </c>
      <c r="B14" s="4" t="s">
        <v>30</v>
      </c>
      <c r="C14" s="4" t="s">
        <v>784</v>
      </c>
      <c r="D14" s="3">
        <v>1</v>
      </c>
      <c r="E14" s="3" t="s">
        <v>16</v>
      </c>
      <c r="F14" s="3" t="s">
        <v>301</v>
      </c>
      <c r="G14" s="3" t="s">
        <v>32</v>
      </c>
      <c r="H14" s="3" t="s">
        <v>33</v>
      </c>
    </row>
    <row r="15" spans="1:8" x14ac:dyDescent="0.2">
      <c r="A15" s="3">
        <v>404090225</v>
      </c>
      <c r="B15" s="4" t="s">
        <v>30</v>
      </c>
      <c r="C15" s="4" t="s">
        <v>785</v>
      </c>
      <c r="D15" s="3">
        <v>1</v>
      </c>
      <c r="E15" s="3" t="s">
        <v>16</v>
      </c>
      <c r="F15" s="3" t="s">
        <v>301</v>
      </c>
      <c r="G15" s="3" t="s">
        <v>32</v>
      </c>
      <c r="H15" s="3" t="s">
        <v>33</v>
      </c>
    </row>
    <row r="16" spans="1:8" x14ac:dyDescent="0.2">
      <c r="A16" s="3">
        <v>404020072</v>
      </c>
      <c r="B16" s="4" t="s">
        <v>30</v>
      </c>
      <c r="C16" s="4" t="s">
        <v>308</v>
      </c>
      <c r="D16" s="3">
        <v>1</v>
      </c>
      <c r="E16" s="3" t="s">
        <v>16</v>
      </c>
      <c r="F16" s="3" t="s">
        <v>291</v>
      </c>
      <c r="G16" s="3" t="s">
        <v>26</v>
      </c>
      <c r="H16" s="3" t="s">
        <v>33</v>
      </c>
    </row>
    <row r="17" spans="1:8" x14ac:dyDescent="0.2">
      <c r="A17" s="3">
        <v>401020104</v>
      </c>
      <c r="B17" s="4" t="s">
        <v>35</v>
      </c>
      <c r="C17" s="4" t="s">
        <v>786</v>
      </c>
      <c r="D17" s="3">
        <v>1</v>
      </c>
      <c r="E17" s="3" t="s">
        <v>16</v>
      </c>
      <c r="F17" s="3" t="s">
        <v>301</v>
      </c>
      <c r="G17" s="3" t="s">
        <v>32</v>
      </c>
      <c r="H17" s="3" t="s">
        <v>33</v>
      </c>
    </row>
    <row r="18" spans="1:8" x14ac:dyDescent="0.2">
      <c r="A18" s="3">
        <v>401040087</v>
      </c>
      <c r="B18" s="4" t="s">
        <v>35</v>
      </c>
      <c r="C18" s="4" t="s">
        <v>410</v>
      </c>
      <c r="D18" s="3">
        <v>1</v>
      </c>
      <c r="E18" s="3" t="s">
        <v>16</v>
      </c>
      <c r="F18" s="3" t="s">
        <v>293</v>
      </c>
      <c r="G18" s="3" t="s">
        <v>29</v>
      </c>
      <c r="H18" s="3" t="s">
        <v>33</v>
      </c>
    </row>
    <row r="19" spans="1:8" x14ac:dyDescent="0.2">
      <c r="A19" s="3">
        <v>3080101015</v>
      </c>
      <c r="B19" s="4" t="s">
        <v>411</v>
      </c>
      <c r="C19" s="4" t="s">
        <v>412</v>
      </c>
      <c r="D19" s="3">
        <v>2</v>
      </c>
      <c r="E19" s="3" t="s">
        <v>16</v>
      </c>
      <c r="F19" s="3" t="s">
        <v>293</v>
      </c>
      <c r="G19" s="3" t="s">
        <v>29</v>
      </c>
      <c r="H19" s="3" t="s">
        <v>40</v>
      </c>
    </row>
    <row r="20" spans="1:8" x14ac:dyDescent="0.2">
      <c r="A20" s="3">
        <v>3080101002</v>
      </c>
      <c r="B20" s="4" t="s">
        <v>411</v>
      </c>
      <c r="C20" s="4" t="s">
        <v>413</v>
      </c>
      <c r="D20" s="3">
        <v>2</v>
      </c>
      <c r="E20" s="3" t="s">
        <v>16</v>
      </c>
      <c r="F20" s="3" t="s">
        <v>291</v>
      </c>
      <c r="G20" s="3" t="s">
        <v>26</v>
      </c>
      <c r="H20" s="3" t="s">
        <v>40</v>
      </c>
    </row>
    <row r="21" spans="1:8" x14ac:dyDescent="0.2">
      <c r="A21" s="3">
        <v>3080401023</v>
      </c>
      <c r="B21" s="4" t="s">
        <v>41</v>
      </c>
      <c r="C21" s="4" t="s">
        <v>699</v>
      </c>
      <c r="D21" s="3">
        <v>2</v>
      </c>
      <c r="E21" s="3" t="s">
        <v>16</v>
      </c>
      <c r="F21" s="3" t="s">
        <v>289</v>
      </c>
      <c r="G21" s="3" t="s">
        <v>23</v>
      </c>
      <c r="H21" s="3" t="s">
        <v>40</v>
      </c>
    </row>
    <row r="22" spans="1:8" x14ac:dyDescent="0.2">
      <c r="A22" s="3">
        <v>3080401064</v>
      </c>
      <c r="B22" s="4" t="s">
        <v>41</v>
      </c>
      <c r="C22" s="4" t="s">
        <v>414</v>
      </c>
      <c r="D22" s="3">
        <v>1</v>
      </c>
      <c r="E22" s="3" t="s">
        <v>16</v>
      </c>
      <c r="F22" s="3" t="s">
        <v>295</v>
      </c>
      <c r="G22" s="3" t="s">
        <v>17</v>
      </c>
      <c r="H22" s="3" t="s">
        <v>40</v>
      </c>
    </row>
    <row r="23" spans="1:8" x14ac:dyDescent="0.2">
      <c r="A23" s="3">
        <v>3080401016</v>
      </c>
      <c r="B23" s="4" t="s">
        <v>41</v>
      </c>
      <c r="C23" s="4" t="s">
        <v>415</v>
      </c>
      <c r="D23" s="3">
        <v>1</v>
      </c>
      <c r="E23" s="3" t="s">
        <v>16</v>
      </c>
      <c r="F23" s="3" t="s">
        <v>295</v>
      </c>
      <c r="G23" s="3" t="s">
        <v>17</v>
      </c>
      <c r="H23" s="3" t="s">
        <v>40</v>
      </c>
    </row>
    <row r="24" spans="1:8" x14ac:dyDescent="0.2">
      <c r="A24" s="3">
        <v>3080401007</v>
      </c>
      <c r="B24" s="4" t="s">
        <v>41</v>
      </c>
      <c r="C24" s="4" t="s">
        <v>416</v>
      </c>
      <c r="D24" s="3">
        <v>2</v>
      </c>
      <c r="E24" s="3" t="s">
        <v>16</v>
      </c>
      <c r="F24" s="3" t="s">
        <v>293</v>
      </c>
      <c r="G24" s="3" t="s">
        <v>29</v>
      </c>
      <c r="H24" s="3" t="s">
        <v>40</v>
      </c>
    </row>
    <row r="25" spans="1:8" x14ac:dyDescent="0.2">
      <c r="A25" s="3">
        <v>3080401048</v>
      </c>
      <c r="B25" s="4" t="s">
        <v>41</v>
      </c>
      <c r="C25" s="4" t="s">
        <v>793</v>
      </c>
      <c r="D25" s="3">
        <v>2</v>
      </c>
      <c r="E25" s="3" t="s">
        <v>16</v>
      </c>
      <c r="F25" s="3" t="s">
        <v>794</v>
      </c>
      <c r="G25" s="3" t="s">
        <v>795</v>
      </c>
      <c r="H25" s="3" t="s">
        <v>40</v>
      </c>
    </row>
    <row r="26" spans="1:8" x14ac:dyDescent="0.2">
      <c r="A26" s="3">
        <v>3080401047</v>
      </c>
      <c r="B26" s="4" t="s">
        <v>41</v>
      </c>
      <c r="C26" s="4" t="s">
        <v>796</v>
      </c>
      <c r="D26" s="3">
        <v>1</v>
      </c>
      <c r="E26" s="3" t="s">
        <v>16</v>
      </c>
      <c r="F26" s="3" t="s">
        <v>794</v>
      </c>
      <c r="G26" s="3" t="s">
        <v>795</v>
      </c>
      <c r="H26" s="3" t="s">
        <v>40</v>
      </c>
    </row>
    <row r="27" spans="1:8" x14ac:dyDescent="0.2">
      <c r="A27" s="3">
        <v>3080401008</v>
      </c>
      <c r="B27" s="4" t="s">
        <v>41</v>
      </c>
      <c r="C27" s="4" t="s">
        <v>700</v>
      </c>
      <c r="D27" s="3">
        <v>2</v>
      </c>
      <c r="E27" s="3" t="s">
        <v>16</v>
      </c>
      <c r="F27" s="3" t="s">
        <v>317</v>
      </c>
      <c r="G27" s="3" t="s">
        <v>318</v>
      </c>
      <c r="H27" s="3" t="s">
        <v>40</v>
      </c>
    </row>
    <row r="28" spans="1:8" x14ac:dyDescent="0.2">
      <c r="A28" s="3">
        <v>3080401014</v>
      </c>
      <c r="B28" s="4" t="s">
        <v>41</v>
      </c>
      <c r="C28" s="4" t="s">
        <v>417</v>
      </c>
      <c r="D28" s="3">
        <v>4</v>
      </c>
      <c r="E28" s="3" t="s">
        <v>16</v>
      </c>
      <c r="F28" s="3" t="s">
        <v>291</v>
      </c>
      <c r="G28" s="3" t="s">
        <v>26</v>
      </c>
      <c r="H28" s="3" t="s">
        <v>40</v>
      </c>
    </row>
    <row r="29" spans="1:8" x14ac:dyDescent="0.2">
      <c r="A29" s="3">
        <v>3080104081</v>
      </c>
      <c r="B29" s="4" t="s">
        <v>45</v>
      </c>
      <c r="C29" s="4" t="s">
        <v>701</v>
      </c>
      <c r="D29" s="3">
        <v>4</v>
      </c>
      <c r="E29" s="3" t="s">
        <v>16</v>
      </c>
      <c r="F29" s="3" t="s">
        <v>289</v>
      </c>
      <c r="G29" s="3" t="s">
        <v>23</v>
      </c>
      <c r="H29" s="3" t="s">
        <v>40</v>
      </c>
    </row>
    <row r="30" spans="1:8" x14ac:dyDescent="0.2">
      <c r="A30" s="3">
        <v>3080104018</v>
      </c>
      <c r="B30" s="4" t="s">
        <v>45</v>
      </c>
      <c r="C30" s="4" t="s">
        <v>418</v>
      </c>
      <c r="D30" s="3">
        <v>2</v>
      </c>
      <c r="E30" s="3" t="s">
        <v>16</v>
      </c>
      <c r="F30" s="3" t="s">
        <v>293</v>
      </c>
      <c r="G30" s="3" t="s">
        <v>29</v>
      </c>
      <c r="H30" s="3" t="s">
        <v>40</v>
      </c>
    </row>
    <row r="31" spans="1:8" x14ac:dyDescent="0.2">
      <c r="A31" s="3">
        <v>3080104099</v>
      </c>
      <c r="B31" s="4" t="s">
        <v>45</v>
      </c>
      <c r="C31" s="4" t="s">
        <v>419</v>
      </c>
      <c r="D31" s="3">
        <v>2</v>
      </c>
      <c r="E31" s="3" t="s">
        <v>16</v>
      </c>
      <c r="F31" s="3" t="s">
        <v>291</v>
      </c>
      <c r="G31" s="3" t="s">
        <v>26</v>
      </c>
      <c r="H31" s="3" t="s">
        <v>40</v>
      </c>
    </row>
    <row r="32" spans="1:8" x14ac:dyDescent="0.2">
      <c r="A32" s="3">
        <v>3080105004</v>
      </c>
      <c r="B32" s="4" t="s">
        <v>50</v>
      </c>
      <c r="C32" s="4" t="s">
        <v>54</v>
      </c>
      <c r="D32" s="3">
        <v>6</v>
      </c>
      <c r="E32" s="3" t="s">
        <v>16</v>
      </c>
      <c r="F32" s="3" t="s">
        <v>289</v>
      </c>
      <c r="G32" s="3" t="s">
        <v>23</v>
      </c>
      <c r="H32" s="3" t="s">
        <v>40</v>
      </c>
    </row>
    <row r="33" spans="1:8" x14ac:dyDescent="0.2">
      <c r="A33" s="3">
        <v>3080105114</v>
      </c>
      <c r="B33" s="4" t="s">
        <v>50</v>
      </c>
      <c r="C33" s="4" t="s">
        <v>53</v>
      </c>
      <c r="D33" s="3">
        <v>5</v>
      </c>
      <c r="E33" s="3" t="s">
        <v>16</v>
      </c>
      <c r="F33" s="3" t="s">
        <v>289</v>
      </c>
      <c r="G33" s="3" t="s">
        <v>23</v>
      </c>
      <c r="H33" s="3" t="s">
        <v>40</v>
      </c>
    </row>
    <row r="34" spans="1:8" x14ac:dyDescent="0.2">
      <c r="A34" s="3">
        <v>3080105114</v>
      </c>
      <c r="B34" s="4" t="s">
        <v>50</v>
      </c>
      <c r="C34" s="4" t="s">
        <v>53</v>
      </c>
      <c r="D34" s="3">
        <v>4</v>
      </c>
      <c r="E34" s="3" t="s">
        <v>16</v>
      </c>
      <c r="F34" s="3" t="s">
        <v>289</v>
      </c>
      <c r="G34" s="3" t="s">
        <v>23</v>
      </c>
      <c r="H34" s="3" t="s">
        <v>40</v>
      </c>
    </row>
    <row r="35" spans="1:8" x14ac:dyDescent="0.2">
      <c r="A35" s="3">
        <v>3080105040</v>
      </c>
      <c r="B35" s="4" t="s">
        <v>50</v>
      </c>
      <c r="C35" s="4" t="s">
        <v>421</v>
      </c>
      <c r="D35" s="3">
        <v>12</v>
      </c>
      <c r="E35" s="3" t="s">
        <v>16</v>
      </c>
      <c r="F35" s="3" t="s">
        <v>293</v>
      </c>
      <c r="G35" s="3" t="s">
        <v>29</v>
      </c>
      <c r="H35" s="3" t="s">
        <v>40</v>
      </c>
    </row>
    <row r="36" spans="1:8" x14ac:dyDescent="0.2">
      <c r="A36" s="3">
        <v>3080105015</v>
      </c>
      <c r="B36" s="4" t="s">
        <v>50</v>
      </c>
      <c r="C36" s="4" t="s">
        <v>422</v>
      </c>
      <c r="D36" s="3">
        <v>8</v>
      </c>
      <c r="E36" s="3" t="s">
        <v>16</v>
      </c>
      <c r="F36" s="3" t="s">
        <v>293</v>
      </c>
      <c r="G36" s="3" t="s">
        <v>29</v>
      </c>
      <c r="H36" s="3" t="s">
        <v>40</v>
      </c>
    </row>
    <row r="37" spans="1:8" x14ac:dyDescent="0.2">
      <c r="A37" s="3">
        <v>3080105088</v>
      </c>
      <c r="B37" s="4" t="s">
        <v>50</v>
      </c>
      <c r="C37" s="4" t="s">
        <v>423</v>
      </c>
      <c r="D37" s="3">
        <v>2</v>
      </c>
      <c r="E37" s="3" t="s">
        <v>16</v>
      </c>
      <c r="F37" s="3" t="s">
        <v>293</v>
      </c>
      <c r="G37" s="3" t="s">
        <v>29</v>
      </c>
      <c r="H37" s="3" t="s">
        <v>40</v>
      </c>
    </row>
    <row r="38" spans="1:8" x14ac:dyDescent="0.2">
      <c r="A38" s="3">
        <v>3080105008</v>
      </c>
      <c r="B38" s="4" t="s">
        <v>50</v>
      </c>
      <c r="C38" s="4" t="s">
        <v>424</v>
      </c>
      <c r="D38" s="3">
        <v>8</v>
      </c>
      <c r="E38" s="3" t="s">
        <v>16</v>
      </c>
      <c r="F38" s="3" t="s">
        <v>293</v>
      </c>
      <c r="G38" s="3" t="s">
        <v>29</v>
      </c>
      <c r="H38" s="3" t="s">
        <v>40</v>
      </c>
    </row>
    <row r="39" spans="1:8" x14ac:dyDescent="0.2">
      <c r="A39" s="3">
        <v>3080105093</v>
      </c>
      <c r="B39" s="4" t="s">
        <v>50</v>
      </c>
      <c r="C39" s="4" t="s">
        <v>797</v>
      </c>
      <c r="D39" s="3">
        <v>6</v>
      </c>
      <c r="E39" s="3" t="s">
        <v>16</v>
      </c>
      <c r="F39" s="3" t="s">
        <v>794</v>
      </c>
      <c r="G39" s="3" t="s">
        <v>795</v>
      </c>
      <c r="H39" s="3" t="s">
        <v>40</v>
      </c>
    </row>
    <row r="40" spans="1:8" x14ac:dyDescent="0.2">
      <c r="A40" s="3">
        <v>3080105026</v>
      </c>
      <c r="B40" s="4" t="s">
        <v>50</v>
      </c>
      <c r="C40" s="4" t="s">
        <v>798</v>
      </c>
      <c r="D40" s="3">
        <v>8</v>
      </c>
      <c r="E40" s="3" t="s">
        <v>16</v>
      </c>
      <c r="F40" s="3" t="s">
        <v>794</v>
      </c>
      <c r="G40" s="3" t="s">
        <v>795</v>
      </c>
      <c r="H40" s="3" t="s">
        <v>40</v>
      </c>
    </row>
    <row r="41" spans="1:8" x14ac:dyDescent="0.2">
      <c r="A41" s="3">
        <v>3080105121</v>
      </c>
      <c r="B41" s="4" t="s">
        <v>50</v>
      </c>
      <c r="C41" s="4" t="s">
        <v>316</v>
      </c>
      <c r="D41" s="3">
        <v>2</v>
      </c>
      <c r="E41" s="3" t="s">
        <v>16</v>
      </c>
      <c r="F41" s="3" t="s">
        <v>317</v>
      </c>
      <c r="G41" s="3" t="s">
        <v>318</v>
      </c>
      <c r="H41" s="3" t="s">
        <v>40</v>
      </c>
    </row>
    <row r="42" spans="1:8" x14ac:dyDescent="0.2">
      <c r="A42" s="3">
        <v>3080105021</v>
      </c>
      <c r="B42" s="4" t="s">
        <v>50</v>
      </c>
      <c r="C42" s="4" t="s">
        <v>319</v>
      </c>
      <c r="D42" s="3">
        <v>8</v>
      </c>
      <c r="E42" s="3" t="s">
        <v>16</v>
      </c>
      <c r="F42" s="3" t="s">
        <v>317</v>
      </c>
      <c r="G42" s="3" t="s">
        <v>318</v>
      </c>
      <c r="H42" s="3" t="s">
        <v>40</v>
      </c>
    </row>
    <row r="43" spans="1:8" x14ac:dyDescent="0.2">
      <c r="A43" s="3">
        <v>3080105114</v>
      </c>
      <c r="B43" s="4" t="s">
        <v>50</v>
      </c>
      <c r="C43" s="4" t="s">
        <v>53</v>
      </c>
      <c r="D43" s="3">
        <v>6</v>
      </c>
      <c r="E43" s="3" t="s">
        <v>16</v>
      </c>
      <c r="F43" s="3" t="s">
        <v>702</v>
      </c>
      <c r="G43" s="3" t="s">
        <v>703</v>
      </c>
      <c r="H43" s="3" t="s">
        <v>40</v>
      </c>
    </row>
    <row r="44" spans="1:8" x14ac:dyDescent="0.2">
      <c r="A44" s="3">
        <v>3080105114</v>
      </c>
      <c r="B44" s="4" t="s">
        <v>50</v>
      </c>
      <c r="C44" s="4" t="s">
        <v>53</v>
      </c>
      <c r="D44" s="3">
        <v>3</v>
      </c>
      <c r="E44" s="3" t="s">
        <v>16</v>
      </c>
      <c r="F44" s="3" t="s">
        <v>702</v>
      </c>
      <c r="G44" s="3" t="s">
        <v>703</v>
      </c>
      <c r="H44" s="3" t="s">
        <v>40</v>
      </c>
    </row>
    <row r="45" spans="1:8" x14ac:dyDescent="0.2">
      <c r="A45" s="3">
        <v>3080104055</v>
      </c>
      <c r="B45" s="4" t="s">
        <v>50</v>
      </c>
      <c r="C45" s="4" t="s">
        <v>425</v>
      </c>
      <c r="D45" s="3">
        <v>2</v>
      </c>
      <c r="E45" s="3" t="s">
        <v>16</v>
      </c>
      <c r="F45" s="3" t="s">
        <v>291</v>
      </c>
      <c r="G45" s="3" t="s">
        <v>26</v>
      </c>
      <c r="H45" s="3" t="s">
        <v>40</v>
      </c>
    </row>
    <row r="46" spans="1:8" x14ac:dyDescent="0.2">
      <c r="A46" s="3">
        <v>3080105040</v>
      </c>
      <c r="B46" s="4" t="s">
        <v>50</v>
      </c>
      <c r="C46" s="4" t="s">
        <v>421</v>
      </c>
      <c r="D46" s="3">
        <v>2</v>
      </c>
      <c r="E46" s="3" t="s">
        <v>16</v>
      </c>
      <c r="F46" s="3" t="s">
        <v>291</v>
      </c>
      <c r="G46" s="3" t="s">
        <v>26</v>
      </c>
      <c r="H46" s="3" t="s">
        <v>40</v>
      </c>
    </row>
    <row r="47" spans="1:8" x14ac:dyDescent="0.2">
      <c r="A47" s="3">
        <v>3080502002</v>
      </c>
      <c r="B47" s="4" t="s">
        <v>55</v>
      </c>
      <c r="C47" s="4" t="s">
        <v>56</v>
      </c>
      <c r="D47" s="3">
        <v>1</v>
      </c>
      <c r="E47" s="3" t="s">
        <v>16</v>
      </c>
      <c r="F47" s="3" t="s">
        <v>317</v>
      </c>
      <c r="G47" s="3" t="s">
        <v>318</v>
      </c>
      <c r="H47" s="3" t="s">
        <v>40</v>
      </c>
    </row>
    <row r="48" spans="1:8" x14ac:dyDescent="0.2">
      <c r="A48" s="3">
        <v>3080502003</v>
      </c>
      <c r="B48" s="4" t="s">
        <v>55</v>
      </c>
      <c r="C48" s="4" t="s">
        <v>426</v>
      </c>
      <c r="D48" s="3">
        <v>2</v>
      </c>
      <c r="E48" s="3" t="s">
        <v>16</v>
      </c>
      <c r="F48" s="3" t="s">
        <v>291</v>
      </c>
      <c r="G48" s="3" t="s">
        <v>26</v>
      </c>
      <c r="H48" s="3" t="s">
        <v>40</v>
      </c>
    </row>
    <row r="49" spans="1:8" x14ac:dyDescent="0.2">
      <c r="A49" s="3">
        <v>3080201012</v>
      </c>
      <c r="B49" s="4" t="s">
        <v>60</v>
      </c>
      <c r="C49" s="4" t="s">
        <v>320</v>
      </c>
      <c r="D49" s="3">
        <v>2</v>
      </c>
      <c r="E49" s="3" t="s">
        <v>16</v>
      </c>
      <c r="F49" s="3" t="s">
        <v>289</v>
      </c>
      <c r="G49" s="3" t="s">
        <v>23</v>
      </c>
      <c r="H49" s="3" t="s">
        <v>40</v>
      </c>
    </row>
    <row r="50" spans="1:8" x14ac:dyDescent="0.2">
      <c r="A50" s="3">
        <v>3080201012</v>
      </c>
      <c r="B50" s="4" t="s">
        <v>60</v>
      </c>
      <c r="C50" s="4" t="s">
        <v>320</v>
      </c>
      <c r="D50" s="3">
        <v>1</v>
      </c>
      <c r="E50" s="3" t="s">
        <v>16</v>
      </c>
      <c r="F50" s="3" t="s">
        <v>317</v>
      </c>
      <c r="G50" s="3" t="s">
        <v>318</v>
      </c>
      <c r="H50" s="3" t="s">
        <v>40</v>
      </c>
    </row>
    <row r="51" spans="1:8" x14ac:dyDescent="0.2">
      <c r="A51" s="3">
        <v>3080201005</v>
      </c>
      <c r="B51" s="4" t="s">
        <v>60</v>
      </c>
      <c r="C51" s="4" t="s">
        <v>427</v>
      </c>
      <c r="D51" s="3">
        <v>1</v>
      </c>
      <c r="E51" s="3" t="s">
        <v>16</v>
      </c>
      <c r="F51" s="3" t="s">
        <v>291</v>
      </c>
      <c r="G51" s="3" t="s">
        <v>26</v>
      </c>
      <c r="H51" s="3" t="s">
        <v>40</v>
      </c>
    </row>
    <row r="52" spans="1:8" x14ac:dyDescent="0.2">
      <c r="A52" s="3">
        <v>3080201006</v>
      </c>
      <c r="B52" s="4" t="s">
        <v>60</v>
      </c>
      <c r="C52" s="4" t="s">
        <v>428</v>
      </c>
      <c r="D52" s="3">
        <v>1</v>
      </c>
      <c r="E52" s="3" t="s">
        <v>16</v>
      </c>
      <c r="F52" s="3" t="s">
        <v>291</v>
      </c>
      <c r="G52" s="3" t="s">
        <v>26</v>
      </c>
      <c r="H52" s="3" t="s">
        <v>40</v>
      </c>
    </row>
    <row r="53" spans="1:8" x14ac:dyDescent="0.2">
      <c r="A53" s="3">
        <v>3080107284</v>
      </c>
      <c r="B53" s="4" t="s">
        <v>69</v>
      </c>
      <c r="C53" s="4" t="s">
        <v>706</v>
      </c>
      <c r="D53" s="3">
        <v>1</v>
      </c>
      <c r="E53" s="3" t="s">
        <v>16</v>
      </c>
      <c r="F53" s="3" t="s">
        <v>289</v>
      </c>
      <c r="G53" s="3" t="s">
        <v>23</v>
      </c>
      <c r="H53" s="3" t="s">
        <v>40</v>
      </c>
    </row>
    <row r="54" spans="1:8" x14ac:dyDescent="0.2">
      <c r="A54" s="3">
        <v>3080107111</v>
      </c>
      <c r="B54" s="4" t="s">
        <v>69</v>
      </c>
      <c r="C54" s="4" t="s">
        <v>787</v>
      </c>
      <c r="D54" s="3">
        <v>1</v>
      </c>
      <c r="E54" s="3" t="s">
        <v>16</v>
      </c>
      <c r="F54" s="3" t="s">
        <v>289</v>
      </c>
      <c r="G54" s="3" t="s">
        <v>23</v>
      </c>
      <c r="H54" s="3" t="s">
        <v>40</v>
      </c>
    </row>
    <row r="55" spans="1:8" x14ac:dyDescent="0.2">
      <c r="A55" s="3">
        <v>3080107112</v>
      </c>
      <c r="B55" s="4" t="s">
        <v>69</v>
      </c>
      <c r="C55" s="4" t="s">
        <v>705</v>
      </c>
      <c r="D55" s="3">
        <v>2</v>
      </c>
      <c r="E55" s="3" t="s">
        <v>16</v>
      </c>
      <c r="F55" s="3" t="s">
        <v>289</v>
      </c>
      <c r="G55" s="3" t="s">
        <v>23</v>
      </c>
      <c r="H55" s="3" t="s">
        <v>40</v>
      </c>
    </row>
    <row r="56" spans="1:8" x14ac:dyDescent="0.2">
      <c r="A56" s="3">
        <v>3080107034</v>
      </c>
      <c r="B56" s="4" t="s">
        <v>69</v>
      </c>
      <c r="C56" s="4" t="s">
        <v>429</v>
      </c>
      <c r="D56" s="3">
        <v>2</v>
      </c>
      <c r="E56" s="3" t="s">
        <v>16</v>
      </c>
      <c r="F56" s="3" t="s">
        <v>295</v>
      </c>
      <c r="G56" s="3" t="s">
        <v>17</v>
      </c>
      <c r="H56" s="3" t="s">
        <v>40</v>
      </c>
    </row>
    <row r="57" spans="1:8" x14ac:dyDescent="0.2">
      <c r="A57" s="3">
        <v>3080107034</v>
      </c>
      <c r="B57" s="4" t="s">
        <v>69</v>
      </c>
      <c r="C57" s="4" t="s">
        <v>429</v>
      </c>
      <c r="D57" s="3">
        <v>6</v>
      </c>
      <c r="E57" s="3" t="s">
        <v>16</v>
      </c>
      <c r="F57" s="3" t="s">
        <v>295</v>
      </c>
      <c r="G57" s="3" t="s">
        <v>17</v>
      </c>
      <c r="H57" s="3" t="s">
        <v>40</v>
      </c>
    </row>
    <row r="58" spans="1:8" x14ac:dyDescent="0.2">
      <c r="A58" s="3">
        <v>3080107002</v>
      </c>
      <c r="B58" s="4" t="s">
        <v>69</v>
      </c>
      <c r="C58" s="4" t="s">
        <v>430</v>
      </c>
      <c r="D58" s="3">
        <v>4</v>
      </c>
      <c r="E58" s="3" t="s">
        <v>16</v>
      </c>
      <c r="F58" s="3" t="s">
        <v>295</v>
      </c>
      <c r="G58" s="3" t="s">
        <v>17</v>
      </c>
      <c r="H58" s="3" t="s">
        <v>40</v>
      </c>
    </row>
    <row r="59" spans="1:8" x14ac:dyDescent="0.2">
      <c r="A59" s="3">
        <v>3080107052</v>
      </c>
      <c r="B59" s="4" t="s">
        <v>69</v>
      </c>
      <c r="C59" s="4" t="s">
        <v>431</v>
      </c>
      <c r="D59" s="3">
        <v>1</v>
      </c>
      <c r="E59" s="3" t="s">
        <v>16</v>
      </c>
      <c r="F59" s="3" t="s">
        <v>295</v>
      </c>
      <c r="G59" s="3" t="s">
        <v>17</v>
      </c>
      <c r="H59" s="3" t="s">
        <v>40</v>
      </c>
    </row>
    <row r="60" spans="1:8" x14ac:dyDescent="0.2">
      <c r="A60" s="3">
        <v>3080107160</v>
      </c>
      <c r="B60" s="4" t="s">
        <v>69</v>
      </c>
      <c r="C60" s="4" t="s">
        <v>432</v>
      </c>
      <c r="D60" s="3">
        <v>4</v>
      </c>
      <c r="E60" s="3" t="s">
        <v>16</v>
      </c>
      <c r="F60" s="3" t="s">
        <v>293</v>
      </c>
      <c r="G60" s="3" t="s">
        <v>29</v>
      </c>
      <c r="H60" s="3" t="s">
        <v>40</v>
      </c>
    </row>
    <row r="61" spans="1:8" x14ac:dyDescent="0.2">
      <c r="A61" s="3">
        <v>3080107149</v>
      </c>
      <c r="B61" s="4" t="s">
        <v>69</v>
      </c>
      <c r="C61" s="4" t="s">
        <v>799</v>
      </c>
      <c r="D61" s="3">
        <v>2</v>
      </c>
      <c r="E61" s="3" t="s">
        <v>16</v>
      </c>
      <c r="F61" s="3" t="s">
        <v>794</v>
      </c>
      <c r="G61" s="3" t="s">
        <v>795</v>
      </c>
      <c r="H61" s="3" t="s">
        <v>40</v>
      </c>
    </row>
    <row r="62" spans="1:8" x14ac:dyDescent="0.2">
      <c r="A62" s="3">
        <v>3080107284</v>
      </c>
      <c r="B62" s="4" t="s">
        <v>69</v>
      </c>
      <c r="C62" s="4" t="s">
        <v>706</v>
      </c>
      <c r="D62" s="3">
        <v>1</v>
      </c>
      <c r="E62" s="3" t="s">
        <v>16</v>
      </c>
      <c r="F62" s="3" t="s">
        <v>317</v>
      </c>
      <c r="G62" s="3" t="s">
        <v>318</v>
      </c>
      <c r="H62" s="3" t="s">
        <v>40</v>
      </c>
    </row>
    <row r="63" spans="1:8" x14ac:dyDescent="0.2">
      <c r="A63" s="3">
        <v>3080107308</v>
      </c>
      <c r="B63" s="4" t="s">
        <v>69</v>
      </c>
      <c r="C63" s="4" t="s">
        <v>433</v>
      </c>
      <c r="D63" s="3">
        <v>2</v>
      </c>
      <c r="E63" s="3" t="s">
        <v>16</v>
      </c>
      <c r="F63" s="3" t="s">
        <v>291</v>
      </c>
      <c r="G63" s="3" t="s">
        <v>26</v>
      </c>
      <c r="H63" s="3" t="s">
        <v>40</v>
      </c>
    </row>
    <row r="64" spans="1:8" x14ac:dyDescent="0.2">
      <c r="A64" s="3">
        <v>3080107305</v>
      </c>
      <c r="B64" s="4" t="s">
        <v>69</v>
      </c>
      <c r="C64" s="4" t="s">
        <v>434</v>
      </c>
      <c r="D64" s="3">
        <v>2</v>
      </c>
      <c r="E64" s="3" t="s">
        <v>16</v>
      </c>
      <c r="F64" s="3" t="s">
        <v>291</v>
      </c>
      <c r="G64" s="3" t="s">
        <v>26</v>
      </c>
      <c r="H64" s="3" t="s">
        <v>40</v>
      </c>
    </row>
    <row r="65" spans="1:8" x14ac:dyDescent="0.2">
      <c r="A65" s="3">
        <v>3080107072</v>
      </c>
      <c r="B65" s="4" t="s">
        <v>69</v>
      </c>
      <c r="C65" s="4" t="s">
        <v>435</v>
      </c>
      <c r="D65" s="3">
        <v>4</v>
      </c>
      <c r="E65" s="3" t="s">
        <v>16</v>
      </c>
      <c r="F65" s="3" t="s">
        <v>291</v>
      </c>
      <c r="G65" s="3" t="s">
        <v>26</v>
      </c>
      <c r="H65" s="3" t="s">
        <v>40</v>
      </c>
    </row>
    <row r="66" spans="1:8" x14ac:dyDescent="0.2">
      <c r="A66" s="3">
        <v>3080107094</v>
      </c>
      <c r="B66" s="4" t="s">
        <v>69</v>
      </c>
      <c r="C66" s="4" t="s">
        <v>436</v>
      </c>
      <c r="D66" s="3">
        <v>2</v>
      </c>
      <c r="E66" s="3" t="s">
        <v>16</v>
      </c>
      <c r="F66" s="3" t="s">
        <v>291</v>
      </c>
      <c r="G66" s="3" t="s">
        <v>26</v>
      </c>
      <c r="H66" s="3" t="s">
        <v>40</v>
      </c>
    </row>
    <row r="67" spans="1:8" x14ac:dyDescent="0.2">
      <c r="A67" s="3">
        <v>3080108025</v>
      </c>
      <c r="B67" s="4" t="s">
        <v>77</v>
      </c>
      <c r="C67" s="4" t="s">
        <v>437</v>
      </c>
      <c r="D67" s="3">
        <v>7</v>
      </c>
      <c r="E67" s="3" t="s">
        <v>16</v>
      </c>
      <c r="F67" s="3" t="s">
        <v>295</v>
      </c>
      <c r="G67" s="3" t="s">
        <v>17</v>
      </c>
      <c r="H67" s="3" t="s">
        <v>40</v>
      </c>
    </row>
    <row r="68" spans="1:8" x14ac:dyDescent="0.2">
      <c r="A68" s="3">
        <v>3080108033</v>
      </c>
      <c r="B68" s="4" t="s">
        <v>77</v>
      </c>
      <c r="C68" s="4" t="s">
        <v>438</v>
      </c>
      <c r="D68" s="3">
        <v>4</v>
      </c>
      <c r="E68" s="3" t="s">
        <v>16</v>
      </c>
      <c r="F68" s="3" t="s">
        <v>291</v>
      </c>
      <c r="G68" s="3" t="s">
        <v>26</v>
      </c>
      <c r="H68" s="3" t="s">
        <v>40</v>
      </c>
    </row>
    <row r="69" spans="1:8" x14ac:dyDescent="0.2">
      <c r="A69" s="3">
        <v>3080403001</v>
      </c>
      <c r="B69" s="4" t="s">
        <v>439</v>
      </c>
      <c r="C69" s="4" t="s">
        <v>440</v>
      </c>
      <c r="D69" s="3">
        <v>1</v>
      </c>
      <c r="E69" s="3" t="s">
        <v>16</v>
      </c>
      <c r="F69" s="3" t="s">
        <v>295</v>
      </c>
      <c r="G69" s="3" t="s">
        <v>17</v>
      </c>
      <c r="H69" s="3" t="s">
        <v>40</v>
      </c>
    </row>
    <row r="70" spans="1:8" x14ac:dyDescent="0.2">
      <c r="A70" s="3">
        <v>3080109002</v>
      </c>
      <c r="B70" s="4" t="s">
        <v>441</v>
      </c>
      <c r="C70" s="4" t="s">
        <v>442</v>
      </c>
      <c r="D70" s="3">
        <v>2</v>
      </c>
      <c r="E70" s="3" t="s">
        <v>16</v>
      </c>
      <c r="F70" s="3" t="s">
        <v>295</v>
      </c>
      <c r="G70" s="3" t="s">
        <v>17</v>
      </c>
      <c r="H70" s="3" t="s">
        <v>40</v>
      </c>
    </row>
    <row r="71" spans="1:8" x14ac:dyDescent="0.2">
      <c r="A71" s="3">
        <v>3080111012</v>
      </c>
      <c r="B71" s="4" t="s">
        <v>79</v>
      </c>
      <c r="C71" s="4" t="s">
        <v>443</v>
      </c>
      <c r="D71" s="3">
        <v>2</v>
      </c>
      <c r="E71" s="3" t="s">
        <v>16</v>
      </c>
      <c r="F71" s="3" t="s">
        <v>295</v>
      </c>
      <c r="G71" s="3" t="s">
        <v>17</v>
      </c>
      <c r="H71" s="3" t="s">
        <v>40</v>
      </c>
    </row>
    <row r="72" spans="1:8" x14ac:dyDescent="0.2">
      <c r="A72" s="3">
        <v>3080111006</v>
      </c>
      <c r="B72" s="4" t="s">
        <v>79</v>
      </c>
      <c r="C72" s="4" t="s">
        <v>444</v>
      </c>
      <c r="D72" s="3">
        <v>1</v>
      </c>
      <c r="E72" s="3" t="s">
        <v>16</v>
      </c>
      <c r="F72" s="3" t="s">
        <v>295</v>
      </c>
      <c r="G72" s="3" t="s">
        <v>17</v>
      </c>
      <c r="H72" s="3" t="s">
        <v>40</v>
      </c>
    </row>
    <row r="73" spans="1:8" x14ac:dyDescent="0.2">
      <c r="A73" s="3">
        <v>3080111004</v>
      </c>
      <c r="B73" s="4" t="s">
        <v>79</v>
      </c>
      <c r="C73" s="4" t="s">
        <v>445</v>
      </c>
      <c r="D73" s="3">
        <v>2</v>
      </c>
      <c r="E73" s="3" t="s">
        <v>16</v>
      </c>
      <c r="F73" s="3" t="s">
        <v>293</v>
      </c>
      <c r="G73" s="3" t="s">
        <v>29</v>
      </c>
      <c r="H73" s="3" t="s">
        <v>40</v>
      </c>
    </row>
    <row r="74" spans="1:8" x14ac:dyDescent="0.2">
      <c r="A74" s="3">
        <v>3080111062</v>
      </c>
      <c r="B74" s="4" t="s">
        <v>79</v>
      </c>
      <c r="C74" s="4" t="s">
        <v>800</v>
      </c>
      <c r="D74" s="3">
        <v>4</v>
      </c>
      <c r="E74" s="3" t="s">
        <v>16</v>
      </c>
      <c r="F74" s="3" t="s">
        <v>794</v>
      </c>
      <c r="G74" s="3" t="s">
        <v>795</v>
      </c>
      <c r="H74" s="3" t="s">
        <v>40</v>
      </c>
    </row>
    <row r="75" spans="1:8" x14ac:dyDescent="0.2">
      <c r="A75" s="3">
        <v>3080111087</v>
      </c>
      <c r="B75" s="4" t="s">
        <v>79</v>
      </c>
      <c r="C75" s="4" t="s">
        <v>80</v>
      </c>
      <c r="D75" s="3">
        <v>7</v>
      </c>
      <c r="E75" s="3" t="s">
        <v>16</v>
      </c>
      <c r="F75" s="3" t="s">
        <v>291</v>
      </c>
      <c r="G75" s="3" t="s">
        <v>26</v>
      </c>
      <c r="H75" s="3" t="s">
        <v>40</v>
      </c>
    </row>
    <row r="76" spans="1:8" x14ac:dyDescent="0.2">
      <c r="A76" s="3">
        <v>3080111087</v>
      </c>
      <c r="B76" s="4" t="s">
        <v>79</v>
      </c>
      <c r="C76" s="4" t="s">
        <v>80</v>
      </c>
      <c r="D76" s="3">
        <v>9</v>
      </c>
      <c r="E76" s="3" t="s">
        <v>16</v>
      </c>
      <c r="F76" s="3" t="s">
        <v>291</v>
      </c>
      <c r="G76" s="3" t="s">
        <v>26</v>
      </c>
      <c r="H76" s="3" t="s">
        <v>40</v>
      </c>
    </row>
    <row r="77" spans="1:8" x14ac:dyDescent="0.2">
      <c r="A77" s="3">
        <v>3080111087</v>
      </c>
      <c r="B77" s="4" t="s">
        <v>79</v>
      </c>
      <c r="C77" s="4" t="s">
        <v>80</v>
      </c>
      <c r="D77" s="3">
        <v>4</v>
      </c>
      <c r="E77" s="3" t="s">
        <v>16</v>
      </c>
      <c r="F77" s="3" t="s">
        <v>291</v>
      </c>
      <c r="G77" s="3" t="s">
        <v>26</v>
      </c>
      <c r="H77" s="3" t="s">
        <v>40</v>
      </c>
    </row>
    <row r="78" spans="1:8" x14ac:dyDescent="0.2">
      <c r="A78" s="3">
        <v>3080111015</v>
      </c>
      <c r="B78" s="4" t="s">
        <v>79</v>
      </c>
      <c r="C78" s="4" t="s">
        <v>446</v>
      </c>
      <c r="D78" s="3">
        <v>4</v>
      </c>
      <c r="E78" s="3" t="s">
        <v>16</v>
      </c>
      <c r="F78" s="3" t="s">
        <v>291</v>
      </c>
      <c r="G78" s="3" t="s">
        <v>26</v>
      </c>
      <c r="H78" s="3" t="s">
        <v>40</v>
      </c>
    </row>
    <row r="79" spans="1:8" x14ac:dyDescent="0.2">
      <c r="A79" s="3">
        <v>407030049</v>
      </c>
      <c r="B79" s="4" t="s">
        <v>81</v>
      </c>
      <c r="C79" s="4" t="s">
        <v>777</v>
      </c>
      <c r="D79" s="3">
        <v>1</v>
      </c>
      <c r="E79" s="3" t="s">
        <v>16</v>
      </c>
      <c r="F79" s="3" t="s">
        <v>301</v>
      </c>
      <c r="G79" s="3" t="s">
        <v>32</v>
      </c>
      <c r="H79" s="3" t="s">
        <v>40</v>
      </c>
    </row>
    <row r="80" spans="1:8" x14ac:dyDescent="0.2">
      <c r="A80" s="3">
        <v>3099990501</v>
      </c>
      <c r="B80" s="4" t="s">
        <v>708</v>
      </c>
      <c r="C80" s="4" t="s">
        <v>105</v>
      </c>
      <c r="D80" s="3">
        <v>1</v>
      </c>
      <c r="E80" s="3" t="s">
        <v>16</v>
      </c>
      <c r="F80" s="3" t="s">
        <v>709</v>
      </c>
      <c r="G80" s="3" t="s">
        <v>710</v>
      </c>
      <c r="H80" s="3" t="s">
        <v>103</v>
      </c>
    </row>
    <row r="81" spans="1:8" x14ac:dyDescent="0.2">
      <c r="A81" s="3">
        <v>3099990104</v>
      </c>
      <c r="B81" s="4" t="s">
        <v>104</v>
      </c>
      <c r="C81" s="4" t="s">
        <v>448</v>
      </c>
      <c r="D81" s="3">
        <v>1</v>
      </c>
      <c r="E81" s="3" t="s">
        <v>16</v>
      </c>
      <c r="F81" s="3" t="s">
        <v>299</v>
      </c>
      <c r="G81" s="3" t="s">
        <v>106</v>
      </c>
      <c r="H81" s="3" t="s">
        <v>103</v>
      </c>
    </row>
    <row r="82" spans="1:8" x14ac:dyDescent="0.2">
      <c r="A82" s="3">
        <v>3099990704</v>
      </c>
      <c r="B82" s="4" t="s">
        <v>449</v>
      </c>
      <c r="C82" s="4" t="s">
        <v>450</v>
      </c>
      <c r="D82" s="3">
        <v>1</v>
      </c>
      <c r="E82" s="3" t="s">
        <v>16</v>
      </c>
      <c r="F82" s="3" t="s">
        <v>299</v>
      </c>
      <c r="G82" s="3" t="s">
        <v>106</v>
      </c>
      <c r="H82" s="3" t="s">
        <v>103</v>
      </c>
    </row>
    <row r="83" spans="1:8" x14ac:dyDescent="0.2">
      <c r="A83" s="3">
        <v>3099990604</v>
      </c>
      <c r="B83" s="4" t="s">
        <v>451</v>
      </c>
      <c r="C83" s="4" t="s">
        <v>450</v>
      </c>
      <c r="D83" s="3">
        <v>1</v>
      </c>
      <c r="E83" s="3" t="s">
        <v>16</v>
      </c>
      <c r="F83" s="3" t="s">
        <v>299</v>
      </c>
      <c r="G83" s="3" t="s">
        <v>106</v>
      </c>
      <c r="H83" s="3" t="s">
        <v>103</v>
      </c>
    </row>
    <row r="84" spans="1:8" x14ac:dyDescent="0.2">
      <c r="A84" s="3">
        <v>402030027</v>
      </c>
      <c r="B84" s="4" t="s">
        <v>107</v>
      </c>
      <c r="C84" s="4" t="s">
        <v>110</v>
      </c>
      <c r="D84" s="3">
        <v>1</v>
      </c>
      <c r="E84" s="3" t="s">
        <v>16</v>
      </c>
      <c r="F84" s="3" t="s">
        <v>291</v>
      </c>
      <c r="G84" s="3" t="s">
        <v>26</v>
      </c>
      <c r="H84" s="3" t="s">
        <v>109</v>
      </c>
    </row>
    <row r="85" spans="1:8" x14ac:dyDescent="0.2">
      <c r="A85" s="3">
        <v>403030033</v>
      </c>
      <c r="B85" s="4" t="s">
        <v>801</v>
      </c>
      <c r="C85" s="4" t="s">
        <v>802</v>
      </c>
      <c r="D85" s="3">
        <v>1</v>
      </c>
      <c r="E85" s="3" t="s">
        <v>16</v>
      </c>
      <c r="F85" s="3" t="s">
        <v>291</v>
      </c>
      <c r="G85" s="3" t="s">
        <v>26</v>
      </c>
      <c r="H85" s="3" t="s">
        <v>109</v>
      </c>
    </row>
    <row r="86" spans="1:8" x14ac:dyDescent="0.2">
      <c r="A86" s="3">
        <v>402020002</v>
      </c>
      <c r="B86" s="4" t="s">
        <v>111</v>
      </c>
      <c r="C86" s="4" t="s">
        <v>452</v>
      </c>
      <c r="D86" s="3">
        <v>2</v>
      </c>
      <c r="E86" s="3" t="s">
        <v>16</v>
      </c>
      <c r="F86" s="3" t="s">
        <v>293</v>
      </c>
      <c r="G86" s="3" t="s">
        <v>29</v>
      </c>
      <c r="H86" s="3" t="s">
        <v>109</v>
      </c>
    </row>
    <row r="87" spans="1:8" x14ac:dyDescent="0.2">
      <c r="A87" s="3">
        <v>3060210001</v>
      </c>
      <c r="B87" s="4" t="s">
        <v>711</v>
      </c>
      <c r="C87" s="4" t="s">
        <v>712</v>
      </c>
      <c r="D87" s="3">
        <v>4</v>
      </c>
      <c r="E87" s="3" t="s">
        <v>16</v>
      </c>
      <c r="F87" s="3" t="s">
        <v>289</v>
      </c>
      <c r="G87" s="3" t="s">
        <v>23</v>
      </c>
      <c r="H87" s="3" t="s">
        <v>115</v>
      </c>
    </row>
    <row r="88" spans="1:8" x14ac:dyDescent="0.2">
      <c r="A88" s="3">
        <v>3040216001</v>
      </c>
      <c r="B88" s="4" t="s">
        <v>328</v>
      </c>
      <c r="C88" s="4" t="s">
        <v>329</v>
      </c>
      <c r="D88" s="3">
        <v>4</v>
      </c>
      <c r="E88" s="3" t="s">
        <v>16</v>
      </c>
      <c r="F88" s="3" t="s">
        <v>293</v>
      </c>
      <c r="G88" s="3" t="s">
        <v>29</v>
      </c>
      <c r="H88" s="3" t="s">
        <v>115</v>
      </c>
    </row>
    <row r="89" spans="1:8" x14ac:dyDescent="0.2">
      <c r="A89" s="3">
        <v>3030204017</v>
      </c>
      <c r="B89" s="4" t="s">
        <v>453</v>
      </c>
      <c r="C89" s="4" t="s">
        <v>454</v>
      </c>
      <c r="D89" s="3">
        <v>1</v>
      </c>
      <c r="E89" s="3" t="s">
        <v>16</v>
      </c>
      <c r="F89" s="3" t="s">
        <v>295</v>
      </c>
      <c r="G89" s="3" t="s">
        <v>17</v>
      </c>
      <c r="H89" s="3" t="s">
        <v>115</v>
      </c>
    </row>
    <row r="90" spans="1:8" x14ac:dyDescent="0.2">
      <c r="A90" s="3">
        <v>3030204005</v>
      </c>
      <c r="B90" s="4" t="s">
        <v>455</v>
      </c>
      <c r="C90" s="4" t="s">
        <v>456</v>
      </c>
      <c r="D90" s="3">
        <v>1</v>
      </c>
      <c r="E90" s="3" t="s">
        <v>16</v>
      </c>
      <c r="F90" s="3" t="s">
        <v>295</v>
      </c>
      <c r="G90" s="3" t="s">
        <v>17</v>
      </c>
      <c r="H90" s="3" t="s">
        <v>115</v>
      </c>
    </row>
    <row r="91" spans="1:8" x14ac:dyDescent="0.2">
      <c r="A91" s="3">
        <v>3050203003</v>
      </c>
      <c r="B91" s="4" t="s">
        <v>120</v>
      </c>
      <c r="C91" s="4" t="s">
        <v>457</v>
      </c>
      <c r="D91" s="3">
        <v>2</v>
      </c>
      <c r="E91" s="3" t="s">
        <v>16</v>
      </c>
      <c r="F91" s="3" t="s">
        <v>291</v>
      </c>
      <c r="G91" s="3" t="s">
        <v>26</v>
      </c>
      <c r="H91" s="3" t="s">
        <v>115</v>
      </c>
    </row>
    <row r="92" spans="1:8" x14ac:dyDescent="0.2">
      <c r="A92" s="3">
        <v>3050203007</v>
      </c>
      <c r="B92" s="4" t="s">
        <v>803</v>
      </c>
      <c r="C92" s="4" t="s">
        <v>804</v>
      </c>
      <c r="D92" s="3">
        <v>2</v>
      </c>
      <c r="E92" s="3" t="s">
        <v>16</v>
      </c>
      <c r="F92" s="3" t="s">
        <v>794</v>
      </c>
      <c r="G92" s="3" t="s">
        <v>795</v>
      </c>
      <c r="H92" s="3" t="s">
        <v>115</v>
      </c>
    </row>
    <row r="93" spans="1:8" x14ac:dyDescent="0.2">
      <c r="A93" s="3">
        <v>3030204008</v>
      </c>
      <c r="B93" s="4" t="s">
        <v>122</v>
      </c>
      <c r="C93" s="4" t="s">
        <v>123</v>
      </c>
      <c r="D93" s="3">
        <v>1</v>
      </c>
      <c r="E93" s="3" t="s">
        <v>16</v>
      </c>
      <c r="F93" s="3" t="s">
        <v>291</v>
      </c>
      <c r="G93" s="3" t="s">
        <v>26</v>
      </c>
      <c r="H93" s="3" t="s">
        <v>115</v>
      </c>
    </row>
    <row r="94" spans="1:8" x14ac:dyDescent="0.2">
      <c r="A94" s="3">
        <v>3070104002</v>
      </c>
      <c r="B94" s="4" t="s">
        <v>128</v>
      </c>
      <c r="C94" s="4" t="s">
        <v>129</v>
      </c>
      <c r="D94" s="3">
        <v>1</v>
      </c>
      <c r="E94" s="3" t="s">
        <v>16</v>
      </c>
      <c r="F94" s="3" t="s">
        <v>317</v>
      </c>
      <c r="G94" s="3" t="s">
        <v>318</v>
      </c>
      <c r="H94" s="3" t="s">
        <v>115</v>
      </c>
    </row>
    <row r="95" spans="1:8" x14ac:dyDescent="0.2">
      <c r="A95" s="3">
        <v>3070104001</v>
      </c>
      <c r="B95" s="4" t="s">
        <v>331</v>
      </c>
      <c r="C95" s="4" t="s">
        <v>332</v>
      </c>
      <c r="D95" s="3">
        <v>1</v>
      </c>
      <c r="E95" s="3" t="s">
        <v>16</v>
      </c>
      <c r="F95" s="3" t="s">
        <v>317</v>
      </c>
      <c r="G95" s="3" t="s">
        <v>318</v>
      </c>
      <c r="H95" s="3" t="s">
        <v>115</v>
      </c>
    </row>
    <row r="96" spans="1:8" x14ac:dyDescent="0.2">
      <c r="A96" s="3">
        <v>3030206001</v>
      </c>
      <c r="B96" s="4" t="s">
        <v>458</v>
      </c>
      <c r="C96" s="4" t="s">
        <v>404</v>
      </c>
      <c r="D96" s="3">
        <v>1</v>
      </c>
      <c r="E96" s="3" t="s">
        <v>16</v>
      </c>
      <c r="F96" s="3" t="s">
        <v>295</v>
      </c>
      <c r="G96" s="3" t="s">
        <v>17</v>
      </c>
      <c r="H96" s="3" t="s">
        <v>132</v>
      </c>
    </row>
    <row r="97" spans="1:8" x14ac:dyDescent="0.2">
      <c r="A97" s="3">
        <v>3080199003</v>
      </c>
      <c r="B97" s="4" t="s">
        <v>805</v>
      </c>
      <c r="C97" s="4" t="s">
        <v>806</v>
      </c>
      <c r="D97" s="3">
        <v>2</v>
      </c>
      <c r="E97" s="3" t="s">
        <v>16</v>
      </c>
      <c r="F97" s="3" t="s">
        <v>794</v>
      </c>
      <c r="G97" s="3" t="s">
        <v>795</v>
      </c>
      <c r="H97" s="3" t="s">
        <v>807</v>
      </c>
    </row>
    <row r="98" spans="1:8" x14ac:dyDescent="0.2">
      <c r="A98" s="3">
        <v>3040502046</v>
      </c>
      <c r="B98" s="4" t="s">
        <v>136</v>
      </c>
      <c r="C98" s="4" t="s">
        <v>778</v>
      </c>
      <c r="D98" s="3">
        <v>1</v>
      </c>
      <c r="E98" s="3" t="s">
        <v>16</v>
      </c>
      <c r="F98" s="3" t="s">
        <v>293</v>
      </c>
      <c r="G98" s="3" t="s">
        <v>29</v>
      </c>
      <c r="H98" s="3" t="s">
        <v>138</v>
      </c>
    </row>
    <row r="99" spans="1:8" x14ac:dyDescent="0.2">
      <c r="A99" s="3">
        <v>3040502048</v>
      </c>
      <c r="B99" s="4" t="s">
        <v>136</v>
      </c>
      <c r="C99" s="4" t="s">
        <v>779</v>
      </c>
      <c r="D99" s="3">
        <v>1</v>
      </c>
      <c r="E99" s="3" t="s">
        <v>16</v>
      </c>
      <c r="F99" s="3" t="s">
        <v>293</v>
      </c>
      <c r="G99" s="3" t="s">
        <v>29</v>
      </c>
      <c r="H99" s="3" t="s">
        <v>138</v>
      </c>
    </row>
    <row r="100" spans="1:8" x14ac:dyDescent="0.2">
      <c r="A100" s="3">
        <v>3990207002</v>
      </c>
      <c r="B100" s="4" t="s">
        <v>140</v>
      </c>
      <c r="C100" s="4" t="s">
        <v>714</v>
      </c>
      <c r="D100" s="3">
        <v>1</v>
      </c>
      <c r="E100" s="3" t="s">
        <v>16</v>
      </c>
      <c r="F100" s="3" t="s">
        <v>285</v>
      </c>
      <c r="G100" s="3" t="s">
        <v>142</v>
      </c>
      <c r="H100" s="3" t="s">
        <v>143</v>
      </c>
    </row>
    <row r="101" spans="1:8" x14ac:dyDescent="0.2">
      <c r="A101" s="3">
        <v>3030301005</v>
      </c>
      <c r="B101" s="4" t="s">
        <v>144</v>
      </c>
      <c r="C101" s="4" t="s">
        <v>145</v>
      </c>
      <c r="D101" s="3">
        <v>2</v>
      </c>
      <c r="E101" s="3" t="s">
        <v>16</v>
      </c>
      <c r="F101" s="3" t="s">
        <v>291</v>
      </c>
      <c r="G101" s="3" t="s">
        <v>26</v>
      </c>
      <c r="H101" s="3" t="s">
        <v>143</v>
      </c>
    </row>
    <row r="102" spans="1:8" x14ac:dyDescent="0.2">
      <c r="A102" s="3">
        <v>3990204002</v>
      </c>
      <c r="B102" s="4" t="s">
        <v>333</v>
      </c>
      <c r="C102" s="4" t="s">
        <v>334</v>
      </c>
      <c r="D102" s="3">
        <v>1</v>
      </c>
      <c r="E102" s="3" t="s">
        <v>16</v>
      </c>
      <c r="F102" s="3" t="s">
        <v>335</v>
      </c>
      <c r="G102" s="3" t="s">
        <v>336</v>
      </c>
      <c r="H102" s="3" t="s">
        <v>143</v>
      </c>
    </row>
    <row r="103" spans="1:8" x14ac:dyDescent="0.2">
      <c r="A103" s="3">
        <v>3990206001</v>
      </c>
      <c r="B103" s="4" t="s">
        <v>715</v>
      </c>
      <c r="C103" s="4" t="s">
        <v>716</v>
      </c>
      <c r="D103" s="3">
        <v>1</v>
      </c>
      <c r="E103" s="3" t="s">
        <v>16</v>
      </c>
      <c r="F103" s="3" t="s">
        <v>717</v>
      </c>
      <c r="G103" s="3" t="s">
        <v>718</v>
      </c>
      <c r="H103" s="3" t="s">
        <v>143</v>
      </c>
    </row>
    <row r="104" spans="1:8" x14ac:dyDescent="0.2">
      <c r="A104" s="3">
        <v>3990205003</v>
      </c>
      <c r="B104" s="4" t="s">
        <v>146</v>
      </c>
      <c r="C104" s="4" t="s">
        <v>460</v>
      </c>
      <c r="D104" s="3">
        <v>1</v>
      </c>
      <c r="E104" s="3" t="s">
        <v>16</v>
      </c>
      <c r="F104" s="3" t="s">
        <v>287</v>
      </c>
      <c r="G104" s="3" t="s">
        <v>148</v>
      </c>
      <c r="H104" s="3" t="s">
        <v>143</v>
      </c>
    </row>
    <row r="105" spans="1:8" x14ac:dyDescent="0.2">
      <c r="A105" s="3">
        <v>408090008</v>
      </c>
      <c r="B105" s="4" t="s">
        <v>461</v>
      </c>
      <c r="C105" s="4" t="s">
        <v>462</v>
      </c>
      <c r="D105" s="3">
        <v>1</v>
      </c>
      <c r="E105" s="3" t="s">
        <v>16</v>
      </c>
      <c r="F105" s="3" t="s">
        <v>293</v>
      </c>
      <c r="G105" s="3" t="s">
        <v>29</v>
      </c>
      <c r="H105" s="3" t="s">
        <v>151</v>
      </c>
    </row>
    <row r="106" spans="1:8" x14ac:dyDescent="0.2">
      <c r="A106" s="3">
        <v>408090007</v>
      </c>
      <c r="B106" s="4" t="s">
        <v>463</v>
      </c>
      <c r="C106" s="4" t="s">
        <v>464</v>
      </c>
      <c r="D106" s="3">
        <v>1</v>
      </c>
      <c r="E106" s="3" t="s">
        <v>16</v>
      </c>
      <c r="F106" s="3" t="s">
        <v>293</v>
      </c>
      <c r="G106" s="3" t="s">
        <v>29</v>
      </c>
      <c r="H106" s="3" t="s">
        <v>151</v>
      </c>
    </row>
    <row r="107" spans="1:8" x14ac:dyDescent="0.2">
      <c r="A107" s="3">
        <v>407010154</v>
      </c>
      <c r="B107" s="4" t="s">
        <v>808</v>
      </c>
      <c r="C107" s="4" t="s">
        <v>809</v>
      </c>
      <c r="D107" s="3">
        <v>1</v>
      </c>
      <c r="E107" s="3" t="s">
        <v>16</v>
      </c>
      <c r="F107" s="3" t="s">
        <v>794</v>
      </c>
      <c r="G107" s="3" t="s">
        <v>795</v>
      </c>
      <c r="H107" s="3" t="s">
        <v>151</v>
      </c>
    </row>
    <row r="108" spans="1:8" x14ac:dyDescent="0.2">
      <c r="A108" s="3">
        <v>408050029</v>
      </c>
      <c r="B108" s="4" t="s">
        <v>810</v>
      </c>
      <c r="C108" s="4" t="s">
        <v>811</v>
      </c>
      <c r="D108" s="3">
        <v>1</v>
      </c>
      <c r="E108" s="3" t="s">
        <v>16</v>
      </c>
      <c r="F108" s="3" t="s">
        <v>794</v>
      </c>
      <c r="G108" s="3" t="s">
        <v>795</v>
      </c>
      <c r="H108" s="3" t="s">
        <v>151</v>
      </c>
    </row>
    <row r="109" spans="1:8" x14ac:dyDescent="0.2">
      <c r="A109" s="3">
        <v>407010060</v>
      </c>
      <c r="B109" s="4" t="s">
        <v>149</v>
      </c>
      <c r="C109" s="4" t="s">
        <v>788</v>
      </c>
      <c r="D109" s="3">
        <v>1</v>
      </c>
      <c r="E109" s="3" t="s">
        <v>16</v>
      </c>
      <c r="F109" s="3" t="s">
        <v>289</v>
      </c>
      <c r="G109" s="3" t="s">
        <v>23</v>
      </c>
      <c r="H109" s="3" t="s">
        <v>151</v>
      </c>
    </row>
    <row r="110" spans="1:8" x14ac:dyDescent="0.2">
      <c r="A110" s="3">
        <v>3060318001</v>
      </c>
      <c r="B110" s="4" t="s">
        <v>720</v>
      </c>
      <c r="C110" s="4" t="s">
        <v>721</v>
      </c>
      <c r="D110" s="3">
        <v>1</v>
      </c>
      <c r="E110" s="3" t="s">
        <v>16</v>
      </c>
      <c r="F110" s="3" t="s">
        <v>289</v>
      </c>
      <c r="G110" s="3" t="s">
        <v>23</v>
      </c>
      <c r="H110" s="3" t="s">
        <v>154</v>
      </c>
    </row>
    <row r="111" spans="1:8" x14ac:dyDescent="0.2">
      <c r="A111" s="3">
        <v>3060327003</v>
      </c>
      <c r="B111" s="4" t="s">
        <v>722</v>
      </c>
      <c r="C111" s="4" t="s">
        <v>723</v>
      </c>
      <c r="D111" s="3">
        <v>1</v>
      </c>
      <c r="E111" s="3" t="s">
        <v>16</v>
      </c>
      <c r="F111" s="3" t="s">
        <v>289</v>
      </c>
      <c r="G111" s="3" t="s">
        <v>23</v>
      </c>
      <c r="H111" s="3" t="s">
        <v>154</v>
      </c>
    </row>
    <row r="112" spans="1:8" x14ac:dyDescent="0.2">
      <c r="A112" s="3">
        <v>3080507001</v>
      </c>
      <c r="B112" s="4" t="s">
        <v>466</v>
      </c>
      <c r="C112" s="4" t="s">
        <v>467</v>
      </c>
      <c r="D112" s="3">
        <v>4</v>
      </c>
      <c r="E112" s="3" t="s">
        <v>16</v>
      </c>
      <c r="F112" s="3" t="s">
        <v>291</v>
      </c>
      <c r="G112" s="3" t="s">
        <v>26</v>
      </c>
      <c r="H112" s="3" t="s">
        <v>154</v>
      </c>
    </row>
    <row r="113" spans="1:8" x14ac:dyDescent="0.2">
      <c r="A113" s="3">
        <v>3050307049</v>
      </c>
      <c r="B113" s="4" t="s">
        <v>812</v>
      </c>
      <c r="C113" s="4" t="s">
        <v>813</v>
      </c>
      <c r="D113" s="3">
        <v>2</v>
      </c>
      <c r="E113" s="3" t="s">
        <v>16</v>
      </c>
      <c r="F113" s="3" t="s">
        <v>794</v>
      </c>
      <c r="G113" s="3" t="s">
        <v>795</v>
      </c>
      <c r="H113" s="3" t="s">
        <v>154</v>
      </c>
    </row>
    <row r="114" spans="1:8" x14ac:dyDescent="0.2">
      <c r="A114" s="3">
        <v>3030301010</v>
      </c>
      <c r="B114" s="4" t="s">
        <v>468</v>
      </c>
      <c r="C114" s="4" t="s">
        <v>469</v>
      </c>
      <c r="D114" s="3">
        <v>4</v>
      </c>
      <c r="E114" s="3" t="s">
        <v>16</v>
      </c>
      <c r="F114" s="3" t="s">
        <v>295</v>
      </c>
      <c r="G114" s="3" t="s">
        <v>17</v>
      </c>
      <c r="H114" s="3" t="s">
        <v>165</v>
      </c>
    </row>
    <row r="115" spans="1:8" x14ac:dyDescent="0.2">
      <c r="A115" s="3">
        <v>3060347005</v>
      </c>
      <c r="B115" s="4" t="s">
        <v>470</v>
      </c>
      <c r="C115" s="4" t="s">
        <v>471</v>
      </c>
      <c r="D115" s="3">
        <v>1</v>
      </c>
      <c r="E115" s="3" t="s">
        <v>16</v>
      </c>
      <c r="F115" s="3" t="s">
        <v>291</v>
      </c>
      <c r="G115" s="3" t="s">
        <v>26</v>
      </c>
      <c r="H115" s="3" t="s">
        <v>165</v>
      </c>
    </row>
    <row r="116" spans="1:8" x14ac:dyDescent="0.2">
      <c r="A116" s="3">
        <v>3060347006</v>
      </c>
      <c r="B116" s="4" t="s">
        <v>470</v>
      </c>
      <c r="C116" s="4" t="s">
        <v>472</v>
      </c>
      <c r="D116" s="3">
        <v>1</v>
      </c>
      <c r="E116" s="3" t="s">
        <v>16</v>
      </c>
      <c r="F116" s="3" t="s">
        <v>291</v>
      </c>
      <c r="G116" s="3" t="s">
        <v>26</v>
      </c>
      <c r="H116" s="3" t="s">
        <v>165</v>
      </c>
    </row>
    <row r="117" spans="1:8" x14ac:dyDescent="0.2">
      <c r="A117" s="3">
        <v>3110103002</v>
      </c>
      <c r="B117" s="4" t="s">
        <v>473</v>
      </c>
      <c r="C117" s="4" t="s">
        <v>474</v>
      </c>
      <c r="D117" s="3">
        <v>1</v>
      </c>
      <c r="E117" s="3" t="s">
        <v>16</v>
      </c>
      <c r="F117" s="3" t="s">
        <v>291</v>
      </c>
      <c r="G117" s="3" t="s">
        <v>26</v>
      </c>
      <c r="H117" s="3" t="s">
        <v>165</v>
      </c>
    </row>
    <row r="118" spans="1:8" x14ac:dyDescent="0.2">
      <c r="A118" s="3">
        <v>3030316006</v>
      </c>
      <c r="B118" s="4" t="s">
        <v>475</v>
      </c>
      <c r="C118" s="4" t="s">
        <v>476</v>
      </c>
      <c r="D118" s="3">
        <v>1</v>
      </c>
      <c r="E118" s="3" t="s">
        <v>16</v>
      </c>
      <c r="F118" s="3" t="s">
        <v>295</v>
      </c>
      <c r="G118" s="3" t="s">
        <v>17</v>
      </c>
      <c r="H118" s="3" t="s">
        <v>165</v>
      </c>
    </row>
    <row r="119" spans="1:8" x14ac:dyDescent="0.2">
      <c r="A119" s="3">
        <v>3050304010</v>
      </c>
      <c r="B119" s="4" t="s">
        <v>814</v>
      </c>
      <c r="C119" s="4" t="s">
        <v>815</v>
      </c>
      <c r="D119" s="3">
        <v>1</v>
      </c>
      <c r="E119" s="3" t="s">
        <v>16</v>
      </c>
      <c r="F119" s="3" t="s">
        <v>794</v>
      </c>
      <c r="G119" s="3" t="s">
        <v>795</v>
      </c>
      <c r="H119" s="3" t="s">
        <v>165</v>
      </c>
    </row>
    <row r="120" spans="1:8" x14ac:dyDescent="0.2">
      <c r="A120" s="3">
        <v>3050310003</v>
      </c>
      <c r="B120" s="4" t="s">
        <v>816</v>
      </c>
      <c r="C120" s="4" t="s">
        <v>817</v>
      </c>
      <c r="D120" s="3">
        <v>1</v>
      </c>
      <c r="E120" s="3" t="s">
        <v>16</v>
      </c>
      <c r="F120" s="3" t="s">
        <v>794</v>
      </c>
      <c r="G120" s="3" t="s">
        <v>795</v>
      </c>
      <c r="H120" s="3" t="s">
        <v>165</v>
      </c>
    </row>
    <row r="121" spans="1:8" x14ac:dyDescent="0.2">
      <c r="A121" s="3">
        <v>3030314007</v>
      </c>
      <c r="B121" s="4" t="s">
        <v>477</v>
      </c>
      <c r="C121" s="4" t="s">
        <v>478</v>
      </c>
      <c r="D121" s="3">
        <v>1</v>
      </c>
      <c r="E121" s="3" t="s">
        <v>16</v>
      </c>
      <c r="F121" s="3" t="s">
        <v>291</v>
      </c>
      <c r="G121" s="3" t="s">
        <v>26</v>
      </c>
      <c r="H121" s="3" t="s">
        <v>165</v>
      </c>
    </row>
    <row r="122" spans="1:8" x14ac:dyDescent="0.2">
      <c r="A122" s="3">
        <v>3030308013</v>
      </c>
      <c r="B122" s="4" t="s">
        <v>479</v>
      </c>
      <c r="C122" s="4" t="s">
        <v>478</v>
      </c>
      <c r="D122" s="3">
        <v>1</v>
      </c>
      <c r="E122" s="3" t="s">
        <v>16</v>
      </c>
      <c r="F122" s="3" t="s">
        <v>291</v>
      </c>
      <c r="G122" s="3" t="s">
        <v>26</v>
      </c>
      <c r="H122" s="3" t="s">
        <v>165</v>
      </c>
    </row>
    <row r="123" spans="1:8" x14ac:dyDescent="0.2">
      <c r="A123" s="3">
        <v>3050310030</v>
      </c>
      <c r="B123" s="4" t="s">
        <v>480</v>
      </c>
      <c r="C123" s="4" t="s">
        <v>469</v>
      </c>
      <c r="D123" s="3">
        <v>2</v>
      </c>
      <c r="E123" s="3" t="s">
        <v>16</v>
      </c>
      <c r="F123" s="3" t="s">
        <v>291</v>
      </c>
      <c r="G123" s="3" t="s">
        <v>26</v>
      </c>
      <c r="H123" s="3" t="s">
        <v>165</v>
      </c>
    </row>
    <row r="124" spans="1:8" x14ac:dyDescent="0.2">
      <c r="A124" s="3">
        <v>3010106010</v>
      </c>
      <c r="B124" s="4" t="s">
        <v>481</v>
      </c>
      <c r="C124" s="4" t="s">
        <v>482</v>
      </c>
      <c r="D124" s="3">
        <v>0.03</v>
      </c>
      <c r="E124" s="3" t="s">
        <v>10</v>
      </c>
      <c r="F124" s="3" t="s">
        <v>284</v>
      </c>
      <c r="G124" s="3" t="s">
        <v>11</v>
      </c>
      <c r="H124" s="3" t="s">
        <v>483</v>
      </c>
    </row>
    <row r="125" spans="1:8" x14ac:dyDescent="0.2">
      <c r="A125" s="3">
        <v>3060333003</v>
      </c>
      <c r="B125" s="4" t="s">
        <v>227</v>
      </c>
      <c r="C125" s="4" t="s">
        <v>724</v>
      </c>
      <c r="D125" s="3">
        <v>1</v>
      </c>
      <c r="E125" s="3" t="s">
        <v>16</v>
      </c>
      <c r="F125" s="3" t="s">
        <v>289</v>
      </c>
      <c r="G125" s="3" t="s">
        <v>23</v>
      </c>
      <c r="H125" s="3" t="s">
        <v>173</v>
      </c>
    </row>
    <row r="126" spans="1:8" x14ac:dyDescent="0.2">
      <c r="A126" s="3">
        <v>3050305013</v>
      </c>
      <c r="B126" s="4" t="s">
        <v>484</v>
      </c>
      <c r="C126" s="4" t="s">
        <v>485</v>
      </c>
      <c r="D126" s="3">
        <v>1</v>
      </c>
      <c r="E126" s="3" t="s">
        <v>16</v>
      </c>
      <c r="F126" s="3" t="s">
        <v>291</v>
      </c>
      <c r="G126" s="3" t="s">
        <v>26</v>
      </c>
      <c r="H126" s="3" t="s">
        <v>173</v>
      </c>
    </row>
    <row r="127" spans="1:8" x14ac:dyDescent="0.2">
      <c r="A127" s="3">
        <v>3040305002</v>
      </c>
      <c r="B127" s="4" t="s">
        <v>486</v>
      </c>
      <c r="C127" s="4" t="s">
        <v>487</v>
      </c>
      <c r="D127" s="3">
        <v>2</v>
      </c>
      <c r="E127" s="3" t="s">
        <v>16</v>
      </c>
      <c r="F127" s="3" t="s">
        <v>293</v>
      </c>
      <c r="G127" s="3" t="s">
        <v>29</v>
      </c>
      <c r="H127" s="3" t="s">
        <v>173</v>
      </c>
    </row>
    <row r="128" spans="1:8" x14ac:dyDescent="0.2">
      <c r="A128" s="3">
        <v>3040313002</v>
      </c>
      <c r="B128" s="4" t="s">
        <v>488</v>
      </c>
      <c r="C128" s="4" t="s">
        <v>489</v>
      </c>
      <c r="D128" s="3">
        <v>8</v>
      </c>
      <c r="E128" s="3" t="s">
        <v>16</v>
      </c>
      <c r="F128" s="3" t="s">
        <v>293</v>
      </c>
      <c r="G128" s="3" t="s">
        <v>29</v>
      </c>
      <c r="H128" s="3" t="s">
        <v>173</v>
      </c>
    </row>
    <row r="129" spans="1:8" x14ac:dyDescent="0.2">
      <c r="A129" s="3">
        <v>3040321001</v>
      </c>
      <c r="B129" s="4" t="s">
        <v>490</v>
      </c>
      <c r="C129" s="4" t="s">
        <v>347</v>
      </c>
      <c r="D129" s="3">
        <v>8</v>
      </c>
      <c r="E129" s="3" t="s">
        <v>16</v>
      </c>
      <c r="F129" s="3" t="s">
        <v>293</v>
      </c>
      <c r="G129" s="3" t="s">
        <v>29</v>
      </c>
      <c r="H129" s="3" t="s">
        <v>173</v>
      </c>
    </row>
    <row r="130" spans="1:8" x14ac:dyDescent="0.2">
      <c r="A130" s="3">
        <v>3040309001</v>
      </c>
      <c r="B130" s="4" t="s">
        <v>346</v>
      </c>
      <c r="C130" s="4" t="s">
        <v>347</v>
      </c>
      <c r="D130" s="3">
        <v>4</v>
      </c>
      <c r="E130" s="3" t="s">
        <v>16</v>
      </c>
      <c r="F130" s="3" t="s">
        <v>293</v>
      </c>
      <c r="G130" s="3" t="s">
        <v>29</v>
      </c>
      <c r="H130" s="3" t="s">
        <v>173</v>
      </c>
    </row>
    <row r="131" spans="1:8" x14ac:dyDescent="0.2">
      <c r="A131" s="3">
        <v>3070201002</v>
      </c>
      <c r="B131" s="4" t="s">
        <v>348</v>
      </c>
      <c r="C131" s="4" t="s">
        <v>349</v>
      </c>
      <c r="D131" s="3">
        <v>1</v>
      </c>
      <c r="E131" s="3" t="s">
        <v>16</v>
      </c>
      <c r="F131" s="3" t="s">
        <v>317</v>
      </c>
      <c r="G131" s="3" t="s">
        <v>318</v>
      </c>
      <c r="H131" s="3" t="s">
        <v>173</v>
      </c>
    </row>
    <row r="132" spans="1:8" x14ac:dyDescent="0.2">
      <c r="A132" s="3">
        <v>3060340001</v>
      </c>
      <c r="B132" s="4" t="s">
        <v>725</v>
      </c>
      <c r="C132" s="4" t="s">
        <v>726</v>
      </c>
      <c r="D132" s="3">
        <v>1</v>
      </c>
      <c r="E132" s="3" t="s">
        <v>16</v>
      </c>
      <c r="F132" s="3" t="s">
        <v>702</v>
      </c>
      <c r="G132" s="3" t="s">
        <v>703</v>
      </c>
      <c r="H132" s="3" t="s">
        <v>173</v>
      </c>
    </row>
    <row r="133" spans="1:8" x14ac:dyDescent="0.2">
      <c r="A133" s="3">
        <v>3050304006</v>
      </c>
      <c r="B133" s="4" t="s">
        <v>181</v>
      </c>
      <c r="C133" s="4" t="s">
        <v>491</v>
      </c>
      <c r="D133" s="3">
        <v>1</v>
      </c>
      <c r="E133" s="3" t="s">
        <v>16</v>
      </c>
      <c r="F133" s="3" t="s">
        <v>291</v>
      </c>
      <c r="G133" s="3" t="s">
        <v>26</v>
      </c>
      <c r="H133" s="3" t="s">
        <v>173</v>
      </c>
    </row>
    <row r="134" spans="1:8" x14ac:dyDescent="0.2">
      <c r="A134" s="3">
        <v>3020501014</v>
      </c>
      <c r="B134" s="4" t="s">
        <v>183</v>
      </c>
      <c r="C134" s="4" t="s">
        <v>350</v>
      </c>
      <c r="D134" s="3">
        <v>1</v>
      </c>
      <c r="E134" s="3" t="s">
        <v>16</v>
      </c>
      <c r="F134" s="3" t="s">
        <v>291</v>
      </c>
      <c r="G134" s="3" t="s">
        <v>26</v>
      </c>
      <c r="H134" s="3" t="s">
        <v>185</v>
      </c>
    </row>
    <row r="135" spans="1:8" x14ac:dyDescent="0.2">
      <c r="A135" s="3">
        <v>3030204003</v>
      </c>
      <c r="B135" s="4" t="s">
        <v>492</v>
      </c>
      <c r="C135" s="4" t="s">
        <v>493</v>
      </c>
      <c r="D135" s="3">
        <v>2</v>
      </c>
      <c r="E135" s="3" t="s">
        <v>16</v>
      </c>
      <c r="F135" s="3" t="s">
        <v>295</v>
      </c>
      <c r="G135" s="3" t="s">
        <v>17</v>
      </c>
      <c r="H135" s="3" t="s">
        <v>494</v>
      </c>
    </row>
    <row r="136" spans="1:8" x14ac:dyDescent="0.2">
      <c r="A136" s="3">
        <v>3990201008</v>
      </c>
      <c r="B136" s="4" t="s">
        <v>186</v>
      </c>
      <c r="C136" s="4" t="s">
        <v>495</v>
      </c>
      <c r="D136" s="3">
        <v>1</v>
      </c>
      <c r="E136" s="3" t="s">
        <v>16</v>
      </c>
      <c r="F136" s="3" t="s">
        <v>295</v>
      </c>
      <c r="G136" s="3" t="s">
        <v>17</v>
      </c>
      <c r="H136" s="3" t="s">
        <v>187</v>
      </c>
    </row>
    <row r="137" spans="1:8" x14ac:dyDescent="0.2">
      <c r="A137" s="3">
        <v>3990202007</v>
      </c>
      <c r="B137" s="4" t="s">
        <v>188</v>
      </c>
      <c r="C137" s="4" t="s">
        <v>495</v>
      </c>
      <c r="D137" s="3">
        <v>1</v>
      </c>
      <c r="E137" s="3" t="s">
        <v>16</v>
      </c>
      <c r="F137" s="3" t="s">
        <v>295</v>
      </c>
      <c r="G137" s="3" t="s">
        <v>17</v>
      </c>
      <c r="H137" s="3" t="s">
        <v>187</v>
      </c>
    </row>
    <row r="138" spans="1:8" x14ac:dyDescent="0.2">
      <c r="A138" s="3">
        <v>3990203002</v>
      </c>
      <c r="B138" s="4" t="s">
        <v>189</v>
      </c>
      <c r="C138" s="4" t="s">
        <v>495</v>
      </c>
      <c r="D138" s="3">
        <v>1</v>
      </c>
      <c r="E138" s="3" t="s">
        <v>16</v>
      </c>
      <c r="F138" s="3" t="s">
        <v>295</v>
      </c>
      <c r="G138" s="3" t="s">
        <v>17</v>
      </c>
      <c r="H138" s="3" t="s">
        <v>187</v>
      </c>
    </row>
    <row r="139" spans="1:8" x14ac:dyDescent="0.2">
      <c r="A139" s="3">
        <v>3050405001</v>
      </c>
      <c r="B139" s="4" t="s">
        <v>496</v>
      </c>
      <c r="C139" s="4" t="s">
        <v>497</v>
      </c>
      <c r="D139" s="3">
        <v>1</v>
      </c>
      <c r="E139" s="3" t="s">
        <v>16</v>
      </c>
      <c r="F139" s="3" t="s">
        <v>291</v>
      </c>
      <c r="G139" s="3" t="s">
        <v>26</v>
      </c>
      <c r="H139" s="3" t="s">
        <v>192</v>
      </c>
    </row>
    <row r="140" spans="1:8" x14ac:dyDescent="0.2">
      <c r="A140" s="3">
        <v>3060401001</v>
      </c>
      <c r="B140" s="4" t="s">
        <v>727</v>
      </c>
      <c r="C140" s="4" t="s">
        <v>728</v>
      </c>
      <c r="D140" s="3">
        <v>2</v>
      </c>
      <c r="E140" s="3" t="s">
        <v>16</v>
      </c>
      <c r="F140" s="3" t="s">
        <v>289</v>
      </c>
      <c r="G140" s="3" t="s">
        <v>23</v>
      </c>
      <c r="H140" s="3" t="s">
        <v>192</v>
      </c>
    </row>
    <row r="141" spans="1:8" x14ac:dyDescent="0.2">
      <c r="A141" s="3">
        <v>3030402001</v>
      </c>
      <c r="B141" s="4" t="s">
        <v>498</v>
      </c>
      <c r="C141" s="4" t="s">
        <v>499</v>
      </c>
      <c r="D141" s="3">
        <v>1</v>
      </c>
      <c r="E141" s="3" t="s">
        <v>16</v>
      </c>
      <c r="F141" s="3" t="s">
        <v>295</v>
      </c>
      <c r="G141" s="3" t="s">
        <v>17</v>
      </c>
      <c r="H141" s="3" t="s">
        <v>192</v>
      </c>
    </row>
    <row r="142" spans="1:8" x14ac:dyDescent="0.2">
      <c r="A142" s="3">
        <v>3040402005</v>
      </c>
      <c r="B142" s="4" t="s">
        <v>500</v>
      </c>
      <c r="C142" s="4" t="s">
        <v>501</v>
      </c>
      <c r="D142" s="3">
        <v>1</v>
      </c>
      <c r="E142" s="3" t="s">
        <v>16</v>
      </c>
      <c r="F142" s="3" t="s">
        <v>293</v>
      </c>
      <c r="G142" s="3" t="s">
        <v>29</v>
      </c>
      <c r="H142" s="3" t="s">
        <v>192</v>
      </c>
    </row>
    <row r="143" spans="1:8" x14ac:dyDescent="0.2">
      <c r="A143" s="3">
        <v>3040402006</v>
      </c>
      <c r="B143" s="4" t="s">
        <v>500</v>
      </c>
      <c r="C143" s="4" t="s">
        <v>502</v>
      </c>
      <c r="D143" s="3">
        <v>1</v>
      </c>
      <c r="E143" s="3" t="s">
        <v>16</v>
      </c>
      <c r="F143" s="3" t="s">
        <v>293</v>
      </c>
      <c r="G143" s="3" t="s">
        <v>29</v>
      </c>
      <c r="H143" s="3" t="s">
        <v>192</v>
      </c>
    </row>
    <row r="144" spans="1:8" x14ac:dyDescent="0.2">
      <c r="A144" s="3">
        <v>3050402030</v>
      </c>
      <c r="B144" s="4" t="s">
        <v>818</v>
      </c>
      <c r="C144" s="4" t="s">
        <v>819</v>
      </c>
      <c r="D144" s="3">
        <v>1</v>
      </c>
      <c r="E144" s="3" t="s">
        <v>16</v>
      </c>
      <c r="F144" s="3" t="s">
        <v>794</v>
      </c>
      <c r="G144" s="3" t="s">
        <v>795</v>
      </c>
      <c r="H144" s="3" t="s">
        <v>192</v>
      </c>
    </row>
    <row r="145" spans="1:8" x14ac:dyDescent="0.2">
      <c r="A145" s="3">
        <v>3050401029</v>
      </c>
      <c r="B145" s="4" t="s">
        <v>820</v>
      </c>
      <c r="C145" s="4" t="s">
        <v>821</v>
      </c>
      <c r="D145" s="3">
        <v>1</v>
      </c>
      <c r="E145" s="3" t="s">
        <v>16</v>
      </c>
      <c r="F145" s="3" t="s">
        <v>794</v>
      </c>
      <c r="G145" s="3" t="s">
        <v>795</v>
      </c>
      <c r="H145" s="3" t="s">
        <v>192</v>
      </c>
    </row>
    <row r="146" spans="1:8" x14ac:dyDescent="0.2">
      <c r="A146" s="3">
        <v>3050401030</v>
      </c>
      <c r="B146" s="4" t="s">
        <v>820</v>
      </c>
      <c r="C146" s="4" t="s">
        <v>822</v>
      </c>
      <c r="D146" s="3">
        <v>1</v>
      </c>
      <c r="E146" s="3" t="s">
        <v>16</v>
      </c>
      <c r="F146" s="3" t="s">
        <v>794</v>
      </c>
      <c r="G146" s="3" t="s">
        <v>795</v>
      </c>
      <c r="H146" s="3" t="s">
        <v>192</v>
      </c>
    </row>
    <row r="147" spans="1:8" x14ac:dyDescent="0.2">
      <c r="A147" s="3">
        <v>404100044</v>
      </c>
      <c r="B147" s="4" t="s">
        <v>196</v>
      </c>
      <c r="C147" s="4" t="s">
        <v>789</v>
      </c>
      <c r="D147" s="3">
        <v>1</v>
      </c>
      <c r="E147" s="3" t="s">
        <v>16</v>
      </c>
      <c r="F147" s="3" t="s">
        <v>301</v>
      </c>
      <c r="G147" s="3" t="s">
        <v>32</v>
      </c>
      <c r="H147" s="3" t="s">
        <v>198</v>
      </c>
    </row>
    <row r="148" spans="1:8" x14ac:dyDescent="0.2">
      <c r="A148" s="3">
        <v>404110007</v>
      </c>
      <c r="B148" s="4" t="s">
        <v>504</v>
      </c>
      <c r="C148" s="4" t="s">
        <v>790</v>
      </c>
      <c r="D148" s="3">
        <v>1</v>
      </c>
      <c r="E148" s="3" t="s">
        <v>16</v>
      </c>
      <c r="F148" s="3" t="s">
        <v>301</v>
      </c>
      <c r="G148" s="3" t="s">
        <v>32</v>
      </c>
      <c r="H148" s="3" t="s">
        <v>198</v>
      </c>
    </row>
    <row r="149" spans="1:8" x14ac:dyDescent="0.2">
      <c r="A149" s="3">
        <v>404110009</v>
      </c>
      <c r="B149" s="4" t="s">
        <v>504</v>
      </c>
      <c r="C149" s="4" t="s">
        <v>791</v>
      </c>
      <c r="D149" s="3">
        <v>1</v>
      </c>
      <c r="E149" s="3" t="s">
        <v>16</v>
      </c>
      <c r="F149" s="3" t="s">
        <v>301</v>
      </c>
      <c r="G149" s="3" t="s">
        <v>32</v>
      </c>
      <c r="H149" s="3" t="s">
        <v>198</v>
      </c>
    </row>
    <row r="150" spans="1:8" x14ac:dyDescent="0.2">
      <c r="A150" s="3">
        <v>404110008</v>
      </c>
      <c r="B150" s="4" t="s">
        <v>504</v>
      </c>
      <c r="C150" s="4" t="s">
        <v>505</v>
      </c>
      <c r="D150" s="3">
        <v>2</v>
      </c>
      <c r="E150" s="3" t="s">
        <v>16</v>
      </c>
      <c r="F150" s="3" t="s">
        <v>291</v>
      </c>
      <c r="G150" s="3" t="s">
        <v>26</v>
      </c>
      <c r="H150" s="3" t="s">
        <v>198</v>
      </c>
    </row>
    <row r="151" spans="1:8" x14ac:dyDescent="0.2">
      <c r="A151" s="3">
        <v>403030012</v>
      </c>
      <c r="B151" s="4" t="s">
        <v>366</v>
      </c>
      <c r="C151" s="4" t="s">
        <v>507</v>
      </c>
      <c r="D151" s="3">
        <v>2</v>
      </c>
      <c r="E151" s="3" t="s">
        <v>16</v>
      </c>
      <c r="F151" s="3" t="s">
        <v>291</v>
      </c>
      <c r="G151" s="3" t="s">
        <v>26</v>
      </c>
      <c r="H151" s="3" t="s">
        <v>198</v>
      </c>
    </row>
    <row r="152" spans="1:8" x14ac:dyDescent="0.2">
      <c r="A152" s="3">
        <v>401070022</v>
      </c>
      <c r="B152" s="4" t="s">
        <v>35</v>
      </c>
      <c r="C152" s="4" t="s">
        <v>203</v>
      </c>
      <c r="D152" s="3">
        <v>1</v>
      </c>
      <c r="E152" s="3" t="s">
        <v>16</v>
      </c>
      <c r="F152" s="3" t="s">
        <v>297</v>
      </c>
      <c r="G152" s="3" t="s">
        <v>204</v>
      </c>
      <c r="H152" s="3" t="s">
        <v>198</v>
      </c>
    </row>
    <row r="153" spans="1:8" x14ac:dyDescent="0.2">
      <c r="A153" s="3">
        <v>401070018</v>
      </c>
      <c r="B153" s="4" t="s">
        <v>35</v>
      </c>
      <c r="C153" s="4" t="s">
        <v>202</v>
      </c>
      <c r="D153" s="3">
        <v>1</v>
      </c>
      <c r="E153" s="3" t="s">
        <v>16</v>
      </c>
      <c r="F153" s="3" t="s">
        <v>291</v>
      </c>
      <c r="G153" s="3" t="s">
        <v>26</v>
      </c>
      <c r="H153" s="3" t="s">
        <v>198</v>
      </c>
    </row>
    <row r="154" spans="1:8" x14ac:dyDescent="0.2">
      <c r="A154" s="3">
        <v>401040100</v>
      </c>
      <c r="B154" s="4" t="s">
        <v>35</v>
      </c>
      <c r="C154" s="4" t="s">
        <v>508</v>
      </c>
      <c r="D154" s="3">
        <v>1</v>
      </c>
      <c r="E154" s="3" t="s">
        <v>16</v>
      </c>
      <c r="F154" s="3" t="s">
        <v>291</v>
      </c>
      <c r="G154" s="3" t="s">
        <v>26</v>
      </c>
      <c r="H154" s="3" t="s">
        <v>198</v>
      </c>
    </row>
    <row r="155" spans="1:8" x14ac:dyDescent="0.2">
      <c r="A155" s="3">
        <v>404100003</v>
      </c>
      <c r="B155" s="4" t="s">
        <v>205</v>
      </c>
      <c r="C155" s="4" t="s">
        <v>509</v>
      </c>
      <c r="D155" s="3">
        <v>1</v>
      </c>
      <c r="E155" s="3" t="s">
        <v>16</v>
      </c>
      <c r="F155" s="3" t="s">
        <v>291</v>
      </c>
      <c r="G155" s="3" t="s">
        <v>26</v>
      </c>
      <c r="H155" s="3" t="s">
        <v>198</v>
      </c>
    </row>
    <row r="156" spans="1:8" x14ac:dyDescent="0.2">
      <c r="A156" s="3">
        <v>404100004</v>
      </c>
      <c r="B156" s="4" t="s">
        <v>207</v>
      </c>
      <c r="C156" s="4" t="s">
        <v>510</v>
      </c>
      <c r="D156" s="3">
        <v>1</v>
      </c>
      <c r="E156" s="3" t="s">
        <v>16</v>
      </c>
      <c r="F156" s="3" t="s">
        <v>291</v>
      </c>
      <c r="G156" s="3" t="s">
        <v>26</v>
      </c>
      <c r="H156" s="3" t="s">
        <v>198</v>
      </c>
    </row>
    <row r="157" spans="1:8" x14ac:dyDescent="0.2">
      <c r="A157" s="3">
        <v>3030305007</v>
      </c>
      <c r="B157" s="4" t="s">
        <v>511</v>
      </c>
      <c r="C157" s="4" t="s">
        <v>512</v>
      </c>
      <c r="D157" s="3">
        <v>1</v>
      </c>
      <c r="E157" s="3" t="s">
        <v>16</v>
      </c>
      <c r="F157" s="3" t="s">
        <v>295</v>
      </c>
      <c r="G157" s="3" t="s">
        <v>17</v>
      </c>
      <c r="H157" s="3" t="s">
        <v>211</v>
      </c>
    </row>
    <row r="158" spans="1:8" x14ac:dyDescent="0.2">
      <c r="A158" s="3">
        <v>3030305006</v>
      </c>
      <c r="B158" s="4" t="s">
        <v>513</v>
      </c>
      <c r="C158" s="4" t="s">
        <v>512</v>
      </c>
      <c r="D158" s="3">
        <v>1</v>
      </c>
      <c r="E158" s="3" t="s">
        <v>16</v>
      </c>
      <c r="F158" s="3" t="s">
        <v>295</v>
      </c>
      <c r="G158" s="3" t="s">
        <v>17</v>
      </c>
      <c r="H158" s="3" t="s">
        <v>211</v>
      </c>
    </row>
    <row r="159" spans="1:8" x14ac:dyDescent="0.2">
      <c r="A159" s="3">
        <v>3069904001</v>
      </c>
      <c r="B159" s="4" t="s">
        <v>514</v>
      </c>
      <c r="C159" s="4" t="s">
        <v>355</v>
      </c>
      <c r="D159" s="3">
        <v>4</v>
      </c>
      <c r="E159" s="3" t="s">
        <v>16</v>
      </c>
      <c r="F159" s="3" t="s">
        <v>295</v>
      </c>
      <c r="G159" s="3" t="s">
        <v>17</v>
      </c>
      <c r="H159" s="3" t="s">
        <v>214</v>
      </c>
    </row>
    <row r="160" spans="1:8" x14ac:dyDescent="0.2">
      <c r="A160" s="3">
        <v>3030201003</v>
      </c>
      <c r="B160" s="4" t="s">
        <v>515</v>
      </c>
      <c r="C160" s="4" t="s">
        <v>516</v>
      </c>
      <c r="D160" s="3">
        <v>1</v>
      </c>
      <c r="E160" s="3" t="s">
        <v>16</v>
      </c>
      <c r="F160" s="3" t="s">
        <v>295</v>
      </c>
      <c r="G160" s="3" t="s">
        <v>17</v>
      </c>
      <c r="H160" s="3" t="s">
        <v>214</v>
      </c>
    </row>
    <row r="161" spans="1:8" x14ac:dyDescent="0.2">
      <c r="A161" s="3">
        <v>3049903001</v>
      </c>
      <c r="B161" s="4" t="s">
        <v>517</v>
      </c>
      <c r="C161" s="4" t="s">
        <v>355</v>
      </c>
      <c r="D161" s="3">
        <v>2</v>
      </c>
      <c r="E161" s="3" t="s">
        <v>16</v>
      </c>
      <c r="F161" s="3" t="s">
        <v>293</v>
      </c>
      <c r="G161" s="3" t="s">
        <v>29</v>
      </c>
      <c r="H161" s="3" t="s">
        <v>214</v>
      </c>
    </row>
    <row r="162" spans="1:8" x14ac:dyDescent="0.2">
      <c r="A162" s="3">
        <v>3049904001</v>
      </c>
      <c r="B162" s="4" t="s">
        <v>354</v>
      </c>
      <c r="C162" s="4" t="s">
        <v>355</v>
      </c>
      <c r="D162" s="3">
        <v>4</v>
      </c>
      <c r="E162" s="3" t="s">
        <v>16</v>
      </c>
      <c r="F162" s="3" t="s">
        <v>293</v>
      </c>
      <c r="G162" s="3" t="s">
        <v>29</v>
      </c>
      <c r="H162" s="3" t="s">
        <v>214</v>
      </c>
    </row>
    <row r="163" spans="1:8" x14ac:dyDescent="0.2">
      <c r="A163" s="3">
        <v>3049902001</v>
      </c>
      <c r="B163" s="4" t="s">
        <v>518</v>
      </c>
      <c r="C163" s="4" t="s">
        <v>355</v>
      </c>
      <c r="D163" s="3">
        <v>2</v>
      </c>
      <c r="E163" s="3" t="s">
        <v>16</v>
      </c>
      <c r="F163" s="3" t="s">
        <v>293</v>
      </c>
      <c r="G163" s="3" t="s">
        <v>29</v>
      </c>
      <c r="H163" s="3" t="s">
        <v>214</v>
      </c>
    </row>
    <row r="164" spans="1:8" x14ac:dyDescent="0.2">
      <c r="A164" s="3">
        <v>3050206010</v>
      </c>
      <c r="B164" s="4" t="s">
        <v>823</v>
      </c>
      <c r="C164" s="4" t="s">
        <v>824</v>
      </c>
      <c r="D164" s="3">
        <v>2</v>
      </c>
      <c r="E164" s="3" t="s">
        <v>16</v>
      </c>
      <c r="F164" s="3" t="s">
        <v>794</v>
      </c>
      <c r="G164" s="3" t="s">
        <v>795</v>
      </c>
      <c r="H164" s="3" t="s">
        <v>214</v>
      </c>
    </row>
    <row r="165" spans="1:8" x14ac:dyDescent="0.2">
      <c r="A165" s="3">
        <v>3050206012</v>
      </c>
      <c r="B165" s="4" t="s">
        <v>825</v>
      </c>
      <c r="C165" s="4" t="s">
        <v>826</v>
      </c>
      <c r="D165" s="3">
        <v>2</v>
      </c>
      <c r="E165" s="3" t="s">
        <v>16</v>
      </c>
      <c r="F165" s="3" t="s">
        <v>794</v>
      </c>
      <c r="G165" s="3" t="s">
        <v>795</v>
      </c>
      <c r="H165" s="3" t="s">
        <v>214</v>
      </c>
    </row>
    <row r="166" spans="1:8" x14ac:dyDescent="0.2">
      <c r="A166" s="3">
        <v>3070105007</v>
      </c>
      <c r="B166" s="4" t="s">
        <v>360</v>
      </c>
      <c r="C166" s="4" t="s">
        <v>361</v>
      </c>
      <c r="D166" s="3">
        <v>1</v>
      </c>
      <c r="E166" s="3" t="s">
        <v>16</v>
      </c>
      <c r="F166" s="3" t="s">
        <v>317</v>
      </c>
      <c r="G166" s="3" t="s">
        <v>318</v>
      </c>
      <c r="H166" s="3" t="s">
        <v>214</v>
      </c>
    </row>
    <row r="167" spans="1:8" x14ac:dyDescent="0.2">
      <c r="A167" s="3">
        <v>3070105008</v>
      </c>
      <c r="B167" s="4" t="s">
        <v>362</v>
      </c>
      <c r="C167" s="4" t="s">
        <v>361</v>
      </c>
      <c r="D167" s="3">
        <v>1</v>
      </c>
      <c r="E167" s="3" t="s">
        <v>16</v>
      </c>
      <c r="F167" s="3" t="s">
        <v>317</v>
      </c>
      <c r="G167" s="3" t="s">
        <v>318</v>
      </c>
      <c r="H167" s="3" t="s">
        <v>214</v>
      </c>
    </row>
    <row r="168" spans="1:8" x14ac:dyDescent="0.2">
      <c r="A168" s="3">
        <v>3050204001</v>
      </c>
      <c r="B168" s="4" t="s">
        <v>519</v>
      </c>
      <c r="C168" s="4" t="s">
        <v>355</v>
      </c>
      <c r="D168" s="3">
        <v>2</v>
      </c>
      <c r="E168" s="3" t="s">
        <v>16</v>
      </c>
      <c r="F168" s="3" t="s">
        <v>291</v>
      </c>
      <c r="G168" s="3" t="s">
        <v>26</v>
      </c>
      <c r="H168" s="3" t="s">
        <v>214</v>
      </c>
    </row>
    <row r="169" spans="1:8" x14ac:dyDescent="0.2">
      <c r="A169" s="3">
        <v>3050204002</v>
      </c>
      <c r="B169" s="4" t="s">
        <v>520</v>
      </c>
      <c r="C169" s="4" t="s">
        <v>355</v>
      </c>
      <c r="D169" s="3">
        <v>2</v>
      </c>
      <c r="E169" s="3" t="s">
        <v>16</v>
      </c>
      <c r="F169" s="3" t="s">
        <v>291</v>
      </c>
      <c r="G169" s="3" t="s">
        <v>26</v>
      </c>
      <c r="H169" s="3" t="s">
        <v>214</v>
      </c>
    </row>
    <row r="170" spans="1:8" x14ac:dyDescent="0.2">
      <c r="A170" s="3">
        <v>3060403034</v>
      </c>
      <c r="B170" s="4" t="s">
        <v>190</v>
      </c>
      <c r="C170" s="4" t="s">
        <v>521</v>
      </c>
      <c r="D170" s="3">
        <v>1</v>
      </c>
      <c r="E170" s="3" t="s">
        <v>16</v>
      </c>
      <c r="F170" s="3" t="s">
        <v>295</v>
      </c>
      <c r="G170" s="3" t="s">
        <v>17</v>
      </c>
      <c r="H170" s="3" t="s">
        <v>221</v>
      </c>
    </row>
    <row r="171" spans="1:8" x14ac:dyDescent="0.2">
      <c r="A171" s="3">
        <v>3060404003</v>
      </c>
      <c r="B171" s="4" t="s">
        <v>729</v>
      </c>
      <c r="C171" s="4" t="s">
        <v>730</v>
      </c>
      <c r="D171" s="3">
        <v>1</v>
      </c>
      <c r="E171" s="3" t="s">
        <v>16</v>
      </c>
      <c r="F171" s="3" t="s">
        <v>289</v>
      </c>
      <c r="G171" s="3" t="s">
        <v>23</v>
      </c>
      <c r="H171" s="3" t="s">
        <v>221</v>
      </c>
    </row>
    <row r="172" spans="1:8" x14ac:dyDescent="0.2">
      <c r="A172" s="3">
        <v>3020301001</v>
      </c>
      <c r="B172" s="4" t="s">
        <v>209</v>
      </c>
      <c r="C172" s="4" t="s">
        <v>365</v>
      </c>
      <c r="D172" s="3">
        <v>1</v>
      </c>
      <c r="E172" s="3" t="s">
        <v>16</v>
      </c>
      <c r="F172" s="3" t="s">
        <v>301</v>
      </c>
      <c r="G172" s="3" t="s">
        <v>32</v>
      </c>
      <c r="H172" s="3" t="s">
        <v>221</v>
      </c>
    </row>
    <row r="173" spans="1:8" x14ac:dyDescent="0.2">
      <c r="A173" s="3">
        <v>403030051</v>
      </c>
      <c r="B173" s="4" t="s">
        <v>366</v>
      </c>
      <c r="C173" s="4" t="s">
        <v>367</v>
      </c>
      <c r="D173" s="3">
        <v>3</v>
      </c>
      <c r="E173" s="3" t="s">
        <v>16</v>
      </c>
      <c r="F173" s="3" t="s">
        <v>301</v>
      </c>
      <c r="G173" s="3" t="s">
        <v>32</v>
      </c>
      <c r="H173" s="3" t="s">
        <v>221</v>
      </c>
    </row>
    <row r="174" spans="1:8" x14ac:dyDescent="0.2">
      <c r="A174" s="3">
        <v>403030005</v>
      </c>
      <c r="B174" s="4" t="s">
        <v>366</v>
      </c>
      <c r="C174" s="4" t="s">
        <v>368</v>
      </c>
      <c r="D174" s="3">
        <v>2</v>
      </c>
      <c r="E174" s="3" t="s">
        <v>16</v>
      </c>
      <c r="F174" s="3" t="s">
        <v>301</v>
      </c>
      <c r="G174" s="3" t="s">
        <v>32</v>
      </c>
      <c r="H174" s="3" t="s">
        <v>221</v>
      </c>
    </row>
    <row r="175" spans="1:8" x14ac:dyDescent="0.2">
      <c r="A175" s="3">
        <v>402050001</v>
      </c>
      <c r="B175" s="4" t="s">
        <v>522</v>
      </c>
      <c r="C175" s="4" t="s">
        <v>523</v>
      </c>
      <c r="D175" s="3">
        <v>1</v>
      </c>
      <c r="E175" s="3" t="s">
        <v>16</v>
      </c>
      <c r="F175" s="3" t="s">
        <v>289</v>
      </c>
      <c r="G175" s="3" t="s">
        <v>23</v>
      </c>
      <c r="H175" s="3" t="s">
        <v>524</v>
      </c>
    </row>
    <row r="176" spans="1:8" x14ac:dyDescent="0.2">
      <c r="A176" s="3">
        <v>402050001</v>
      </c>
      <c r="B176" s="4" t="s">
        <v>522</v>
      </c>
      <c r="C176" s="4" t="s">
        <v>523</v>
      </c>
      <c r="D176" s="3">
        <v>1</v>
      </c>
      <c r="E176" s="3" t="s">
        <v>16</v>
      </c>
      <c r="F176" s="3" t="s">
        <v>794</v>
      </c>
      <c r="G176" s="3" t="s">
        <v>795</v>
      </c>
      <c r="H176" s="3" t="s">
        <v>524</v>
      </c>
    </row>
    <row r="177" spans="1:8" x14ac:dyDescent="0.2">
      <c r="A177" s="3">
        <v>408120036</v>
      </c>
      <c r="B177" s="4" t="s">
        <v>525</v>
      </c>
      <c r="C177" s="4" t="s">
        <v>526</v>
      </c>
      <c r="D177" s="3">
        <v>2</v>
      </c>
      <c r="E177" s="3" t="s">
        <v>16</v>
      </c>
      <c r="F177" s="3" t="s">
        <v>291</v>
      </c>
      <c r="G177" s="3" t="s">
        <v>26</v>
      </c>
      <c r="H177" s="3" t="s">
        <v>524</v>
      </c>
    </row>
    <row r="178" spans="1:8" x14ac:dyDescent="0.2">
      <c r="A178" s="3">
        <v>3050305016</v>
      </c>
      <c r="B178" s="4" t="s">
        <v>527</v>
      </c>
      <c r="C178" s="4" t="s">
        <v>528</v>
      </c>
      <c r="D178" s="3">
        <v>1</v>
      </c>
      <c r="E178" s="3" t="s">
        <v>16</v>
      </c>
      <c r="F178" s="3" t="s">
        <v>291</v>
      </c>
      <c r="G178" s="3" t="s">
        <v>26</v>
      </c>
      <c r="H178" s="3" t="s">
        <v>226</v>
      </c>
    </row>
    <row r="179" spans="1:8" x14ac:dyDescent="0.2">
      <c r="A179" s="3">
        <v>3050305015</v>
      </c>
      <c r="B179" s="4" t="s">
        <v>529</v>
      </c>
      <c r="C179" s="4" t="s">
        <v>530</v>
      </c>
      <c r="D179" s="3">
        <v>1</v>
      </c>
      <c r="E179" s="3" t="s">
        <v>16</v>
      </c>
      <c r="F179" s="3" t="s">
        <v>291</v>
      </c>
      <c r="G179" s="3" t="s">
        <v>26</v>
      </c>
      <c r="H179" s="3" t="s">
        <v>226</v>
      </c>
    </row>
    <row r="180" spans="1:8" x14ac:dyDescent="0.2">
      <c r="A180" s="3">
        <v>3030309020</v>
      </c>
      <c r="B180" s="4" t="s">
        <v>531</v>
      </c>
      <c r="C180" s="4" t="s">
        <v>532</v>
      </c>
      <c r="D180" s="3">
        <v>1</v>
      </c>
      <c r="E180" s="3" t="s">
        <v>16</v>
      </c>
      <c r="F180" s="3" t="s">
        <v>291</v>
      </c>
      <c r="G180" s="3" t="s">
        <v>26</v>
      </c>
      <c r="H180" s="3" t="s">
        <v>226</v>
      </c>
    </row>
    <row r="181" spans="1:8" x14ac:dyDescent="0.2">
      <c r="A181" s="3">
        <v>3030302002</v>
      </c>
      <c r="B181" s="4" t="s">
        <v>533</v>
      </c>
      <c r="C181" s="4" t="s">
        <v>534</v>
      </c>
      <c r="D181" s="3">
        <v>1</v>
      </c>
      <c r="E181" s="3" t="s">
        <v>16</v>
      </c>
      <c r="F181" s="3" t="s">
        <v>295</v>
      </c>
      <c r="G181" s="3" t="s">
        <v>17</v>
      </c>
      <c r="H181" s="3" t="s">
        <v>226</v>
      </c>
    </row>
    <row r="182" spans="1:8" x14ac:dyDescent="0.2">
      <c r="A182" s="3">
        <v>3030306012</v>
      </c>
      <c r="B182" s="4" t="s">
        <v>535</v>
      </c>
      <c r="C182" s="4" t="s">
        <v>536</v>
      </c>
      <c r="D182" s="3">
        <v>1</v>
      </c>
      <c r="E182" s="3" t="s">
        <v>16</v>
      </c>
      <c r="F182" s="3" t="s">
        <v>295</v>
      </c>
      <c r="G182" s="3" t="s">
        <v>17</v>
      </c>
      <c r="H182" s="3" t="s">
        <v>226</v>
      </c>
    </row>
    <row r="183" spans="1:8" x14ac:dyDescent="0.2">
      <c r="A183" s="3">
        <v>3030306011</v>
      </c>
      <c r="B183" s="4" t="s">
        <v>537</v>
      </c>
      <c r="C183" s="4" t="s">
        <v>536</v>
      </c>
      <c r="D183" s="3">
        <v>1</v>
      </c>
      <c r="E183" s="3" t="s">
        <v>16</v>
      </c>
      <c r="F183" s="3" t="s">
        <v>295</v>
      </c>
      <c r="G183" s="3" t="s">
        <v>17</v>
      </c>
      <c r="H183" s="3" t="s">
        <v>226</v>
      </c>
    </row>
    <row r="184" spans="1:8" x14ac:dyDescent="0.2">
      <c r="A184" s="3">
        <v>3030303002</v>
      </c>
      <c r="B184" s="4" t="s">
        <v>175</v>
      </c>
      <c r="C184" s="4" t="s">
        <v>538</v>
      </c>
      <c r="D184" s="3">
        <v>1</v>
      </c>
      <c r="E184" s="3" t="s">
        <v>16</v>
      </c>
      <c r="F184" s="3" t="s">
        <v>295</v>
      </c>
      <c r="G184" s="3" t="s">
        <v>17</v>
      </c>
      <c r="H184" s="3" t="s">
        <v>226</v>
      </c>
    </row>
    <row r="185" spans="1:8" x14ac:dyDescent="0.2">
      <c r="A185" s="3">
        <v>3030303017</v>
      </c>
      <c r="B185" s="4" t="s">
        <v>539</v>
      </c>
      <c r="C185" s="4" t="s">
        <v>540</v>
      </c>
      <c r="D185" s="3">
        <v>1</v>
      </c>
      <c r="E185" s="3" t="s">
        <v>16</v>
      </c>
      <c r="F185" s="3" t="s">
        <v>295</v>
      </c>
      <c r="G185" s="3" t="s">
        <v>17</v>
      </c>
      <c r="H185" s="3" t="s">
        <v>226</v>
      </c>
    </row>
    <row r="186" spans="1:8" x14ac:dyDescent="0.2">
      <c r="A186" s="3">
        <v>3040312012</v>
      </c>
      <c r="B186" s="4" t="s">
        <v>263</v>
      </c>
      <c r="C186" s="4" t="s">
        <v>541</v>
      </c>
      <c r="D186" s="3">
        <v>2</v>
      </c>
      <c r="E186" s="3" t="s">
        <v>16</v>
      </c>
      <c r="F186" s="3" t="s">
        <v>293</v>
      </c>
      <c r="G186" s="3" t="s">
        <v>29</v>
      </c>
      <c r="H186" s="3" t="s">
        <v>226</v>
      </c>
    </row>
    <row r="187" spans="1:8" x14ac:dyDescent="0.2">
      <c r="A187" s="3">
        <v>3040320010</v>
      </c>
      <c r="B187" s="4" t="s">
        <v>269</v>
      </c>
      <c r="C187" s="4" t="s">
        <v>542</v>
      </c>
      <c r="D187" s="3">
        <v>1</v>
      </c>
      <c r="E187" s="3" t="s">
        <v>16</v>
      </c>
      <c r="F187" s="3" t="s">
        <v>293</v>
      </c>
      <c r="G187" s="3" t="s">
        <v>29</v>
      </c>
      <c r="H187" s="3" t="s">
        <v>226</v>
      </c>
    </row>
    <row r="188" spans="1:8" x14ac:dyDescent="0.2">
      <c r="A188" s="3">
        <v>3040320011</v>
      </c>
      <c r="B188" s="4" t="s">
        <v>269</v>
      </c>
      <c r="C188" s="4" t="s">
        <v>543</v>
      </c>
      <c r="D188" s="3">
        <v>1</v>
      </c>
      <c r="E188" s="3" t="s">
        <v>16</v>
      </c>
      <c r="F188" s="3" t="s">
        <v>293</v>
      </c>
      <c r="G188" s="3" t="s">
        <v>29</v>
      </c>
      <c r="H188" s="3" t="s">
        <v>226</v>
      </c>
    </row>
    <row r="189" spans="1:8" x14ac:dyDescent="0.2">
      <c r="A189" s="3">
        <v>3030313003</v>
      </c>
      <c r="B189" s="4" t="s">
        <v>217</v>
      </c>
      <c r="C189" s="4" t="s">
        <v>544</v>
      </c>
      <c r="D189" s="3">
        <v>8</v>
      </c>
      <c r="E189" s="3" t="s">
        <v>16</v>
      </c>
      <c r="F189" s="3" t="s">
        <v>291</v>
      </c>
      <c r="G189" s="3" t="s">
        <v>26</v>
      </c>
      <c r="H189" s="3" t="s">
        <v>226</v>
      </c>
    </row>
    <row r="190" spans="1:8" x14ac:dyDescent="0.2">
      <c r="A190" s="3">
        <v>3020199010</v>
      </c>
      <c r="B190" s="4" t="s">
        <v>239</v>
      </c>
      <c r="C190" s="4" t="s">
        <v>545</v>
      </c>
      <c r="D190" s="3">
        <v>5</v>
      </c>
      <c r="E190" s="3" t="s">
        <v>16</v>
      </c>
      <c r="F190" s="3" t="s">
        <v>301</v>
      </c>
      <c r="G190" s="3" t="s">
        <v>32</v>
      </c>
      <c r="H190" s="3" t="s">
        <v>226</v>
      </c>
    </row>
    <row r="191" spans="1:8" x14ac:dyDescent="0.2">
      <c r="A191" s="3">
        <v>3050304011</v>
      </c>
      <c r="B191" s="4" t="s">
        <v>827</v>
      </c>
      <c r="C191" s="4" t="s">
        <v>815</v>
      </c>
      <c r="D191" s="3">
        <v>1</v>
      </c>
      <c r="E191" s="3" t="s">
        <v>16</v>
      </c>
      <c r="F191" s="3" t="s">
        <v>794</v>
      </c>
      <c r="G191" s="3" t="s">
        <v>795</v>
      </c>
      <c r="H191" s="3" t="s">
        <v>226</v>
      </c>
    </row>
    <row r="192" spans="1:8" x14ac:dyDescent="0.2">
      <c r="A192" s="3">
        <v>3050303012</v>
      </c>
      <c r="B192" s="4" t="s">
        <v>828</v>
      </c>
      <c r="C192" s="4" t="s">
        <v>829</v>
      </c>
      <c r="D192" s="3">
        <v>1</v>
      </c>
      <c r="E192" s="3" t="s">
        <v>16</v>
      </c>
      <c r="F192" s="3" t="s">
        <v>794</v>
      </c>
      <c r="G192" s="3" t="s">
        <v>795</v>
      </c>
      <c r="H192" s="3" t="s">
        <v>226</v>
      </c>
    </row>
    <row r="193" spans="1:8" x14ac:dyDescent="0.2">
      <c r="A193" s="3">
        <v>3050403014</v>
      </c>
      <c r="B193" s="4" t="s">
        <v>830</v>
      </c>
      <c r="C193" s="4" t="s">
        <v>831</v>
      </c>
      <c r="D193" s="3">
        <v>1</v>
      </c>
      <c r="E193" s="3" t="s">
        <v>16</v>
      </c>
      <c r="F193" s="3" t="s">
        <v>794</v>
      </c>
      <c r="G193" s="3" t="s">
        <v>795</v>
      </c>
      <c r="H193" s="3" t="s">
        <v>226</v>
      </c>
    </row>
    <row r="194" spans="1:8" x14ac:dyDescent="0.2">
      <c r="A194" s="3">
        <v>3050403015</v>
      </c>
      <c r="B194" s="4" t="s">
        <v>830</v>
      </c>
      <c r="C194" s="4" t="s">
        <v>832</v>
      </c>
      <c r="D194" s="3">
        <v>1</v>
      </c>
      <c r="E194" s="3" t="s">
        <v>16</v>
      </c>
      <c r="F194" s="3" t="s">
        <v>794</v>
      </c>
      <c r="G194" s="3" t="s">
        <v>795</v>
      </c>
      <c r="H194" s="3" t="s">
        <v>226</v>
      </c>
    </row>
    <row r="195" spans="1:8" x14ac:dyDescent="0.2">
      <c r="A195" s="3">
        <v>3050310001</v>
      </c>
      <c r="B195" s="4" t="s">
        <v>833</v>
      </c>
      <c r="C195" s="4" t="s">
        <v>834</v>
      </c>
      <c r="D195" s="3">
        <v>1</v>
      </c>
      <c r="E195" s="3" t="s">
        <v>16</v>
      </c>
      <c r="F195" s="3" t="s">
        <v>794</v>
      </c>
      <c r="G195" s="3" t="s">
        <v>795</v>
      </c>
      <c r="H195" s="3" t="s">
        <v>226</v>
      </c>
    </row>
    <row r="196" spans="1:8" x14ac:dyDescent="0.2">
      <c r="A196" s="3">
        <v>3050310002</v>
      </c>
      <c r="B196" s="4" t="s">
        <v>833</v>
      </c>
      <c r="C196" s="4" t="s">
        <v>835</v>
      </c>
      <c r="D196" s="3">
        <v>1</v>
      </c>
      <c r="E196" s="3" t="s">
        <v>16</v>
      </c>
      <c r="F196" s="3" t="s">
        <v>794</v>
      </c>
      <c r="G196" s="3" t="s">
        <v>795</v>
      </c>
      <c r="H196" s="3" t="s">
        <v>226</v>
      </c>
    </row>
    <row r="197" spans="1:8" x14ac:dyDescent="0.2">
      <c r="A197" s="3">
        <v>3070212001</v>
      </c>
      <c r="B197" s="4" t="s">
        <v>377</v>
      </c>
      <c r="C197" s="4" t="s">
        <v>378</v>
      </c>
      <c r="D197" s="3">
        <v>1</v>
      </c>
      <c r="E197" s="3" t="s">
        <v>16</v>
      </c>
      <c r="F197" s="3" t="s">
        <v>317</v>
      </c>
      <c r="G197" s="3" t="s">
        <v>318</v>
      </c>
      <c r="H197" s="3" t="s">
        <v>226</v>
      </c>
    </row>
    <row r="198" spans="1:8" x14ac:dyDescent="0.2">
      <c r="A198" s="3">
        <v>3070210001</v>
      </c>
      <c r="B198" s="4" t="s">
        <v>379</v>
      </c>
      <c r="C198" s="4" t="s">
        <v>280</v>
      </c>
      <c r="D198" s="3">
        <v>1</v>
      </c>
      <c r="E198" s="3" t="s">
        <v>16</v>
      </c>
      <c r="F198" s="3" t="s">
        <v>317</v>
      </c>
      <c r="G198" s="3" t="s">
        <v>318</v>
      </c>
      <c r="H198" s="3" t="s">
        <v>226</v>
      </c>
    </row>
    <row r="199" spans="1:8" x14ac:dyDescent="0.2">
      <c r="A199" s="3">
        <v>3050305019</v>
      </c>
      <c r="B199" s="4" t="s">
        <v>549</v>
      </c>
      <c r="C199" s="4" t="s">
        <v>530</v>
      </c>
      <c r="D199" s="3">
        <v>1</v>
      </c>
      <c r="E199" s="3" t="s">
        <v>16</v>
      </c>
      <c r="F199" s="3" t="s">
        <v>291</v>
      </c>
      <c r="G199" s="3" t="s">
        <v>26</v>
      </c>
      <c r="H199" s="3" t="s">
        <v>226</v>
      </c>
    </row>
    <row r="200" spans="1:8" x14ac:dyDescent="0.2">
      <c r="A200" s="3">
        <v>3050401014</v>
      </c>
      <c r="B200" s="4" t="s">
        <v>222</v>
      </c>
      <c r="C200" s="4" t="s">
        <v>550</v>
      </c>
      <c r="D200" s="3">
        <v>1</v>
      </c>
      <c r="E200" s="3" t="s">
        <v>16</v>
      </c>
      <c r="F200" s="3" t="s">
        <v>291</v>
      </c>
      <c r="G200" s="3" t="s">
        <v>26</v>
      </c>
      <c r="H200" s="3" t="s">
        <v>226</v>
      </c>
    </row>
    <row r="201" spans="1:8" x14ac:dyDescent="0.2">
      <c r="A201" s="3">
        <v>3080401031</v>
      </c>
      <c r="B201" s="4" t="s">
        <v>41</v>
      </c>
      <c r="C201" s="4" t="s">
        <v>551</v>
      </c>
      <c r="D201" s="3">
        <v>1</v>
      </c>
      <c r="E201" s="3" t="s">
        <v>16</v>
      </c>
      <c r="F201" s="3" t="s">
        <v>291</v>
      </c>
      <c r="G201" s="3" t="s">
        <v>26</v>
      </c>
      <c r="H201" s="3" t="s">
        <v>249</v>
      </c>
    </row>
    <row r="202" spans="1:8" x14ac:dyDescent="0.2">
      <c r="A202" s="3">
        <v>3030211001</v>
      </c>
      <c r="B202" s="4" t="s">
        <v>552</v>
      </c>
      <c r="C202" s="4" t="s">
        <v>553</v>
      </c>
      <c r="D202" s="3">
        <v>1</v>
      </c>
      <c r="E202" s="3" t="s">
        <v>16</v>
      </c>
      <c r="F202" s="3" t="s">
        <v>295</v>
      </c>
      <c r="G202" s="3" t="s">
        <v>17</v>
      </c>
      <c r="H202" s="3" t="s">
        <v>249</v>
      </c>
    </row>
    <row r="203" spans="1:8" x14ac:dyDescent="0.2">
      <c r="A203" s="3">
        <v>3080309001</v>
      </c>
      <c r="B203" s="4" t="s">
        <v>554</v>
      </c>
      <c r="C203" s="4" t="s">
        <v>555</v>
      </c>
      <c r="D203" s="3">
        <v>1</v>
      </c>
      <c r="E203" s="3" t="s">
        <v>16</v>
      </c>
      <c r="F203" s="3" t="s">
        <v>295</v>
      </c>
      <c r="G203" s="3" t="s">
        <v>17</v>
      </c>
      <c r="H203" s="3" t="s">
        <v>249</v>
      </c>
    </row>
    <row r="204" spans="1:8" x14ac:dyDescent="0.2">
      <c r="A204" s="3">
        <v>3080107268</v>
      </c>
      <c r="B204" s="4" t="s">
        <v>69</v>
      </c>
      <c r="C204" s="4" t="s">
        <v>556</v>
      </c>
      <c r="D204" s="3">
        <v>2</v>
      </c>
      <c r="E204" s="3" t="s">
        <v>16</v>
      </c>
      <c r="F204" s="3" t="s">
        <v>291</v>
      </c>
      <c r="G204" s="3" t="s">
        <v>26</v>
      </c>
      <c r="H204" s="3" t="s">
        <v>249</v>
      </c>
    </row>
    <row r="205" spans="1:8" x14ac:dyDescent="0.2">
      <c r="A205" s="3">
        <v>3080107269</v>
      </c>
      <c r="B205" s="4" t="s">
        <v>69</v>
      </c>
      <c r="C205" s="4" t="s">
        <v>557</v>
      </c>
      <c r="D205" s="3">
        <v>2</v>
      </c>
      <c r="E205" s="3" t="s">
        <v>16</v>
      </c>
      <c r="F205" s="3" t="s">
        <v>291</v>
      </c>
      <c r="G205" s="3" t="s">
        <v>26</v>
      </c>
      <c r="H205" s="3" t="s">
        <v>249</v>
      </c>
    </row>
    <row r="206" spans="1:8" x14ac:dyDescent="0.2">
      <c r="A206" s="3">
        <v>3060335005</v>
      </c>
      <c r="B206" s="4" t="s">
        <v>233</v>
      </c>
      <c r="C206" s="4" t="s">
        <v>734</v>
      </c>
      <c r="D206" s="3">
        <v>1</v>
      </c>
      <c r="E206" s="3" t="s">
        <v>16</v>
      </c>
      <c r="F206" s="3" t="s">
        <v>289</v>
      </c>
      <c r="G206" s="3" t="s">
        <v>23</v>
      </c>
      <c r="H206" s="3" t="s">
        <v>254</v>
      </c>
    </row>
    <row r="207" spans="1:8" x14ac:dyDescent="0.2">
      <c r="A207" s="3">
        <v>3060324001</v>
      </c>
      <c r="B207" s="4" t="s">
        <v>735</v>
      </c>
      <c r="C207" s="4" t="s">
        <v>736</v>
      </c>
      <c r="D207" s="3">
        <v>1</v>
      </c>
      <c r="E207" s="3" t="s">
        <v>16</v>
      </c>
      <c r="F207" s="3" t="s">
        <v>289</v>
      </c>
      <c r="G207" s="3" t="s">
        <v>23</v>
      </c>
      <c r="H207" s="3" t="s">
        <v>254</v>
      </c>
    </row>
    <row r="208" spans="1:8" x14ac:dyDescent="0.2">
      <c r="A208" s="3">
        <v>3030302001</v>
      </c>
      <c r="B208" s="4" t="s">
        <v>558</v>
      </c>
      <c r="C208" s="4" t="s">
        <v>534</v>
      </c>
      <c r="D208" s="3">
        <v>1</v>
      </c>
      <c r="E208" s="3" t="s">
        <v>16</v>
      </c>
      <c r="F208" s="3" t="s">
        <v>295</v>
      </c>
      <c r="G208" s="3" t="s">
        <v>17</v>
      </c>
      <c r="H208" s="3" t="s">
        <v>254</v>
      </c>
    </row>
    <row r="209" spans="1:8" x14ac:dyDescent="0.2">
      <c r="A209" s="3">
        <v>3030306031</v>
      </c>
      <c r="B209" s="4" t="s">
        <v>559</v>
      </c>
      <c r="C209" s="4" t="s">
        <v>560</v>
      </c>
      <c r="D209" s="3">
        <v>1</v>
      </c>
      <c r="E209" s="3" t="s">
        <v>16</v>
      </c>
      <c r="F209" s="3" t="s">
        <v>295</v>
      </c>
      <c r="G209" s="3" t="s">
        <v>17</v>
      </c>
      <c r="H209" s="3" t="s">
        <v>254</v>
      </c>
    </row>
    <row r="210" spans="1:8" x14ac:dyDescent="0.2">
      <c r="A210" s="3">
        <v>3080311002</v>
      </c>
      <c r="B210" s="4" t="s">
        <v>561</v>
      </c>
      <c r="C210" s="4" t="s">
        <v>536</v>
      </c>
      <c r="D210" s="3">
        <v>1</v>
      </c>
      <c r="E210" s="3" t="s">
        <v>16</v>
      </c>
      <c r="F210" s="3" t="s">
        <v>295</v>
      </c>
      <c r="G210" s="3" t="s">
        <v>17</v>
      </c>
      <c r="H210" s="3" t="s">
        <v>254</v>
      </c>
    </row>
    <row r="211" spans="1:8" x14ac:dyDescent="0.2">
      <c r="A211" s="3">
        <v>3030303016</v>
      </c>
      <c r="B211" s="4" t="s">
        <v>562</v>
      </c>
      <c r="C211" s="4" t="s">
        <v>563</v>
      </c>
      <c r="D211" s="3">
        <v>1</v>
      </c>
      <c r="E211" s="3" t="s">
        <v>16</v>
      </c>
      <c r="F211" s="3" t="s">
        <v>295</v>
      </c>
      <c r="G211" s="3" t="s">
        <v>17</v>
      </c>
      <c r="H211" s="3" t="s">
        <v>254</v>
      </c>
    </row>
    <row r="212" spans="1:8" x14ac:dyDescent="0.2">
      <c r="A212" s="3">
        <v>3030303015</v>
      </c>
      <c r="B212" s="4" t="s">
        <v>564</v>
      </c>
      <c r="C212" s="4" t="s">
        <v>563</v>
      </c>
      <c r="D212" s="3">
        <v>1</v>
      </c>
      <c r="E212" s="3" t="s">
        <v>16</v>
      </c>
      <c r="F212" s="3" t="s">
        <v>295</v>
      </c>
      <c r="G212" s="3" t="s">
        <v>17</v>
      </c>
      <c r="H212" s="3" t="s">
        <v>254</v>
      </c>
    </row>
    <row r="213" spans="1:8" x14ac:dyDescent="0.2">
      <c r="A213" s="3">
        <v>3040323001</v>
      </c>
      <c r="B213" s="4" t="s">
        <v>565</v>
      </c>
      <c r="C213" s="4" t="s">
        <v>566</v>
      </c>
      <c r="D213" s="3">
        <v>2</v>
      </c>
      <c r="E213" s="3" t="s">
        <v>16</v>
      </c>
      <c r="F213" s="3" t="s">
        <v>293</v>
      </c>
      <c r="G213" s="3" t="s">
        <v>29</v>
      </c>
      <c r="H213" s="3" t="s">
        <v>254</v>
      </c>
    </row>
    <row r="214" spans="1:8" x14ac:dyDescent="0.2">
      <c r="A214" s="3">
        <v>3040302001</v>
      </c>
      <c r="B214" s="4" t="s">
        <v>567</v>
      </c>
      <c r="C214" s="4" t="s">
        <v>568</v>
      </c>
      <c r="D214" s="3">
        <v>1</v>
      </c>
      <c r="E214" s="3" t="s">
        <v>16</v>
      </c>
      <c r="F214" s="3" t="s">
        <v>293</v>
      </c>
      <c r="G214" s="3" t="s">
        <v>29</v>
      </c>
      <c r="H214" s="3" t="s">
        <v>254</v>
      </c>
    </row>
    <row r="215" spans="1:8" x14ac:dyDescent="0.2">
      <c r="A215" s="3">
        <v>3040302002</v>
      </c>
      <c r="B215" s="4" t="s">
        <v>567</v>
      </c>
      <c r="C215" s="4" t="s">
        <v>569</v>
      </c>
      <c r="D215" s="3">
        <v>1</v>
      </c>
      <c r="E215" s="3" t="s">
        <v>16</v>
      </c>
      <c r="F215" s="3" t="s">
        <v>293</v>
      </c>
      <c r="G215" s="3" t="s">
        <v>29</v>
      </c>
      <c r="H215" s="3" t="s">
        <v>254</v>
      </c>
    </row>
    <row r="216" spans="1:8" x14ac:dyDescent="0.2">
      <c r="A216" s="3">
        <v>3040324004</v>
      </c>
      <c r="B216" s="4" t="s">
        <v>570</v>
      </c>
      <c r="C216" s="4" t="s">
        <v>536</v>
      </c>
      <c r="D216" s="3">
        <v>2</v>
      </c>
      <c r="E216" s="3" t="s">
        <v>16</v>
      </c>
      <c r="F216" s="3" t="s">
        <v>293</v>
      </c>
      <c r="G216" s="3" t="s">
        <v>29</v>
      </c>
      <c r="H216" s="3" t="s">
        <v>254</v>
      </c>
    </row>
    <row r="217" spans="1:8" x14ac:dyDescent="0.2">
      <c r="A217" s="3">
        <v>3030302008</v>
      </c>
      <c r="B217" s="4" t="s">
        <v>571</v>
      </c>
      <c r="C217" s="4" t="s">
        <v>572</v>
      </c>
      <c r="D217" s="3">
        <v>1</v>
      </c>
      <c r="E217" s="3" t="s">
        <v>16</v>
      </c>
      <c r="F217" s="3" t="s">
        <v>295</v>
      </c>
      <c r="G217" s="3" t="s">
        <v>17</v>
      </c>
      <c r="H217" s="3" t="s">
        <v>254</v>
      </c>
    </row>
    <row r="218" spans="1:8" x14ac:dyDescent="0.2">
      <c r="A218" s="3">
        <v>3030302009</v>
      </c>
      <c r="B218" s="4" t="s">
        <v>571</v>
      </c>
      <c r="C218" s="4" t="s">
        <v>573</v>
      </c>
      <c r="D218" s="3">
        <v>1</v>
      </c>
      <c r="E218" s="3" t="s">
        <v>16</v>
      </c>
      <c r="F218" s="3" t="s">
        <v>295</v>
      </c>
      <c r="G218" s="3" t="s">
        <v>17</v>
      </c>
      <c r="H218" s="3" t="s">
        <v>254</v>
      </c>
    </row>
    <row r="219" spans="1:8" x14ac:dyDescent="0.2">
      <c r="A219" s="3">
        <v>3030302004</v>
      </c>
      <c r="B219" s="4" t="s">
        <v>574</v>
      </c>
      <c r="C219" s="4" t="s">
        <v>575</v>
      </c>
      <c r="D219" s="3">
        <v>1</v>
      </c>
      <c r="E219" s="3" t="s">
        <v>16</v>
      </c>
      <c r="F219" s="3" t="s">
        <v>295</v>
      </c>
      <c r="G219" s="3" t="s">
        <v>17</v>
      </c>
      <c r="H219" s="3" t="s">
        <v>254</v>
      </c>
    </row>
    <row r="220" spans="1:8" x14ac:dyDescent="0.2">
      <c r="A220" s="3">
        <v>3030302006</v>
      </c>
      <c r="B220" s="4" t="s">
        <v>576</v>
      </c>
      <c r="C220" s="4" t="s">
        <v>575</v>
      </c>
      <c r="D220" s="3">
        <v>1</v>
      </c>
      <c r="E220" s="3" t="s">
        <v>16</v>
      </c>
      <c r="F220" s="3" t="s">
        <v>295</v>
      </c>
      <c r="G220" s="3" t="s">
        <v>17</v>
      </c>
      <c r="H220" s="3" t="s">
        <v>254</v>
      </c>
    </row>
    <row r="221" spans="1:8" x14ac:dyDescent="0.2">
      <c r="A221" s="3">
        <v>3030314004</v>
      </c>
      <c r="B221" s="4" t="s">
        <v>577</v>
      </c>
      <c r="C221" s="4" t="s">
        <v>575</v>
      </c>
      <c r="D221" s="3">
        <v>1</v>
      </c>
      <c r="E221" s="3" t="s">
        <v>16</v>
      </c>
      <c r="F221" s="3" t="s">
        <v>295</v>
      </c>
      <c r="G221" s="3" t="s">
        <v>17</v>
      </c>
      <c r="H221" s="3" t="s">
        <v>254</v>
      </c>
    </row>
    <row r="222" spans="1:8" x14ac:dyDescent="0.2">
      <c r="A222" s="3">
        <v>3030308001</v>
      </c>
      <c r="B222" s="4" t="s">
        <v>578</v>
      </c>
      <c r="C222" s="4" t="s">
        <v>575</v>
      </c>
      <c r="D222" s="3">
        <v>1</v>
      </c>
      <c r="E222" s="3" t="s">
        <v>16</v>
      </c>
      <c r="F222" s="3" t="s">
        <v>295</v>
      </c>
      <c r="G222" s="3" t="s">
        <v>17</v>
      </c>
      <c r="H222" s="3" t="s">
        <v>254</v>
      </c>
    </row>
    <row r="223" spans="1:8" x14ac:dyDescent="0.2">
      <c r="A223" s="3">
        <v>3030314003</v>
      </c>
      <c r="B223" s="4" t="s">
        <v>579</v>
      </c>
      <c r="C223" s="4" t="s">
        <v>575</v>
      </c>
      <c r="D223" s="3">
        <v>1</v>
      </c>
      <c r="E223" s="3" t="s">
        <v>16</v>
      </c>
      <c r="F223" s="3" t="s">
        <v>295</v>
      </c>
      <c r="G223" s="3" t="s">
        <v>17</v>
      </c>
      <c r="H223" s="3" t="s">
        <v>254</v>
      </c>
    </row>
    <row r="224" spans="1:8" x14ac:dyDescent="0.2">
      <c r="A224" s="3">
        <v>3030308003</v>
      </c>
      <c r="B224" s="4" t="s">
        <v>580</v>
      </c>
      <c r="C224" s="4" t="s">
        <v>581</v>
      </c>
      <c r="D224" s="3">
        <v>1</v>
      </c>
      <c r="E224" s="3" t="s">
        <v>16</v>
      </c>
      <c r="F224" s="3" t="s">
        <v>295</v>
      </c>
      <c r="G224" s="3" t="s">
        <v>17</v>
      </c>
      <c r="H224" s="3" t="s">
        <v>254</v>
      </c>
    </row>
    <row r="225" spans="1:8" x14ac:dyDescent="0.2">
      <c r="A225" s="3">
        <v>3040325007</v>
      </c>
      <c r="B225" s="4" t="s">
        <v>582</v>
      </c>
      <c r="C225" s="4" t="s">
        <v>543</v>
      </c>
      <c r="D225" s="3">
        <v>1</v>
      </c>
      <c r="E225" s="3" t="s">
        <v>16</v>
      </c>
      <c r="F225" s="3" t="s">
        <v>293</v>
      </c>
      <c r="G225" s="3" t="s">
        <v>29</v>
      </c>
      <c r="H225" s="3" t="s">
        <v>254</v>
      </c>
    </row>
    <row r="226" spans="1:8" x14ac:dyDescent="0.2">
      <c r="A226" s="3">
        <v>3040325008</v>
      </c>
      <c r="B226" s="4" t="s">
        <v>582</v>
      </c>
      <c r="C226" s="4" t="s">
        <v>542</v>
      </c>
      <c r="D226" s="3">
        <v>1</v>
      </c>
      <c r="E226" s="3" t="s">
        <v>16</v>
      </c>
      <c r="F226" s="3" t="s">
        <v>293</v>
      </c>
      <c r="G226" s="3" t="s">
        <v>29</v>
      </c>
      <c r="H226" s="3" t="s">
        <v>254</v>
      </c>
    </row>
    <row r="227" spans="1:8" x14ac:dyDescent="0.2">
      <c r="A227" s="3">
        <v>3040326013</v>
      </c>
      <c r="B227" s="4" t="s">
        <v>546</v>
      </c>
      <c r="C227" s="4" t="s">
        <v>781</v>
      </c>
      <c r="D227" s="3">
        <v>1</v>
      </c>
      <c r="E227" s="3" t="s">
        <v>16</v>
      </c>
      <c r="F227" s="3" t="s">
        <v>293</v>
      </c>
      <c r="G227" s="3" t="s">
        <v>29</v>
      </c>
      <c r="H227" s="3" t="s">
        <v>254</v>
      </c>
    </row>
    <row r="228" spans="1:8" x14ac:dyDescent="0.2">
      <c r="A228" s="3">
        <v>3040326011</v>
      </c>
      <c r="B228" s="4" t="s">
        <v>546</v>
      </c>
      <c r="C228" s="4" t="s">
        <v>782</v>
      </c>
      <c r="D228" s="3">
        <v>1</v>
      </c>
      <c r="E228" s="3" t="s">
        <v>16</v>
      </c>
      <c r="F228" s="3" t="s">
        <v>293</v>
      </c>
      <c r="G228" s="3" t="s">
        <v>29</v>
      </c>
      <c r="H228" s="3" t="s">
        <v>254</v>
      </c>
    </row>
    <row r="229" spans="1:8" x14ac:dyDescent="0.2">
      <c r="A229" s="3">
        <v>3040308003</v>
      </c>
      <c r="B229" s="4" t="s">
        <v>583</v>
      </c>
      <c r="C229" s="4" t="s">
        <v>536</v>
      </c>
      <c r="D229" s="3">
        <v>2</v>
      </c>
      <c r="E229" s="3" t="s">
        <v>16</v>
      </c>
      <c r="F229" s="3" t="s">
        <v>293</v>
      </c>
      <c r="G229" s="3" t="s">
        <v>29</v>
      </c>
      <c r="H229" s="3" t="s">
        <v>254</v>
      </c>
    </row>
    <row r="230" spans="1:8" x14ac:dyDescent="0.2">
      <c r="A230" s="3">
        <v>3030302007</v>
      </c>
      <c r="B230" s="4" t="s">
        <v>584</v>
      </c>
      <c r="C230" s="4" t="s">
        <v>575</v>
      </c>
      <c r="D230" s="3">
        <v>1</v>
      </c>
      <c r="E230" s="3" t="s">
        <v>16</v>
      </c>
      <c r="F230" s="3" t="s">
        <v>295</v>
      </c>
      <c r="G230" s="3" t="s">
        <v>17</v>
      </c>
      <c r="H230" s="3" t="s">
        <v>254</v>
      </c>
    </row>
    <row r="231" spans="1:8" x14ac:dyDescent="0.2">
      <c r="A231" s="3">
        <v>3070205003</v>
      </c>
      <c r="B231" s="4" t="s">
        <v>372</v>
      </c>
      <c r="C231" s="4" t="s">
        <v>747</v>
      </c>
      <c r="D231" s="3">
        <v>1</v>
      </c>
      <c r="E231" s="3" t="s">
        <v>16</v>
      </c>
      <c r="F231" s="3" t="s">
        <v>317</v>
      </c>
      <c r="G231" s="3" t="s">
        <v>318</v>
      </c>
      <c r="H231" s="3" t="s">
        <v>254</v>
      </c>
    </row>
    <row r="232" spans="1:8" x14ac:dyDescent="0.2">
      <c r="A232" s="3">
        <v>3070202019</v>
      </c>
      <c r="B232" s="4" t="s">
        <v>388</v>
      </c>
      <c r="C232" s="4" t="s">
        <v>389</v>
      </c>
      <c r="D232" s="3">
        <v>1</v>
      </c>
      <c r="E232" s="3" t="s">
        <v>16</v>
      </c>
      <c r="F232" s="3" t="s">
        <v>317</v>
      </c>
      <c r="G232" s="3" t="s">
        <v>318</v>
      </c>
      <c r="H232" s="3" t="s">
        <v>254</v>
      </c>
    </row>
    <row r="233" spans="1:8" x14ac:dyDescent="0.2">
      <c r="A233" s="3">
        <v>3070209001</v>
      </c>
      <c r="B233" s="4" t="s">
        <v>748</v>
      </c>
      <c r="C233" s="4" t="s">
        <v>246</v>
      </c>
      <c r="D233" s="3">
        <v>1</v>
      </c>
      <c r="E233" s="3" t="s">
        <v>16</v>
      </c>
      <c r="F233" s="3" t="s">
        <v>317</v>
      </c>
      <c r="G233" s="3" t="s">
        <v>318</v>
      </c>
      <c r="H233" s="3" t="s">
        <v>254</v>
      </c>
    </row>
    <row r="234" spans="1:8" x14ac:dyDescent="0.2">
      <c r="A234" s="3">
        <v>3111601003</v>
      </c>
      <c r="B234" s="4" t="s">
        <v>585</v>
      </c>
      <c r="C234" s="4" t="s">
        <v>586</v>
      </c>
      <c r="D234" s="3">
        <v>2</v>
      </c>
      <c r="E234" s="3" t="s">
        <v>16</v>
      </c>
      <c r="F234" s="3" t="s">
        <v>291</v>
      </c>
      <c r="G234" s="3" t="s">
        <v>26</v>
      </c>
      <c r="H234" s="3" t="s">
        <v>254</v>
      </c>
    </row>
    <row r="235" spans="1:8" x14ac:dyDescent="0.2">
      <c r="A235" s="3">
        <v>3060339002</v>
      </c>
      <c r="B235" s="4" t="s">
        <v>737</v>
      </c>
      <c r="C235" s="4" t="s">
        <v>738</v>
      </c>
      <c r="D235" s="3">
        <v>1</v>
      </c>
      <c r="E235" s="3" t="s">
        <v>16</v>
      </c>
      <c r="F235" s="3" t="s">
        <v>702</v>
      </c>
      <c r="G235" s="3" t="s">
        <v>703</v>
      </c>
      <c r="H235" s="3" t="s">
        <v>254</v>
      </c>
    </row>
    <row r="236" spans="1:8" x14ac:dyDescent="0.2">
      <c r="A236" s="3">
        <v>3060325001</v>
      </c>
      <c r="B236" s="4" t="s">
        <v>739</v>
      </c>
      <c r="C236" s="4" t="s">
        <v>740</v>
      </c>
      <c r="D236" s="3">
        <v>1</v>
      </c>
      <c r="E236" s="3" t="s">
        <v>16</v>
      </c>
      <c r="F236" s="3" t="s">
        <v>289</v>
      </c>
      <c r="G236" s="3" t="s">
        <v>23</v>
      </c>
      <c r="H236" s="3" t="s">
        <v>254</v>
      </c>
    </row>
    <row r="237" spans="1:8" x14ac:dyDescent="0.2">
      <c r="A237" s="3">
        <v>3050303006</v>
      </c>
      <c r="B237" s="4" t="s">
        <v>245</v>
      </c>
      <c r="C237" s="4" t="s">
        <v>587</v>
      </c>
      <c r="D237" s="3">
        <v>1</v>
      </c>
      <c r="E237" s="3" t="s">
        <v>16</v>
      </c>
      <c r="F237" s="3" t="s">
        <v>291</v>
      </c>
      <c r="G237" s="3" t="s">
        <v>26</v>
      </c>
      <c r="H237" s="3" t="s">
        <v>254</v>
      </c>
    </row>
    <row r="238" spans="1:8" x14ac:dyDescent="0.2">
      <c r="A238" s="3">
        <v>3080310002</v>
      </c>
      <c r="B238" s="4" t="s">
        <v>588</v>
      </c>
      <c r="C238" s="4" t="s">
        <v>589</v>
      </c>
      <c r="D238" s="3">
        <v>1</v>
      </c>
      <c r="E238" s="3" t="s">
        <v>16</v>
      </c>
      <c r="F238" s="3" t="s">
        <v>295</v>
      </c>
      <c r="G238" s="3" t="s">
        <v>17</v>
      </c>
      <c r="H238" s="3" t="s">
        <v>590</v>
      </c>
    </row>
  </sheetData>
  <phoneticPr fontId="2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E4E1E-6E10-4E52-9A60-ADDEEAA77721}">
  <dimension ref="A1:H212"/>
  <sheetViews>
    <sheetView workbookViewId="0">
      <selection activeCell="D3" sqref="D3"/>
    </sheetView>
  </sheetViews>
  <sheetFormatPr defaultRowHeight="14.25" x14ac:dyDescent="0.2"/>
  <cols>
    <col min="1" max="1" width="12" customWidth="1"/>
    <col min="2" max="2" width="14.75" customWidth="1"/>
    <col min="3" max="3" width="24.75" customWidth="1"/>
  </cols>
  <sheetData>
    <row r="1" spans="1:8" x14ac:dyDescent="0.2">
      <c r="A1" s="3" t="s">
        <v>1073</v>
      </c>
      <c r="B1" s="4"/>
      <c r="C1" s="4"/>
      <c r="D1" s="3"/>
      <c r="E1" s="3"/>
      <c r="F1" s="3"/>
      <c r="G1" s="3"/>
      <c r="H1" s="3"/>
    </row>
    <row r="2" spans="1:8" ht="28.5" x14ac:dyDescent="0.2">
      <c r="A2" s="1" t="s">
        <v>0</v>
      </c>
      <c r="B2" s="2" t="s">
        <v>1</v>
      </c>
      <c r="C2" s="2" t="s">
        <v>2</v>
      </c>
      <c r="D2" s="1" t="s">
        <v>4</v>
      </c>
      <c r="E2" s="1" t="s">
        <v>3</v>
      </c>
      <c r="F2" s="1" t="s">
        <v>5</v>
      </c>
      <c r="G2" s="1" t="s">
        <v>6</v>
      </c>
      <c r="H2" s="1" t="s">
        <v>7</v>
      </c>
    </row>
    <row r="3" spans="1:8" s="10" customFormat="1" x14ac:dyDescent="0.2">
      <c r="A3" s="8" t="s">
        <v>390</v>
      </c>
      <c r="B3" s="9" t="s">
        <v>8</v>
      </c>
      <c r="C3" s="9" t="s">
        <v>9</v>
      </c>
      <c r="D3" s="14">
        <f>0.3748/0.94</f>
        <v>0.39872340425531921</v>
      </c>
      <c r="E3" s="8" t="s">
        <v>596</v>
      </c>
      <c r="F3" s="8" t="s">
        <v>283</v>
      </c>
      <c r="G3" s="8" t="s">
        <v>13</v>
      </c>
      <c r="H3" s="8" t="s">
        <v>12</v>
      </c>
    </row>
    <row r="4" spans="1:8" x14ac:dyDescent="0.2">
      <c r="A4" s="3">
        <v>402030048</v>
      </c>
      <c r="B4" s="4" t="s">
        <v>107</v>
      </c>
      <c r="C4" s="4" t="s">
        <v>837</v>
      </c>
      <c r="D4" s="3">
        <v>1</v>
      </c>
      <c r="E4" s="3" t="s">
        <v>16</v>
      </c>
      <c r="F4" s="3" t="s">
        <v>301</v>
      </c>
      <c r="G4" s="3" t="s">
        <v>32</v>
      </c>
      <c r="H4" s="3" t="s">
        <v>306</v>
      </c>
    </row>
    <row r="5" spans="1:8" x14ac:dyDescent="0.2">
      <c r="A5" s="3">
        <v>3060212021</v>
      </c>
      <c r="B5" s="4" t="s">
        <v>838</v>
      </c>
      <c r="C5" s="4" t="s">
        <v>839</v>
      </c>
      <c r="D5" s="3">
        <v>2</v>
      </c>
      <c r="E5" s="3" t="s">
        <v>16</v>
      </c>
      <c r="F5" s="3" t="s">
        <v>289</v>
      </c>
      <c r="G5" s="3" t="s">
        <v>23</v>
      </c>
      <c r="H5" s="3" t="s">
        <v>18</v>
      </c>
    </row>
    <row r="6" spans="1:8" x14ac:dyDescent="0.2">
      <c r="A6" s="3">
        <v>3060207001</v>
      </c>
      <c r="B6" s="4" t="s">
        <v>840</v>
      </c>
      <c r="C6" s="4" t="s">
        <v>841</v>
      </c>
      <c r="D6" s="3">
        <v>1</v>
      </c>
      <c r="E6" s="3" t="s">
        <v>16</v>
      </c>
      <c r="F6" s="3" t="s">
        <v>289</v>
      </c>
      <c r="G6" s="3" t="s">
        <v>23</v>
      </c>
      <c r="H6" s="3" t="s">
        <v>18</v>
      </c>
    </row>
    <row r="7" spans="1:8" x14ac:dyDescent="0.2">
      <c r="A7" s="3">
        <v>3060207002</v>
      </c>
      <c r="B7" s="4" t="s">
        <v>840</v>
      </c>
      <c r="C7" s="4" t="s">
        <v>842</v>
      </c>
      <c r="D7" s="3">
        <v>1</v>
      </c>
      <c r="E7" s="3" t="s">
        <v>16</v>
      </c>
      <c r="F7" s="3" t="s">
        <v>289</v>
      </c>
      <c r="G7" s="3" t="s">
        <v>23</v>
      </c>
      <c r="H7" s="3" t="s">
        <v>18</v>
      </c>
    </row>
    <row r="8" spans="1:8" x14ac:dyDescent="0.2">
      <c r="A8" s="3">
        <v>3030317018</v>
      </c>
      <c r="B8" s="4" t="s">
        <v>843</v>
      </c>
      <c r="C8" s="4" t="s">
        <v>844</v>
      </c>
      <c r="D8" s="3">
        <v>2</v>
      </c>
      <c r="E8" s="3" t="s">
        <v>16</v>
      </c>
      <c r="F8" s="3" t="s">
        <v>295</v>
      </c>
      <c r="G8" s="3" t="s">
        <v>17</v>
      </c>
      <c r="H8" s="3" t="s">
        <v>18</v>
      </c>
    </row>
    <row r="9" spans="1:8" x14ac:dyDescent="0.2">
      <c r="A9" s="3">
        <v>3030314005</v>
      </c>
      <c r="B9" s="4" t="s">
        <v>394</v>
      </c>
      <c r="C9" s="4" t="s">
        <v>395</v>
      </c>
      <c r="D9" s="3">
        <v>1</v>
      </c>
      <c r="E9" s="3" t="s">
        <v>16</v>
      </c>
      <c r="F9" s="3" t="s">
        <v>291</v>
      </c>
      <c r="G9" s="3" t="s">
        <v>26</v>
      </c>
      <c r="H9" s="3" t="s">
        <v>18</v>
      </c>
    </row>
    <row r="10" spans="1:8" x14ac:dyDescent="0.2">
      <c r="A10" s="3">
        <v>3030202019</v>
      </c>
      <c r="B10" s="4" t="s">
        <v>845</v>
      </c>
      <c r="C10" s="4" t="s">
        <v>846</v>
      </c>
      <c r="D10" s="3">
        <v>1</v>
      </c>
      <c r="E10" s="3" t="s">
        <v>16</v>
      </c>
      <c r="F10" s="3" t="s">
        <v>295</v>
      </c>
      <c r="G10" s="3" t="s">
        <v>17</v>
      </c>
      <c r="H10" s="3" t="s">
        <v>18</v>
      </c>
    </row>
    <row r="11" spans="1:8" x14ac:dyDescent="0.2">
      <c r="A11" s="3">
        <v>3030202022</v>
      </c>
      <c r="B11" s="4" t="s">
        <v>847</v>
      </c>
      <c r="C11" s="4" t="s">
        <v>846</v>
      </c>
      <c r="D11" s="3">
        <v>2</v>
      </c>
      <c r="E11" s="3" t="s">
        <v>16</v>
      </c>
      <c r="F11" s="3" t="s">
        <v>295</v>
      </c>
      <c r="G11" s="3" t="s">
        <v>17</v>
      </c>
      <c r="H11" s="3" t="s">
        <v>18</v>
      </c>
    </row>
    <row r="12" spans="1:8" x14ac:dyDescent="0.2">
      <c r="A12" s="3">
        <v>3030202018</v>
      </c>
      <c r="B12" s="4" t="s">
        <v>403</v>
      </c>
      <c r="C12" s="4" t="s">
        <v>846</v>
      </c>
      <c r="D12" s="3">
        <v>1</v>
      </c>
      <c r="E12" s="3" t="s">
        <v>16</v>
      </c>
      <c r="F12" s="3" t="s">
        <v>295</v>
      </c>
      <c r="G12" s="3" t="s">
        <v>17</v>
      </c>
      <c r="H12" s="3" t="s">
        <v>18</v>
      </c>
    </row>
    <row r="13" spans="1:8" x14ac:dyDescent="0.2">
      <c r="A13" s="3">
        <v>3030201011</v>
      </c>
      <c r="B13" s="4" t="s">
        <v>848</v>
      </c>
      <c r="C13" s="4" t="s">
        <v>849</v>
      </c>
      <c r="D13" s="3">
        <v>1</v>
      </c>
      <c r="E13" s="3" t="s">
        <v>16</v>
      </c>
      <c r="F13" s="3" t="s">
        <v>295</v>
      </c>
      <c r="G13" s="3" t="s">
        <v>17</v>
      </c>
      <c r="H13" s="3" t="s">
        <v>18</v>
      </c>
    </row>
    <row r="14" spans="1:8" x14ac:dyDescent="0.2">
      <c r="A14" s="3">
        <v>3030202023</v>
      </c>
      <c r="B14" s="4" t="s">
        <v>850</v>
      </c>
      <c r="C14" s="4" t="s">
        <v>846</v>
      </c>
      <c r="D14" s="3">
        <v>2</v>
      </c>
      <c r="E14" s="3" t="s">
        <v>16</v>
      </c>
      <c r="F14" s="3" t="s">
        <v>295</v>
      </c>
      <c r="G14" s="3" t="s">
        <v>17</v>
      </c>
      <c r="H14" s="3" t="s">
        <v>18</v>
      </c>
    </row>
    <row r="15" spans="1:8" x14ac:dyDescent="0.2">
      <c r="A15" s="3">
        <v>3070106002</v>
      </c>
      <c r="B15" s="4" t="s">
        <v>851</v>
      </c>
      <c r="C15" s="4" t="s">
        <v>852</v>
      </c>
      <c r="D15" s="3">
        <v>1</v>
      </c>
      <c r="E15" s="3" t="s">
        <v>16</v>
      </c>
      <c r="F15" s="3" t="s">
        <v>317</v>
      </c>
      <c r="G15" s="3" t="s">
        <v>318</v>
      </c>
      <c r="H15" s="3" t="s">
        <v>18</v>
      </c>
    </row>
    <row r="16" spans="1:8" x14ac:dyDescent="0.2">
      <c r="A16" s="3">
        <v>404040037</v>
      </c>
      <c r="B16" s="4" t="s">
        <v>30</v>
      </c>
      <c r="C16" s="4" t="s">
        <v>853</v>
      </c>
      <c r="D16" s="3">
        <v>1</v>
      </c>
      <c r="E16" s="3" t="s">
        <v>16</v>
      </c>
      <c r="F16" s="3" t="s">
        <v>301</v>
      </c>
      <c r="G16" s="3" t="s">
        <v>32</v>
      </c>
      <c r="H16" s="3" t="s">
        <v>33</v>
      </c>
    </row>
    <row r="17" spans="1:8" x14ac:dyDescent="0.2">
      <c r="A17" s="3">
        <v>401030426</v>
      </c>
      <c r="B17" s="4" t="s">
        <v>35</v>
      </c>
      <c r="C17" s="4" t="s">
        <v>854</v>
      </c>
      <c r="D17" s="3">
        <v>1</v>
      </c>
      <c r="E17" s="3" t="s">
        <v>16</v>
      </c>
      <c r="F17" s="3" t="s">
        <v>301</v>
      </c>
      <c r="G17" s="3" t="s">
        <v>32</v>
      </c>
      <c r="H17" s="3" t="s">
        <v>33</v>
      </c>
    </row>
    <row r="18" spans="1:8" x14ac:dyDescent="0.2">
      <c r="A18" s="3">
        <v>401040466</v>
      </c>
      <c r="B18" s="4" t="s">
        <v>35</v>
      </c>
      <c r="C18" s="4" t="s">
        <v>855</v>
      </c>
      <c r="D18" s="3">
        <v>1</v>
      </c>
      <c r="E18" s="3" t="s">
        <v>16</v>
      </c>
      <c r="F18" s="3" t="s">
        <v>301</v>
      </c>
      <c r="G18" s="3" t="s">
        <v>32</v>
      </c>
      <c r="H18" s="3" t="s">
        <v>33</v>
      </c>
    </row>
    <row r="19" spans="1:8" x14ac:dyDescent="0.2">
      <c r="A19" s="3">
        <v>3080401061</v>
      </c>
      <c r="B19" s="4" t="s">
        <v>41</v>
      </c>
      <c r="C19" s="4" t="s">
        <v>856</v>
      </c>
      <c r="D19" s="3">
        <v>1</v>
      </c>
      <c r="E19" s="3" t="s">
        <v>16</v>
      </c>
      <c r="F19" s="3" t="s">
        <v>295</v>
      </c>
      <c r="G19" s="3" t="s">
        <v>17</v>
      </c>
      <c r="H19" s="3" t="s">
        <v>40</v>
      </c>
    </row>
    <row r="20" spans="1:8" x14ac:dyDescent="0.2">
      <c r="A20" s="3">
        <v>3080104081</v>
      </c>
      <c r="B20" s="4" t="s">
        <v>45</v>
      </c>
      <c r="C20" s="4" t="s">
        <v>701</v>
      </c>
      <c r="D20" s="3">
        <v>5</v>
      </c>
      <c r="E20" s="3" t="s">
        <v>16</v>
      </c>
      <c r="F20" s="3" t="s">
        <v>289</v>
      </c>
      <c r="G20" s="3" t="s">
        <v>23</v>
      </c>
      <c r="H20" s="3" t="s">
        <v>40</v>
      </c>
    </row>
    <row r="21" spans="1:8" x14ac:dyDescent="0.2">
      <c r="A21" s="3">
        <v>3080104105</v>
      </c>
      <c r="B21" s="4" t="s">
        <v>45</v>
      </c>
      <c r="C21" s="4" t="s">
        <v>857</v>
      </c>
      <c r="D21" s="3">
        <v>2</v>
      </c>
      <c r="E21" s="3" t="s">
        <v>16</v>
      </c>
      <c r="F21" s="3" t="s">
        <v>289</v>
      </c>
      <c r="G21" s="3" t="s">
        <v>23</v>
      </c>
      <c r="H21" s="3" t="s">
        <v>40</v>
      </c>
    </row>
    <row r="22" spans="1:8" x14ac:dyDescent="0.2">
      <c r="A22" s="3">
        <v>3080104039</v>
      </c>
      <c r="B22" s="4" t="s">
        <v>45</v>
      </c>
      <c r="C22" s="4" t="s">
        <v>858</v>
      </c>
      <c r="D22" s="3">
        <v>7</v>
      </c>
      <c r="E22" s="3" t="s">
        <v>16</v>
      </c>
      <c r="F22" s="3" t="s">
        <v>295</v>
      </c>
      <c r="G22" s="3" t="s">
        <v>17</v>
      </c>
      <c r="H22" s="3" t="s">
        <v>40</v>
      </c>
    </row>
    <row r="23" spans="1:8" x14ac:dyDescent="0.2">
      <c r="A23" s="3">
        <v>3080104040</v>
      </c>
      <c r="B23" s="4" t="s">
        <v>45</v>
      </c>
      <c r="C23" s="4" t="s">
        <v>859</v>
      </c>
      <c r="D23" s="3">
        <v>4</v>
      </c>
      <c r="E23" s="3" t="s">
        <v>16</v>
      </c>
      <c r="F23" s="3" t="s">
        <v>295</v>
      </c>
      <c r="G23" s="3" t="s">
        <v>17</v>
      </c>
      <c r="H23" s="3" t="s">
        <v>40</v>
      </c>
    </row>
    <row r="24" spans="1:8" x14ac:dyDescent="0.2">
      <c r="A24" s="3">
        <v>3080104018</v>
      </c>
      <c r="B24" s="4" t="s">
        <v>45</v>
      </c>
      <c r="C24" s="4" t="s">
        <v>418</v>
      </c>
      <c r="D24" s="3">
        <v>2</v>
      </c>
      <c r="E24" s="3" t="s">
        <v>16</v>
      </c>
      <c r="F24" s="3" t="s">
        <v>293</v>
      </c>
      <c r="G24" s="3" t="s">
        <v>29</v>
      </c>
      <c r="H24" s="3" t="s">
        <v>40</v>
      </c>
    </row>
    <row r="25" spans="1:8" x14ac:dyDescent="0.2">
      <c r="A25" s="3">
        <v>3080104027</v>
      </c>
      <c r="B25" s="4" t="s">
        <v>45</v>
      </c>
      <c r="C25" s="4" t="s">
        <v>860</v>
      </c>
      <c r="D25" s="3">
        <v>2</v>
      </c>
      <c r="E25" s="3" t="s">
        <v>16</v>
      </c>
      <c r="F25" s="3" t="s">
        <v>293</v>
      </c>
      <c r="G25" s="3" t="s">
        <v>29</v>
      </c>
      <c r="H25" s="3" t="s">
        <v>40</v>
      </c>
    </row>
    <row r="26" spans="1:8" x14ac:dyDescent="0.2">
      <c r="A26" s="3">
        <v>3080104014</v>
      </c>
      <c r="B26" s="4" t="s">
        <v>45</v>
      </c>
      <c r="C26" s="4" t="s">
        <v>312</v>
      </c>
      <c r="D26" s="3">
        <v>4</v>
      </c>
      <c r="E26" s="3" t="s">
        <v>16</v>
      </c>
      <c r="F26" s="3" t="s">
        <v>293</v>
      </c>
      <c r="G26" s="3" t="s">
        <v>29</v>
      </c>
      <c r="H26" s="3" t="s">
        <v>40</v>
      </c>
    </row>
    <row r="27" spans="1:8" x14ac:dyDescent="0.2">
      <c r="A27" s="3">
        <v>3080104105</v>
      </c>
      <c r="B27" s="4" t="s">
        <v>45</v>
      </c>
      <c r="C27" s="4" t="s">
        <v>857</v>
      </c>
      <c r="D27" s="3">
        <v>2</v>
      </c>
      <c r="E27" s="3" t="s">
        <v>16</v>
      </c>
      <c r="F27" s="3" t="s">
        <v>317</v>
      </c>
      <c r="G27" s="3" t="s">
        <v>318</v>
      </c>
      <c r="H27" s="3" t="s">
        <v>40</v>
      </c>
    </row>
    <row r="28" spans="1:8" x14ac:dyDescent="0.2">
      <c r="A28" s="3">
        <v>3080104014</v>
      </c>
      <c r="B28" s="4" t="s">
        <v>45</v>
      </c>
      <c r="C28" s="4" t="s">
        <v>312</v>
      </c>
      <c r="D28" s="3">
        <v>6</v>
      </c>
      <c r="E28" s="3" t="s">
        <v>16</v>
      </c>
      <c r="F28" s="3" t="s">
        <v>291</v>
      </c>
      <c r="G28" s="3" t="s">
        <v>26</v>
      </c>
      <c r="H28" s="3" t="s">
        <v>40</v>
      </c>
    </row>
    <row r="29" spans="1:8" x14ac:dyDescent="0.2">
      <c r="A29" s="3">
        <v>3080104081</v>
      </c>
      <c r="B29" s="4" t="s">
        <v>45</v>
      </c>
      <c r="C29" s="4" t="s">
        <v>701</v>
      </c>
      <c r="D29" s="3">
        <v>1</v>
      </c>
      <c r="E29" s="3" t="s">
        <v>16</v>
      </c>
      <c r="F29" s="3" t="s">
        <v>291</v>
      </c>
      <c r="G29" s="3" t="s">
        <v>26</v>
      </c>
      <c r="H29" s="3" t="s">
        <v>40</v>
      </c>
    </row>
    <row r="30" spans="1:8" x14ac:dyDescent="0.2">
      <c r="A30" s="3">
        <v>3080104099</v>
      </c>
      <c r="B30" s="4" t="s">
        <v>45</v>
      </c>
      <c r="C30" s="4" t="s">
        <v>419</v>
      </c>
      <c r="D30" s="3">
        <v>2</v>
      </c>
      <c r="E30" s="3" t="s">
        <v>16</v>
      </c>
      <c r="F30" s="3" t="s">
        <v>291</v>
      </c>
      <c r="G30" s="3" t="s">
        <v>26</v>
      </c>
      <c r="H30" s="3" t="s">
        <v>40</v>
      </c>
    </row>
    <row r="31" spans="1:8" x14ac:dyDescent="0.2">
      <c r="A31" s="3">
        <v>3080105091</v>
      </c>
      <c r="B31" s="4" t="s">
        <v>50</v>
      </c>
      <c r="C31" s="4" t="s">
        <v>861</v>
      </c>
      <c r="D31" s="3">
        <v>2</v>
      </c>
      <c r="E31" s="3" t="s">
        <v>16</v>
      </c>
      <c r="F31" s="3" t="s">
        <v>289</v>
      </c>
      <c r="G31" s="3" t="s">
        <v>23</v>
      </c>
      <c r="H31" s="3" t="s">
        <v>40</v>
      </c>
    </row>
    <row r="32" spans="1:8" x14ac:dyDescent="0.2">
      <c r="A32" s="3">
        <v>3080105007</v>
      </c>
      <c r="B32" s="4" t="s">
        <v>50</v>
      </c>
      <c r="C32" s="4" t="s">
        <v>52</v>
      </c>
      <c r="D32" s="3">
        <v>8</v>
      </c>
      <c r="E32" s="3" t="s">
        <v>16</v>
      </c>
      <c r="F32" s="3" t="s">
        <v>289</v>
      </c>
      <c r="G32" s="3" t="s">
        <v>23</v>
      </c>
      <c r="H32" s="3" t="s">
        <v>40</v>
      </c>
    </row>
    <row r="33" spans="1:8" x14ac:dyDescent="0.2">
      <c r="A33" s="3">
        <v>3080105012</v>
      </c>
      <c r="B33" s="4" t="s">
        <v>50</v>
      </c>
      <c r="C33" s="4" t="s">
        <v>674</v>
      </c>
      <c r="D33" s="3">
        <v>2</v>
      </c>
      <c r="E33" s="3" t="s">
        <v>16</v>
      </c>
      <c r="F33" s="3" t="s">
        <v>289</v>
      </c>
      <c r="G33" s="3" t="s">
        <v>23</v>
      </c>
      <c r="H33" s="3" t="s">
        <v>40</v>
      </c>
    </row>
    <row r="34" spans="1:8" x14ac:dyDescent="0.2">
      <c r="A34" s="3">
        <v>3080105091</v>
      </c>
      <c r="B34" s="4" t="s">
        <v>50</v>
      </c>
      <c r="C34" s="4" t="s">
        <v>861</v>
      </c>
      <c r="D34" s="3">
        <v>4</v>
      </c>
      <c r="E34" s="3" t="s">
        <v>16</v>
      </c>
      <c r="F34" s="3" t="s">
        <v>293</v>
      </c>
      <c r="G34" s="3" t="s">
        <v>29</v>
      </c>
      <c r="H34" s="3" t="s">
        <v>40</v>
      </c>
    </row>
    <row r="35" spans="1:8" x14ac:dyDescent="0.2">
      <c r="A35" s="3">
        <v>3080105110</v>
      </c>
      <c r="B35" s="4" t="s">
        <v>50</v>
      </c>
      <c r="C35" s="4" t="s">
        <v>862</v>
      </c>
      <c r="D35" s="3">
        <v>4</v>
      </c>
      <c r="E35" s="3" t="s">
        <v>16</v>
      </c>
      <c r="F35" s="3" t="s">
        <v>293</v>
      </c>
      <c r="G35" s="3" t="s">
        <v>29</v>
      </c>
      <c r="H35" s="3" t="s">
        <v>40</v>
      </c>
    </row>
    <row r="36" spans="1:8" x14ac:dyDescent="0.2">
      <c r="A36" s="3">
        <v>3080105046</v>
      </c>
      <c r="B36" s="4" t="s">
        <v>50</v>
      </c>
      <c r="C36" s="4" t="s">
        <v>863</v>
      </c>
      <c r="D36" s="3">
        <v>14</v>
      </c>
      <c r="E36" s="3" t="s">
        <v>16</v>
      </c>
      <c r="F36" s="3" t="s">
        <v>293</v>
      </c>
      <c r="G36" s="3" t="s">
        <v>29</v>
      </c>
      <c r="H36" s="3" t="s">
        <v>40</v>
      </c>
    </row>
    <row r="37" spans="1:8" x14ac:dyDescent="0.2">
      <c r="A37" s="3">
        <v>3080105085</v>
      </c>
      <c r="B37" s="4" t="s">
        <v>50</v>
      </c>
      <c r="C37" s="4" t="s">
        <v>864</v>
      </c>
      <c r="D37" s="3">
        <v>4</v>
      </c>
      <c r="E37" s="3" t="s">
        <v>16</v>
      </c>
      <c r="F37" s="3" t="s">
        <v>317</v>
      </c>
      <c r="G37" s="3" t="s">
        <v>318</v>
      </c>
      <c r="H37" s="3" t="s">
        <v>40</v>
      </c>
    </row>
    <row r="38" spans="1:8" x14ac:dyDescent="0.2">
      <c r="A38" s="3">
        <v>3080105100</v>
      </c>
      <c r="B38" s="4" t="s">
        <v>50</v>
      </c>
      <c r="C38" s="4" t="s">
        <v>865</v>
      </c>
      <c r="D38" s="3">
        <v>1</v>
      </c>
      <c r="E38" s="3" t="s">
        <v>16</v>
      </c>
      <c r="F38" s="3" t="s">
        <v>317</v>
      </c>
      <c r="G38" s="3" t="s">
        <v>318</v>
      </c>
      <c r="H38" s="3" t="s">
        <v>40</v>
      </c>
    </row>
    <row r="39" spans="1:8" x14ac:dyDescent="0.2">
      <c r="A39" s="3">
        <v>3080105007</v>
      </c>
      <c r="B39" s="4" t="s">
        <v>50</v>
      </c>
      <c r="C39" s="4" t="s">
        <v>52</v>
      </c>
      <c r="D39" s="3">
        <v>4</v>
      </c>
      <c r="E39" s="3" t="s">
        <v>16</v>
      </c>
      <c r="F39" s="3" t="s">
        <v>317</v>
      </c>
      <c r="G39" s="3" t="s">
        <v>318</v>
      </c>
      <c r="H39" s="3" t="s">
        <v>40</v>
      </c>
    </row>
    <row r="40" spans="1:8" x14ac:dyDescent="0.2">
      <c r="A40" s="3">
        <v>3080105088</v>
      </c>
      <c r="B40" s="4" t="s">
        <v>50</v>
      </c>
      <c r="C40" s="4" t="s">
        <v>423</v>
      </c>
      <c r="D40" s="3">
        <v>20</v>
      </c>
      <c r="E40" s="3" t="s">
        <v>16</v>
      </c>
      <c r="F40" s="3" t="s">
        <v>702</v>
      </c>
      <c r="G40" s="3" t="s">
        <v>703</v>
      </c>
      <c r="H40" s="3" t="s">
        <v>40</v>
      </c>
    </row>
    <row r="41" spans="1:8" x14ac:dyDescent="0.2">
      <c r="A41" s="3">
        <v>3080105007</v>
      </c>
      <c r="B41" s="4" t="s">
        <v>50</v>
      </c>
      <c r="C41" s="4" t="s">
        <v>52</v>
      </c>
      <c r="D41" s="3">
        <v>6</v>
      </c>
      <c r="E41" s="3" t="s">
        <v>16</v>
      </c>
      <c r="F41" s="3" t="s">
        <v>291</v>
      </c>
      <c r="G41" s="3" t="s">
        <v>26</v>
      </c>
      <c r="H41" s="3" t="s">
        <v>40</v>
      </c>
    </row>
    <row r="42" spans="1:8" x14ac:dyDescent="0.2">
      <c r="A42" s="3">
        <v>3080311005</v>
      </c>
      <c r="B42" s="4" t="s">
        <v>866</v>
      </c>
      <c r="C42" s="4" t="s">
        <v>867</v>
      </c>
      <c r="D42" s="3">
        <v>1</v>
      </c>
      <c r="E42" s="3" t="s">
        <v>16</v>
      </c>
      <c r="F42" s="3" t="s">
        <v>289</v>
      </c>
      <c r="G42" s="3" t="s">
        <v>23</v>
      </c>
      <c r="H42" s="3" t="s">
        <v>40</v>
      </c>
    </row>
    <row r="43" spans="1:8" x14ac:dyDescent="0.2">
      <c r="A43" s="3">
        <v>3080501030</v>
      </c>
      <c r="B43" s="4" t="s">
        <v>57</v>
      </c>
      <c r="C43" s="4" t="s">
        <v>868</v>
      </c>
      <c r="D43" s="3">
        <v>2</v>
      </c>
      <c r="E43" s="3" t="s">
        <v>16</v>
      </c>
      <c r="F43" s="3" t="s">
        <v>295</v>
      </c>
      <c r="G43" s="3" t="s">
        <v>17</v>
      </c>
      <c r="H43" s="3" t="s">
        <v>40</v>
      </c>
    </row>
    <row r="44" spans="1:8" x14ac:dyDescent="0.2">
      <c r="A44" s="3">
        <v>3080107314</v>
      </c>
      <c r="B44" s="4" t="s">
        <v>69</v>
      </c>
      <c r="C44" s="4" t="s">
        <v>869</v>
      </c>
      <c r="D44" s="3">
        <v>2</v>
      </c>
      <c r="E44" s="3" t="s">
        <v>16</v>
      </c>
      <c r="F44" s="3" t="s">
        <v>289</v>
      </c>
      <c r="G44" s="3" t="s">
        <v>23</v>
      </c>
      <c r="H44" s="3" t="s">
        <v>40</v>
      </c>
    </row>
    <row r="45" spans="1:8" x14ac:dyDescent="0.2">
      <c r="A45" s="3">
        <v>3080107291</v>
      </c>
      <c r="B45" s="4" t="s">
        <v>69</v>
      </c>
      <c r="C45" s="4" t="s">
        <v>870</v>
      </c>
      <c r="D45" s="3">
        <v>4</v>
      </c>
      <c r="E45" s="3" t="s">
        <v>16</v>
      </c>
      <c r="F45" s="3" t="s">
        <v>289</v>
      </c>
      <c r="G45" s="3" t="s">
        <v>23</v>
      </c>
      <c r="H45" s="3" t="s">
        <v>40</v>
      </c>
    </row>
    <row r="46" spans="1:8" x14ac:dyDescent="0.2">
      <c r="A46" s="3">
        <v>3080304002</v>
      </c>
      <c r="B46" s="4" t="s">
        <v>69</v>
      </c>
      <c r="C46" s="4" t="s">
        <v>871</v>
      </c>
      <c r="D46" s="3">
        <v>1</v>
      </c>
      <c r="E46" s="3" t="s">
        <v>16</v>
      </c>
      <c r="F46" s="3" t="s">
        <v>289</v>
      </c>
      <c r="G46" s="3" t="s">
        <v>23</v>
      </c>
      <c r="H46" s="3" t="s">
        <v>40</v>
      </c>
    </row>
    <row r="47" spans="1:8" x14ac:dyDescent="0.2">
      <c r="A47" s="3">
        <v>3080107034</v>
      </c>
      <c r="B47" s="4" t="s">
        <v>69</v>
      </c>
      <c r="C47" s="4" t="s">
        <v>429</v>
      </c>
      <c r="D47" s="3">
        <v>12</v>
      </c>
      <c r="E47" s="3" t="s">
        <v>16</v>
      </c>
      <c r="F47" s="3" t="s">
        <v>295</v>
      </c>
      <c r="G47" s="3" t="s">
        <v>17</v>
      </c>
      <c r="H47" s="3" t="s">
        <v>40</v>
      </c>
    </row>
    <row r="48" spans="1:8" x14ac:dyDescent="0.2">
      <c r="A48" s="3">
        <v>3080107034</v>
      </c>
      <c r="B48" s="4" t="s">
        <v>69</v>
      </c>
      <c r="C48" s="4" t="s">
        <v>429</v>
      </c>
      <c r="D48" s="3">
        <v>2</v>
      </c>
      <c r="E48" s="3" t="s">
        <v>16</v>
      </c>
      <c r="F48" s="3" t="s">
        <v>295</v>
      </c>
      <c r="G48" s="3" t="s">
        <v>17</v>
      </c>
      <c r="H48" s="3" t="s">
        <v>40</v>
      </c>
    </row>
    <row r="49" spans="1:8" x14ac:dyDescent="0.2">
      <c r="A49" s="3">
        <v>3080107091</v>
      </c>
      <c r="B49" s="4" t="s">
        <v>69</v>
      </c>
      <c r="C49" s="4" t="s">
        <v>872</v>
      </c>
      <c r="D49" s="3">
        <v>2</v>
      </c>
      <c r="E49" s="3" t="s">
        <v>16</v>
      </c>
      <c r="F49" s="3" t="s">
        <v>317</v>
      </c>
      <c r="G49" s="3" t="s">
        <v>318</v>
      </c>
      <c r="H49" s="3" t="s">
        <v>40</v>
      </c>
    </row>
    <row r="50" spans="1:8" x14ac:dyDescent="0.2">
      <c r="A50" s="3">
        <v>3080108009</v>
      </c>
      <c r="B50" s="4" t="s">
        <v>77</v>
      </c>
      <c r="C50" s="4" t="s">
        <v>324</v>
      </c>
      <c r="D50" s="3">
        <v>8</v>
      </c>
      <c r="E50" s="3" t="s">
        <v>16</v>
      </c>
      <c r="F50" s="3" t="s">
        <v>295</v>
      </c>
      <c r="G50" s="3" t="s">
        <v>17</v>
      </c>
      <c r="H50" s="3" t="s">
        <v>40</v>
      </c>
    </row>
    <row r="51" spans="1:8" x14ac:dyDescent="0.2">
      <c r="A51" s="3">
        <v>3080111004</v>
      </c>
      <c r="B51" s="4" t="s">
        <v>79</v>
      </c>
      <c r="C51" s="4" t="s">
        <v>445</v>
      </c>
      <c r="D51" s="3">
        <v>4</v>
      </c>
      <c r="E51" s="3" t="s">
        <v>16</v>
      </c>
      <c r="F51" s="3" t="s">
        <v>295</v>
      </c>
      <c r="G51" s="3" t="s">
        <v>17</v>
      </c>
      <c r="H51" s="3" t="s">
        <v>40</v>
      </c>
    </row>
    <row r="52" spans="1:8" x14ac:dyDescent="0.2">
      <c r="A52" s="3">
        <v>407030138</v>
      </c>
      <c r="B52" s="4" t="s">
        <v>81</v>
      </c>
      <c r="C52" s="4" t="s">
        <v>873</v>
      </c>
      <c r="D52" s="3">
        <v>1</v>
      </c>
      <c r="E52" s="3" t="s">
        <v>16</v>
      </c>
      <c r="F52" s="3" t="s">
        <v>293</v>
      </c>
      <c r="G52" s="3" t="s">
        <v>29</v>
      </c>
      <c r="H52" s="3" t="s">
        <v>40</v>
      </c>
    </row>
    <row r="53" spans="1:8" x14ac:dyDescent="0.2">
      <c r="A53" s="3">
        <v>3080401063</v>
      </c>
      <c r="B53" s="4" t="s">
        <v>874</v>
      </c>
      <c r="C53" s="4" t="s">
        <v>875</v>
      </c>
      <c r="D53" s="3">
        <v>2</v>
      </c>
      <c r="E53" s="3" t="s">
        <v>16</v>
      </c>
      <c r="F53" s="3" t="s">
        <v>293</v>
      </c>
      <c r="G53" s="3" t="s">
        <v>29</v>
      </c>
      <c r="H53" s="3" t="s">
        <v>40</v>
      </c>
    </row>
    <row r="54" spans="1:8" x14ac:dyDescent="0.2">
      <c r="A54" s="3">
        <v>3080311006</v>
      </c>
      <c r="B54" s="4" t="s">
        <v>876</v>
      </c>
      <c r="C54" s="4" t="s">
        <v>877</v>
      </c>
      <c r="D54" s="3">
        <v>1</v>
      </c>
      <c r="E54" s="3" t="s">
        <v>16</v>
      </c>
      <c r="F54" s="3" t="s">
        <v>291</v>
      </c>
      <c r="G54" s="3" t="s">
        <v>26</v>
      </c>
      <c r="H54" s="3" t="s">
        <v>40</v>
      </c>
    </row>
    <row r="55" spans="1:8" x14ac:dyDescent="0.2">
      <c r="A55" s="3">
        <v>3099991010</v>
      </c>
      <c r="B55" s="4" t="s">
        <v>878</v>
      </c>
      <c r="C55" s="4" t="s">
        <v>879</v>
      </c>
      <c r="D55" s="3">
        <v>1</v>
      </c>
      <c r="E55" s="3" t="s">
        <v>16</v>
      </c>
      <c r="F55" s="3" t="s">
        <v>317</v>
      </c>
      <c r="G55" s="3" t="s">
        <v>318</v>
      </c>
      <c r="H55" s="3" t="s">
        <v>103</v>
      </c>
    </row>
    <row r="56" spans="1:8" x14ac:dyDescent="0.2">
      <c r="A56" s="3">
        <v>3099990505</v>
      </c>
      <c r="B56" s="4" t="s">
        <v>880</v>
      </c>
      <c r="C56" s="4" t="s">
        <v>881</v>
      </c>
      <c r="D56" s="3">
        <v>1</v>
      </c>
      <c r="E56" s="3" t="s">
        <v>16</v>
      </c>
      <c r="F56" s="3" t="s">
        <v>285</v>
      </c>
      <c r="G56" s="3" t="s">
        <v>142</v>
      </c>
      <c r="H56" s="3" t="s">
        <v>103</v>
      </c>
    </row>
    <row r="57" spans="1:8" x14ac:dyDescent="0.2">
      <c r="A57" s="3">
        <v>402010089</v>
      </c>
      <c r="B57" s="4" t="s">
        <v>882</v>
      </c>
      <c r="C57" s="4" t="s">
        <v>883</v>
      </c>
      <c r="D57" s="3">
        <v>1</v>
      </c>
      <c r="E57" s="3" t="s">
        <v>16</v>
      </c>
      <c r="F57" s="3" t="s">
        <v>301</v>
      </c>
      <c r="G57" s="3" t="s">
        <v>32</v>
      </c>
      <c r="H57" s="3" t="s">
        <v>109</v>
      </c>
    </row>
    <row r="58" spans="1:8" x14ac:dyDescent="0.2">
      <c r="A58" s="3">
        <v>402020006</v>
      </c>
      <c r="B58" s="4" t="s">
        <v>111</v>
      </c>
      <c r="C58" s="4" t="s">
        <v>112</v>
      </c>
      <c r="D58" s="3">
        <v>2</v>
      </c>
      <c r="E58" s="3" t="s">
        <v>16</v>
      </c>
      <c r="F58" s="3" t="s">
        <v>293</v>
      </c>
      <c r="G58" s="3" t="s">
        <v>29</v>
      </c>
      <c r="H58" s="3" t="s">
        <v>109</v>
      </c>
    </row>
    <row r="59" spans="1:8" x14ac:dyDescent="0.2">
      <c r="A59" s="3">
        <v>3060210002</v>
      </c>
      <c r="B59" s="4" t="s">
        <v>884</v>
      </c>
      <c r="C59" s="4" t="s">
        <v>885</v>
      </c>
      <c r="D59" s="3">
        <v>2</v>
      </c>
      <c r="E59" s="3" t="s">
        <v>16</v>
      </c>
      <c r="F59" s="3" t="s">
        <v>289</v>
      </c>
      <c r="G59" s="3" t="s">
        <v>23</v>
      </c>
      <c r="H59" s="3" t="s">
        <v>115</v>
      </c>
    </row>
    <row r="60" spans="1:8" x14ac:dyDescent="0.2">
      <c r="A60" s="3">
        <v>3060212020</v>
      </c>
      <c r="B60" s="4" t="s">
        <v>886</v>
      </c>
      <c r="C60" s="4" t="s">
        <v>887</v>
      </c>
      <c r="D60" s="3">
        <v>2</v>
      </c>
      <c r="E60" s="3" t="s">
        <v>16</v>
      </c>
      <c r="F60" s="3" t="s">
        <v>289</v>
      </c>
      <c r="G60" s="3" t="s">
        <v>23</v>
      </c>
      <c r="H60" s="3" t="s">
        <v>115</v>
      </c>
    </row>
    <row r="61" spans="1:8" x14ac:dyDescent="0.2">
      <c r="A61" s="3">
        <v>3070104004</v>
      </c>
      <c r="B61" s="4" t="s">
        <v>888</v>
      </c>
      <c r="C61" s="4" t="s">
        <v>889</v>
      </c>
      <c r="D61" s="3">
        <v>1</v>
      </c>
      <c r="E61" s="3" t="s">
        <v>16</v>
      </c>
      <c r="F61" s="3" t="s">
        <v>317</v>
      </c>
      <c r="G61" s="3" t="s">
        <v>318</v>
      </c>
      <c r="H61" s="3" t="s">
        <v>115</v>
      </c>
    </row>
    <row r="62" spans="1:8" x14ac:dyDescent="0.2">
      <c r="A62" s="3">
        <v>3040216001</v>
      </c>
      <c r="B62" s="4" t="s">
        <v>328</v>
      </c>
      <c r="C62" s="4" t="s">
        <v>329</v>
      </c>
      <c r="D62" s="3">
        <v>4</v>
      </c>
      <c r="E62" s="3" t="s">
        <v>16</v>
      </c>
      <c r="F62" s="3" t="s">
        <v>293</v>
      </c>
      <c r="G62" s="3" t="s">
        <v>29</v>
      </c>
      <c r="H62" s="3" t="s">
        <v>115</v>
      </c>
    </row>
    <row r="63" spans="1:8" x14ac:dyDescent="0.2">
      <c r="A63" s="3">
        <v>3030204009</v>
      </c>
      <c r="B63" s="4" t="s">
        <v>890</v>
      </c>
      <c r="C63" s="4" t="s">
        <v>891</v>
      </c>
      <c r="D63" s="3">
        <v>1</v>
      </c>
      <c r="E63" s="3" t="s">
        <v>16</v>
      </c>
      <c r="F63" s="3" t="s">
        <v>295</v>
      </c>
      <c r="G63" s="3" t="s">
        <v>17</v>
      </c>
      <c r="H63" s="3" t="s">
        <v>115</v>
      </c>
    </row>
    <row r="64" spans="1:8" x14ac:dyDescent="0.2">
      <c r="A64" s="3">
        <v>3050203008</v>
      </c>
      <c r="B64" s="4" t="s">
        <v>892</v>
      </c>
      <c r="C64" s="4" t="s">
        <v>893</v>
      </c>
      <c r="D64" s="3">
        <v>2</v>
      </c>
      <c r="E64" s="3" t="s">
        <v>16</v>
      </c>
      <c r="F64" s="3" t="s">
        <v>291</v>
      </c>
      <c r="G64" s="3" t="s">
        <v>26</v>
      </c>
      <c r="H64" s="3" t="s">
        <v>115</v>
      </c>
    </row>
    <row r="65" spans="1:8" x14ac:dyDescent="0.2">
      <c r="A65" s="3">
        <v>404040034</v>
      </c>
      <c r="B65" s="4" t="s">
        <v>30</v>
      </c>
      <c r="C65" s="4" t="s">
        <v>894</v>
      </c>
      <c r="D65" s="3">
        <v>1</v>
      </c>
      <c r="E65" s="3" t="s">
        <v>16</v>
      </c>
      <c r="F65" s="3" t="s">
        <v>301</v>
      </c>
      <c r="G65" s="3" t="s">
        <v>32</v>
      </c>
      <c r="H65" s="3" t="s">
        <v>134</v>
      </c>
    </row>
    <row r="66" spans="1:8" x14ac:dyDescent="0.2">
      <c r="A66" s="3">
        <v>404040038</v>
      </c>
      <c r="B66" s="4" t="s">
        <v>30</v>
      </c>
      <c r="C66" s="4" t="s">
        <v>895</v>
      </c>
      <c r="D66" s="3">
        <v>1</v>
      </c>
      <c r="E66" s="3" t="s">
        <v>16</v>
      </c>
      <c r="F66" s="3" t="s">
        <v>301</v>
      </c>
      <c r="G66" s="3" t="s">
        <v>32</v>
      </c>
      <c r="H66" s="3" t="s">
        <v>134</v>
      </c>
    </row>
    <row r="67" spans="1:8" x14ac:dyDescent="0.2">
      <c r="A67" s="3">
        <v>404040036</v>
      </c>
      <c r="B67" s="4" t="s">
        <v>30</v>
      </c>
      <c r="C67" s="4" t="s">
        <v>896</v>
      </c>
      <c r="D67" s="3">
        <v>1</v>
      </c>
      <c r="E67" s="3" t="s">
        <v>16</v>
      </c>
      <c r="F67" s="3" t="s">
        <v>301</v>
      </c>
      <c r="G67" s="3" t="s">
        <v>32</v>
      </c>
      <c r="H67" s="3" t="s">
        <v>134</v>
      </c>
    </row>
    <row r="68" spans="1:8" x14ac:dyDescent="0.2">
      <c r="A68" s="3">
        <v>404040039</v>
      </c>
      <c r="B68" s="4" t="s">
        <v>30</v>
      </c>
      <c r="C68" s="4" t="s">
        <v>897</v>
      </c>
      <c r="D68" s="3">
        <v>1</v>
      </c>
      <c r="E68" s="3" t="s">
        <v>16</v>
      </c>
      <c r="F68" s="3" t="s">
        <v>301</v>
      </c>
      <c r="G68" s="3" t="s">
        <v>32</v>
      </c>
      <c r="H68" s="3" t="s">
        <v>134</v>
      </c>
    </row>
    <row r="69" spans="1:8" x14ac:dyDescent="0.2">
      <c r="A69" s="3">
        <v>404040040</v>
      </c>
      <c r="B69" s="4" t="s">
        <v>30</v>
      </c>
      <c r="C69" s="4" t="s">
        <v>898</v>
      </c>
      <c r="D69" s="3">
        <v>1</v>
      </c>
      <c r="E69" s="3" t="s">
        <v>16</v>
      </c>
      <c r="F69" s="3" t="s">
        <v>301</v>
      </c>
      <c r="G69" s="3" t="s">
        <v>32</v>
      </c>
      <c r="H69" s="3" t="s">
        <v>134</v>
      </c>
    </row>
    <row r="70" spans="1:8" x14ac:dyDescent="0.2">
      <c r="A70" s="3">
        <v>401040465</v>
      </c>
      <c r="B70" s="4" t="s">
        <v>35</v>
      </c>
      <c r="C70" s="4" t="s">
        <v>899</v>
      </c>
      <c r="D70" s="3">
        <v>1</v>
      </c>
      <c r="E70" s="3" t="s">
        <v>16</v>
      </c>
      <c r="F70" s="3" t="s">
        <v>293</v>
      </c>
      <c r="G70" s="3" t="s">
        <v>29</v>
      </c>
      <c r="H70" s="3" t="s">
        <v>134</v>
      </c>
    </row>
    <row r="71" spans="1:8" x14ac:dyDescent="0.2">
      <c r="A71" s="3">
        <v>3030301005</v>
      </c>
      <c r="B71" s="4" t="s">
        <v>144</v>
      </c>
      <c r="C71" s="4" t="s">
        <v>145</v>
      </c>
      <c r="D71" s="3">
        <v>1</v>
      </c>
      <c r="E71" s="3" t="s">
        <v>16</v>
      </c>
      <c r="F71" s="3" t="s">
        <v>291</v>
      </c>
      <c r="G71" s="3" t="s">
        <v>26</v>
      </c>
      <c r="H71" s="3" t="s">
        <v>143</v>
      </c>
    </row>
    <row r="72" spans="1:8" x14ac:dyDescent="0.2">
      <c r="A72" s="3">
        <v>3060354083</v>
      </c>
      <c r="B72" s="4" t="s">
        <v>900</v>
      </c>
      <c r="C72" s="4" t="s">
        <v>901</v>
      </c>
      <c r="D72" s="3">
        <v>1</v>
      </c>
      <c r="E72" s="3" t="s">
        <v>16</v>
      </c>
      <c r="F72" s="3" t="s">
        <v>702</v>
      </c>
      <c r="G72" s="3" t="s">
        <v>703</v>
      </c>
      <c r="H72" s="3" t="s">
        <v>165</v>
      </c>
    </row>
    <row r="73" spans="1:8" x14ac:dyDescent="0.2">
      <c r="A73" s="3">
        <v>3060321017</v>
      </c>
      <c r="B73" s="4" t="s">
        <v>902</v>
      </c>
      <c r="C73" s="4" t="s">
        <v>903</v>
      </c>
      <c r="D73" s="3">
        <v>1</v>
      </c>
      <c r="E73" s="3" t="s">
        <v>16</v>
      </c>
      <c r="F73" s="3" t="s">
        <v>289</v>
      </c>
      <c r="G73" s="3" t="s">
        <v>23</v>
      </c>
      <c r="H73" s="3" t="s">
        <v>165</v>
      </c>
    </row>
    <row r="74" spans="1:8" x14ac:dyDescent="0.2">
      <c r="A74" s="3">
        <v>3060321018</v>
      </c>
      <c r="B74" s="4" t="s">
        <v>902</v>
      </c>
      <c r="C74" s="4" t="s">
        <v>904</v>
      </c>
      <c r="D74" s="3">
        <v>1</v>
      </c>
      <c r="E74" s="3" t="s">
        <v>16</v>
      </c>
      <c r="F74" s="3" t="s">
        <v>289</v>
      </c>
      <c r="G74" s="3" t="s">
        <v>23</v>
      </c>
      <c r="H74" s="3" t="s">
        <v>165</v>
      </c>
    </row>
    <row r="75" spans="1:8" x14ac:dyDescent="0.2">
      <c r="A75" s="3">
        <v>3060321019</v>
      </c>
      <c r="B75" s="4" t="s">
        <v>905</v>
      </c>
      <c r="C75" s="4" t="s">
        <v>906</v>
      </c>
      <c r="D75" s="3">
        <v>2</v>
      </c>
      <c r="E75" s="3" t="s">
        <v>16</v>
      </c>
      <c r="F75" s="3" t="s">
        <v>289</v>
      </c>
      <c r="G75" s="3" t="s">
        <v>23</v>
      </c>
      <c r="H75" s="3" t="s">
        <v>165</v>
      </c>
    </row>
    <row r="76" spans="1:8" x14ac:dyDescent="0.2">
      <c r="A76" s="3">
        <v>3060354070</v>
      </c>
      <c r="B76" s="4" t="s">
        <v>907</v>
      </c>
      <c r="C76" s="4" t="s">
        <v>908</v>
      </c>
      <c r="D76" s="3">
        <v>1</v>
      </c>
      <c r="E76" s="3" t="s">
        <v>16</v>
      </c>
      <c r="F76" s="3" t="s">
        <v>289</v>
      </c>
      <c r="G76" s="3" t="s">
        <v>23</v>
      </c>
      <c r="H76" s="3" t="s">
        <v>165</v>
      </c>
    </row>
    <row r="77" spans="1:8" x14ac:dyDescent="0.2">
      <c r="A77" s="3">
        <v>3060354072</v>
      </c>
      <c r="B77" s="4" t="s">
        <v>909</v>
      </c>
      <c r="C77" s="4" t="s">
        <v>908</v>
      </c>
      <c r="D77" s="3">
        <v>1</v>
      </c>
      <c r="E77" s="3" t="s">
        <v>16</v>
      </c>
      <c r="F77" s="3" t="s">
        <v>289</v>
      </c>
      <c r="G77" s="3" t="s">
        <v>23</v>
      </c>
      <c r="H77" s="3" t="s">
        <v>165</v>
      </c>
    </row>
    <row r="78" spans="1:8" x14ac:dyDescent="0.2">
      <c r="A78" s="3">
        <v>3060354075</v>
      </c>
      <c r="B78" s="4" t="s">
        <v>910</v>
      </c>
      <c r="C78" s="4" t="s">
        <v>908</v>
      </c>
      <c r="D78" s="3">
        <v>1</v>
      </c>
      <c r="E78" s="3" t="s">
        <v>16</v>
      </c>
      <c r="F78" s="3" t="s">
        <v>289</v>
      </c>
      <c r="G78" s="3" t="s">
        <v>23</v>
      </c>
      <c r="H78" s="3" t="s">
        <v>165</v>
      </c>
    </row>
    <row r="79" spans="1:8" x14ac:dyDescent="0.2">
      <c r="A79" s="3">
        <v>3060354084</v>
      </c>
      <c r="B79" s="4" t="s">
        <v>911</v>
      </c>
      <c r="C79" s="4" t="s">
        <v>912</v>
      </c>
      <c r="D79" s="3">
        <v>1</v>
      </c>
      <c r="E79" s="3" t="s">
        <v>16</v>
      </c>
      <c r="F79" s="3" t="s">
        <v>702</v>
      </c>
      <c r="G79" s="3" t="s">
        <v>703</v>
      </c>
      <c r="H79" s="3" t="s">
        <v>165</v>
      </c>
    </row>
    <row r="80" spans="1:8" x14ac:dyDescent="0.2">
      <c r="A80" s="3">
        <v>3060354085</v>
      </c>
      <c r="B80" s="4" t="s">
        <v>913</v>
      </c>
      <c r="C80" s="4" t="s">
        <v>912</v>
      </c>
      <c r="D80" s="3">
        <v>1</v>
      </c>
      <c r="E80" s="3" t="s">
        <v>16</v>
      </c>
      <c r="F80" s="3" t="s">
        <v>702</v>
      </c>
      <c r="G80" s="3" t="s">
        <v>703</v>
      </c>
      <c r="H80" s="3" t="s">
        <v>165</v>
      </c>
    </row>
    <row r="81" spans="1:8" x14ac:dyDescent="0.2">
      <c r="A81" s="3">
        <v>3030317019</v>
      </c>
      <c r="B81" s="4" t="s">
        <v>914</v>
      </c>
      <c r="C81" s="4" t="s">
        <v>915</v>
      </c>
      <c r="D81" s="3">
        <v>2</v>
      </c>
      <c r="E81" s="3" t="s">
        <v>16</v>
      </c>
      <c r="F81" s="3" t="s">
        <v>295</v>
      </c>
      <c r="G81" s="3" t="s">
        <v>17</v>
      </c>
      <c r="H81" s="3" t="s">
        <v>165</v>
      </c>
    </row>
    <row r="82" spans="1:8" x14ac:dyDescent="0.2">
      <c r="A82" s="3">
        <v>3050305061</v>
      </c>
      <c r="B82" s="4" t="s">
        <v>529</v>
      </c>
      <c r="C82" s="4" t="s">
        <v>916</v>
      </c>
      <c r="D82" s="3">
        <v>1</v>
      </c>
      <c r="E82" s="3" t="s">
        <v>16</v>
      </c>
      <c r="F82" s="3" t="s">
        <v>291</v>
      </c>
      <c r="G82" s="3" t="s">
        <v>26</v>
      </c>
      <c r="H82" s="3" t="s">
        <v>165</v>
      </c>
    </row>
    <row r="83" spans="1:8" x14ac:dyDescent="0.2">
      <c r="A83" s="3">
        <v>3110103002</v>
      </c>
      <c r="B83" s="4" t="s">
        <v>473</v>
      </c>
      <c r="C83" s="4" t="s">
        <v>474</v>
      </c>
      <c r="D83" s="3">
        <v>1</v>
      </c>
      <c r="E83" s="3" t="s">
        <v>16</v>
      </c>
      <c r="F83" s="3" t="s">
        <v>291</v>
      </c>
      <c r="G83" s="3" t="s">
        <v>26</v>
      </c>
      <c r="H83" s="3" t="s">
        <v>165</v>
      </c>
    </row>
    <row r="84" spans="1:8" x14ac:dyDescent="0.2">
      <c r="A84" s="3">
        <v>3030306047</v>
      </c>
      <c r="B84" s="4" t="s">
        <v>917</v>
      </c>
      <c r="C84" s="4" t="s">
        <v>918</v>
      </c>
      <c r="D84" s="3">
        <v>1</v>
      </c>
      <c r="E84" s="3" t="s">
        <v>16</v>
      </c>
      <c r="F84" s="3" t="s">
        <v>295</v>
      </c>
      <c r="G84" s="3" t="s">
        <v>17</v>
      </c>
      <c r="H84" s="3" t="s">
        <v>165</v>
      </c>
    </row>
    <row r="85" spans="1:8" x14ac:dyDescent="0.2">
      <c r="A85" s="3">
        <v>3060354086</v>
      </c>
      <c r="B85" s="4" t="s">
        <v>919</v>
      </c>
      <c r="C85" s="4" t="s">
        <v>912</v>
      </c>
      <c r="D85" s="3">
        <v>1</v>
      </c>
      <c r="E85" s="3" t="s">
        <v>16</v>
      </c>
      <c r="F85" s="3" t="s">
        <v>702</v>
      </c>
      <c r="G85" s="3" t="s">
        <v>703</v>
      </c>
      <c r="H85" s="3" t="s">
        <v>165</v>
      </c>
    </row>
    <row r="86" spans="1:8" x14ac:dyDescent="0.2">
      <c r="A86" s="3">
        <v>3040326027</v>
      </c>
      <c r="B86" s="4" t="s">
        <v>920</v>
      </c>
      <c r="C86" s="4" t="s">
        <v>921</v>
      </c>
      <c r="D86" s="3">
        <v>1</v>
      </c>
      <c r="E86" s="3" t="s">
        <v>16</v>
      </c>
      <c r="F86" s="3" t="s">
        <v>293</v>
      </c>
      <c r="G86" s="3" t="s">
        <v>29</v>
      </c>
      <c r="H86" s="3" t="s">
        <v>165</v>
      </c>
    </row>
    <row r="87" spans="1:8" x14ac:dyDescent="0.2">
      <c r="A87" s="3">
        <v>3040326028</v>
      </c>
      <c r="B87" s="4" t="s">
        <v>920</v>
      </c>
      <c r="C87" s="4" t="s">
        <v>922</v>
      </c>
      <c r="D87" s="3">
        <v>1</v>
      </c>
      <c r="E87" s="3" t="s">
        <v>16</v>
      </c>
      <c r="F87" s="3" t="s">
        <v>293</v>
      </c>
      <c r="G87" s="3" t="s">
        <v>29</v>
      </c>
      <c r="H87" s="3" t="s">
        <v>165</v>
      </c>
    </row>
    <row r="88" spans="1:8" x14ac:dyDescent="0.2">
      <c r="A88" s="3">
        <v>3070206002</v>
      </c>
      <c r="B88" s="4" t="s">
        <v>923</v>
      </c>
      <c r="C88" s="4" t="s">
        <v>924</v>
      </c>
      <c r="D88" s="3">
        <v>2</v>
      </c>
      <c r="E88" s="3" t="s">
        <v>16</v>
      </c>
      <c r="F88" s="3" t="s">
        <v>317</v>
      </c>
      <c r="G88" s="3" t="s">
        <v>318</v>
      </c>
      <c r="H88" s="3" t="s">
        <v>165</v>
      </c>
    </row>
    <row r="89" spans="1:8" x14ac:dyDescent="0.2">
      <c r="A89" s="3">
        <v>3060354040</v>
      </c>
      <c r="B89" s="4" t="s">
        <v>925</v>
      </c>
      <c r="C89" s="4" t="s">
        <v>926</v>
      </c>
      <c r="D89" s="3">
        <v>1</v>
      </c>
      <c r="E89" s="3" t="s">
        <v>16</v>
      </c>
      <c r="F89" s="3" t="s">
        <v>287</v>
      </c>
      <c r="G89" s="3" t="s">
        <v>148</v>
      </c>
      <c r="H89" s="3" t="s">
        <v>165</v>
      </c>
    </row>
    <row r="90" spans="1:8" x14ac:dyDescent="0.2">
      <c r="A90" s="3">
        <v>3020301012</v>
      </c>
      <c r="B90" s="4" t="s">
        <v>209</v>
      </c>
      <c r="C90" s="4" t="s">
        <v>768</v>
      </c>
      <c r="D90" s="3">
        <v>1</v>
      </c>
      <c r="E90" s="3" t="s">
        <v>16</v>
      </c>
      <c r="F90" s="3" t="s">
        <v>301</v>
      </c>
      <c r="G90" s="3" t="s">
        <v>32</v>
      </c>
      <c r="H90" s="3" t="s">
        <v>769</v>
      </c>
    </row>
    <row r="91" spans="1:8" x14ac:dyDescent="0.2">
      <c r="A91" s="3">
        <v>3050307072</v>
      </c>
      <c r="B91" s="4" t="s">
        <v>927</v>
      </c>
      <c r="C91" s="4" t="s">
        <v>912</v>
      </c>
      <c r="D91" s="3">
        <v>1</v>
      </c>
      <c r="E91" s="3" t="s">
        <v>16</v>
      </c>
      <c r="F91" s="3" t="s">
        <v>289</v>
      </c>
      <c r="G91" s="3" t="s">
        <v>23</v>
      </c>
      <c r="H91" s="3" t="s">
        <v>165</v>
      </c>
    </row>
    <row r="92" spans="1:8" x14ac:dyDescent="0.2">
      <c r="A92" s="3">
        <v>3050305065</v>
      </c>
      <c r="B92" s="4" t="s">
        <v>928</v>
      </c>
      <c r="C92" s="4" t="s">
        <v>912</v>
      </c>
      <c r="D92" s="3">
        <v>1</v>
      </c>
      <c r="E92" s="3" t="s">
        <v>16</v>
      </c>
      <c r="F92" s="3" t="s">
        <v>291</v>
      </c>
      <c r="G92" s="3" t="s">
        <v>26</v>
      </c>
      <c r="H92" s="3" t="s">
        <v>165</v>
      </c>
    </row>
    <row r="93" spans="1:8" x14ac:dyDescent="0.2">
      <c r="A93" s="3">
        <v>3050305064</v>
      </c>
      <c r="B93" s="4" t="s">
        <v>929</v>
      </c>
      <c r="C93" s="4" t="s">
        <v>901</v>
      </c>
      <c r="D93" s="3">
        <v>1</v>
      </c>
      <c r="E93" s="3" t="s">
        <v>16</v>
      </c>
      <c r="F93" s="3" t="s">
        <v>291</v>
      </c>
      <c r="G93" s="3" t="s">
        <v>26</v>
      </c>
      <c r="H93" s="3" t="s">
        <v>165</v>
      </c>
    </row>
    <row r="94" spans="1:8" x14ac:dyDescent="0.2">
      <c r="A94" s="3">
        <v>3050310043</v>
      </c>
      <c r="B94" s="4" t="s">
        <v>930</v>
      </c>
      <c r="C94" s="4" t="s">
        <v>915</v>
      </c>
      <c r="D94" s="3">
        <v>2</v>
      </c>
      <c r="E94" s="3" t="s">
        <v>16</v>
      </c>
      <c r="F94" s="3" t="s">
        <v>295</v>
      </c>
      <c r="G94" s="3" t="s">
        <v>17</v>
      </c>
      <c r="H94" s="3" t="s">
        <v>165</v>
      </c>
    </row>
    <row r="95" spans="1:8" x14ac:dyDescent="0.2">
      <c r="A95" s="3">
        <v>3050310062</v>
      </c>
      <c r="B95" s="4" t="s">
        <v>931</v>
      </c>
      <c r="C95" s="4" t="s">
        <v>932</v>
      </c>
      <c r="D95" s="3">
        <v>1</v>
      </c>
      <c r="E95" s="3" t="s">
        <v>16</v>
      </c>
      <c r="F95" s="3" t="s">
        <v>291</v>
      </c>
      <c r="G95" s="3" t="s">
        <v>26</v>
      </c>
      <c r="H95" s="3" t="s">
        <v>165</v>
      </c>
    </row>
    <row r="96" spans="1:8" x14ac:dyDescent="0.2">
      <c r="A96" s="3">
        <v>3040321001</v>
      </c>
      <c r="B96" s="4" t="s">
        <v>490</v>
      </c>
      <c r="C96" s="4" t="s">
        <v>347</v>
      </c>
      <c r="D96" s="3">
        <v>4</v>
      </c>
      <c r="E96" s="3" t="s">
        <v>16</v>
      </c>
      <c r="F96" s="3" t="s">
        <v>293</v>
      </c>
      <c r="G96" s="3" t="s">
        <v>29</v>
      </c>
      <c r="H96" s="3" t="s">
        <v>173</v>
      </c>
    </row>
    <row r="97" spans="1:8" x14ac:dyDescent="0.2">
      <c r="A97" s="3">
        <v>3020502015</v>
      </c>
      <c r="B97" s="4" t="s">
        <v>183</v>
      </c>
      <c r="C97" s="4" t="s">
        <v>933</v>
      </c>
      <c r="D97" s="3">
        <v>1</v>
      </c>
      <c r="E97" s="3" t="s">
        <v>16</v>
      </c>
      <c r="F97" s="3" t="s">
        <v>291</v>
      </c>
      <c r="G97" s="3" t="s">
        <v>26</v>
      </c>
      <c r="H97" s="3" t="s">
        <v>185</v>
      </c>
    </row>
    <row r="98" spans="1:8" x14ac:dyDescent="0.2">
      <c r="A98" s="3">
        <v>3040214006</v>
      </c>
      <c r="B98" s="4" t="s">
        <v>934</v>
      </c>
      <c r="C98" s="4" t="s">
        <v>935</v>
      </c>
      <c r="D98" s="3">
        <v>1</v>
      </c>
      <c r="E98" s="3" t="s">
        <v>16</v>
      </c>
      <c r="F98" s="3" t="s">
        <v>293</v>
      </c>
      <c r="G98" s="3" t="s">
        <v>29</v>
      </c>
      <c r="H98" s="3" t="s">
        <v>494</v>
      </c>
    </row>
    <row r="99" spans="1:8" x14ac:dyDescent="0.2">
      <c r="A99" s="3">
        <v>3040214007</v>
      </c>
      <c r="B99" s="4" t="s">
        <v>934</v>
      </c>
      <c r="C99" s="4" t="s">
        <v>936</v>
      </c>
      <c r="D99" s="3">
        <v>1</v>
      </c>
      <c r="E99" s="3" t="s">
        <v>16</v>
      </c>
      <c r="F99" s="3" t="s">
        <v>293</v>
      </c>
      <c r="G99" s="3" t="s">
        <v>29</v>
      </c>
      <c r="H99" s="3" t="s">
        <v>494</v>
      </c>
    </row>
    <row r="100" spans="1:8" x14ac:dyDescent="0.2">
      <c r="A100" s="3">
        <v>3080105122</v>
      </c>
      <c r="B100" s="4" t="s">
        <v>50</v>
      </c>
      <c r="C100" s="4" t="s">
        <v>937</v>
      </c>
      <c r="D100" s="3">
        <v>10</v>
      </c>
      <c r="E100" s="3" t="s">
        <v>16</v>
      </c>
      <c r="F100" s="3" t="s">
        <v>702</v>
      </c>
      <c r="G100" s="3" t="s">
        <v>703</v>
      </c>
      <c r="H100" s="3" t="s">
        <v>938</v>
      </c>
    </row>
    <row r="101" spans="1:8" x14ac:dyDescent="0.2">
      <c r="A101" s="3">
        <v>3080105122</v>
      </c>
      <c r="B101" s="4" t="s">
        <v>50</v>
      </c>
      <c r="C101" s="4" t="s">
        <v>937</v>
      </c>
      <c r="D101" s="3">
        <v>5</v>
      </c>
      <c r="E101" s="3" t="s">
        <v>16</v>
      </c>
      <c r="F101" s="3" t="s">
        <v>291</v>
      </c>
      <c r="G101" s="3" t="s">
        <v>26</v>
      </c>
      <c r="H101" s="3" t="s">
        <v>938</v>
      </c>
    </row>
    <row r="102" spans="1:8" x14ac:dyDescent="0.2">
      <c r="A102" s="3">
        <v>3110208005</v>
      </c>
      <c r="B102" s="4" t="s">
        <v>939</v>
      </c>
      <c r="C102" s="4" t="s">
        <v>940</v>
      </c>
      <c r="D102" s="3">
        <v>1</v>
      </c>
      <c r="E102" s="3" t="s">
        <v>16</v>
      </c>
      <c r="F102" s="3" t="s">
        <v>295</v>
      </c>
      <c r="G102" s="3" t="s">
        <v>17</v>
      </c>
      <c r="H102" s="3" t="s">
        <v>187</v>
      </c>
    </row>
    <row r="103" spans="1:8" x14ac:dyDescent="0.2">
      <c r="A103" s="3">
        <v>3110202003</v>
      </c>
      <c r="B103" s="4" t="s">
        <v>188</v>
      </c>
      <c r="C103" s="4" t="s">
        <v>941</v>
      </c>
      <c r="D103" s="3">
        <v>1</v>
      </c>
      <c r="E103" s="3" t="s">
        <v>16</v>
      </c>
      <c r="F103" s="3" t="s">
        <v>295</v>
      </c>
      <c r="G103" s="3" t="s">
        <v>17</v>
      </c>
      <c r="H103" s="3" t="s">
        <v>187</v>
      </c>
    </row>
    <row r="104" spans="1:8" x14ac:dyDescent="0.2">
      <c r="A104" s="3">
        <v>404100056</v>
      </c>
      <c r="B104" s="4" t="s">
        <v>942</v>
      </c>
      <c r="C104" s="4" t="s">
        <v>943</v>
      </c>
      <c r="D104" s="3">
        <v>1</v>
      </c>
      <c r="E104" s="3" t="s">
        <v>16</v>
      </c>
      <c r="F104" s="3" t="s">
        <v>301</v>
      </c>
      <c r="G104" s="3" t="s">
        <v>32</v>
      </c>
      <c r="H104" s="3" t="s">
        <v>198</v>
      </c>
    </row>
    <row r="105" spans="1:8" x14ac:dyDescent="0.2">
      <c r="A105" s="3">
        <v>404100057</v>
      </c>
      <c r="B105" s="4" t="s">
        <v>942</v>
      </c>
      <c r="C105" s="4" t="s">
        <v>944</v>
      </c>
      <c r="D105" s="3">
        <v>1</v>
      </c>
      <c r="E105" s="3" t="s">
        <v>16</v>
      </c>
      <c r="F105" s="3" t="s">
        <v>301</v>
      </c>
      <c r="G105" s="3" t="s">
        <v>32</v>
      </c>
      <c r="H105" s="3" t="s">
        <v>198</v>
      </c>
    </row>
    <row r="106" spans="1:8" x14ac:dyDescent="0.2">
      <c r="A106" s="3">
        <v>401070018</v>
      </c>
      <c r="B106" s="4" t="s">
        <v>35</v>
      </c>
      <c r="C106" s="4" t="s">
        <v>202</v>
      </c>
      <c r="D106" s="3">
        <v>1</v>
      </c>
      <c r="E106" s="3" t="s">
        <v>16</v>
      </c>
      <c r="F106" s="3" t="s">
        <v>301</v>
      </c>
      <c r="G106" s="3" t="s">
        <v>32</v>
      </c>
      <c r="H106" s="3" t="s">
        <v>198</v>
      </c>
    </row>
    <row r="107" spans="1:8" x14ac:dyDescent="0.2">
      <c r="A107" s="3">
        <v>401070022</v>
      </c>
      <c r="B107" s="4" t="s">
        <v>35</v>
      </c>
      <c r="C107" s="4" t="s">
        <v>203</v>
      </c>
      <c r="D107" s="3">
        <v>1</v>
      </c>
      <c r="E107" s="3" t="s">
        <v>16</v>
      </c>
      <c r="F107" s="3" t="s">
        <v>301</v>
      </c>
      <c r="G107" s="3" t="s">
        <v>32</v>
      </c>
      <c r="H107" s="3" t="s">
        <v>198</v>
      </c>
    </row>
    <row r="108" spans="1:8" x14ac:dyDescent="0.2">
      <c r="A108" s="3">
        <v>3069907049</v>
      </c>
      <c r="B108" s="4" t="s">
        <v>945</v>
      </c>
      <c r="C108" s="4" t="s">
        <v>946</v>
      </c>
      <c r="D108" s="3">
        <v>1</v>
      </c>
      <c r="E108" s="3" t="s">
        <v>16</v>
      </c>
      <c r="F108" s="3" t="s">
        <v>702</v>
      </c>
      <c r="G108" s="3" t="s">
        <v>703</v>
      </c>
      <c r="H108" s="3" t="s">
        <v>947</v>
      </c>
    </row>
    <row r="109" spans="1:8" x14ac:dyDescent="0.2">
      <c r="A109" s="3">
        <v>3059901003</v>
      </c>
      <c r="B109" s="4" t="s">
        <v>948</v>
      </c>
      <c r="C109" s="4" t="s">
        <v>949</v>
      </c>
      <c r="D109" s="3">
        <v>1</v>
      </c>
      <c r="E109" s="3" t="s">
        <v>16</v>
      </c>
      <c r="F109" s="3" t="s">
        <v>291</v>
      </c>
      <c r="G109" s="3" t="s">
        <v>26</v>
      </c>
      <c r="H109" s="3" t="s">
        <v>947</v>
      </c>
    </row>
    <row r="110" spans="1:8" x14ac:dyDescent="0.2">
      <c r="A110" s="3">
        <v>3030201012</v>
      </c>
      <c r="B110" s="4" t="s">
        <v>950</v>
      </c>
      <c r="C110" s="4" t="s">
        <v>951</v>
      </c>
      <c r="D110" s="3">
        <v>2</v>
      </c>
      <c r="E110" s="3" t="s">
        <v>16</v>
      </c>
      <c r="F110" s="3" t="s">
        <v>295</v>
      </c>
      <c r="G110" s="3" t="s">
        <v>17</v>
      </c>
      <c r="H110" s="3" t="s">
        <v>214</v>
      </c>
    </row>
    <row r="111" spans="1:8" x14ac:dyDescent="0.2">
      <c r="A111" s="3">
        <v>3049904001</v>
      </c>
      <c r="B111" s="4" t="s">
        <v>354</v>
      </c>
      <c r="C111" s="4" t="s">
        <v>355</v>
      </c>
      <c r="D111" s="3">
        <v>4</v>
      </c>
      <c r="E111" s="3" t="s">
        <v>16</v>
      </c>
      <c r="F111" s="3" t="s">
        <v>293</v>
      </c>
      <c r="G111" s="3" t="s">
        <v>29</v>
      </c>
      <c r="H111" s="3" t="s">
        <v>214</v>
      </c>
    </row>
    <row r="112" spans="1:8" x14ac:dyDescent="0.2">
      <c r="A112" s="3">
        <v>3049902001</v>
      </c>
      <c r="B112" s="4" t="s">
        <v>518</v>
      </c>
      <c r="C112" s="4" t="s">
        <v>355</v>
      </c>
      <c r="D112" s="3">
        <v>2</v>
      </c>
      <c r="E112" s="3" t="s">
        <v>16</v>
      </c>
      <c r="F112" s="3" t="s">
        <v>293</v>
      </c>
      <c r="G112" s="3" t="s">
        <v>29</v>
      </c>
      <c r="H112" s="3" t="s">
        <v>214</v>
      </c>
    </row>
    <row r="113" spans="1:8" x14ac:dyDescent="0.2">
      <c r="A113" s="3">
        <v>3050206007</v>
      </c>
      <c r="B113" s="4" t="s">
        <v>952</v>
      </c>
      <c r="C113" s="4" t="s">
        <v>953</v>
      </c>
      <c r="D113" s="3">
        <v>2</v>
      </c>
      <c r="E113" s="3" t="s">
        <v>16</v>
      </c>
      <c r="F113" s="3" t="s">
        <v>293</v>
      </c>
      <c r="G113" s="3" t="s">
        <v>29</v>
      </c>
      <c r="H113" s="3" t="s">
        <v>214</v>
      </c>
    </row>
    <row r="114" spans="1:8" x14ac:dyDescent="0.2">
      <c r="A114" s="3">
        <v>3070105006</v>
      </c>
      <c r="B114" s="4" t="s">
        <v>954</v>
      </c>
      <c r="C114" s="4" t="s">
        <v>955</v>
      </c>
      <c r="D114" s="3">
        <v>1</v>
      </c>
      <c r="E114" s="3" t="s">
        <v>16</v>
      </c>
      <c r="F114" s="3" t="s">
        <v>317</v>
      </c>
      <c r="G114" s="3" t="s">
        <v>318</v>
      </c>
      <c r="H114" s="3" t="s">
        <v>214</v>
      </c>
    </row>
    <row r="115" spans="1:8" x14ac:dyDescent="0.2">
      <c r="A115" s="3">
        <v>3070105005</v>
      </c>
      <c r="B115" s="4" t="s">
        <v>956</v>
      </c>
      <c r="C115" s="4" t="s">
        <v>955</v>
      </c>
      <c r="D115" s="3">
        <v>1</v>
      </c>
      <c r="E115" s="3" t="s">
        <v>16</v>
      </c>
      <c r="F115" s="3" t="s">
        <v>317</v>
      </c>
      <c r="G115" s="3" t="s">
        <v>318</v>
      </c>
      <c r="H115" s="3" t="s">
        <v>214</v>
      </c>
    </row>
    <row r="116" spans="1:8" x14ac:dyDescent="0.2">
      <c r="A116" s="3">
        <v>3060403048</v>
      </c>
      <c r="B116" s="4" t="s">
        <v>957</v>
      </c>
      <c r="C116" s="4" t="s">
        <v>958</v>
      </c>
      <c r="D116" s="3">
        <v>1</v>
      </c>
      <c r="E116" s="3" t="s">
        <v>16</v>
      </c>
      <c r="F116" s="3" t="s">
        <v>289</v>
      </c>
      <c r="G116" s="3" t="s">
        <v>23</v>
      </c>
      <c r="H116" s="3" t="s">
        <v>221</v>
      </c>
    </row>
    <row r="117" spans="1:8" x14ac:dyDescent="0.2">
      <c r="A117" s="3">
        <v>3060403049</v>
      </c>
      <c r="B117" s="4" t="s">
        <v>957</v>
      </c>
      <c r="C117" s="4" t="s">
        <v>959</v>
      </c>
      <c r="D117" s="3">
        <v>1</v>
      </c>
      <c r="E117" s="3" t="s">
        <v>16</v>
      </c>
      <c r="F117" s="3" t="s">
        <v>289</v>
      </c>
      <c r="G117" s="3" t="s">
        <v>23</v>
      </c>
      <c r="H117" s="3" t="s">
        <v>221</v>
      </c>
    </row>
    <row r="118" spans="1:8" x14ac:dyDescent="0.2">
      <c r="A118" s="3">
        <v>3030101065</v>
      </c>
      <c r="B118" s="4" t="s">
        <v>636</v>
      </c>
      <c r="C118" s="4" t="s">
        <v>960</v>
      </c>
      <c r="D118" s="3">
        <v>1</v>
      </c>
      <c r="E118" s="3" t="s">
        <v>16</v>
      </c>
      <c r="F118" s="3" t="s">
        <v>295</v>
      </c>
      <c r="G118" s="3" t="s">
        <v>17</v>
      </c>
      <c r="H118" s="3" t="s">
        <v>221</v>
      </c>
    </row>
    <row r="119" spans="1:8" x14ac:dyDescent="0.2">
      <c r="A119" s="3">
        <v>3040403003</v>
      </c>
      <c r="B119" s="4" t="s">
        <v>961</v>
      </c>
      <c r="C119" s="4" t="s">
        <v>962</v>
      </c>
      <c r="D119" s="3">
        <v>1</v>
      </c>
      <c r="E119" s="3" t="s">
        <v>16</v>
      </c>
      <c r="F119" s="3" t="s">
        <v>293</v>
      </c>
      <c r="G119" s="3" t="s">
        <v>29</v>
      </c>
      <c r="H119" s="3" t="s">
        <v>221</v>
      </c>
    </row>
    <row r="120" spans="1:8" x14ac:dyDescent="0.2">
      <c r="A120" s="3">
        <v>3040403004</v>
      </c>
      <c r="B120" s="4" t="s">
        <v>961</v>
      </c>
      <c r="C120" s="4" t="s">
        <v>963</v>
      </c>
      <c r="D120" s="3">
        <v>1</v>
      </c>
      <c r="E120" s="3" t="s">
        <v>16</v>
      </c>
      <c r="F120" s="3" t="s">
        <v>293</v>
      </c>
      <c r="G120" s="3" t="s">
        <v>29</v>
      </c>
      <c r="H120" s="3" t="s">
        <v>221</v>
      </c>
    </row>
    <row r="121" spans="1:8" x14ac:dyDescent="0.2">
      <c r="A121" s="3">
        <v>3040402102</v>
      </c>
      <c r="B121" s="4" t="s">
        <v>500</v>
      </c>
      <c r="C121" s="4" t="s">
        <v>962</v>
      </c>
      <c r="D121" s="3">
        <v>1</v>
      </c>
      <c r="E121" s="3" t="s">
        <v>16</v>
      </c>
      <c r="F121" s="3" t="s">
        <v>293</v>
      </c>
      <c r="G121" s="3" t="s">
        <v>29</v>
      </c>
      <c r="H121" s="3" t="s">
        <v>221</v>
      </c>
    </row>
    <row r="122" spans="1:8" x14ac:dyDescent="0.2">
      <c r="A122" s="3">
        <v>3040402103</v>
      </c>
      <c r="B122" s="4" t="s">
        <v>500</v>
      </c>
      <c r="C122" s="4" t="s">
        <v>963</v>
      </c>
      <c r="D122" s="3">
        <v>1</v>
      </c>
      <c r="E122" s="3" t="s">
        <v>16</v>
      </c>
      <c r="F122" s="3" t="s">
        <v>293</v>
      </c>
      <c r="G122" s="3" t="s">
        <v>29</v>
      </c>
      <c r="H122" s="3" t="s">
        <v>221</v>
      </c>
    </row>
    <row r="123" spans="1:8" x14ac:dyDescent="0.2">
      <c r="A123" s="3">
        <v>408120101</v>
      </c>
      <c r="B123" s="4" t="s">
        <v>525</v>
      </c>
      <c r="C123" s="4" t="s">
        <v>964</v>
      </c>
      <c r="D123" s="3">
        <v>2</v>
      </c>
      <c r="E123" s="3" t="s">
        <v>16</v>
      </c>
      <c r="F123" s="3" t="s">
        <v>289</v>
      </c>
      <c r="G123" s="3" t="s">
        <v>23</v>
      </c>
      <c r="H123" s="3" t="s">
        <v>524</v>
      </c>
    </row>
    <row r="124" spans="1:8" x14ac:dyDescent="0.2">
      <c r="A124" s="3">
        <v>408120103</v>
      </c>
      <c r="B124" s="4" t="s">
        <v>525</v>
      </c>
      <c r="C124" s="4" t="s">
        <v>965</v>
      </c>
      <c r="D124" s="3">
        <v>2</v>
      </c>
      <c r="E124" s="3" t="s">
        <v>16</v>
      </c>
      <c r="F124" s="3" t="s">
        <v>289</v>
      </c>
      <c r="G124" s="3" t="s">
        <v>23</v>
      </c>
      <c r="H124" s="3" t="s">
        <v>524</v>
      </c>
    </row>
    <row r="125" spans="1:8" x14ac:dyDescent="0.2">
      <c r="A125" s="3">
        <v>408120104</v>
      </c>
      <c r="B125" s="4" t="s">
        <v>525</v>
      </c>
      <c r="C125" s="4" t="s">
        <v>966</v>
      </c>
      <c r="D125" s="3">
        <v>2</v>
      </c>
      <c r="E125" s="3" t="s">
        <v>16</v>
      </c>
      <c r="F125" s="3" t="s">
        <v>289</v>
      </c>
      <c r="G125" s="3" t="s">
        <v>23</v>
      </c>
      <c r="H125" s="3" t="s">
        <v>524</v>
      </c>
    </row>
    <row r="126" spans="1:8" x14ac:dyDescent="0.2">
      <c r="A126" s="3">
        <v>408120112</v>
      </c>
      <c r="B126" s="4" t="s">
        <v>525</v>
      </c>
      <c r="C126" s="4" t="s">
        <v>967</v>
      </c>
      <c r="D126" s="3">
        <v>2</v>
      </c>
      <c r="E126" s="3" t="s">
        <v>16</v>
      </c>
      <c r="F126" s="3" t="s">
        <v>289</v>
      </c>
      <c r="G126" s="3" t="s">
        <v>23</v>
      </c>
      <c r="H126" s="3" t="s">
        <v>524</v>
      </c>
    </row>
    <row r="127" spans="1:8" x14ac:dyDescent="0.2">
      <c r="A127" s="3">
        <v>408120052</v>
      </c>
      <c r="B127" s="4" t="s">
        <v>525</v>
      </c>
      <c r="C127" s="4" t="s">
        <v>968</v>
      </c>
      <c r="D127" s="3">
        <v>2</v>
      </c>
      <c r="E127" s="3" t="s">
        <v>16</v>
      </c>
      <c r="F127" s="3" t="s">
        <v>317</v>
      </c>
      <c r="G127" s="3" t="s">
        <v>318</v>
      </c>
      <c r="H127" s="3" t="s">
        <v>524</v>
      </c>
    </row>
    <row r="128" spans="1:8" x14ac:dyDescent="0.2">
      <c r="A128" s="3">
        <v>408120102</v>
      </c>
      <c r="B128" s="4" t="s">
        <v>525</v>
      </c>
      <c r="C128" s="4" t="s">
        <v>969</v>
      </c>
      <c r="D128" s="3">
        <v>2</v>
      </c>
      <c r="E128" s="3" t="s">
        <v>16</v>
      </c>
      <c r="F128" s="3" t="s">
        <v>317</v>
      </c>
      <c r="G128" s="3" t="s">
        <v>318</v>
      </c>
      <c r="H128" s="3" t="s">
        <v>524</v>
      </c>
    </row>
    <row r="129" spans="1:8" x14ac:dyDescent="0.2">
      <c r="A129" s="3">
        <v>408120114</v>
      </c>
      <c r="B129" s="4" t="s">
        <v>525</v>
      </c>
      <c r="C129" s="4" t="s">
        <v>970</v>
      </c>
      <c r="D129" s="3">
        <v>2</v>
      </c>
      <c r="E129" s="3" t="s">
        <v>16</v>
      </c>
      <c r="F129" s="3" t="s">
        <v>702</v>
      </c>
      <c r="G129" s="3" t="s">
        <v>703</v>
      </c>
      <c r="H129" s="3" t="s">
        <v>524</v>
      </c>
    </row>
    <row r="130" spans="1:8" x14ac:dyDescent="0.2">
      <c r="A130" s="3">
        <v>408120112</v>
      </c>
      <c r="B130" s="4" t="s">
        <v>525</v>
      </c>
      <c r="C130" s="4" t="s">
        <v>967</v>
      </c>
      <c r="D130" s="3">
        <v>2</v>
      </c>
      <c r="E130" s="3" t="s">
        <v>16</v>
      </c>
      <c r="F130" s="3" t="s">
        <v>702</v>
      </c>
      <c r="G130" s="3" t="s">
        <v>703</v>
      </c>
      <c r="H130" s="3" t="s">
        <v>524</v>
      </c>
    </row>
    <row r="131" spans="1:8" x14ac:dyDescent="0.2">
      <c r="A131" s="3">
        <v>408120103</v>
      </c>
      <c r="B131" s="4" t="s">
        <v>525</v>
      </c>
      <c r="C131" s="4" t="s">
        <v>965</v>
      </c>
      <c r="D131" s="3">
        <v>2</v>
      </c>
      <c r="E131" s="3" t="s">
        <v>16</v>
      </c>
      <c r="F131" s="3" t="s">
        <v>291</v>
      </c>
      <c r="G131" s="3" t="s">
        <v>26</v>
      </c>
      <c r="H131" s="3" t="s">
        <v>524</v>
      </c>
    </row>
    <row r="132" spans="1:8" x14ac:dyDescent="0.2">
      <c r="A132" s="3">
        <v>408120101</v>
      </c>
      <c r="B132" s="4" t="s">
        <v>525</v>
      </c>
      <c r="C132" s="4" t="s">
        <v>964</v>
      </c>
      <c r="D132" s="3">
        <v>2</v>
      </c>
      <c r="E132" s="3" t="s">
        <v>16</v>
      </c>
      <c r="F132" s="3" t="s">
        <v>291</v>
      </c>
      <c r="G132" s="3" t="s">
        <v>26</v>
      </c>
      <c r="H132" s="3" t="s">
        <v>524</v>
      </c>
    </row>
    <row r="133" spans="1:8" x14ac:dyDescent="0.2">
      <c r="A133" s="3">
        <v>408120111</v>
      </c>
      <c r="B133" s="4" t="s">
        <v>525</v>
      </c>
      <c r="C133" s="4" t="s">
        <v>971</v>
      </c>
      <c r="D133" s="3">
        <v>1</v>
      </c>
      <c r="E133" s="3" t="s">
        <v>16</v>
      </c>
      <c r="F133" s="3" t="s">
        <v>291</v>
      </c>
      <c r="G133" s="3" t="s">
        <v>26</v>
      </c>
      <c r="H133" s="3" t="s">
        <v>524</v>
      </c>
    </row>
    <row r="134" spans="1:8" x14ac:dyDescent="0.2">
      <c r="A134" s="3">
        <v>408120114</v>
      </c>
      <c r="B134" s="4" t="s">
        <v>525</v>
      </c>
      <c r="C134" s="4" t="s">
        <v>970</v>
      </c>
      <c r="D134" s="3">
        <v>2</v>
      </c>
      <c r="E134" s="3" t="s">
        <v>16</v>
      </c>
      <c r="F134" s="3" t="s">
        <v>291</v>
      </c>
      <c r="G134" s="3" t="s">
        <v>26</v>
      </c>
      <c r="H134" s="3" t="s">
        <v>524</v>
      </c>
    </row>
    <row r="135" spans="1:8" x14ac:dyDescent="0.2">
      <c r="A135" s="3">
        <v>3010199161</v>
      </c>
      <c r="B135" s="4" t="s">
        <v>972</v>
      </c>
      <c r="C135" s="4" t="s">
        <v>973</v>
      </c>
      <c r="D135" s="3">
        <v>7.0000000000000007E-2</v>
      </c>
      <c r="E135" s="3" t="s">
        <v>10</v>
      </c>
      <c r="F135" s="3" t="s">
        <v>303</v>
      </c>
      <c r="G135" s="3" t="s">
        <v>304</v>
      </c>
      <c r="H135" s="3" t="s">
        <v>974</v>
      </c>
    </row>
    <row r="136" spans="1:8" x14ac:dyDescent="0.2">
      <c r="A136" s="3">
        <v>3060354047</v>
      </c>
      <c r="B136" s="4" t="s">
        <v>975</v>
      </c>
      <c r="C136" s="4" t="s">
        <v>976</v>
      </c>
      <c r="D136" s="3">
        <v>4</v>
      </c>
      <c r="E136" s="3" t="s">
        <v>16</v>
      </c>
      <c r="F136" s="3" t="s">
        <v>702</v>
      </c>
      <c r="G136" s="3" t="s">
        <v>703</v>
      </c>
      <c r="H136" s="3" t="s">
        <v>370</v>
      </c>
    </row>
    <row r="137" spans="1:8" x14ac:dyDescent="0.2">
      <c r="A137" s="3">
        <v>3060354081</v>
      </c>
      <c r="B137" s="4" t="s">
        <v>977</v>
      </c>
      <c r="C137" s="4" t="s">
        <v>976</v>
      </c>
      <c r="D137" s="3">
        <v>1</v>
      </c>
      <c r="E137" s="3" t="s">
        <v>16</v>
      </c>
      <c r="F137" s="3" t="s">
        <v>702</v>
      </c>
      <c r="G137" s="3" t="s">
        <v>703</v>
      </c>
      <c r="H137" s="3" t="s">
        <v>370</v>
      </c>
    </row>
    <row r="138" spans="1:8" x14ac:dyDescent="0.2">
      <c r="A138" s="3">
        <v>3060354050</v>
      </c>
      <c r="B138" s="4" t="s">
        <v>978</v>
      </c>
      <c r="C138" s="4" t="s">
        <v>976</v>
      </c>
      <c r="D138" s="3">
        <v>1</v>
      </c>
      <c r="E138" s="3" t="s">
        <v>16</v>
      </c>
      <c r="F138" s="3" t="s">
        <v>702</v>
      </c>
      <c r="G138" s="3" t="s">
        <v>703</v>
      </c>
      <c r="H138" s="3" t="s">
        <v>370</v>
      </c>
    </row>
    <row r="139" spans="1:8" x14ac:dyDescent="0.2">
      <c r="A139" s="3">
        <v>3060354051</v>
      </c>
      <c r="B139" s="4" t="s">
        <v>979</v>
      </c>
      <c r="C139" s="4" t="s">
        <v>976</v>
      </c>
      <c r="D139" s="3">
        <v>1</v>
      </c>
      <c r="E139" s="3" t="s">
        <v>16</v>
      </c>
      <c r="F139" s="3" t="s">
        <v>702</v>
      </c>
      <c r="G139" s="3" t="s">
        <v>703</v>
      </c>
      <c r="H139" s="3" t="s">
        <v>370</v>
      </c>
    </row>
    <row r="140" spans="1:8" x14ac:dyDescent="0.2">
      <c r="A140" s="3">
        <v>3060354095</v>
      </c>
      <c r="B140" s="4" t="s">
        <v>980</v>
      </c>
      <c r="C140" s="4" t="s">
        <v>976</v>
      </c>
      <c r="D140" s="3">
        <v>1</v>
      </c>
      <c r="E140" s="3" t="s">
        <v>16</v>
      </c>
      <c r="F140" s="3" t="s">
        <v>702</v>
      </c>
      <c r="G140" s="3" t="s">
        <v>703</v>
      </c>
      <c r="H140" s="3" t="s">
        <v>370</v>
      </c>
    </row>
    <row r="141" spans="1:8" x14ac:dyDescent="0.2">
      <c r="A141" s="3">
        <v>3060354094</v>
      </c>
      <c r="B141" s="4" t="s">
        <v>981</v>
      </c>
      <c r="C141" s="4" t="s">
        <v>976</v>
      </c>
      <c r="D141" s="3">
        <v>1</v>
      </c>
      <c r="E141" s="3" t="s">
        <v>16</v>
      </c>
      <c r="F141" s="3" t="s">
        <v>702</v>
      </c>
      <c r="G141" s="3" t="s">
        <v>703</v>
      </c>
      <c r="H141" s="3" t="s">
        <v>370</v>
      </c>
    </row>
    <row r="142" spans="1:8" x14ac:dyDescent="0.2">
      <c r="A142" s="3">
        <v>3099980090</v>
      </c>
      <c r="B142" s="4" t="s">
        <v>982</v>
      </c>
      <c r="C142" s="4" t="s">
        <v>983</v>
      </c>
      <c r="D142" s="3">
        <v>1</v>
      </c>
      <c r="E142" s="3" t="s">
        <v>16</v>
      </c>
      <c r="F142" s="3" t="s">
        <v>289</v>
      </c>
      <c r="G142" s="3" t="s">
        <v>23</v>
      </c>
      <c r="H142" s="3" t="s">
        <v>370</v>
      </c>
    </row>
    <row r="143" spans="1:8" x14ac:dyDescent="0.2">
      <c r="A143" s="3">
        <v>3040502092</v>
      </c>
      <c r="B143" s="4" t="s">
        <v>984</v>
      </c>
      <c r="C143" s="4" t="s">
        <v>985</v>
      </c>
      <c r="D143" s="3">
        <v>1</v>
      </c>
      <c r="E143" s="3" t="s">
        <v>16</v>
      </c>
      <c r="F143" s="3" t="s">
        <v>293</v>
      </c>
      <c r="G143" s="3" t="s">
        <v>29</v>
      </c>
      <c r="H143" s="3" t="s">
        <v>370</v>
      </c>
    </row>
    <row r="144" spans="1:8" x14ac:dyDescent="0.2">
      <c r="A144" s="3">
        <v>3040502093</v>
      </c>
      <c r="B144" s="4" t="s">
        <v>984</v>
      </c>
      <c r="C144" s="4" t="s">
        <v>986</v>
      </c>
      <c r="D144" s="3">
        <v>1</v>
      </c>
      <c r="E144" s="3" t="s">
        <v>16</v>
      </c>
      <c r="F144" s="3" t="s">
        <v>293</v>
      </c>
      <c r="G144" s="3" t="s">
        <v>29</v>
      </c>
      <c r="H144" s="3" t="s">
        <v>370</v>
      </c>
    </row>
    <row r="145" spans="1:8" x14ac:dyDescent="0.2">
      <c r="A145" s="3">
        <v>3050307068</v>
      </c>
      <c r="B145" s="4" t="s">
        <v>987</v>
      </c>
      <c r="C145" s="4" t="s">
        <v>988</v>
      </c>
      <c r="D145" s="3">
        <v>1</v>
      </c>
      <c r="E145" s="3" t="s">
        <v>16</v>
      </c>
      <c r="F145" s="3" t="s">
        <v>291</v>
      </c>
      <c r="G145" s="3" t="s">
        <v>26</v>
      </c>
      <c r="H145" s="3" t="s">
        <v>370</v>
      </c>
    </row>
    <row r="146" spans="1:8" x14ac:dyDescent="0.2">
      <c r="A146" s="3">
        <v>3060354097</v>
      </c>
      <c r="B146" s="4" t="s">
        <v>989</v>
      </c>
      <c r="C146" s="4" t="s">
        <v>990</v>
      </c>
      <c r="D146" s="3">
        <v>1</v>
      </c>
      <c r="E146" s="3" t="s">
        <v>16</v>
      </c>
      <c r="F146" s="3" t="s">
        <v>289</v>
      </c>
      <c r="G146" s="3" t="s">
        <v>23</v>
      </c>
      <c r="H146" s="3" t="s">
        <v>226</v>
      </c>
    </row>
    <row r="147" spans="1:8" x14ac:dyDescent="0.2">
      <c r="A147" s="3">
        <v>3060311017</v>
      </c>
      <c r="B147" s="4" t="s">
        <v>991</v>
      </c>
      <c r="C147" s="4" t="s">
        <v>992</v>
      </c>
      <c r="D147" s="3">
        <v>1</v>
      </c>
      <c r="E147" s="3" t="s">
        <v>16</v>
      </c>
      <c r="F147" s="3" t="s">
        <v>289</v>
      </c>
      <c r="G147" s="3" t="s">
        <v>23</v>
      </c>
      <c r="H147" s="3" t="s">
        <v>226</v>
      </c>
    </row>
    <row r="148" spans="1:8" x14ac:dyDescent="0.2">
      <c r="A148" s="3">
        <v>3060311014</v>
      </c>
      <c r="B148" s="4" t="s">
        <v>991</v>
      </c>
      <c r="C148" s="4" t="s">
        <v>993</v>
      </c>
      <c r="D148" s="3">
        <v>1</v>
      </c>
      <c r="E148" s="3" t="s">
        <v>16</v>
      </c>
      <c r="F148" s="3" t="s">
        <v>289</v>
      </c>
      <c r="G148" s="3" t="s">
        <v>23</v>
      </c>
      <c r="H148" s="3" t="s">
        <v>226</v>
      </c>
    </row>
    <row r="149" spans="1:8" x14ac:dyDescent="0.2">
      <c r="A149" s="3">
        <v>3060303005</v>
      </c>
      <c r="B149" s="4" t="s">
        <v>994</v>
      </c>
      <c r="C149" s="4" t="s">
        <v>995</v>
      </c>
      <c r="D149" s="3">
        <v>2</v>
      </c>
      <c r="E149" s="3" t="s">
        <v>16</v>
      </c>
      <c r="F149" s="3" t="s">
        <v>289</v>
      </c>
      <c r="G149" s="3" t="s">
        <v>23</v>
      </c>
      <c r="H149" s="3" t="s">
        <v>226</v>
      </c>
    </row>
    <row r="150" spans="1:8" x14ac:dyDescent="0.2">
      <c r="A150" s="3">
        <v>3060354100</v>
      </c>
      <c r="B150" s="4" t="s">
        <v>996</v>
      </c>
      <c r="C150" s="4" t="s">
        <v>997</v>
      </c>
      <c r="D150" s="3">
        <v>1</v>
      </c>
      <c r="E150" s="3" t="s">
        <v>16</v>
      </c>
      <c r="F150" s="3" t="s">
        <v>702</v>
      </c>
      <c r="G150" s="3" t="s">
        <v>703</v>
      </c>
      <c r="H150" s="3" t="s">
        <v>226</v>
      </c>
    </row>
    <row r="151" spans="1:8" x14ac:dyDescent="0.2">
      <c r="A151" s="3">
        <v>3069906008</v>
      </c>
      <c r="B151" s="4" t="s">
        <v>998</v>
      </c>
      <c r="C151" s="4" t="s">
        <v>901</v>
      </c>
      <c r="D151" s="3">
        <v>1</v>
      </c>
      <c r="E151" s="3" t="s">
        <v>16</v>
      </c>
      <c r="F151" s="3" t="s">
        <v>702</v>
      </c>
      <c r="G151" s="3" t="s">
        <v>703</v>
      </c>
      <c r="H151" s="3" t="s">
        <v>226</v>
      </c>
    </row>
    <row r="152" spans="1:8" x14ac:dyDescent="0.2">
      <c r="A152" s="3">
        <v>3060349010</v>
      </c>
      <c r="B152" s="4" t="s">
        <v>999</v>
      </c>
      <c r="C152" s="4" t="s">
        <v>1000</v>
      </c>
      <c r="D152" s="3">
        <v>3</v>
      </c>
      <c r="E152" s="3" t="s">
        <v>16</v>
      </c>
      <c r="F152" s="3" t="s">
        <v>702</v>
      </c>
      <c r="G152" s="3" t="s">
        <v>703</v>
      </c>
      <c r="H152" s="3" t="s">
        <v>226</v>
      </c>
    </row>
    <row r="153" spans="1:8" x14ac:dyDescent="0.2">
      <c r="A153" s="3">
        <v>3060349011</v>
      </c>
      <c r="B153" s="4" t="s">
        <v>1001</v>
      </c>
      <c r="C153" s="4" t="s">
        <v>1000</v>
      </c>
      <c r="D153" s="3">
        <v>1</v>
      </c>
      <c r="E153" s="3" t="s">
        <v>16</v>
      </c>
      <c r="F153" s="3" t="s">
        <v>702</v>
      </c>
      <c r="G153" s="3" t="s">
        <v>703</v>
      </c>
      <c r="H153" s="3" t="s">
        <v>226</v>
      </c>
    </row>
    <row r="154" spans="1:8" x14ac:dyDescent="0.2">
      <c r="A154" s="3">
        <v>3060349009</v>
      </c>
      <c r="B154" s="4" t="s">
        <v>1002</v>
      </c>
      <c r="C154" s="4" t="s">
        <v>1000</v>
      </c>
      <c r="D154" s="3">
        <v>11</v>
      </c>
      <c r="E154" s="3" t="s">
        <v>16</v>
      </c>
      <c r="F154" s="3" t="s">
        <v>702</v>
      </c>
      <c r="G154" s="3" t="s">
        <v>703</v>
      </c>
      <c r="H154" s="3" t="s">
        <v>226</v>
      </c>
    </row>
    <row r="155" spans="1:8" x14ac:dyDescent="0.2">
      <c r="A155" s="3">
        <v>3060349012</v>
      </c>
      <c r="B155" s="4" t="s">
        <v>1003</v>
      </c>
      <c r="C155" s="4" t="s">
        <v>1000</v>
      </c>
      <c r="D155" s="3">
        <v>3</v>
      </c>
      <c r="E155" s="3" t="s">
        <v>16</v>
      </c>
      <c r="F155" s="3" t="s">
        <v>702</v>
      </c>
      <c r="G155" s="3" t="s">
        <v>703</v>
      </c>
      <c r="H155" s="3" t="s">
        <v>226</v>
      </c>
    </row>
    <row r="156" spans="1:8" x14ac:dyDescent="0.2">
      <c r="A156" s="3">
        <v>3069907007</v>
      </c>
      <c r="B156" s="4" t="s">
        <v>1004</v>
      </c>
      <c r="C156" s="4" t="s">
        <v>908</v>
      </c>
      <c r="D156" s="3">
        <v>1</v>
      </c>
      <c r="E156" s="3" t="s">
        <v>16</v>
      </c>
      <c r="F156" s="3" t="s">
        <v>702</v>
      </c>
      <c r="G156" s="3" t="s">
        <v>703</v>
      </c>
      <c r="H156" s="3" t="s">
        <v>226</v>
      </c>
    </row>
    <row r="157" spans="1:8" x14ac:dyDescent="0.2">
      <c r="A157" s="3">
        <v>3069907037</v>
      </c>
      <c r="B157" s="4" t="s">
        <v>1005</v>
      </c>
      <c r="C157" s="4" t="s">
        <v>1006</v>
      </c>
      <c r="D157" s="3">
        <v>1</v>
      </c>
      <c r="E157" s="3" t="s">
        <v>16</v>
      </c>
      <c r="F157" s="3" t="s">
        <v>702</v>
      </c>
      <c r="G157" s="3" t="s">
        <v>703</v>
      </c>
      <c r="H157" s="3" t="s">
        <v>226</v>
      </c>
    </row>
    <row r="158" spans="1:8" x14ac:dyDescent="0.2">
      <c r="A158" s="3">
        <v>3069907034</v>
      </c>
      <c r="B158" s="4" t="s">
        <v>1007</v>
      </c>
      <c r="C158" s="4" t="s">
        <v>908</v>
      </c>
      <c r="D158" s="3">
        <v>8</v>
      </c>
      <c r="E158" s="3" t="s">
        <v>16</v>
      </c>
      <c r="F158" s="3" t="s">
        <v>702</v>
      </c>
      <c r="G158" s="3" t="s">
        <v>703</v>
      </c>
      <c r="H158" s="3" t="s">
        <v>226</v>
      </c>
    </row>
    <row r="159" spans="1:8" x14ac:dyDescent="0.2">
      <c r="A159" s="3">
        <v>3069907006</v>
      </c>
      <c r="B159" s="4" t="s">
        <v>1008</v>
      </c>
      <c r="C159" s="4" t="s">
        <v>1009</v>
      </c>
      <c r="D159" s="3">
        <v>1</v>
      </c>
      <c r="E159" s="3" t="s">
        <v>16</v>
      </c>
      <c r="F159" s="3" t="s">
        <v>285</v>
      </c>
      <c r="G159" s="3" t="s">
        <v>142</v>
      </c>
      <c r="H159" s="3" t="s">
        <v>226</v>
      </c>
    </row>
    <row r="160" spans="1:8" x14ac:dyDescent="0.2">
      <c r="A160" s="3">
        <v>3060354053</v>
      </c>
      <c r="B160" s="4" t="s">
        <v>1010</v>
      </c>
      <c r="C160" s="4" t="s">
        <v>1011</v>
      </c>
      <c r="D160" s="3">
        <v>1</v>
      </c>
      <c r="E160" s="3" t="s">
        <v>16</v>
      </c>
      <c r="F160" s="3" t="s">
        <v>285</v>
      </c>
      <c r="G160" s="3" t="s">
        <v>142</v>
      </c>
      <c r="H160" s="3" t="s">
        <v>226</v>
      </c>
    </row>
    <row r="161" spans="1:8" x14ac:dyDescent="0.2">
      <c r="A161" s="3">
        <v>3060404049</v>
      </c>
      <c r="B161" s="4" t="s">
        <v>729</v>
      </c>
      <c r="C161" s="4" t="s">
        <v>1012</v>
      </c>
      <c r="D161" s="3">
        <v>1</v>
      </c>
      <c r="E161" s="3" t="s">
        <v>16</v>
      </c>
      <c r="F161" s="3" t="s">
        <v>289</v>
      </c>
      <c r="G161" s="3" t="s">
        <v>23</v>
      </c>
      <c r="H161" s="3" t="s">
        <v>226</v>
      </c>
    </row>
    <row r="162" spans="1:8" x14ac:dyDescent="0.2">
      <c r="A162" s="3">
        <v>3060354054</v>
      </c>
      <c r="B162" s="4" t="s">
        <v>1013</v>
      </c>
      <c r="C162" s="4" t="s">
        <v>1014</v>
      </c>
      <c r="D162" s="3">
        <v>2</v>
      </c>
      <c r="E162" s="3" t="s">
        <v>16</v>
      </c>
      <c r="F162" s="3" t="s">
        <v>285</v>
      </c>
      <c r="G162" s="3" t="s">
        <v>142</v>
      </c>
      <c r="H162" s="3" t="s">
        <v>226</v>
      </c>
    </row>
    <row r="163" spans="1:8" x14ac:dyDescent="0.2">
      <c r="A163" s="3">
        <v>3030302041</v>
      </c>
      <c r="B163" s="4" t="s">
        <v>1015</v>
      </c>
      <c r="C163" s="4" t="s">
        <v>1016</v>
      </c>
      <c r="D163" s="3">
        <v>1</v>
      </c>
      <c r="E163" s="3" t="s">
        <v>16</v>
      </c>
      <c r="F163" s="3" t="s">
        <v>295</v>
      </c>
      <c r="G163" s="3" t="s">
        <v>17</v>
      </c>
      <c r="H163" s="3" t="s">
        <v>226</v>
      </c>
    </row>
    <row r="164" spans="1:8" x14ac:dyDescent="0.2">
      <c r="A164" s="3">
        <v>3030302042</v>
      </c>
      <c r="B164" s="4" t="s">
        <v>1017</v>
      </c>
      <c r="C164" s="4" t="s">
        <v>1016</v>
      </c>
      <c r="D164" s="3">
        <v>1</v>
      </c>
      <c r="E164" s="3" t="s">
        <v>16</v>
      </c>
      <c r="F164" s="3" t="s">
        <v>295</v>
      </c>
      <c r="G164" s="3" t="s">
        <v>17</v>
      </c>
      <c r="H164" s="3" t="s">
        <v>226</v>
      </c>
    </row>
    <row r="165" spans="1:8" x14ac:dyDescent="0.2">
      <c r="A165" s="3">
        <v>3030302043</v>
      </c>
      <c r="B165" s="4" t="s">
        <v>1018</v>
      </c>
      <c r="C165" s="4" t="s">
        <v>1016</v>
      </c>
      <c r="D165" s="3">
        <v>2</v>
      </c>
      <c r="E165" s="3" t="s">
        <v>16</v>
      </c>
      <c r="F165" s="3" t="s">
        <v>295</v>
      </c>
      <c r="G165" s="3" t="s">
        <v>17</v>
      </c>
      <c r="H165" s="3" t="s">
        <v>226</v>
      </c>
    </row>
    <row r="166" spans="1:8" x14ac:dyDescent="0.2">
      <c r="A166" s="3">
        <v>3050305062</v>
      </c>
      <c r="B166" s="4" t="s">
        <v>527</v>
      </c>
      <c r="C166" s="4" t="s">
        <v>1019</v>
      </c>
      <c r="D166" s="3">
        <v>1</v>
      </c>
      <c r="E166" s="3" t="s">
        <v>16</v>
      </c>
      <c r="F166" s="3" t="s">
        <v>291</v>
      </c>
      <c r="G166" s="3" t="s">
        <v>26</v>
      </c>
      <c r="H166" s="3" t="s">
        <v>226</v>
      </c>
    </row>
    <row r="167" spans="1:8" x14ac:dyDescent="0.2">
      <c r="A167" s="3">
        <v>3030306048</v>
      </c>
      <c r="B167" s="4" t="s">
        <v>1020</v>
      </c>
      <c r="C167" s="4" t="s">
        <v>1021</v>
      </c>
      <c r="D167" s="3">
        <v>1</v>
      </c>
      <c r="E167" s="3" t="s">
        <v>16</v>
      </c>
      <c r="F167" s="3" t="s">
        <v>291</v>
      </c>
      <c r="G167" s="3" t="s">
        <v>26</v>
      </c>
      <c r="H167" s="3" t="s">
        <v>226</v>
      </c>
    </row>
    <row r="168" spans="1:8" x14ac:dyDescent="0.2">
      <c r="A168" s="3">
        <v>3030202028</v>
      </c>
      <c r="B168" s="4" t="s">
        <v>1022</v>
      </c>
      <c r="C168" s="4" t="s">
        <v>916</v>
      </c>
      <c r="D168" s="3">
        <v>1</v>
      </c>
      <c r="E168" s="3" t="s">
        <v>16</v>
      </c>
      <c r="F168" s="3" t="s">
        <v>295</v>
      </c>
      <c r="G168" s="3" t="s">
        <v>17</v>
      </c>
      <c r="H168" s="3" t="s">
        <v>226</v>
      </c>
    </row>
    <row r="169" spans="1:8" x14ac:dyDescent="0.2">
      <c r="A169" s="3">
        <v>3060354036</v>
      </c>
      <c r="B169" s="4" t="s">
        <v>1023</v>
      </c>
      <c r="C169" s="4" t="s">
        <v>1024</v>
      </c>
      <c r="D169" s="3">
        <v>4</v>
      </c>
      <c r="E169" s="3" t="s">
        <v>16</v>
      </c>
      <c r="F169" s="3" t="s">
        <v>289</v>
      </c>
      <c r="G169" s="3" t="s">
        <v>23</v>
      </c>
      <c r="H169" s="3" t="s">
        <v>226</v>
      </c>
    </row>
    <row r="170" spans="1:8" x14ac:dyDescent="0.2">
      <c r="A170" s="3">
        <v>3060354036</v>
      </c>
      <c r="B170" s="4" t="s">
        <v>1023</v>
      </c>
      <c r="C170" s="4" t="s">
        <v>1024</v>
      </c>
      <c r="D170" s="3">
        <v>2</v>
      </c>
      <c r="E170" s="3" t="s">
        <v>16</v>
      </c>
      <c r="F170" s="3" t="s">
        <v>291</v>
      </c>
      <c r="G170" s="3" t="s">
        <v>26</v>
      </c>
      <c r="H170" s="3" t="s">
        <v>226</v>
      </c>
    </row>
    <row r="171" spans="1:8" x14ac:dyDescent="0.2">
      <c r="A171" s="3">
        <v>3060354057</v>
      </c>
      <c r="B171" s="4" t="s">
        <v>1025</v>
      </c>
      <c r="C171" s="4" t="s">
        <v>1026</v>
      </c>
      <c r="D171" s="3">
        <v>2</v>
      </c>
      <c r="E171" s="3" t="s">
        <v>16</v>
      </c>
      <c r="F171" s="3" t="s">
        <v>291</v>
      </c>
      <c r="G171" s="3" t="s">
        <v>26</v>
      </c>
      <c r="H171" s="3" t="s">
        <v>226</v>
      </c>
    </row>
    <row r="172" spans="1:8" x14ac:dyDescent="0.2">
      <c r="A172" s="3">
        <v>3049902014</v>
      </c>
      <c r="B172" s="4" t="s">
        <v>383</v>
      </c>
      <c r="C172" s="4" t="s">
        <v>1027</v>
      </c>
      <c r="D172" s="3">
        <v>2</v>
      </c>
      <c r="E172" s="3" t="s">
        <v>16</v>
      </c>
      <c r="F172" s="3" t="s">
        <v>293</v>
      </c>
      <c r="G172" s="3" t="s">
        <v>29</v>
      </c>
      <c r="H172" s="3" t="s">
        <v>226</v>
      </c>
    </row>
    <row r="173" spans="1:8" x14ac:dyDescent="0.2">
      <c r="A173" s="3">
        <v>3040302013</v>
      </c>
      <c r="B173" s="4" t="s">
        <v>1028</v>
      </c>
      <c r="C173" s="4" t="s">
        <v>1027</v>
      </c>
      <c r="D173" s="3">
        <v>2</v>
      </c>
      <c r="E173" s="3" t="s">
        <v>16</v>
      </c>
      <c r="F173" s="3" t="s">
        <v>293</v>
      </c>
      <c r="G173" s="3" t="s">
        <v>29</v>
      </c>
      <c r="H173" s="3" t="s">
        <v>226</v>
      </c>
    </row>
    <row r="174" spans="1:8" x14ac:dyDescent="0.2">
      <c r="A174" s="3">
        <v>3040302014</v>
      </c>
      <c r="B174" s="4" t="s">
        <v>1029</v>
      </c>
      <c r="C174" s="4" t="s">
        <v>1027</v>
      </c>
      <c r="D174" s="3">
        <v>2</v>
      </c>
      <c r="E174" s="3" t="s">
        <v>16</v>
      </c>
      <c r="F174" s="3" t="s">
        <v>293</v>
      </c>
      <c r="G174" s="3" t="s">
        <v>29</v>
      </c>
      <c r="H174" s="3" t="s">
        <v>226</v>
      </c>
    </row>
    <row r="175" spans="1:8" x14ac:dyDescent="0.2">
      <c r="A175" s="3">
        <v>3040324040</v>
      </c>
      <c r="B175" s="4" t="s">
        <v>1030</v>
      </c>
      <c r="C175" s="4" t="s">
        <v>1031</v>
      </c>
      <c r="D175" s="3">
        <v>1</v>
      </c>
      <c r="E175" s="3" t="s">
        <v>16</v>
      </c>
      <c r="F175" s="3" t="s">
        <v>293</v>
      </c>
      <c r="G175" s="3" t="s">
        <v>29</v>
      </c>
      <c r="H175" s="3" t="s">
        <v>226</v>
      </c>
    </row>
    <row r="176" spans="1:8" x14ac:dyDescent="0.2">
      <c r="A176" s="3">
        <v>3040324041</v>
      </c>
      <c r="B176" s="4" t="s">
        <v>1030</v>
      </c>
      <c r="C176" s="4" t="s">
        <v>1032</v>
      </c>
      <c r="D176" s="3">
        <v>1</v>
      </c>
      <c r="E176" s="3" t="s">
        <v>16</v>
      </c>
      <c r="F176" s="3" t="s">
        <v>293</v>
      </c>
      <c r="G176" s="3" t="s">
        <v>29</v>
      </c>
      <c r="H176" s="3" t="s">
        <v>226</v>
      </c>
    </row>
    <row r="177" spans="1:8" x14ac:dyDescent="0.2">
      <c r="A177" s="3">
        <v>3040320045</v>
      </c>
      <c r="B177" s="4" t="s">
        <v>269</v>
      </c>
      <c r="C177" s="4" t="s">
        <v>921</v>
      </c>
      <c r="D177" s="3">
        <v>1</v>
      </c>
      <c r="E177" s="3" t="s">
        <v>16</v>
      </c>
      <c r="F177" s="3" t="s">
        <v>293</v>
      </c>
      <c r="G177" s="3" t="s">
        <v>29</v>
      </c>
      <c r="H177" s="3" t="s">
        <v>226</v>
      </c>
    </row>
    <row r="178" spans="1:8" x14ac:dyDescent="0.2">
      <c r="A178" s="3">
        <v>3040320046</v>
      </c>
      <c r="B178" s="4" t="s">
        <v>269</v>
      </c>
      <c r="C178" s="4" t="s">
        <v>922</v>
      </c>
      <c r="D178" s="3">
        <v>1</v>
      </c>
      <c r="E178" s="3" t="s">
        <v>16</v>
      </c>
      <c r="F178" s="3" t="s">
        <v>293</v>
      </c>
      <c r="G178" s="3" t="s">
        <v>29</v>
      </c>
      <c r="H178" s="3" t="s">
        <v>226</v>
      </c>
    </row>
    <row r="179" spans="1:8" x14ac:dyDescent="0.2">
      <c r="A179" s="3">
        <v>3040324034</v>
      </c>
      <c r="B179" s="4" t="s">
        <v>356</v>
      </c>
      <c r="C179" s="4" t="s">
        <v>921</v>
      </c>
      <c r="D179" s="3">
        <v>1</v>
      </c>
      <c r="E179" s="3" t="s">
        <v>16</v>
      </c>
      <c r="F179" s="3" t="s">
        <v>293</v>
      </c>
      <c r="G179" s="3" t="s">
        <v>29</v>
      </c>
      <c r="H179" s="3" t="s">
        <v>226</v>
      </c>
    </row>
    <row r="180" spans="1:8" x14ac:dyDescent="0.2">
      <c r="A180" s="3">
        <v>3040324035</v>
      </c>
      <c r="B180" s="4" t="s">
        <v>356</v>
      </c>
      <c r="C180" s="4" t="s">
        <v>922</v>
      </c>
      <c r="D180" s="3">
        <v>1</v>
      </c>
      <c r="E180" s="3" t="s">
        <v>16</v>
      </c>
      <c r="F180" s="3" t="s">
        <v>293</v>
      </c>
      <c r="G180" s="3" t="s">
        <v>29</v>
      </c>
      <c r="H180" s="3" t="s">
        <v>226</v>
      </c>
    </row>
    <row r="181" spans="1:8" x14ac:dyDescent="0.2">
      <c r="A181" s="3">
        <v>3030311007</v>
      </c>
      <c r="B181" s="4" t="s">
        <v>1033</v>
      </c>
      <c r="C181" s="4" t="s">
        <v>1034</v>
      </c>
      <c r="D181" s="3">
        <v>1</v>
      </c>
      <c r="E181" s="3" t="s">
        <v>16</v>
      </c>
      <c r="F181" s="3" t="s">
        <v>295</v>
      </c>
      <c r="G181" s="3" t="s">
        <v>17</v>
      </c>
      <c r="H181" s="3" t="s">
        <v>226</v>
      </c>
    </row>
    <row r="182" spans="1:8" x14ac:dyDescent="0.2">
      <c r="A182" s="3">
        <v>3030212002</v>
      </c>
      <c r="B182" s="4" t="s">
        <v>576</v>
      </c>
      <c r="C182" s="4" t="s">
        <v>1027</v>
      </c>
      <c r="D182" s="3">
        <v>1</v>
      </c>
      <c r="E182" s="3" t="s">
        <v>16</v>
      </c>
      <c r="F182" s="3" t="s">
        <v>295</v>
      </c>
      <c r="G182" s="3" t="s">
        <v>17</v>
      </c>
      <c r="H182" s="3" t="s">
        <v>226</v>
      </c>
    </row>
    <row r="183" spans="1:8" x14ac:dyDescent="0.2">
      <c r="A183" s="3">
        <v>3030311005</v>
      </c>
      <c r="B183" s="4" t="s">
        <v>1035</v>
      </c>
      <c r="C183" s="4" t="s">
        <v>1024</v>
      </c>
      <c r="D183" s="3">
        <v>2</v>
      </c>
      <c r="E183" s="3" t="s">
        <v>16</v>
      </c>
      <c r="F183" s="3" t="s">
        <v>295</v>
      </c>
      <c r="G183" s="3" t="s">
        <v>17</v>
      </c>
      <c r="H183" s="3" t="s">
        <v>226</v>
      </c>
    </row>
    <row r="184" spans="1:8" x14ac:dyDescent="0.2">
      <c r="A184" s="3">
        <v>3030311006</v>
      </c>
      <c r="B184" s="4" t="s">
        <v>1036</v>
      </c>
      <c r="C184" s="4" t="s">
        <v>1037</v>
      </c>
      <c r="D184" s="3">
        <v>2</v>
      </c>
      <c r="E184" s="3" t="s">
        <v>16</v>
      </c>
      <c r="F184" s="3" t="s">
        <v>295</v>
      </c>
      <c r="G184" s="3" t="s">
        <v>17</v>
      </c>
      <c r="H184" s="3" t="s">
        <v>226</v>
      </c>
    </row>
    <row r="185" spans="1:8" x14ac:dyDescent="0.2">
      <c r="A185" s="3">
        <v>3020199010</v>
      </c>
      <c r="B185" s="4" t="s">
        <v>239</v>
      </c>
      <c r="C185" s="4" t="s">
        <v>545</v>
      </c>
      <c r="D185" s="3">
        <v>5</v>
      </c>
      <c r="E185" s="3" t="s">
        <v>16</v>
      </c>
      <c r="F185" s="3" t="s">
        <v>297</v>
      </c>
      <c r="G185" s="3" t="s">
        <v>204</v>
      </c>
      <c r="H185" s="3" t="s">
        <v>226</v>
      </c>
    </row>
    <row r="186" spans="1:8" x14ac:dyDescent="0.2">
      <c r="A186" s="3">
        <v>3030302039</v>
      </c>
      <c r="B186" s="4" t="s">
        <v>584</v>
      </c>
      <c r="C186" s="4" t="s">
        <v>1027</v>
      </c>
      <c r="D186" s="3">
        <v>1</v>
      </c>
      <c r="E186" s="3" t="s">
        <v>16</v>
      </c>
      <c r="F186" s="3" t="s">
        <v>295</v>
      </c>
      <c r="G186" s="3" t="s">
        <v>17</v>
      </c>
      <c r="H186" s="3" t="s">
        <v>226</v>
      </c>
    </row>
    <row r="187" spans="1:8" x14ac:dyDescent="0.2">
      <c r="A187" s="3">
        <v>3070203013</v>
      </c>
      <c r="B187" s="4" t="s">
        <v>1038</v>
      </c>
      <c r="C187" s="4" t="s">
        <v>1039</v>
      </c>
      <c r="D187" s="3">
        <v>1</v>
      </c>
      <c r="E187" s="3" t="s">
        <v>16</v>
      </c>
      <c r="F187" s="3" t="s">
        <v>317</v>
      </c>
      <c r="G187" s="3" t="s">
        <v>318</v>
      </c>
      <c r="H187" s="3" t="s">
        <v>226</v>
      </c>
    </row>
    <row r="188" spans="1:8" x14ac:dyDescent="0.2">
      <c r="A188" s="3">
        <v>3070203014</v>
      </c>
      <c r="B188" s="4" t="s">
        <v>1038</v>
      </c>
      <c r="C188" s="4" t="s">
        <v>1040</v>
      </c>
      <c r="D188" s="3">
        <v>1</v>
      </c>
      <c r="E188" s="3" t="s">
        <v>16</v>
      </c>
      <c r="F188" s="3" t="s">
        <v>317</v>
      </c>
      <c r="G188" s="3" t="s">
        <v>318</v>
      </c>
      <c r="H188" s="3" t="s">
        <v>226</v>
      </c>
    </row>
    <row r="189" spans="1:8" x14ac:dyDescent="0.2">
      <c r="A189" s="3">
        <v>3070207012</v>
      </c>
      <c r="B189" s="4" t="s">
        <v>1041</v>
      </c>
      <c r="C189" s="4" t="s">
        <v>1042</v>
      </c>
      <c r="D189" s="3">
        <v>1</v>
      </c>
      <c r="E189" s="3" t="s">
        <v>16</v>
      </c>
      <c r="F189" s="3" t="s">
        <v>317</v>
      </c>
      <c r="G189" s="3" t="s">
        <v>318</v>
      </c>
      <c r="H189" s="3" t="s">
        <v>226</v>
      </c>
    </row>
    <row r="190" spans="1:8" x14ac:dyDescent="0.2">
      <c r="A190" s="3">
        <v>3070208008</v>
      </c>
      <c r="B190" s="4" t="s">
        <v>1043</v>
      </c>
      <c r="C190" s="4" t="s">
        <v>1044</v>
      </c>
      <c r="D190" s="3">
        <v>1</v>
      </c>
      <c r="E190" s="3" t="s">
        <v>16</v>
      </c>
      <c r="F190" s="3" t="s">
        <v>317</v>
      </c>
      <c r="G190" s="3" t="s">
        <v>318</v>
      </c>
      <c r="H190" s="3" t="s">
        <v>226</v>
      </c>
    </row>
    <row r="191" spans="1:8" x14ac:dyDescent="0.2">
      <c r="A191" s="3">
        <v>3070203007</v>
      </c>
      <c r="B191" s="4" t="s">
        <v>1045</v>
      </c>
      <c r="C191" s="4" t="s">
        <v>1046</v>
      </c>
      <c r="D191" s="3">
        <v>1</v>
      </c>
      <c r="E191" s="3" t="s">
        <v>16</v>
      </c>
      <c r="F191" s="3" t="s">
        <v>317</v>
      </c>
      <c r="G191" s="3" t="s">
        <v>318</v>
      </c>
      <c r="H191" s="3" t="s">
        <v>226</v>
      </c>
    </row>
    <row r="192" spans="1:8" x14ac:dyDescent="0.2">
      <c r="A192" s="3">
        <v>3070211016</v>
      </c>
      <c r="B192" s="4" t="s">
        <v>1047</v>
      </c>
      <c r="C192" s="4" t="s">
        <v>1042</v>
      </c>
      <c r="D192" s="3">
        <v>2</v>
      </c>
      <c r="E192" s="3" t="s">
        <v>16</v>
      </c>
      <c r="F192" s="3" t="s">
        <v>317</v>
      </c>
      <c r="G192" s="3" t="s">
        <v>318</v>
      </c>
      <c r="H192" s="3" t="s">
        <v>226</v>
      </c>
    </row>
    <row r="193" spans="1:8" x14ac:dyDescent="0.2">
      <c r="A193" s="3">
        <v>3070209018</v>
      </c>
      <c r="B193" s="4" t="s">
        <v>1048</v>
      </c>
      <c r="C193" s="4" t="s">
        <v>1049</v>
      </c>
      <c r="D193" s="3">
        <v>1</v>
      </c>
      <c r="E193" s="3" t="s">
        <v>16</v>
      </c>
      <c r="F193" s="3" t="s">
        <v>317</v>
      </c>
      <c r="G193" s="3" t="s">
        <v>318</v>
      </c>
      <c r="H193" s="3" t="s">
        <v>226</v>
      </c>
    </row>
    <row r="194" spans="1:8" x14ac:dyDescent="0.2">
      <c r="A194" s="3">
        <v>3070211015</v>
      </c>
      <c r="B194" s="4" t="s">
        <v>1050</v>
      </c>
      <c r="C194" s="4" t="s">
        <v>1051</v>
      </c>
      <c r="D194" s="3">
        <v>2</v>
      </c>
      <c r="E194" s="3" t="s">
        <v>16</v>
      </c>
      <c r="F194" s="3" t="s">
        <v>317</v>
      </c>
      <c r="G194" s="3" t="s">
        <v>318</v>
      </c>
      <c r="H194" s="3" t="s">
        <v>226</v>
      </c>
    </row>
    <row r="195" spans="1:8" x14ac:dyDescent="0.2">
      <c r="A195" s="3">
        <v>3080401028</v>
      </c>
      <c r="B195" s="4" t="s">
        <v>1052</v>
      </c>
      <c r="C195" s="4" t="s">
        <v>1053</v>
      </c>
      <c r="D195" s="3">
        <v>1</v>
      </c>
      <c r="E195" s="3" t="s">
        <v>16</v>
      </c>
      <c r="F195" s="3" t="s">
        <v>317</v>
      </c>
      <c r="G195" s="3" t="s">
        <v>318</v>
      </c>
      <c r="H195" s="3" t="s">
        <v>226</v>
      </c>
    </row>
    <row r="196" spans="1:8" x14ac:dyDescent="0.2">
      <c r="A196" s="3">
        <v>3070214014</v>
      </c>
      <c r="B196" s="4" t="s">
        <v>1054</v>
      </c>
      <c r="C196" s="4" t="s">
        <v>1049</v>
      </c>
      <c r="D196" s="3">
        <v>1</v>
      </c>
      <c r="E196" s="3" t="s">
        <v>16</v>
      </c>
      <c r="F196" s="3" t="s">
        <v>317</v>
      </c>
      <c r="G196" s="3" t="s">
        <v>318</v>
      </c>
      <c r="H196" s="3" t="s">
        <v>226</v>
      </c>
    </row>
    <row r="197" spans="1:8" x14ac:dyDescent="0.2">
      <c r="A197" s="3">
        <v>3070204021</v>
      </c>
      <c r="B197" s="4" t="s">
        <v>1055</v>
      </c>
      <c r="C197" s="4" t="s">
        <v>1044</v>
      </c>
      <c r="D197" s="3">
        <v>1</v>
      </c>
      <c r="E197" s="3" t="s">
        <v>16</v>
      </c>
      <c r="F197" s="3" t="s">
        <v>317</v>
      </c>
      <c r="G197" s="3" t="s">
        <v>318</v>
      </c>
      <c r="H197" s="3" t="s">
        <v>226</v>
      </c>
    </row>
    <row r="198" spans="1:8" x14ac:dyDescent="0.2">
      <c r="A198" s="3">
        <v>3060354052</v>
      </c>
      <c r="B198" s="4" t="s">
        <v>1056</v>
      </c>
      <c r="C198" s="4" t="s">
        <v>1057</v>
      </c>
      <c r="D198" s="3">
        <v>2</v>
      </c>
      <c r="E198" s="3" t="s">
        <v>16</v>
      </c>
      <c r="F198" s="3" t="s">
        <v>285</v>
      </c>
      <c r="G198" s="3" t="s">
        <v>142</v>
      </c>
      <c r="H198" s="3" t="s">
        <v>226</v>
      </c>
    </row>
    <row r="199" spans="1:8" x14ac:dyDescent="0.2">
      <c r="A199" s="3">
        <v>3060354041</v>
      </c>
      <c r="B199" s="4" t="s">
        <v>925</v>
      </c>
      <c r="C199" s="4" t="s">
        <v>1058</v>
      </c>
      <c r="D199" s="3">
        <v>2</v>
      </c>
      <c r="E199" s="3" t="s">
        <v>16</v>
      </c>
      <c r="F199" s="3" t="s">
        <v>287</v>
      </c>
      <c r="G199" s="3" t="s">
        <v>148</v>
      </c>
      <c r="H199" s="3" t="s">
        <v>226</v>
      </c>
    </row>
    <row r="200" spans="1:8" x14ac:dyDescent="0.2">
      <c r="A200" s="3">
        <v>3069902014</v>
      </c>
      <c r="B200" s="4" t="s">
        <v>1059</v>
      </c>
      <c r="C200" s="4" t="s">
        <v>1060</v>
      </c>
      <c r="D200" s="3">
        <v>1</v>
      </c>
      <c r="E200" s="3" t="s">
        <v>16</v>
      </c>
      <c r="F200" s="3" t="s">
        <v>285</v>
      </c>
      <c r="G200" s="3" t="s">
        <v>142</v>
      </c>
      <c r="H200" s="3" t="s">
        <v>226</v>
      </c>
    </row>
    <row r="201" spans="1:8" x14ac:dyDescent="0.2">
      <c r="A201" s="3">
        <v>3060321020</v>
      </c>
      <c r="B201" s="4" t="s">
        <v>1061</v>
      </c>
      <c r="C201" s="4" t="s">
        <v>1062</v>
      </c>
      <c r="D201" s="3">
        <v>2</v>
      </c>
      <c r="E201" s="3" t="s">
        <v>16</v>
      </c>
      <c r="F201" s="3" t="s">
        <v>289</v>
      </c>
      <c r="G201" s="3" t="s">
        <v>23</v>
      </c>
      <c r="H201" s="3" t="s">
        <v>226</v>
      </c>
    </row>
    <row r="202" spans="1:8" x14ac:dyDescent="0.2">
      <c r="A202" s="3">
        <v>3069902012</v>
      </c>
      <c r="B202" s="4" t="s">
        <v>1063</v>
      </c>
      <c r="C202" s="4" t="s">
        <v>921</v>
      </c>
      <c r="D202" s="3">
        <v>1</v>
      </c>
      <c r="E202" s="3" t="s">
        <v>16</v>
      </c>
      <c r="F202" s="3" t="s">
        <v>291</v>
      </c>
      <c r="G202" s="3" t="s">
        <v>26</v>
      </c>
      <c r="H202" s="3" t="s">
        <v>226</v>
      </c>
    </row>
    <row r="203" spans="1:8" x14ac:dyDescent="0.2">
      <c r="A203" s="3">
        <v>3069902013</v>
      </c>
      <c r="B203" s="4" t="s">
        <v>1063</v>
      </c>
      <c r="C203" s="4" t="s">
        <v>922</v>
      </c>
      <c r="D203" s="3">
        <v>1</v>
      </c>
      <c r="E203" s="3" t="s">
        <v>16</v>
      </c>
      <c r="F203" s="3" t="s">
        <v>291</v>
      </c>
      <c r="G203" s="3" t="s">
        <v>26</v>
      </c>
      <c r="H203" s="3" t="s">
        <v>226</v>
      </c>
    </row>
    <row r="204" spans="1:8" x14ac:dyDescent="0.2">
      <c r="A204" s="3">
        <v>3050308012</v>
      </c>
      <c r="B204" s="4" t="s">
        <v>1064</v>
      </c>
      <c r="C204" s="4" t="s">
        <v>1065</v>
      </c>
      <c r="D204" s="3">
        <v>1</v>
      </c>
      <c r="E204" s="3" t="s">
        <v>16</v>
      </c>
      <c r="F204" s="3" t="s">
        <v>295</v>
      </c>
      <c r="G204" s="3" t="s">
        <v>17</v>
      </c>
      <c r="H204" s="3" t="s">
        <v>226</v>
      </c>
    </row>
    <row r="205" spans="1:8" x14ac:dyDescent="0.2">
      <c r="A205" s="3">
        <v>3050308013</v>
      </c>
      <c r="B205" s="4" t="s">
        <v>1064</v>
      </c>
      <c r="C205" s="4" t="s">
        <v>1066</v>
      </c>
      <c r="D205" s="3">
        <v>1</v>
      </c>
      <c r="E205" s="3" t="s">
        <v>16</v>
      </c>
      <c r="F205" s="3" t="s">
        <v>295</v>
      </c>
      <c r="G205" s="3" t="s">
        <v>17</v>
      </c>
      <c r="H205" s="3" t="s">
        <v>226</v>
      </c>
    </row>
    <row r="206" spans="1:8" x14ac:dyDescent="0.2">
      <c r="A206" s="3">
        <v>3030216003</v>
      </c>
      <c r="B206" s="4" t="s">
        <v>1067</v>
      </c>
      <c r="C206" s="4" t="s">
        <v>1024</v>
      </c>
      <c r="D206" s="3">
        <v>2</v>
      </c>
      <c r="E206" s="3" t="s">
        <v>16</v>
      </c>
      <c r="F206" s="3" t="s">
        <v>295</v>
      </c>
      <c r="G206" s="3" t="s">
        <v>17</v>
      </c>
      <c r="H206" s="3" t="s">
        <v>226</v>
      </c>
    </row>
    <row r="207" spans="1:8" x14ac:dyDescent="0.2">
      <c r="A207" s="3">
        <v>3050307069</v>
      </c>
      <c r="B207" s="4" t="s">
        <v>1068</v>
      </c>
      <c r="C207" s="4" t="s">
        <v>1024</v>
      </c>
      <c r="D207" s="3">
        <v>2</v>
      </c>
      <c r="E207" s="3" t="s">
        <v>16</v>
      </c>
      <c r="F207" s="3" t="s">
        <v>291</v>
      </c>
      <c r="G207" s="3" t="s">
        <v>26</v>
      </c>
      <c r="H207" s="3" t="s">
        <v>226</v>
      </c>
    </row>
    <row r="208" spans="1:8" x14ac:dyDescent="0.2">
      <c r="A208" s="3">
        <v>3050303048</v>
      </c>
      <c r="B208" s="4" t="s">
        <v>245</v>
      </c>
      <c r="C208" s="4" t="s">
        <v>916</v>
      </c>
      <c r="D208" s="3">
        <v>1</v>
      </c>
      <c r="E208" s="3" t="s">
        <v>16</v>
      </c>
      <c r="F208" s="3" t="s">
        <v>291</v>
      </c>
      <c r="G208" s="3" t="s">
        <v>26</v>
      </c>
      <c r="H208" s="3" t="s">
        <v>226</v>
      </c>
    </row>
    <row r="209" spans="1:8" x14ac:dyDescent="0.2">
      <c r="A209" s="3">
        <v>3030202021</v>
      </c>
      <c r="B209" s="4" t="s">
        <v>1069</v>
      </c>
      <c r="C209" s="4" t="s">
        <v>1070</v>
      </c>
      <c r="D209" s="3">
        <v>1</v>
      </c>
      <c r="E209" s="3" t="s">
        <v>16</v>
      </c>
      <c r="F209" s="3" t="s">
        <v>295</v>
      </c>
      <c r="G209" s="3" t="s">
        <v>17</v>
      </c>
      <c r="H209" s="3" t="s">
        <v>249</v>
      </c>
    </row>
    <row r="210" spans="1:8" x14ac:dyDescent="0.2">
      <c r="A210" s="3">
        <v>3080401062</v>
      </c>
      <c r="B210" s="4" t="s">
        <v>41</v>
      </c>
      <c r="C210" s="4" t="s">
        <v>1071</v>
      </c>
      <c r="D210" s="3">
        <v>2</v>
      </c>
      <c r="E210" s="3" t="s">
        <v>16</v>
      </c>
      <c r="F210" s="3" t="s">
        <v>291</v>
      </c>
      <c r="G210" s="3" t="s">
        <v>26</v>
      </c>
      <c r="H210" s="3" t="s">
        <v>249</v>
      </c>
    </row>
    <row r="211" spans="1:8" x14ac:dyDescent="0.2">
      <c r="A211" s="3">
        <v>3080401031</v>
      </c>
      <c r="B211" s="4" t="s">
        <v>41</v>
      </c>
      <c r="C211" s="4" t="s">
        <v>551</v>
      </c>
      <c r="D211" s="3">
        <v>1</v>
      </c>
      <c r="E211" s="3" t="s">
        <v>16</v>
      </c>
      <c r="F211" s="3" t="s">
        <v>291</v>
      </c>
      <c r="G211" s="3" t="s">
        <v>26</v>
      </c>
      <c r="H211" s="3" t="s">
        <v>249</v>
      </c>
    </row>
    <row r="212" spans="1:8" x14ac:dyDescent="0.2">
      <c r="A212" s="3">
        <v>3030202020</v>
      </c>
      <c r="B212" s="4" t="s">
        <v>1072</v>
      </c>
      <c r="C212" s="4" t="s">
        <v>1070</v>
      </c>
      <c r="D212" s="3">
        <v>1</v>
      </c>
      <c r="E212" s="3" t="s">
        <v>16</v>
      </c>
      <c r="F212" s="3" t="s">
        <v>295</v>
      </c>
      <c r="G212" s="3" t="s">
        <v>17</v>
      </c>
      <c r="H212" s="3" t="s">
        <v>249</v>
      </c>
    </row>
  </sheetData>
  <phoneticPr fontId="2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144BB-8B1A-4370-8990-D0821E47F87A}">
  <dimension ref="A1:H195"/>
  <sheetViews>
    <sheetView workbookViewId="0">
      <selection activeCell="D3" sqref="D3"/>
    </sheetView>
  </sheetViews>
  <sheetFormatPr defaultRowHeight="14.25" x14ac:dyDescent="0.2"/>
  <cols>
    <col min="1" max="1" width="11.625" customWidth="1"/>
    <col min="2" max="2" width="15.75" customWidth="1"/>
    <col min="3" max="3" width="20.625" customWidth="1"/>
  </cols>
  <sheetData>
    <row r="1" spans="1:8" x14ac:dyDescent="0.2">
      <c r="A1" s="3" t="s">
        <v>1081</v>
      </c>
      <c r="B1" s="4"/>
      <c r="C1" s="4"/>
      <c r="D1" s="3"/>
      <c r="E1" s="3"/>
      <c r="F1" s="3"/>
      <c r="G1" s="3"/>
      <c r="H1" s="3"/>
    </row>
    <row r="2" spans="1:8" ht="28.5" x14ac:dyDescent="0.2">
      <c r="A2" s="1" t="s">
        <v>0</v>
      </c>
      <c r="B2" s="2" t="s">
        <v>1</v>
      </c>
      <c r="C2" s="2" t="s">
        <v>2</v>
      </c>
      <c r="D2" s="1" t="s">
        <v>4</v>
      </c>
      <c r="E2" s="1" t="s">
        <v>3</v>
      </c>
      <c r="F2" s="1" t="s">
        <v>5</v>
      </c>
      <c r="G2" s="1" t="s">
        <v>6</v>
      </c>
      <c r="H2" s="1" t="s">
        <v>7</v>
      </c>
    </row>
    <row r="3" spans="1:8" s="10" customFormat="1" x14ac:dyDescent="0.2">
      <c r="A3" s="8" t="s">
        <v>390</v>
      </c>
      <c r="B3" s="9" t="s">
        <v>8</v>
      </c>
      <c r="C3" s="9" t="s">
        <v>9</v>
      </c>
      <c r="D3" s="14">
        <f>0.3748/0.94</f>
        <v>0.39872340425531921</v>
      </c>
      <c r="E3" s="8" t="s">
        <v>596</v>
      </c>
      <c r="F3" s="8" t="s">
        <v>283</v>
      </c>
      <c r="G3" s="8" t="s">
        <v>13</v>
      </c>
      <c r="H3" s="8" t="s">
        <v>12</v>
      </c>
    </row>
    <row r="4" spans="1:8" x14ac:dyDescent="0.2">
      <c r="A4" s="3">
        <v>402030048</v>
      </c>
      <c r="B4" s="4" t="s">
        <v>107</v>
      </c>
      <c r="C4" s="4" t="s">
        <v>837</v>
      </c>
      <c r="D4" s="3">
        <v>1</v>
      </c>
      <c r="E4" s="3" t="s">
        <v>16</v>
      </c>
      <c r="F4" s="3" t="s">
        <v>301</v>
      </c>
      <c r="G4" s="3" t="s">
        <v>32</v>
      </c>
      <c r="H4" s="3" t="s">
        <v>306</v>
      </c>
    </row>
    <row r="5" spans="1:8" x14ac:dyDescent="0.2">
      <c r="A5" s="3">
        <v>3060207001</v>
      </c>
      <c r="B5" s="4" t="s">
        <v>840</v>
      </c>
      <c r="C5" s="4" t="s">
        <v>841</v>
      </c>
      <c r="D5" s="3">
        <v>1</v>
      </c>
      <c r="E5" s="3" t="s">
        <v>16</v>
      </c>
      <c r="F5" s="3" t="s">
        <v>289</v>
      </c>
      <c r="G5" s="3" t="s">
        <v>23</v>
      </c>
      <c r="H5" s="3" t="s">
        <v>18</v>
      </c>
    </row>
    <row r="6" spans="1:8" x14ac:dyDescent="0.2">
      <c r="A6" s="3">
        <v>3060207002</v>
      </c>
      <c r="B6" s="4" t="s">
        <v>840</v>
      </c>
      <c r="C6" s="4" t="s">
        <v>842</v>
      </c>
      <c r="D6" s="3">
        <v>1</v>
      </c>
      <c r="E6" s="3" t="s">
        <v>16</v>
      </c>
      <c r="F6" s="3" t="s">
        <v>289</v>
      </c>
      <c r="G6" s="3" t="s">
        <v>23</v>
      </c>
      <c r="H6" s="3" t="s">
        <v>18</v>
      </c>
    </row>
    <row r="7" spans="1:8" x14ac:dyDescent="0.2">
      <c r="A7" s="3">
        <v>3030317018</v>
      </c>
      <c r="B7" s="4" t="s">
        <v>843</v>
      </c>
      <c r="C7" s="4" t="s">
        <v>844</v>
      </c>
      <c r="D7" s="3">
        <v>2</v>
      </c>
      <c r="E7" s="3" t="s">
        <v>16</v>
      </c>
      <c r="F7" s="3" t="s">
        <v>295</v>
      </c>
      <c r="G7" s="3" t="s">
        <v>17</v>
      </c>
      <c r="H7" s="3" t="s">
        <v>18</v>
      </c>
    </row>
    <row r="8" spans="1:8" x14ac:dyDescent="0.2">
      <c r="A8" s="3">
        <v>3030314005</v>
      </c>
      <c r="B8" s="4" t="s">
        <v>394</v>
      </c>
      <c r="C8" s="4" t="s">
        <v>395</v>
      </c>
      <c r="D8" s="3">
        <v>1</v>
      </c>
      <c r="E8" s="3" t="s">
        <v>16</v>
      </c>
      <c r="F8" s="3" t="s">
        <v>291</v>
      </c>
      <c r="G8" s="3" t="s">
        <v>26</v>
      </c>
      <c r="H8" s="3" t="s">
        <v>18</v>
      </c>
    </row>
    <row r="9" spans="1:8" x14ac:dyDescent="0.2">
      <c r="A9" s="3">
        <v>3030202019</v>
      </c>
      <c r="B9" s="4" t="s">
        <v>845</v>
      </c>
      <c r="C9" s="4" t="s">
        <v>846</v>
      </c>
      <c r="D9" s="3">
        <v>1</v>
      </c>
      <c r="E9" s="3" t="s">
        <v>16</v>
      </c>
      <c r="F9" s="3" t="s">
        <v>295</v>
      </c>
      <c r="G9" s="3" t="s">
        <v>17</v>
      </c>
      <c r="H9" s="3" t="s">
        <v>18</v>
      </c>
    </row>
    <row r="10" spans="1:8" x14ac:dyDescent="0.2">
      <c r="A10" s="3">
        <v>3030202022</v>
      </c>
      <c r="B10" s="4" t="s">
        <v>847</v>
      </c>
      <c r="C10" s="4" t="s">
        <v>846</v>
      </c>
      <c r="D10" s="3">
        <v>2</v>
      </c>
      <c r="E10" s="3" t="s">
        <v>16</v>
      </c>
      <c r="F10" s="3" t="s">
        <v>295</v>
      </c>
      <c r="G10" s="3" t="s">
        <v>17</v>
      </c>
      <c r="H10" s="3" t="s">
        <v>18</v>
      </c>
    </row>
    <row r="11" spans="1:8" x14ac:dyDescent="0.2">
      <c r="A11" s="3">
        <v>3030202018</v>
      </c>
      <c r="B11" s="4" t="s">
        <v>403</v>
      </c>
      <c r="C11" s="4" t="s">
        <v>846</v>
      </c>
      <c r="D11" s="3">
        <v>1</v>
      </c>
      <c r="E11" s="3" t="s">
        <v>16</v>
      </c>
      <c r="F11" s="3" t="s">
        <v>295</v>
      </c>
      <c r="G11" s="3" t="s">
        <v>17</v>
      </c>
      <c r="H11" s="3" t="s">
        <v>18</v>
      </c>
    </row>
    <row r="12" spans="1:8" x14ac:dyDescent="0.2">
      <c r="A12" s="3">
        <v>3030201011</v>
      </c>
      <c r="B12" s="4" t="s">
        <v>848</v>
      </c>
      <c r="C12" s="4" t="s">
        <v>849</v>
      </c>
      <c r="D12" s="3">
        <v>1</v>
      </c>
      <c r="E12" s="3" t="s">
        <v>16</v>
      </c>
      <c r="F12" s="3" t="s">
        <v>295</v>
      </c>
      <c r="G12" s="3" t="s">
        <v>17</v>
      </c>
      <c r="H12" s="3" t="s">
        <v>18</v>
      </c>
    </row>
    <row r="13" spans="1:8" x14ac:dyDescent="0.2">
      <c r="A13" s="3">
        <v>3030202023</v>
      </c>
      <c r="B13" s="4" t="s">
        <v>850</v>
      </c>
      <c r="C13" s="4" t="s">
        <v>846</v>
      </c>
      <c r="D13" s="3">
        <v>2</v>
      </c>
      <c r="E13" s="3" t="s">
        <v>16</v>
      </c>
      <c r="F13" s="3" t="s">
        <v>295</v>
      </c>
      <c r="G13" s="3" t="s">
        <v>17</v>
      </c>
      <c r="H13" s="3" t="s">
        <v>18</v>
      </c>
    </row>
    <row r="14" spans="1:8" x14ac:dyDescent="0.2">
      <c r="A14" s="3">
        <v>3070106002</v>
      </c>
      <c r="B14" s="4" t="s">
        <v>851</v>
      </c>
      <c r="C14" s="4" t="s">
        <v>852</v>
      </c>
      <c r="D14" s="3">
        <v>1</v>
      </c>
      <c r="E14" s="3" t="s">
        <v>16</v>
      </c>
      <c r="F14" s="3" t="s">
        <v>317</v>
      </c>
      <c r="G14" s="3" t="s">
        <v>318</v>
      </c>
      <c r="H14" s="3" t="s">
        <v>18</v>
      </c>
    </row>
    <row r="15" spans="1:8" x14ac:dyDescent="0.2">
      <c r="A15" s="3">
        <v>404040037</v>
      </c>
      <c r="B15" s="4" t="s">
        <v>30</v>
      </c>
      <c r="C15" s="4" t="s">
        <v>853</v>
      </c>
      <c r="D15" s="3">
        <v>1</v>
      </c>
      <c r="E15" s="3" t="s">
        <v>16</v>
      </c>
      <c r="F15" s="3" t="s">
        <v>301</v>
      </c>
      <c r="G15" s="3" t="s">
        <v>32</v>
      </c>
      <c r="H15" s="3" t="s">
        <v>33</v>
      </c>
    </row>
    <row r="16" spans="1:8" x14ac:dyDescent="0.2">
      <c r="A16" s="3">
        <v>401030426</v>
      </c>
      <c r="B16" s="4" t="s">
        <v>35</v>
      </c>
      <c r="C16" s="4" t="s">
        <v>854</v>
      </c>
      <c r="D16" s="3">
        <v>1</v>
      </c>
      <c r="E16" s="3" t="s">
        <v>16</v>
      </c>
      <c r="F16" s="3" t="s">
        <v>301</v>
      </c>
      <c r="G16" s="3" t="s">
        <v>32</v>
      </c>
      <c r="H16" s="3" t="s">
        <v>33</v>
      </c>
    </row>
    <row r="17" spans="1:8" x14ac:dyDescent="0.2">
      <c r="A17" s="3">
        <v>401040466</v>
      </c>
      <c r="B17" s="4" t="s">
        <v>35</v>
      </c>
      <c r="C17" s="4" t="s">
        <v>855</v>
      </c>
      <c r="D17" s="3">
        <v>1</v>
      </c>
      <c r="E17" s="3" t="s">
        <v>16</v>
      </c>
      <c r="F17" s="3" t="s">
        <v>301</v>
      </c>
      <c r="G17" s="3" t="s">
        <v>32</v>
      </c>
      <c r="H17" s="3" t="s">
        <v>33</v>
      </c>
    </row>
    <row r="18" spans="1:8" x14ac:dyDescent="0.2">
      <c r="A18" s="3">
        <v>3080401061</v>
      </c>
      <c r="B18" s="4" t="s">
        <v>41</v>
      </c>
      <c r="C18" s="4" t="s">
        <v>856</v>
      </c>
      <c r="D18" s="3">
        <v>1</v>
      </c>
      <c r="E18" s="3" t="s">
        <v>16</v>
      </c>
      <c r="F18" s="3" t="s">
        <v>295</v>
      </c>
      <c r="G18" s="3" t="s">
        <v>17</v>
      </c>
      <c r="H18" s="3" t="s">
        <v>40</v>
      </c>
    </row>
    <row r="19" spans="1:8" x14ac:dyDescent="0.2">
      <c r="A19" s="3">
        <v>3080104081</v>
      </c>
      <c r="B19" s="4" t="s">
        <v>45</v>
      </c>
      <c r="C19" s="4" t="s">
        <v>701</v>
      </c>
      <c r="D19" s="3">
        <v>5</v>
      </c>
      <c r="E19" s="3" t="s">
        <v>16</v>
      </c>
      <c r="F19" s="3" t="s">
        <v>289</v>
      </c>
      <c r="G19" s="3" t="s">
        <v>23</v>
      </c>
      <c r="H19" s="3" t="s">
        <v>40</v>
      </c>
    </row>
    <row r="20" spans="1:8" x14ac:dyDescent="0.2">
      <c r="A20" s="3">
        <v>3080104105</v>
      </c>
      <c r="B20" s="4" t="s">
        <v>45</v>
      </c>
      <c r="C20" s="4" t="s">
        <v>857</v>
      </c>
      <c r="D20" s="3">
        <v>2</v>
      </c>
      <c r="E20" s="3" t="s">
        <v>16</v>
      </c>
      <c r="F20" s="3" t="s">
        <v>289</v>
      </c>
      <c r="G20" s="3" t="s">
        <v>23</v>
      </c>
      <c r="H20" s="3" t="s">
        <v>40</v>
      </c>
    </row>
    <row r="21" spans="1:8" x14ac:dyDescent="0.2">
      <c r="A21" s="3">
        <v>3080104039</v>
      </c>
      <c r="B21" s="4" t="s">
        <v>45</v>
      </c>
      <c r="C21" s="4" t="s">
        <v>858</v>
      </c>
      <c r="D21" s="3">
        <v>7</v>
      </c>
      <c r="E21" s="3" t="s">
        <v>16</v>
      </c>
      <c r="F21" s="3" t="s">
        <v>295</v>
      </c>
      <c r="G21" s="3" t="s">
        <v>17</v>
      </c>
      <c r="H21" s="3" t="s">
        <v>40</v>
      </c>
    </row>
    <row r="22" spans="1:8" x14ac:dyDescent="0.2">
      <c r="A22" s="3">
        <v>3080104040</v>
      </c>
      <c r="B22" s="4" t="s">
        <v>45</v>
      </c>
      <c r="C22" s="4" t="s">
        <v>859</v>
      </c>
      <c r="D22" s="3">
        <v>4</v>
      </c>
      <c r="E22" s="3" t="s">
        <v>16</v>
      </c>
      <c r="F22" s="3" t="s">
        <v>295</v>
      </c>
      <c r="G22" s="3" t="s">
        <v>17</v>
      </c>
      <c r="H22" s="3" t="s">
        <v>40</v>
      </c>
    </row>
    <row r="23" spans="1:8" x14ac:dyDescent="0.2">
      <c r="A23" s="3">
        <v>3080104018</v>
      </c>
      <c r="B23" s="4" t="s">
        <v>45</v>
      </c>
      <c r="C23" s="4" t="s">
        <v>418</v>
      </c>
      <c r="D23" s="3">
        <v>2</v>
      </c>
      <c r="E23" s="3" t="s">
        <v>16</v>
      </c>
      <c r="F23" s="3" t="s">
        <v>293</v>
      </c>
      <c r="G23" s="3" t="s">
        <v>29</v>
      </c>
      <c r="H23" s="3" t="s">
        <v>40</v>
      </c>
    </row>
    <row r="24" spans="1:8" x14ac:dyDescent="0.2">
      <c r="A24" s="3">
        <v>3080104027</v>
      </c>
      <c r="B24" s="4" t="s">
        <v>45</v>
      </c>
      <c r="C24" s="4" t="s">
        <v>860</v>
      </c>
      <c r="D24" s="3">
        <v>2</v>
      </c>
      <c r="E24" s="3" t="s">
        <v>16</v>
      </c>
      <c r="F24" s="3" t="s">
        <v>293</v>
      </c>
      <c r="G24" s="3" t="s">
        <v>29</v>
      </c>
      <c r="H24" s="3" t="s">
        <v>40</v>
      </c>
    </row>
    <row r="25" spans="1:8" x14ac:dyDescent="0.2">
      <c r="A25" s="3">
        <v>3080104014</v>
      </c>
      <c r="B25" s="4" t="s">
        <v>45</v>
      </c>
      <c r="C25" s="4" t="s">
        <v>312</v>
      </c>
      <c r="D25" s="3">
        <v>4</v>
      </c>
      <c r="E25" s="3" t="s">
        <v>16</v>
      </c>
      <c r="F25" s="3" t="s">
        <v>293</v>
      </c>
      <c r="G25" s="3" t="s">
        <v>29</v>
      </c>
      <c r="H25" s="3" t="s">
        <v>40</v>
      </c>
    </row>
    <row r="26" spans="1:8" x14ac:dyDescent="0.2">
      <c r="A26" s="3">
        <v>3080104105</v>
      </c>
      <c r="B26" s="4" t="s">
        <v>45</v>
      </c>
      <c r="C26" s="4" t="s">
        <v>857</v>
      </c>
      <c r="D26" s="3">
        <v>2</v>
      </c>
      <c r="E26" s="3" t="s">
        <v>16</v>
      </c>
      <c r="F26" s="3" t="s">
        <v>317</v>
      </c>
      <c r="G26" s="3" t="s">
        <v>318</v>
      </c>
      <c r="H26" s="3" t="s">
        <v>40</v>
      </c>
    </row>
    <row r="27" spans="1:8" x14ac:dyDescent="0.2">
      <c r="A27" s="3">
        <v>3080104099</v>
      </c>
      <c r="B27" s="4" t="s">
        <v>45</v>
      </c>
      <c r="C27" s="4" t="s">
        <v>419</v>
      </c>
      <c r="D27" s="3">
        <v>2</v>
      </c>
      <c r="E27" s="3" t="s">
        <v>16</v>
      </c>
      <c r="F27" s="3" t="s">
        <v>291</v>
      </c>
      <c r="G27" s="3" t="s">
        <v>26</v>
      </c>
      <c r="H27" s="3" t="s">
        <v>40</v>
      </c>
    </row>
    <row r="28" spans="1:8" x14ac:dyDescent="0.2">
      <c r="A28" s="3">
        <v>3080104014</v>
      </c>
      <c r="B28" s="4" t="s">
        <v>45</v>
      </c>
      <c r="C28" s="4" t="s">
        <v>312</v>
      </c>
      <c r="D28" s="3">
        <v>6</v>
      </c>
      <c r="E28" s="3" t="s">
        <v>16</v>
      </c>
      <c r="F28" s="3" t="s">
        <v>291</v>
      </c>
      <c r="G28" s="3" t="s">
        <v>26</v>
      </c>
      <c r="H28" s="3" t="s">
        <v>40</v>
      </c>
    </row>
    <row r="29" spans="1:8" x14ac:dyDescent="0.2">
      <c r="A29" s="3">
        <v>3080104081</v>
      </c>
      <c r="B29" s="4" t="s">
        <v>45</v>
      </c>
      <c r="C29" s="4" t="s">
        <v>701</v>
      </c>
      <c r="D29" s="3">
        <v>1</v>
      </c>
      <c r="E29" s="3" t="s">
        <v>16</v>
      </c>
      <c r="F29" s="3" t="s">
        <v>291</v>
      </c>
      <c r="G29" s="3" t="s">
        <v>26</v>
      </c>
      <c r="H29" s="3" t="s">
        <v>40</v>
      </c>
    </row>
    <row r="30" spans="1:8" x14ac:dyDescent="0.2">
      <c r="A30" s="3">
        <v>3080105091</v>
      </c>
      <c r="B30" s="4" t="s">
        <v>50</v>
      </c>
      <c r="C30" s="4" t="s">
        <v>861</v>
      </c>
      <c r="D30" s="3">
        <v>2</v>
      </c>
      <c r="E30" s="3" t="s">
        <v>16</v>
      </c>
      <c r="F30" s="3" t="s">
        <v>289</v>
      </c>
      <c r="G30" s="3" t="s">
        <v>23</v>
      </c>
      <c r="H30" s="3" t="s">
        <v>40</v>
      </c>
    </row>
    <row r="31" spans="1:8" x14ac:dyDescent="0.2">
      <c r="A31" s="3">
        <v>3080105012</v>
      </c>
      <c r="B31" s="4" t="s">
        <v>50</v>
      </c>
      <c r="C31" s="4" t="s">
        <v>674</v>
      </c>
      <c r="D31" s="3">
        <v>2</v>
      </c>
      <c r="E31" s="3" t="s">
        <v>16</v>
      </c>
      <c r="F31" s="3" t="s">
        <v>289</v>
      </c>
      <c r="G31" s="3" t="s">
        <v>23</v>
      </c>
      <c r="H31" s="3" t="s">
        <v>40</v>
      </c>
    </row>
    <row r="32" spans="1:8" x14ac:dyDescent="0.2">
      <c r="A32" s="3">
        <v>3080105007</v>
      </c>
      <c r="B32" s="4" t="s">
        <v>50</v>
      </c>
      <c r="C32" s="4" t="s">
        <v>52</v>
      </c>
      <c r="D32" s="3">
        <v>8</v>
      </c>
      <c r="E32" s="3" t="s">
        <v>16</v>
      </c>
      <c r="F32" s="3" t="s">
        <v>289</v>
      </c>
      <c r="G32" s="3" t="s">
        <v>23</v>
      </c>
      <c r="H32" s="3" t="s">
        <v>40</v>
      </c>
    </row>
    <row r="33" spans="1:8" x14ac:dyDescent="0.2">
      <c r="A33" s="3">
        <v>3080105091</v>
      </c>
      <c r="B33" s="4" t="s">
        <v>50</v>
      </c>
      <c r="C33" s="4" t="s">
        <v>861</v>
      </c>
      <c r="D33" s="3">
        <v>4</v>
      </c>
      <c r="E33" s="3" t="s">
        <v>16</v>
      </c>
      <c r="F33" s="3" t="s">
        <v>293</v>
      </c>
      <c r="G33" s="3" t="s">
        <v>29</v>
      </c>
      <c r="H33" s="3" t="s">
        <v>40</v>
      </c>
    </row>
    <row r="34" spans="1:8" x14ac:dyDescent="0.2">
      <c r="A34" s="3">
        <v>3080105110</v>
      </c>
      <c r="B34" s="4" t="s">
        <v>50</v>
      </c>
      <c r="C34" s="4" t="s">
        <v>862</v>
      </c>
      <c r="D34" s="3">
        <v>4</v>
      </c>
      <c r="E34" s="3" t="s">
        <v>16</v>
      </c>
      <c r="F34" s="3" t="s">
        <v>293</v>
      </c>
      <c r="G34" s="3" t="s">
        <v>29</v>
      </c>
      <c r="H34" s="3" t="s">
        <v>40</v>
      </c>
    </row>
    <row r="35" spans="1:8" x14ac:dyDescent="0.2">
      <c r="A35" s="3">
        <v>3080105046</v>
      </c>
      <c r="B35" s="4" t="s">
        <v>50</v>
      </c>
      <c r="C35" s="4" t="s">
        <v>863</v>
      </c>
      <c r="D35" s="3">
        <v>14</v>
      </c>
      <c r="E35" s="3" t="s">
        <v>16</v>
      </c>
      <c r="F35" s="3" t="s">
        <v>293</v>
      </c>
      <c r="G35" s="3" t="s">
        <v>29</v>
      </c>
      <c r="H35" s="3" t="s">
        <v>40</v>
      </c>
    </row>
    <row r="36" spans="1:8" x14ac:dyDescent="0.2">
      <c r="A36" s="3">
        <v>3080105085</v>
      </c>
      <c r="B36" s="4" t="s">
        <v>50</v>
      </c>
      <c r="C36" s="4" t="s">
        <v>864</v>
      </c>
      <c r="D36" s="3">
        <v>4</v>
      </c>
      <c r="E36" s="3" t="s">
        <v>16</v>
      </c>
      <c r="F36" s="3" t="s">
        <v>317</v>
      </c>
      <c r="G36" s="3" t="s">
        <v>318</v>
      </c>
      <c r="H36" s="3" t="s">
        <v>40</v>
      </c>
    </row>
    <row r="37" spans="1:8" x14ac:dyDescent="0.2">
      <c r="A37" s="3">
        <v>3080105100</v>
      </c>
      <c r="B37" s="4" t="s">
        <v>50</v>
      </c>
      <c r="C37" s="4" t="s">
        <v>865</v>
      </c>
      <c r="D37" s="3">
        <v>1</v>
      </c>
      <c r="E37" s="3" t="s">
        <v>16</v>
      </c>
      <c r="F37" s="3" t="s">
        <v>317</v>
      </c>
      <c r="G37" s="3" t="s">
        <v>318</v>
      </c>
      <c r="H37" s="3" t="s">
        <v>40</v>
      </c>
    </row>
    <row r="38" spans="1:8" x14ac:dyDescent="0.2">
      <c r="A38" s="3">
        <v>3080105007</v>
      </c>
      <c r="B38" s="4" t="s">
        <v>50</v>
      </c>
      <c r="C38" s="4" t="s">
        <v>52</v>
      </c>
      <c r="D38" s="3">
        <v>4</v>
      </c>
      <c r="E38" s="3" t="s">
        <v>16</v>
      </c>
      <c r="F38" s="3" t="s">
        <v>317</v>
      </c>
      <c r="G38" s="3" t="s">
        <v>318</v>
      </c>
      <c r="H38" s="3" t="s">
        <v>40</v>
      </c>
    </row>
    <row r="39" spans="1:8" x14ac:dyDescent="0.2">
      <c r="A39" s="3">
        <v>3080105088</v>
      </c>
      <c r="B39" s="4" t="s">
        <v>50</v>
      </c>
      <c r="C39" s="4" t="s">
        <v>423</v>
      </c>
      <c r="D39" s="3">
        <v>20</v>
      </c>
      <c r="E39" s="3" t="s">
        <v>16</v>
      </c>
      <c r="F39" s="3" t="s">
        <v>702</v>
      </c>
      <c r="G39" s="3" t="s">
        <v>703</v>
      </c>
      <c r="H39" s="3" t="s">
        <v>40</v>
      </c>
    </row>
    <row r="40" spans="1:8" x14ac:dyDescent="0.2">
      <c r="A40" s="3">
        <v>3080105007</v>
      </c>
      <c r="B40" s="4" t="s">
        <v>50</v>
      </c>
      <c r="C40" s="4" t="s">
        <v>52</v>
      </c>
      <c r="D40" s="3">
        <v>6</v>
      </c>
      <c r="E40" s="3" t="s">
        <v>16</v>
      </c>
      <c r="F40" s="3" t="s">
        <v>291</v>
      </c>
      <c r="G40" s="3" t="s">
        <v>26</v>
      </c>
      <c r="H40" s="3" t="s">
        <v>40</v>
      </c>
    </row>
    <row r="41" spans="1:8" x14ac:dyDescent="0.2">
      <c r="A41" s="3">
        <v>3080311005</v>
      </c>
      <c r="B41" s="4" t="s">
        <v>866</v>
      </c>
      <c r="C41" s="4" t="s">
        <v>867</v>
      </c>
      <c r="D41" s="3">
        <v>1</v>
      </c>
      <c r="E41" s="3" t="s">
        <v>16</v>
      </c>
      <c r="F41" s="3" t="s">
        <v>289</v>
      </c>
      <c r="G41" s="3" t="s">
        <v>23</v>
      </c>
      <c r="H41" s="3" t="s">
        <v>40</v>
      </c>
    </row>
    <row r="42" spans="1:8" x14ac:dyDescent="0.2">
      <c r="A42" s="3">
        <v>3080501030</v>
      </c>
      <c r="B42" s="4" t="s">
        <v>57</v>
      </c>
      <c r="C42" s="4" t="s">
        <v>868</v>
      </c>
      <c r="D42" s="3">
        <v>2</v>
      </c>
      <c r="E42" s="3" t="s">
        <v>16</v>
      </c>
      <c r="F42" s="3" t="s">
        <v>295</v>
      </c>
      <c r="G42" s="3" t="s">
        <v>17</v>
      </c>
      <c r="H42" s="3" t="s">
        <v>40</v>
      </c>
    </row>
    <row r="43" spans="1:8" x14ac:dyDescent="0.2">
      <c r="A43" s="3">
        <v>3080107314</v>
      </c>
      <c r="B43" s="4" t="s">
        <v>69</v>
      </c>
      <c r="C43" s="4" t="s">
        <v>869</v>
      </c>
      <c r="D43" s="3">
        <v>2</v>
      </c>
      <c r="E43" s="3" t="s">
        <v>16</v>
      </c>
      <c r="F43" s="3" t="s">
        <v>289</v>
      </c>
      <c r="G43" s="3" t="s">
        <v>23</v>
      </c>
      <c r="H43" s="3" t="s">
        <v>40</v>
      </c>
    </row>
    <row r="44" spans="1:8" x14ac:dyDescent="0.2">
      <c r="A44" s="3">
        <v>3080107291</v>
      </c>
      <c r="B44" s="4" t="s">
        <v>69</v>
      </c>
      <c r="C44" s="4" t="s">
        <v>870</v>
      </c>
      <c r="D44" s="3">
        <v>4</v>
      </c>
      <c r="E44" s="3" t="s">
        <v>16</v>
      </c>
      <c r="F44" s="3" t="s">
        <v>289</v>
      </c>
      <c r="G44" s="3" t="s">
        <v>23</v>
      </c>
      <c r="H44" s="3" t="s">
        <v>40</v>
      </c>
    </row>
    <row r="45" spans="1:8" x14ac:dyDescent="0.2">
      <c r="A45" s="3">
        <v>3080304002</v>
      </c>
      <c r="B45" s="4" t="s">
        <v>69</v>
      </c>
      <c r="C45" s="4" t="s">
        <v>871</v>
      </c>
      <c r="D45" s="3">
        <v>1</v>
      </c>
      <c r="E45" s="3" t="s">
        <v>16</v>
      </c>
      <c r="F45" s="3" t="s">
        <v>289</v>
      </c>
      <c r="G45" s="3" t="s">
        <v>23</v>
      </c>
      <c r="H45" s="3" t="s">
        <v>40</v>
      </c>
    </row>
    <row r="46" spans="1:8" x14ac:dyDescent="0.2">
      <c r="A46" s="3">
        <v>3080107034</v>
      </c>
      <c r="B46" s="4" t="s">
        <v>69</v>
      </c>
      <c r="C46" s="4" t="s">
        <v>429</v>
      </c>
      <c r="D46" s="3">
        <v>12</v>
      </c>
      <c r="E46" s="3" t="s">
        <v>16</v>
      </c>
      <c r="F46" s="3" t="s">
        <v>295</v>
      </c>
      <c r="G46" s="3" t="s">
        <v>17</v>
      </c>
      <c r="H46" s="3" t="s">
        <v>40</v>
      </c>
    </row>
    <row r="47" spans="1:8" x14ac:dyDescent="0.2">
      <c r="A47" s="3">
        <v>3080107034</v>
      </c>
      <c r="B47" s="4" t="s">
        <v>69</v>
      </c>
      <c r="C47" s="4" t="s">
        <v>429</v>
      </c>
      <c r="D47" s="3">
        <v>2</v>
      </c>
      <c r="E47" s="3" t="s">
        <v>16</v>
      </c>
      <c r="F47" s="3" t="s">
        <v>295</v>
      </c>
      <c r="G47" s="3" t="s">
        <v>17</v>
      </c>
      <c r="H47" s="3" t="s">
        <v>40</v>
      </c>
    </row>
    <row r="48" spans="1:8" x14ac:dyDescent="0.2">
      <c r="A48" s="3">
        <v>3080107091</v>
      </c>
      <c r="B48" s="4" t="s">
        <v>69</v>
      </c>
      <c r="C48" s="4" t="s">
        <v>872</v>
      </c>
      <c r="D48" s="3">
        <v>2</v>
      </c>
      <c r="E48" s="3" t="s">
        <v>16</v>
      </c>
      <c r="F48" s="3" t="s">
        <v>317</v>
      </c>
      <c r="G48" s="3" t="s">
        <v>318</v>
      </c>
      <c r="H48" s="3" t="s">
        <v>40</v>
      </c>
    </row>
    <row r="49" spans="1:8" x14ac:dyDescent="0.2">
      <c r="A49" s="3">
        <v>3080108009</v>
      </c>
      <c r="B49" s="4" t="s">
        <v>77</v>
      </c>
      <c r="C49" s="4" t="s">
        <v>324</v>
      </c>
      <c r="D49" s="3">
        <v>8</v>
      </c>
      <c r="E49" s="3" t="s">
        <v>16</v>
      </c>
      <c r="F49" s="3" t="s">
        <v>295</v>
      </c>
      <c r="G49" s="3" t="s">
        <v>17</v>
      </c>
      <c r="H49" s="3" t="s">
        <v>40</v>
      </c>
    </row>
    <row r="50" spans="1:8" x14ac:dyDescent="0.2">
      <c r="A50" s="3">
        <v>3080111004</v>
      </c>
      <c r="B50" s="4" t="s">
        <v>79</v>
      </c>
      <c r="C50" s="4" t="s">
        <v>445</v>
      </c>
      <c r="D50" s="3">
        <v>4</v>
      </c>
      <c r="E50" s="3" t="s">
        <v>16</v>
      </c>
      <c r="F50" s="3" t="s">
        <v>295</v>
      </c>
      <c r="G50" s="3" t="s">
        <v>17</v>
      </c>
      <c r="H50" s="3" t="s">
        <v>40</v>
      </c>
    </row>
    <row r="51" spans="1:8" x14ac:dyDescent="0.2">
      <c r="A51" s="3">
        <v>407030137</v>
      </c>
      <c r="B51" s="4" t="s">
        <v>81</v>
      </c>
      <c r="C51" s="4" t="s">
        <v>1074</v>
      </c>
      <c r="D51" s="3">
        <v>1</v>
      </c>
      <c r="E51" s="3" t="s">
        <v>16</v>
      </c>
      <c r="F51" s="3" t="s">
        <v>293</v>
      </c>
      <c r="G51" s="3" t="s">
        <v>29</v>
      </c>
      <c r="H51" s="3" t="s">
        <v>40</v>
      </c>
    </row>
    <row r="52" spans="1:8" x14ac:dyDescent="0.2">
      <c r="A52" s="3">
        <v>3080401063</v>
      </c>
      <c r="B52" s="4" t="s">
        <v>874</v>
      </c>
      <c r="C52" s="4" t="s">
        <v>875</v>
      </c>
      <c r="D52" s="3">
        <v>2</v>
      </c>
      <c r="E52" s="3" t="s">
        <v>16</v>
      </c>
      <c r="F52" s="3" t="s">
        <v>293</v>
      </c>
      <c r="G52" s="3" t="s">
        <v>29</v>
      </c>
      <c r="H52" s="3" t="s">
        <v>40</v>
      </c>
    </row>
    <row r="53" spans="1:8" x14ac:dyDescent="0.2">
      <c r="A53" s="3">
        <v>3080311006</v>
      </c>
      <c r="B53" s="4" t="s">
        <v>876</v>
      </c>
      <c r="C53" s="4" t="s">
        <v>877</v>
      </c>
      <c r="D53" s="3">
        <v>1</v>
      </c>
      <c r="E53" s="3" t="s">
        <v>16</v>
      </c>
      <c r="F53" s="3" t="s">
        <v>291</v>
      </c>
      <c r="G53" s="3" t="s">
        <v>26</v>
      </c>
      <c r="H53" s="3" t="s">
        <v>40</v>
      </c>
    </row>
    <row r="54" spans="1:8" x14ac:dyDescent="0.2">
      <c r="A54" s="3">
        <v>3099991010</v>
      </c>
      <c r="B54" s="4" t="s">
        <v>878</v>
      </c>
      <c r="C54" s="4" t="s">
        <v>879</v>
      </c>
      <c r="D54" s="3">
        <v>1</v>
      </c>
      <c r="E54" s="3" t="s">
        <v>16</v>
      </c>
      <c r="F54" s="3" t="s">
        <v>317</v>
      </c>
      <c r="G54" s="3" t="s">
        <v>318</v>
      </c>
      <c r="H54" s="3" t="s">
        <v>103</v>
      </c>
    </row>
    <row r="55" spans="1:8" x14ac:dyDescent="0.2">
      <c r="A55" s="3">
        <v>3099990505</v>
      </c>
      <c r="B55" s="4" t="s">
        <v>880</v>
      </c>
      <c r="C55" s="4" t="s">
        <v>881</v>
      </c>
      <c r="D55" s="3">
        <v>1</v>
      </c>
      <c r="E55" s="3" t="s">
        <v>16</v>
      </c>
      <c r="F55" s="3" t="s">
        <v>285</v>
      </c>
      <c r="G55" s="3" t="s">
        <v>142</v>
      </c>
      <c r="H55" s="3" t="s">
        <v>103</v>
      </c>
    </row>
    <row r="56" spans="1:8" x14ac:dyDescent="0.2">
      <c r="A56" s="3">
        <v>402010089</v>
      </c>
      <c r="B56" s="4" t="s">
        <v>882</v>
      </c>
      <c r="C56" s="4" t="s">
        <v>883</v>
      </c>
      <c r="D56" s="3">
        <v>1</v>
      </c>
      <c r="E56" s="3" t="s">
        <v>16</v>
      </c>
      <c r="F56" s="3" t="s">
        <v>301</v>
      </c>
      <c r="G56" s="3" t="s">
        <v>32</v>
      </c>
      <c r="H56" s="3" t="s">
        <v>109</v>
      </c>
    </row>
    <row r="57" spans="1:8" x14ac:dyDescent="0.2">
      <c r="A57" s="3">
        <v>402020006</v>
      </c>
      <c r="B57" s="4" t="s">
        <v>111</v>
      </c>
      <c r="C57" s="4" t="s">
        <v>112</v>
      </c>
      <c r="D57" s="3">
        <v>2</v>
      </c>
      <c r="E57" s="3" t="s">
        <v>16</v>
      </c>
      <c r="F57" s="3" t="s">
        <v>293</v>
      </c>
      <c r="G57" s="3" t="s">
        <v>29</v>
      </c>
      <c r="H57" s="3" t="s">
        <v>109</v>
      </c>
    </row>
    <row r="58" spans="1:8" x14ac:dyDescent="0.2">
      <c r="A58" s="3">
        <v>402040006</v>
      </c>
      <c r="B58" s="4" t="s">
        <v>1075</v>
      </c>
      <c r="C58" s="4" t="s">
        <v>1076</v>
      </c>
      <c r="D58" s="3">
        <v>1</v>
      </c>
      <c r="E58" s="3" t="s">
        <v>16</v>
      </c>
      <c r="F58" s="3" t="s">
        <v>301</v>
      </c>
      <c r="G58" s="3" t="s">
        <v>32</v>
      </c>
      <c r="H58" s="3" t="s">
        <v>109</v>
      </c>
    </row>
    <row r="59" spans="1:8" x14ac:dyDescent="0.2">
      <c r="A59" s="3">
        <v>3060210002</v>
      </c>
      <c r="B59" s="4" t="s">
        <v>884</v>
      </c>
      <c r="C59" s="4" t="s">
        <v>885</v>
      </c>
      <c r="D59" s="3">
        <v>2</v>
      </c>
      <c r="E59" s="3" t="s">
        <v>16</v>
      </c>
      <c r="F59" s="3" t="s">
        <v>289</v>
      </c>
      <c r="G59" s="3" t="s">
        <v>23</v>
      </c>
      <c r="H59" s="3" t="s">
        <v>115</v>
      </c>
    </row>
    <row r="60" spans="1:8" x14ac:dyDescent="0.2">
      <c r="A60" s="3">
        <v>3060212020</v>
      </c>
      <c r="B60" s="4" t="s">
        <v>886</v>
      </c>
      <c r="C60" s="4" t="s">
        <v>887</v>
      </c>
      <c r="D60" s="3">
        <v>2</v>
      </c>
      <c r="E60" s="3" t="s">
        <v>16</v>
      </c>
      <c r="F60" s="3" t="s">
        <v>289</v>
      </c>
      <c r="G60" s="3" t="s">
        <v>23</v>
      </c>
      <c r="H60" s="3" t="s">
        <v>115</v>
      </c>
    </row>
    <row r="61" spans="1:8" x14ac:dyDescent="0.2">
      <c r="A61" s="3">
        <v>3070104004</v>
      </c>
      <c r="B61" s="4" t="s">
        <v>888</v>
      </c>
      <c r="C61" s="4" t="s">
        <v>889</v>
      </c>
      <c r="D61" s="3">
        <v>1</v>
      </c>
      <c r="E61" s="3" t="s">
        <v>16</v>
      </c>
      <c r="F61" s="3" t="s">
        <v>317</v>
      </c>
      <c r="G61" s="3" t="s">
        <v>318</v>
      </c>
      <c r="H61" s="3" t="s">
        <v>115</v>
      </c>
    </row>
    <row r="62" spans="1:8" x14ac:dyDescent="0.2">
      <c r="A62" s="3">
        <v>3040216001</v>
      </c>
      <c r="B62" s="4" t="s">
        <v>328</v>
      </c>
      <c r="C62" s="4" t="s">
        <v>329</v>
      </c>
      <c r="D62" s="3">
        <v>4</v>
      </c>
      <c r="E62" s="3" t="s">
        <v>16</v>
      </c>
      <c r="F62" s="3" t="s">
        <v>293</v>
      </c>
      <c r="G62" s="3" t="s">
        <v>29</v>
      </c>
      <c r="H62" s="3" t="s">
        <v>115</v>
      </c>
    </row>
    <row r="63" spans="1:8" x14ac:dyDescent="0.2">
      <c r="A63" s="3">
        <v>3030204009</v>
      </c>
      <c r="B63" s="4" t="s">
        <v>890</v>
      </c>
      <c r="C63" s="4" t="s">
        <v>891</v>
      </c>
      <c r="D63" s="3">
        <v>1</v>
      </c>
      <c r="E63" s="3" t="s">
        <v>16</v>
      </c>
      <c r="F63" s="3" t="s">
        <v>295</v>
      </c>
      <c r="G63" s="3" t="s">
        <v>17</v>
      </c>
      <c r="H63" s="3" t="s">
        <v>115</v>
      </c>
    </row>
    <row r="64" spans="1:8" x14ac:dyDescent="0.2">
      <c r="A64" s="3">
        <v>3050203008</v>
      </c>
      <c r="B64" s="4" t="s">
        <v>892</v>
      </c>
      <c r="C64" s="4" t="s">
        <v>893</v>
      </c>
      <c r="D64" s="3">
        <v>2</v>
      </c>
      <c r="E64" s="3" t="s">
        <v>16</v>
      </c>
      <c r="F64" s="3" t="s">
        <v>291</v>
      </c>
      <c r="G64" s="3" t="s">
        <v>26</v>
      </c>
      <c r="H64" s="3" t="s">
        <v>115</v>
      </c>
    </row>
    <row r="65" spans="1:8" x14ac:dyDescent="0.2">
      <c r="A65" s="3">
        <v>404040034</v>
      </c>
      <c r="B65" s="4" t="s">
        <v>30</v>
      </c>
      <c r="C65" s="4" t="s">
        <v>894</v>
      </c>
      <c r="D65" s="3">
        <v>1</v>
      </c>
      <c r="E65" s="3" t="s">
        <v>16</v>
      </c>
      <c r="F65" s="3" t="s">
        <v>301</v>
      </c>
      <c r="G65" s="3" t="s">
        <v>32</v>
      </c>
      <c r="H65" s="3" t="s">
        <v>134</v>
      </c>
    </row>
    <row r="66" spans="1:8" x14ac:dyDescent="0.2">
      <c r="A66" s="3">
        <v>404040038</v>
      </c>
      <c r="B66" s="4" t="s">
        <v>30</v>
      </c>
      <c r="C66" s="4" t="s">
        <v>895</v>
      </c>
      <c r="D66" s="3">
        <v>1</v>
      </c>
      <c r="E66" s="3" t="s">
        <v>16</v>
      </c>
      <c r="F66" s="3" t="s">
        <v>301</v>
      </c>
      <c r="G66" s="3" t="s">
        <v>32</v>
      </c>
      <c r="H66" s="3" t="s">
        <v>134</v>
      </c>
    </row>
    <row r="67" spans="1:8" x14ac:dyDescent="0.2">
      <c r="A67" s="3">
        <v>404040036</v>
      </c>
      <c r="B67" s="4" t="s">
        <v>30</v>
      </c>
      <c r="C67" s="4" t="s">
        <v>896</v>
      </c>
      <c r="D67" s="3">
        <v>1</v>
      </c>
      <c r="E67" s="3" t="s">
        <v>16</v>
      </c>
      <c r="F67" s="3" t="s">
        <v>301</v>
      </c>
      <c r="G67" s="3" t="s">
        <v>32</v>
      </c>
      <c r="H67" s="3" t="s">
        <v>134</v>
      </c>
    </row>
    <row r="68" spans="1:8" x14ac:dyDescent="0.2">
      <c r="A68" s="3">
        <v>404040039</v>
      </c>
      <c r="B68" s="4" t="s">
        <v>30</v>
      </c>
      <c r="C68" s="4" t="s">
        <v>897</v>
      </c>
      <c r="D68" s="3">
        <v>1</v>
      </c>
      <c r="E68" s="3" t="s">
        <v>16</v>
      </c>
      <c r="F68" s="3" t="s">
        <v>301</v>
      </c>
      <c r="G68" s="3" t="s">
        <v>32</v>
      </c>
      <c r="H68" s="3" t="s">
        <v>134</v>
      </c>
    </row>
    <row r="69" spans="1:8" x14ac:dyDescent="0.2">
      <c r="A69" s="3">
        <v>404040040</v>
      </c>
      <c r="B69" s="4" t="s">
        <v>30</v>
      </c>
      <c r="C69" s="4" t="s">
        <v>898</v>
      </c>
      <c r="D69" s="3">
        <v>1</v>
      </c>
      <c r="E69" s="3" t="s">
        <v>16</v>
      </c>
      <c r="F69" s="3" t="s">
        <v>301</v>
      </c>
      <c r="G69" s="3" t="s">
        <v>32</v>
      </c>
      <c r="H69" s="3" t="s">
        <v>134</v>
      </c>
    </row>
    <row r="70" spans="1:8" x14ac:dyDescent="0.2">
      <c r="A70" s="3">
        <v>401040465</v>
      </c>
      <c r="B70" s="4" t="s">
        <v>35</v>
      </c>
      <c r="C70" s="4" t="s">
        <v>899</v>
      </c>
      <c r="D70" s="3">
        <v>1</v>
      </c>
      <c r="E70" s="3" t="s">
        <v>16</v>
      </c>
      <c r="F70" s="3" t="s">
        <v>293</v>
      </c>
      <c r="G70" s="3" t="s">
        <v>29</v>
      </c>
      <c r="H70" s="3" t="s">
        <v>134</v>
      </c>
    </row>
    <row r="71" spans="1:8" x14ac:dyDescent="0.2">
      <c r="A71" s="3">
        <v>3030301005</v>
      </c>
      <c r="B71" s="4" t="s">
        <v>144</v>
      </c>
      <c r="C71" s="4" t="s">
        <v>145</v>
      </c>
      <c r="D71" s="3">
        <v>1</v>
      </c>
      <c r="E71" s="3" t="s">
        <v>16</v>
      </c>
      <c r="F71" s="3" t="s">
        <v>291</v>
      </c>
      <c r="G71" s="3" t="s">
        <v>26</v>
      </c>
      <c r="H71" s="3" t="s">
        <v>143</v>
      </c>
    </row>
    <row r="72" spans="1:8" x14ac:dyDescent="0.2">
      <c r="A72" s="3">
        <v>3060321017</v>
      </c>
      <c r="B72" s="4" t="s">
        <v>902</v>
      </c>
      <c r="C72" s="4" t="s">
        <v>903</v>
      </c>
      <c r="D72" s="3">
        <v>1</v>
      </c>
      <c r="E72" s="3" t="s">
        <v>16</v>
      </c>
      <c r="F72" s="3" t="s">
        <v>289</v>
      </c>
      <c r="G72" s="3" t="s">
        <v>23</v>
      </c>
      <c r="H72" s="3" t="s">
        <v>165</v>
      </c>
    </row>
    <row r="73" spans="1:8" x14ac:dyDescent="0.2">
      <c r="A73" s="3">
        <v>3060321018</v>
      </c>
      <c r="B73" s="4" t="s">
        <v>902</v>
      </c>
      <c r="C73" s="4" t="s">
        <v>904</v>
      </c>
      <c r="D73" s="3">
        <v>1</v>
      </c>
      <c r="E73" s="3" t="s">
        <v>16</v>
      </c>
      <c r="F73" s="3" t="s">
        <v>289</v>
      </c>
      <c r="G73" s="3" t="s">
        <v>23</v>
      </c>
      <c r="H73" s="3" t="s">
        <v>165</v>
      </c>
    </row>
    <row r="74" spans="1:8" x14ac:dyDescent="0.2">
      <c r="A74" s="3">
        <v>3060321019</v>
      </c>
      <c r="B74" s="4" t="s">
        <v>905</v>
      </c>
      <c r="C74" s="4" t="s">
        <v>906</v>
      </c>
      <c r="D74" s="3">
        <v>2</v>
      </c>
      <c r="E74" s="3" t="s">
        <v>16</v>
      </c>
      <c r="F74" s="3" t="s">
        <v>289</v>
      </c>
      <c r="G74" s="3" t="s">
        <v>23</v>
      </c>
      <c r="H74" s="3" t="s">
        <v>165</v>
      </c>
    </row>
    <row r="75" spans="1:8" x14ac:dyDescent="0.2">
      <c r="A75" s="3">
        <v>3060354070</v>
      </c>
      <c r="B75" s="4" t="s">
        <v>907</v>
      </c>
      <c r="C75" s="4" t="s">
        <v>908</v>
      </c>
      <c r="D75" s="3">
        <v>1</v>
      </c>
      <c r="E75" s="3" t="s">
        <v>16</v>
      </c>
      <c r="F75" s="3" t="s">
        <v>289</v>
      </c>
      <c r="G75" s="3" t="s">
        <v>23</v>
      </c>
      <c r="H75" s="3" t="s">
        <v>165</v>
      </c>
    </row>
    <row r="76" spans="1:8" x14ac:dyDescent="0.2">
      <c r="A76" s="3">
        <v>3060354072</v>
      </c>
      <c r="B76" s="4" t="s">
        <v>909</v>
      </c>
      <c r="C76" s="4" t="s">
        <v>908</v>
      </c>
      <c r="D76" s="3">
        <v>1</v>
      </c>
      <c r="E76" s="3" t="s">
        <v>16</v>
      </c>
      <c r="F76" s="3" t="s">
        <v>289</v>
      </c>
      <c r="G76" s="3" t="s">
        <v>23</v>
      </c>
      <c r="H76" s="3" t="s">
        <v>165</v>
      </c>
    </row>
    <row r="77" spans="1:8" x14ac:dyDescent="0.2">
      <c r="A77" s="3">
        <v>3060354075</v>
      </c>
      <c r="B77" s="4" t="s">
        <v>910</v>
      </c>
      <c r="C77" s="4" t="s">
        <v>908</v>
      </c>
      <c r="D77" s="3">
        <v>1</v>
      </c>
      <c r="E77" s="3" t="s">
        <v>16</v>
      </c>
      <c r="F77" s="3" t="s">
        <v>289</v>
      </c>
      <c r="G77" s="3" t="s">
        <v>23</v>
      </c>
      <c r="H77" s="3" t="s">
        <v>165</v>
      </c>
    </row>
    <row r="78" spans="1:8" x14ac:dyDescent="0.2">
      <c r="A78" s="3">
        <v>3030317019</v>
      </c>
      <c r="B78" s="4" t="s">
        <v>914</v>
      </c>
      <c r="C78" s="4" t="s">
        <v>915</v>
      </c>
      <c r="D78" s="3">
        <v>2</v>
      </c>
      <c r="E78" s="3" t="s">
        <v>16</v>
      </c>
      <c r="F78" s="3" t="s">
        <v>295</v>
      </c>
      <c r="G78" s="3" t="s">
        <v>17</v>
      </c>
      <c r="H78" s="3" t="s">
        <v>165</v>
      </c>
    </row>
    <row r="79" spans="1:8" x14ac:dyDescent="0.2">
      <c r="A79" s="3">
        <v>3050305061</v>
      </c>
      <c r="B79" s="4" t="s">
        <v>529</v>
      </c>
      <c r="C79" s="4" t="s">
        <v>916</v>
      </c>
      <c r="D79" s="3">
        <v>1</v>
      </c>
      <c r="E79" s="3" t="s">
        <v>16</v>
      </c>
      <c r="F79" s="3" t="s">
        <v>291</v>
      </c>
      <c r="G79" s="3" t="s">
        <v>26</v>
      </c>
      <c r="H79" s="3" t="s">
        <v>165</v>
      </c>
    </row>
    <row r="80" spans="1:8" x14ac:dyDescent="0.2">
      <c r="A80" s="3">
        <v>3110103002</v>
      </c>
      <c r="B80" s="4" t="s">
        <v>473</v>
      </c>
      <c r="C80" s="4" t="s">
        <v>474</v>
      </c>
      <c r="D80" s="3">
        <v>1</v>
      </c>
      <c r="E80" s="3" t="s">
        <v>16</v>
      </c>
      <c r="F80" s="3" t="s">
        <v>291</v>
      </c>
      <c r="G80" s="3" t="s">
        <v>26</v>
      </c>
      <c r="H80" s="3" t="s">
        <v>165</v>
      </c>
    </row>
    <row r="81" spans="1:8" x14ac:dyDescent="0.2">
      <c r="A81" s="3">
        <v>3030306047</v>
      </c>
      <c r="B81" s="4" t="s">
        <v>917</v>
      </c>
      <c r="C81" s="4" t="s">
        <v>918</v>
      </c>
      <c r="D81" s="3">
        <v>1</v>
      </c>
      <c r="E81" s="3" t="s">
        <v>16</v>
      </c>
      <c r="F81" s="3" t="s">
        <v>295</v>
      </c>
      <c r="G81" s="3" t="s">
        <v>17</v>
      </c>
      <c r="H81" s="3" t="s">
        <v>165</v>
      </c>
    </row>
    <row r="82" spans="1:8" x14ac:dyDescent="0.2">
      <c r="A82" s="3">
        <v>3040326027</v>
      </c>
      <c r="B82" s="4" t="s">
        <v>920</v>
      </c>
      <c r="C82" s="4" t="s">
        <v>921</v>
      </c>
      <c r="D82" s="3">
        <v>1</v>
      </c>
      <c r="E82" s="3" t="s">
        <v>16</v>
      </c>
      <c r="F82" s="3" t="s">
        <v>293</v>
      </c>
      <c r="G82" s="3" t="s">
        <v>29</v>
      </c>
      <c r="H82" s="3" t="s">
        <v>165</v>
      </c>
    </row>
    <row r="83" spans="1:8" x14ac:dyDescent="0.2">
      <c r="A83" s="3">
        <v>3040326028</v>
      </c>
      <c r="B83" s="4" t="s">
        <v>920</v>
      </c>
      <c r="C83" s="4" t="s">
        <v>922</v>
      </c>
      <c r="D83" s="3">
        <v>1</v>
      </c>
      <c r="E83" s="3" t="s">
        <v>16</v>
      </c>
      <c r="F83" s="3" t="s">
        <v>293</v>
      </c>
      <c r="G83" s="3" t="s">
        <v>29</v>
      </c>
      <c r="H83" s="3" t="s">
        <v>165</v>
      </c>
    </row>
    <row r="84" spans="1:8" x14ac:dyDescent="0.2">
      <c r="A84" s="3">
        <v>3070206002</v>
      </c>
      <c r="B84" s="4" t="s">
        <v>923</v>
      </c>
      <c r="C84" s="4" t="s">
        <v>924</v>
      </c>
      <c r="D84" s="3">
        <v>2</v>
      </c>
      <c r="E84" s="3" t="s">
        <v>16</v>
      </c>
      <c r="F84" s="3" t="s">
        <v>317</v>
      </c>
      <c r="G84" s="3" t="s">
        <v>318</v>
      </c>
      <c r="H84" s="3" t="s">
        <v>165</v>
      </c>
    </row>
    <row r="85" spans="1:8" x14ac:dyDescent="0.2">
      <c r="A85" s="3">
        <v>3060354040</v>
      </c>
      <c r="B85" s="4" t="s">
        <v>925</v>
      </c>
      <c r="C85" s="4" t="s">
        <v>926</v>
      </c>
      <c r="D85" s="3">
        <v>1</v>
      </c>
      <c r="E85" s="3" t="s">
        <v>16</v>
      </c>
      <c r="F85" s="3" t="s">
        <v>287</v>
      </c>
      <c r="G85" s="3" t="s">
        <v>148</v>
      </c>
      <c r="H85" s="3" t="s">
        <v>165</v>
      </c>
    </row>
    <row r="86" spans="1:8" x14ac:dyDescent="0.2">
      <c r="A86" s="3">
        <v>3020301012</v>
      </c>
      <c r="B86" s="4" t="s">
        <v>209</v>
      </c>
      <c r="C86" s="4" t="s">
        <v>768</v>
      </c>
      <c r="D86" s="3">
        <v>1</v>
      </c>
      <c r="E86" s="3" t="s">
        <v>16</v>
      </c>
      <c r="F86" s="3" t="s">
        <v>301</v>
      </c>
      <c r="G86" s="3" t="s">
        <v>32</v>
      </c>
      <c r="H86" s="3" t="s">
        <v>769</v>
      </c>
    </row>
    <row r="87" spans="1:8" x14ac:dyDescent="0.2">
      <c r="A87" s="3">
        <v>3050310043</v>
      </c>
      <c r="B87" s="4" t="s">
        <v>930</v>
      </c>
      <c r="C87" s="4" t="s">
        <v>915</v>
      </c>
      <c r="D87" s="3">
        <v>2</v>
      </c>
      <c r="E87" s="3" t="s">
        <v>16</v>
      </c>
      <c r="F87" s="3" t="s">
        <v>295</v>
      </c>
      <c r="G87" s="3" t="s">
        <v>17</v>
      </c>
      <c r="H87" s="3" t="s">
        <v>165</v>
      </c>
    </row>
    <row r="88" spans="1:8" x14ac:dyDescent="0.2">
      <c r="A88" s="3">
        <v>3050310062</v>
      </c>
      <c r="B88" s="4" t="s">
        <v>931</v>
      </c>
      <c r="C88" s="4" t="s">
        <v>932</v>
      </c>
      <c r="D88" s="3">
        <v>1</v>
      </c>
      <c r="E88" s="3" t="s">
        <v>16</v>
      </c>
      <c r="F88" s="3" t="s">
        <v>291</v>
      </c>
      <c r="G88" s="3" t="s">
        <v>26</v>
      </c>
      <c r="H88" s="3" t="s">
        <v>165</v>
      </c>
    </row>
    <row r="89" spans="1:8" x14ac:dyDescent="0.2">
      <c r="A89" s="3">
        <v>3040321001</v>
      </c>
      <c r="B89" s="4" t="s">
        <v>490</v>
      </c>
      <c r="C89" s="4" t="s">
        <v>347</v>
      </c>
      <c r="D89" s="3">
        <v>4</v>
      </c>
      <c r="E89" s="3" t="s">
        <v>16</v>
      </c>
      <c r="F89" s="3" t="s">
        <v>293</v>
      </c>
      <c r="G89" s="3" t="s">
        <v>29</v>
      </c>
      <c r="H89" s="3" t="s">
        <v>173</v>
      </c>
    </row>
    <row r="90" spans="1:8" x14ac:dyDescent="0.2">
      <c r="A90" s="3">
        <v>3020502015</v>
      </c>
      <c r="B90" s="4" t="s">
        <v>183</v>
      </c>
      <c r="C90" s="4" t="s">
        <v>933</v>
      </c>
      <c r="D90" s="3">
        <v>1</v>
      </c>
      <c r="E90" s="3" t="s">
        <v>16</v>
      </c>
      <c r="F90" s="3" t="s">
        <v>291</v>
      </c>
      <c r="G90" s="3" t="s">
        <v>26</v>
      </c>
      <c r="H90" s="3" t="s">
        <v>185</v>
      </c>
    </row>
    <row r="91" spans="1:8" x14ac:dyDescent="0.2">
      <c r="A91" s="3">
        <v>3040214006</v>
      </c>
      <c r="B91" s="4" t="s">
        <v>934</v>
      </c>
      <c r="C91" s="4" t="s">
        <v>935</v>
      </c>
      <c r="D91" s="3">
        <v>1</v>
      </c>
      <c r="E91" s="3" t="s">
        <v>16</v>
      </c>
      <c r="F91" s="3" t="s">
        <v>293</v>
      </c>
      <c r="G91" s="3" t="s">
        <v>29</v>
      </c>
      <c r="H91" s="3" t="s">
        <v>494</v>
      </c>
    </row>
    <row r="92" spans="1:8" x14ac:dyDescent="0.2">
      <c r="A92" s="3">
        <v>3040214007</v>
      </c>
      <c r="B92" s="4" t="s">
        <v>934</v>
      </c>
      <c r="C92" s="4" t="s">
        <v>936</v>
      </c>
      <c r="D92" s="3">
        <v>1</v>
      </c>
      <c r="E92" s="3" t="s">
        <v>16</v>
      </c>
      <c r="F92" s="3" t="s">
        <v>293</v>
      </c>
      <c r="G92" s="3" t="s">
        <v>29</v>
      </c>
      <c r="H92" s="3" t="s">
        <v>494</v>
      </c>
    </row>
    <row r="93" spans="1:8" x14ac:dyDescent="0.2">
      <c r="A93" s="3">
        <v>3110208005</v>
      </c>
      <c r="B93" s="4" t="s">
        <v>939</v>
      </c>
      <c r="C93" s="4" t="s">
        <v>940</v>
      </c>
      <c r="D93" s="3">
        <v>1</v>
      </c>
      <c r="E93" s="3" t="s">
        <v>16</v>
      </c>
      <c r="F93" s="3" t="s">
        <v>295</v>
      </c>
      <c r="G93" s="3" t="s">
        <v>17</v>
      </c>
      <c r="H93" s="3" t="s">
        <v>187</v>
      </c>
    </row>
    <row r="94" spans="1:8" x14ac:dyDescent="0.2">
      <c r="A94" s="3">
        <v>3110202003</v>
      </c>
      <c r="B94" s="4" t="s">
        <v>188</v>
      </c>
      <c r="C94" s="4" t="s">
        <v>941</v>
      </c>
      <c r="D94" s="3">
        <v>1</v>
      </c>
      <c r="E94" s="3" t="s">
        <v>16</v>
      </c>
      <c r="F94" s="3" t="s">
        <v>295</v>
      </c>
      <c r="G94" s="3" t="s">
        <v>17</v>
      </c>
      <c r="H94" s="3" t="s">
        <v>187</v>
      </c>
    </row>
    <row r="95" spans="1:8" x14ac:dyDescent="0.2">
      <c r="A95" s="3">
        <v>404100056</v>
      </c>
      <c r="B95" s="4" t="s">
        <v>942</v>
      </c>
      <c r="C95" s="4" t="s">
        <v>943</v>
      </c>
      <c r="D95" s="3">
        <v>1</v>
      </c>
      <c r="E95" s="3" t="s">
        <v>16</v>
      </c>
      <c r="F95" s="3" t="s">
        <v>301</v>
      </c>
      <c r="G95" s="3" t="s">
        <v>32</v>
      </c>
      <c r="H95" s="3" t="s">
        <v>198</v>
      </c>
    </row>
    <row r="96" spans="1:8" x14ac:dyDescent="0.2">
      <c r="A96" s="3">
        <v>404100057</v>
      </c>
      <c r="B96" s="4" t="s">
        <v>942</v>
      </c>
      <c r="C96" s="4" t="s">
        <v>944</v>
      </c>
      <c r="D96" s="3">
        <v>1</v>
      </c>
      <c r="E96" s="3" t="s">
        <v>16</v>
      </c>
      <c r="F96" s="3" t="s">
        <v>301</v>
      </c>
      <c r="G96" s="3" t="s">
        <v>32</v>
      </c>
      <c r="H96" s="3" t="s">
        <v>198</v>
      </c>
    </row>
    <row r="97" spans="1:8" x14ac:dyDescent="0.2">
      <c r="A97" s="3">
        <v>401070018</v>
      </c>
      <c r="B97" s="4" t="s">
        <v>35</v>
      </c>
      <c r="C97" s="4" t="s">
        <v>202</v>
      </c>
      <c r="D97" s="3">
        <v>1</v>
      </c>
      <c r="E97" s="3" t="s">
        <v>16</v>
      </c>
      <c r="F97" s="3" t="s">
        <v>301</v>
      </c>
      <c r="G97" s="3" t="s">
        <v>32</v>
      </c>
      <c r="H97" s="3" t="s">
        <v>198</v>
      </c>
    </row>
    <row r="98" spans="1:8" x14ac:dyDescent="0.2">
      <c r="A98" s="3">
        <v>401070022</v>
      </c>
      <c r="B98" s="4" t="s">
        <v>35</v>
      </c>
      <c r="C98" s="4" t="s">
        <v>203</v>
      </c>
      <c r="D98" s="3">
        <v>1</v>
      </c>
      <c r="E98" s="3" t="s">
        <v>16</v>
      </c>
      <c r="F98" s="3" t="s">
        <v>301</v>
      </c>
      <c r="G98" s="3" t="s">
        <v>32</v>
      </c>
      <c r="H98" s="3" t="s">
        <v>198</v>
      </c>
    </row>
    <row r="99" spans="1:8" x14ac:dyDescent="0.2">
      <c r="A99" s="3">
        <v>3030201012</v>
      </c>
      <c r="B99" s="4" t="s">
        <v>950</v>
      </c>
      <c r="C99" s="4" t="s">
        <v>951</v>
      </c>
      <c r="D99" s="3">
        <v>2</v>
      </c>
      <c r="E99" s="3" t="s">
        <v>16</v>
      </c>
      <c r="F99" s="3" t="s">
        <v>295</v>
      </c>
      <c r="G99" s="3" t="s">
        <v>17</v>
      </c>
      <c r="H99" s="3" t="s">
        <v>214</v>
      </c>
    </row>
    <row r="100" spans="1:8" x14ac:dyDescent="0.2">
      <c r="A100" s="3">
        <v>3049904001</v>
      </c>
      <c r="B100" s="4" t="s">
        <v>354</v>
      </c>
      <c r="C100" s="4" t="s">
        <v>355</v>
      </c>
      <c r="D100" s="3">
        <v>4</v>
      </c>
      <c r="E100" s="3" t="s">
        <v>16</v>
      </c>
      <c r="F100" s="3" t="s">
        <v>293</v>
      </c>
      <c r="G100" s="3" t="s">
        <v>29</v>
      </c>
      <c r="H100" s="3" t="s">
        <v>214</v>
      </c>
    </row>
    <row r="101" spans="1:8" x14ac:dyDescent="0.2">
      <c r="A101" s="3">
        <v>3049902001</v>
      </c>
      <c r="B101" s="4" t="s">
        <v>518</v>
      </c>
      <c r="C101" s="4" t="s">
        <v>355</v>
      </c>
      <c r="D101" s="3">
        <v>2</v>
      </c>
      <c r="E101" s="3" t="s">
        <v>16</v>
      </c>
      <c r="F101" s="3" t="s">
        <v>293</v>
      </c>
      <c r="G101" s="3" t="s">
        <v>29</v>
      </c>
      <c r="H101" s="3" t="s">
        <v>214</v>
      </c>
    </row>
    <row r="102" spans="1:8" x14ac:dyDescent="0.2">
      <c r="A102" s="3">
        <v>3050206007</v>
      </c>
      <c r="B102" s="4" t="s">
        <v>952</v>
      </c>
      <c r="C102" s="4" t="s">
        <v>953</v>
      </c>
      <c r="D102" s="3">
        <v>2</v>
      </c>
      <c r="E102" s="3" t="s">
        <v>16</v>
      </c>
      <c r="F102" s="3" t="s">
        <v>293</v>
      </c>
      <c r="G102" s="3" t="s">
        <v>29</v>
      </c>
      <c r="H102" s="3" t="s">
        <v>214</v>
      </c>
    </row>
    <row r="103" spans="1:8" x14ac:dyDescent="0.2">
      <c r="A103" s="3">
        <v>3070105006</v>
      </c>
      <c r="B103" s="4" t="s">
        <v>954</v>
      </c>
      <c r="C103" s="4" t="s">
        <v>955</v>
      </c>
      <c r="D103" s="3">
        <v>1</v>
      </c>
      <c r="E103" s="3" t="s">
        <v>16</v>
      </c>
      <c r="F103" s="3" t="s">
        <v>317</v>
      </c>
      <c r="G103" s="3" t="s">
        <v>318</v>
      </c>
      <c r="H103" s="3" t="s">
        <v>214</v>
      </c>
    </row>
    <row r="104" spans="1:8" x14ac:dyDescent="0.2">
      <c r="A104" s="3">
        <v>3070105005</v>
      </c>
      <c r="B104" s="4" t="s">
        <v>956</v>
      </c>
      <c r="C104" s="4" t="s">
        <v>955</v>
      </c>
      <c r="D104" s="3">
        <v>1</v>
      </c>
      <c r="E104" s="3" t="s">
        <v>16</v>
      </c>
      <c r="F104" s="3" t="s">
        <v>317</v>
      </c>
      <c r="G104" s="3" t="s">
        <v>318</v>
      </c>
      <c r="H104" s="3" t="s">
        <v>214</v>
      </c>
    </row>
    <row r="105" spans="1:8" x14ac:dyDescent="0.2">
      <c r="A105" s="3">
        <v>3060403048</v>
      </c>
      <c r="B105" s="4" t="s">
        <v>957</v>
      </c>
      <c r="C105" s="4" t="s">
        <v>958</v>
      </c>
      <c r="D105" s="3">
        <v>1</v>
      </c>
      <c r="E105" s="3" t="s">
        <v>16</v>
      </c>
      <c r="F105" s="3" t="s">
        <v>289</v>
      </c>
      <c r="G105" s="3" t="s">
        <v>23</v>
      </c>
      <c r="H105" s="3" t="s">
        <v>221</v>
      </c>
    </row>
    <row r="106" spans="1:8" x14ac:dyDescent="0.2">
      <c r="A106" s="3">
        <v>3060403049</v>
      </c>
      <c r="B106" s="4" t="s">
        <v>957</v>
      </c>
      <c r="C106" s="4" t="s">
        <v>959</v>
      </c>
      <c r="D106" s="3">
        <v>1</v>
      </c>
      <c r="E106" s="3" t="s">
        <v>16</v>
      </c>
      <c r="F106" s="3" t="s">
        <v>289</v>
      </c>
      <c r="G106" s="3" t="s">
        <v>23</v>
      </c>
      <c r="H106" s="3" t="s">
        <v>221</v>
      </c>
    </row>
    <row r="107" spans="1:8" x14ac:dyDescent="0.2">
      <c r="A107" s="3">
        <v>3030101065</v>
      </c>
      <c r="B107" s="4" t="s">
        <v>636</v>
      </c>
      <c r="C107" s="4" t="s">
        <v>960</v>
      </c>
      <c r="D107" s="3">
        <v>1</v>
      </c>
      <c r="E107" s="3" t="s">
        <v>16</v>
      </c>
      <c r="F107" s="3" t="s">
        <v>295</v>
      </c>
      <c r="G107" s="3" t="s">
        <v>17</v>
      </c>
      <c r="H107" s="3" t="s">
        <v>221</v>
      </c>
    </row>
    <row r="108" spans="1:8" x14ac:dyDescent="0.2">
      <c r="A108" s="3">
        <v>3040403003</v>
      </c>
      <c r="B108" s="4" t="s">
        <v>961</v>
      </c>
      <c r="C108" s="4" t="s">
        <v>962</v>
      </c>
      <c r="D108" s="3">
        <v>1</v>
      </c>
      <c r="E108" s="3" t="s">
        <v>16</v>
      </c>
      <c r="F108" s="3" t="s">
        <v>293</v>
      </c>
      <c r="G108" s="3" t="s">
        <v>29</v>
      </c>
      <c r="H108" s="3" t="s">
        <v>221</v>
      </c>
    </row>
    <row r="109" spans="1:8" x14ac:dyDescent="0.2">
      <c r="A109" s="3">
        <v>3040403004</v>
      </c>
      <c r="B109" s="4" t="s">
        <v>961</v>
      </c>
      <c r="C109" s="4" t="s">
        <v>963</v>
      </c>
      <c r="D109" s="3">
        <v>1</v>
      </c>
      <c r="E109" s="3" t="s">
        <v>16</v>
      </c>
      <c r="F109" s="3" t="s">
        <v>293</v>
      </c>
      <c r="G109" s="3" t="s">
        <v>29</v>
      </c>
      <c r="H109" s="3" t="s">
        <v>221</v>
      </c>
    </row>
    <row r="110" spans="1:8" x14ac:dyDescent="0.2">
      <c r="A110" s="3">
        <v>3040402102</v>
      </c>
      <c r="B110" s="4" t="s">
        <v>500</v>
      </c>
      <c r="C110" s="4" t="s">
        <v>962</v>
      </c>
      <c r="D110" s="3">
        <v>1</v>
      </c>
      <c r="E110" s="3" t="s">
        <v>16</v>
      </c>
      <c r="F110" s="3" t="s">
        <v>293</v>
      </c>
      <c r="G110" s="3" t="s">
        <v>29</v>
      </c>
      <c r="H110" s="3" t="s">
        <v>221</v>
      </c>
    </row>
    <row r="111" spans="1:8" x14ac:dyDescent="0.2">
      <c r="A111" s="3">
        <v>3040402103</v>
      </c>
      <c r="B111" s="4" t="s">
        <v>500</v>
      </c>
      <c r="C111" s="4" t="s">
        <v>963</v>
      </c>
      <c r="D111" s="3">
        <v>1</v>
      </c>
      <c r="E111" s="3" t="s">
        <v>16</v>
      </c>
      <c r="F111" s="3" t="s">
        <v>293</v>
      </c>
      <c r="G111" s="3" t="s">
        <v>29</v>
      </c>
      <c r="H111" s="3" t="s">
        <v>221</v>
      </c>
    </row>
    <row r="112" spans="1:8" x14ac:dyDescent="0.2">
      <c r="A112" s="3">
        <v>408120112</v>
      </c>
      <c r="B112" s="4" t="s">
        <v>525</v>
      </c>
      <c r="C112" s="4" t="s">
        <v>967</v>
      </c>
      <c r="D112" s="3">
        <v>2</v>
      </c>
      <c r="E112" s="3" t="s">
        <v>16</v>
      </c>
      <c r="F112" s="3" t="s">
        <v>289</v>
      </c>
      <c r="G112" s="3" t="s">
        <v>23</v>
      </c>
      <c r="H112" s="3" t="s">
        <v>524</v>
      </c>
    </row>
    <row r="113" spans="1:8" x14ac:dyDescent="0.2">
      <c r="A113" s="3">
        <v>408120101</v>
      </c>
      <c r="B113" s="4" t="s">
        <v>525</v>
      </c>
      <c r="C113" s="4" t="s">
        <v>964</v>
      </c>
      <c r="D113" s="3">
        <v>2</v>
      </c>
      <c r="E113" s="3" t="s">
        <v>16</v>
      </c>
      <c r="F113" s="3" t="s">
        <v>289</v>
      </c>
      <c r="G113" s="3" t="s">
        <v>23</v>
      </c>
      <c r="H113" s="3" t="s">
        <v>524</v>
      </c>
    </row>
    <row r="114" spans="1:8" x14ac:dyDescent="0.2">
      <c r="A114" s="3">
        <v>408120103</v>
      </c>
      <c r="B114" s="4" t="s">
        <v>525</v>
      </c>
      <c r="C114" s="4" t="s">
        <v>965</v>
      </c>
      <c r="D114" s="3">
        <v>2</v>
      </c>
      <c r="E114" s="3" t="s">
        <v>16</v>
      </c>
      <c r="F114" s="3" t="s">
        <v>289</v>
      </c>
      <c r="G114" s="3" t="s">
        <v>23</v>
      </c>
      <c r="H114" s="3" t="s">
        <v>524</v>
      </c>
    </row>
    <row r="115" spans="1:8" x14ac:dyDescent="0.2">
      <c r="A115" s="3">
        <v>408120104</v>
      </c>
      <c r="B115" s="4" t="s">
        <v>525</v>
      </c>
      <c r="C115" s="4" t="s">
        <v>966</v>
      </c>
      <c r="D115" s="3">
        <v>2</v>
      </c>
      <c r="E115" s="3" t="s">
        <v>16</v>
      </c>
      <c r="F115" s="3" t="s">
        <v>289</v>
      </c>
      <c r="G115" s="3" t="s">
        <v>23</v>
      </c>
      <c r="H115" s="3" t="s">
        <v>524</v>
      </c>
    </row>
    <row r="116" spans="1:8" x14ac:dyDescent="0.2">
      <c r="A116" s="3">
        <v>408120052</v>
      </c>
      <c r="B116" s="4" t="s">
        <v>525</v>
      </c>
      <c r="C116" s="4" t="s">
        <v>968</v>
      </c>
      <c r="D116" s="3">
        <v>2</v>
      </c>
      <c r="E116" s="3" t="s">
        <v>16</v>
      </c>
      <c r="F116" s="3" t="s">
        <v>317</v>
      </c>
      <c r="G116" s="3" t="s">
        <v>318</v>
      </c>
      <c r="H116" s="3" t="s">
        <v>524</v>
      </c>
    </row>
    <row r="117" spans="1:8" x14ac:dyDescent="0.2">
      <c r="A117" s="3">
        <v>408120102</v>
      </c>
      <c r="B117" s="4" t="s">
        <v>525</v>
      </c>
      <c r="C117" s="4" t="s">
        <v>969</v>
      </c>
      <c r="D117" s="3">
        <v>2</v>
      </c>
      <c r="E117" s="3" t="s">
        <v>16</v>
      </c>
      <c r="F117" s="3" t="s">
        <v>317</v>
      </c>
      <c r="G117" s="3" t="s">
        <v>318</v>
      </c>
      <c r="H117" s="3" t="s">
        <v>524</v>
      </c>
    </row>
    <row r="118" spans="1:8" x14ac:dyDescent="0.2">
      <c r="A118" s="3">
        <v>408120111</v>
      </c>
      <c r="B118" s="4" t="s">
        <v>525</v>
      </c>
      <c r="C118" s="4" t="s">
        <v>971</v>
      </c>
      <c r="D118" s="3">
        <v>1</v>
      </c>
      <c r="E118" s="3" t="s">
        <v>16</v>
      </c>
      <c r="F118" s="3" t="s">
        <v>291</v>
      </c>
      <c r="G118" s="3" t="s">
        <v>26</v>
      </c>
      <c r="H118" s="3" t="s">
        <v>524</v>
      </c>
    </row>
    <row r="119" spans="1:8" x14ac:dyDescent="0.2">
      <c r="A119" s="3">
        <v>408120103</v>
      </c>
      <c r="B119" s="4" t="s">
        <v>525</v>
      </c>
      <c r="C119" s="4" t="s">
        <v>965</v>
      </c>
      <c r="D119" s="3">
        <v>2</v>
      </c>
      <c r="E119" s="3" t="s">
        <v>16</v>
      </c>
      <c r="F119" s="3" t="s">
        <v>291</v>
      </c>
      <c r="G119" s="3" t="s">
        <v>26</v>
      </c>
      <c r="H119" s="3" t="s">
        <v>524</v>
      </c>
    </row>
    <row r="120" spans="1:8" x14ac:dyDescent="0.2">
      <c r="A120" s="3">
        <v>408120101</v>
      </c>
      <c r="B120" s="4" t="s">
        <v>525</v>
      </c>
      <c r="C120" s="4" t="s">
        <v>964</v>
      </c>
      <c r="D120" s="3">
        <v>2</v>
      </c>
      <c r="E120" s="3" t="s">
        <v>16</v>
      </c>
      <c r="F120" s="3" t="s">
        <v>291</v>
      </c>
      <c r="G120" s="3" t="s">
        <v>26</v>
      </c>
      <c r="H120" s="3" t="s">
        <v>524</v>
      </c>
    </row>
    <row r="121" spans="1:8" x14ac:dyDescent="0.2">
      <c r="A121" s="3">
        <v>407010351</v>
      </c>
      <c r="B121" s="4" t="s">
        <v>149</v>
      </c>
      <c r="C121" s="4" t="s">
        <v>1077</v>
      </c>
      <c r="D121" s="3">
        <v>1</v>
      </c>
      <c r="E121" s="3" t="s">
        <v>16</v>
      </c>
      <c r="F121" s="3" t="s">
        <v>301</v>
      </c>
      <c r="G121" s="3" t="s">
        <v>32</v>
      </c>
      <c r="H121" s="3" t="s">
        <v>524</v>
      </c>
    </row>
    <row r="122" spans="1:8" x14ac:dyDescent="0.2">
      <c r="A122" s="3">
        <v>3010199161</v>
      </c>
      <c r="B122" s="4" t="s">
        <v>972</v>
      </c>
      <c r="C122" s="4" t="s">
        <v>973</v>
      </c>
      <c r="D122" s="3">
        <v>7.0000000000000007E-2</v>
      </c>
      <c r="E122" s="3" t="s">
        <v>10</v>
      </c>
      <c r="F122" s="3" t="s">
        <v>303</v>
      </c>
      <c r="G122" s="3" t="s">
        <v>304</v>
      </c>
      <c r="H122" s="3" t="s">
        <v>974</v>
      </c>
    </row>
    <row r="123" spans="1:8" x14ac:dyDescent="0.2">
      <c r="A123" s="3">
        <v>3060354047</v>
      </c>
      <c r="B123" s="4" t="s">
        <v>975</v>
      </c>
      <c r="C123" s="4" t="s">
        <v>976</v>
      </c>
      <c r="D123" s="3">
        <v>5</v>
      </c>
      <c r="E123" s="3" t="s">
        <v>16</v>
      </c>
      <c r="F123" s="3" t="s">
        <v>702</v>
      </c>
      <c r="G123" s="3" t="s">
        <v>703</v>
      </c>
      <c r="H123" s="3" t="s">
        <v>370</v>
      </c>
    </row>
    <row r="124" spans="1:8" x14ac:dyDescent="0.2">
      <c r="A124" s="3">
        <v>3060354050</v>
      </c>
      <c r="B124" s="4" t="s">
        <v>978</v>
      </c>
      <c r="C124" s="4" t="s">
        <v>976</v>
      </c>
      <c r="D124" s="3">
        <v>1</v>
      </c>
      <c r="E124" s="3" t="s">
        <v>16</v>
      </c>
      <c r="F124" s="3" t="s">
        <v>702</v>
      </c>
      <c r="G124" s="3" t="s">
        <v>703</v>
      </c>
      <c r="H124" s="3" t="s">
        <v>370</v>
      </c>
    </row>
    <row r="125" spans="1:8" x14ac:dyDescent="0.2">
      <c r="A125" s="3">
        <v>3060354051</v>
      </c>
      <c r="B125" s="4" t="s">
        <v>979</v>
      </c>
      <c r="C125" s="4" t="s">
        <v>976</v>
      </c>
      <c r="D125" s="3">
        <v>2</v>
      </c>
      <c r="E125" s="3" t="s">
        <v>16</v>
      </c>
      <c r="F125" s="3" t="s">
        <v>702</v>
      </c>
      <c r="G125" s="3" t="s">
        <v>703</v>
      </c>
      <c r="H125" s="3" t="s">
        <v>370</v>
      </c>
    </row>
    <row r="126" spans="1:8" x14ac:dyDescent="0.2">
      <c r="A126" s="3">
        <v>3060354094</v>
      </c>
      <c r="B126" s="4" t="s">
        <v>981</v>
      </c>
      <c r="C126" s="4" t="s">
        <v>976</v>
      </c>
      <c r="D126" s="3">
        <v>1</v>
      </c>
      <c r="E126" s="3" t="s">
        <v>16</v>
      </c>
      <c r="F126" s="3" t="s">
        <v>702</v>
      </c>
      <c r="G126" s="3" t="s">
        <v>703</v>
      </c>
      <c r="H126" s="3" t="s">
        <v>370</v>
      </c>
    </row>
    <row r="127" spans="1:8" x14ac:dyDescent="0.2">
      <c r="A127" s="3">
        <v>3099980090</v>
      </c>
      <c r="B127" s="4" t="s">
        <v>982</v>
      </c>
      <c r="C127" s="4" t="s">
        <v>983</v>
      </c>
      <c r="D127" s="3">
        <v>1</v>
      </c>
      <c r="E127" s="3" t="s">
        <v>16</v>
      </c>
      <c r="F127" s="3" t="s">
        <v>289</v>
      </c>
      <c r="G127" s="3" t="s">
        <v>23</v>
      </c>
      <c r="H127" s="3" t="s">
        <v>370</v>
      </c>
    </row>
    <row r="128" spans="1:8" x14ac:dyDescent="0.2">
      <c r="A128" s="3">
        <v>3040502092</v>
      </c>
      <c r="B128" s="4" t="s">
        <v>984</v>
      </c>
      <c r="C128" s="4" t="s">
        <v>985</v>
      </c>
      <c r="D128" s="3">
        <v>1</v>
      </c>
      <c r="E128" s="3" t="s">
        <v>16</v>
      </c>
      <c r="F128" s="3" t="s">
        <v>293</v>
      </c>
      <c r="G128" s="3" t="s">
        <v>29</v>
      </c>
      <c r="H128" s="3" t="s">
        <v>370</v>
      </c>
    </row>
    <row r="129" spans="1:8" x14ac:dyDescent="0.2">
      <c r="A129" s="3">
        <v>3040502093</v>
      </c>
      <c r="B129" s="4" t="s">
        <v>984</v>
      </c>
      <c r="C129" s="4" t="s">
        <v>986</v>
      </c>
      <c r="D129" s="3">
        <v>1</v>
      </c>
      <c r="E129" s="3" t="s">
        <v>16</v>
      </c>
      <c r="F129" s="3" t="s">
        <v>293</v>
      </c>
      <c r="G129" s="3" t="s">
        <v>29</v>
      </c>
      <c r="H129" s="3" t="s">
        <v>370</v>
      </c>
    </row>
    <row r="130" spans="1:8" x14ac:dyDescent="0.2">
      <c r="A130" s="3">
        <v>3050307068</v>
      </c>
      <c r="B130" s="4" t="s">
        <v>987</v>
      </c>
      <c r="C130" s="4" t="s">
        <v>988</v>
      </c>
      <c r="D130" s="3">
        <v>1</v>
      </c>
      <c r="E130" s="3" t="s">
        <v>16</v>
      </c>
      <c r="F130" s="3" t="s">
        <v>291</v>
      </c>
      <c r="G130" s="3" t="s">
        <v>26</v>
      </c>
      <c r="H130" s="3" t="s">
        <v>370</v>
      </c>
    </row>
    <row r="131" spans="1:8" x14ac:dyDescent="0.2">
      <c r="A131" s="3">
        <v>3060354087</v>
      </c>
      <c r="B131" s="4" t="s">
        <v>1078</v>
      </c>
      <c r="C131" s="4" t="s">
        <v>1079</v>
      </c>
      <c r="D131" s="3">
        <v>1</v>
      </c>
      <c r="E131" s="3" t="s">
        <v>16</v>
      </c>
      <c r="F131" s="3" t="s">
        <v>289</v>
      </c>
      <c r="G131" s="3" t="s">
        <v>23</v>
      </c>
      <c r="H131" s="3" t="s">
        <v>226</v>
      </c>
    </row>
    <row r="132" spans="1:8" x14ac:dyDescent="0.2">
      <c r="A132" s="3">
        <v>3060311017</v>
      </c>
      <c r="B132" s="4" t="s">
        <v>991</v>
      </c>
      <c r="C132" s="4" t="s">
        <v>992</v>
      </c>
      <c r="D132" s="3">
        <v>1</v>
      </c>
      <c r="E132" s="3" t="s">
        <v>16</v>
      </c>
      <c r="F132" s="3" t="s">
        <v>289</v>
      </c>
      <c r="G132" s="3" t="s">
        <v>23</v>
      </c>
      <c r="H132" s="3" t="s">
        <v>226</v>
      </c>
    </row>
    <row r="133" spans="1:8" x14ac:dyDescent="0.2">
      <c r="A133" s="3">
        <v>3060311014</v>
      </c>
      <c r="B133" s="4" t="s">
        <v>991</v>
      </c>
      <c r="C133" s="4" t="s">
        <v>993</v>
      </c>
      <c r="D133" s="3">
        <v>1</v>
      </c>
      <c r="E133" s="3" t="s">
        <v>16</v>
      </c>
      <c r="F133" s="3" t="s">
        <v>289</v>
      </c>
      <c r="G133" s="3" t="s">
        <v>23</v>
      </c>
      <c r="H133" s="3" t="s">
        <v>226</v>
      </c>
    </row>
    <row r="134" spans="1:8" x14ac:dyDescent="0.2">
      <c r="A134" s="3">
        <v>3060303005</v>
      </c>
      <c r="B134" s="4" t="s">
        <v>994</v>
      </c>
      <c r="C134" s="4" t="s">
        <v>995</v>
      </c>
      <c r="D134" s="3">
        <v>2</v>
      </c>
      <c r="E134" s="3" t="s">
        <v>16</v>
      </c>
      <c r="F134" s="3" t="s">
        <v>289</v>
      </c>
      <c r="G134" s="3" t="s">
        <v>23</v>
      </c>
      <c r="H134" s="3" t="s">
        <v>226</v>
      </c>
    </row>
    <row r="135" spans="1:8" x14ac:dyDescent="0.2">
      <c r="A135" s="3">
        <v>3060354056</v>
      </c>
      <c r="B135" s="4" t="s">
        <v>1080</v>
      </c>
      <c r="C135" s="4" t="s">
        <v>997</v>
      </c>
      <c r="D135" s="3">
        <v>1</v>
      </c>
      <c r="E135" s="3" t="s">
        <v>16</v>
      </c>
      <c r="F135" s="3" t="s">
        <v>702</v>
      </c>
      <c r="G135" s="3" t="s">
        <v>703</v>
      </c>
      <c r="H135" s="3" t="s">
        <v>226</v>
      </c>
    </row>
    <row r="136" spans="1:8" x14ac:dyDescent="0.2">
      <c r="A136" s="3">
        <v>3060349010</v>
      </c>
      <c r="B136" s="4" t="s">
        <v>999</v>
      </c>
      <c r="C136" s="4" t="s">
        <v>1000</v>
      </c>
      <c r="D136" s="3">
        <v>3</v>
      </c>
      <c r="E136" s="3" t="s">
        <v>16</v>
      </c>
      <c r="F136" s="3" t="s">
        <v>702</v>
      </c>
      <c r="G136" s="3" t="s">
        <v>703</v>
      </c>
      <c r="H136" s="3" t="s">
        <v>226</v>
      </c>
    </row>
    <row r="137" spans="1:8" x14ac:dyDescent="0.2">
      <c r="A137" s="3">
        <v>3060349011</v>
      </c>
      <c r="B137" s="4" t="s">
        <v>1001</v>
      </c>
      <c r="C137" s="4" t="s">
        <v>1000</v>
      </c>
      <c r="D137" s="3">
        <v>1</v>
      </c>
      <c r="E137" s="3" t="s">
        <v>16</v>
      </c>
      <c r="F137" s="3" t="s">
        <v>702</v>
      </c>
      <c r="G137" s="3" t="s">
        <v>703</v>
      </c>
      <c r="H137" s="3" t="s">
        <v>226</v>
      </c>
    </row>
    <row r="138" spans="1:8" x14ac:dyDescent="0.2">
      <c r="A138" s="3">
        <v>3060349009</v>
      </c>
      <c r="B138" s="4" t="s">
        <v>1002</v>
      </c>
      <c r="C138" s="4" t="s">
        <v>1000</v>
      </c>
      <c r="D138" s="3">
        <v>11</v>
      </c>
      <c r="E138" s="3" t="s">
        <v>16</v>
      </c>
      <c r="F138" s="3" t="s">
        <v>702</v>
      </c>
      <c r="G138" s="3" t="s">
        <v>703</v>
      </c>
      <c r="H138" s="3" t="s">
        <v>226</v>
      </c>
    </row>
    <row r="139" spans="1:8" x14ac:dyDescent="0.2">
      <c r="A139" s="3">
        <v>3060349012</v>
      </c>
      <c r="B139" s="4" t="s">
        <v>1003</v>
      </c>
      <c r="C139" s="4" t="s">
        <v>1000</v>
      </c>
      <c r="D139" s="3">
        <v>3</v>
      </c>
      <c r="E139" s="3" t="s">
        <v>16</v>
      </c>
      <c r="F139" s="3" t="s">
        <v>702</v>
      </c>
      <c r="G139" s="3" t="s">
        <v>703</v>
      </c>
      <c r="H139" s="3" t="s">
        <v>226</v>
      </c>
    </row>
    <row r="140" spans="1:8" x14ac:dyDescent="0.2">
      <c r="A140" s="3">
        <v>3069907007</v>
      </c>
      <c r="B140" s="4" t="s">
        <v>1004</v>
      </c>
      <c r="C140" s="4" t="s">
        <v>908</v>
      </c>
      <c r="D140" s="3">
        <v>9</v>
      </c>
      <c r="E140" s="3" t="s">
        <v>16</v>
      </c>
      <c r="F140" s="3" t="s">
        <v>702</v>
      </c>
      <c r="G140" s="3" t="s">
        <v>703</v>
      </c>
      <c r="H140" s="3" t="s">
        <v>226</v>
      </c>
    </row>
    <row r="141" spans="1:8" x14ac:dyDescent="0.2">
      <c r="A141" s="3">
        <v>3069907037</v>
      </c>
      <c r="B141" s="4" t="s">
        <v>1005</v>
      </c>
      <c r="C141" s="4" t="s">
        <v>1006</v>
      </c>
      <c r="D141" s="3">
        <v>1</v>
      </c>
      <c r="E141" s="3" t="s">
        <v>16</v>
      </c>
      <c r="F141" s="3" t="s">
        <v>702</v>
      </c>
      <c r="G141" s="3" t="s">
        <v>703</v>
      </c>
      <c r="H141" s="3" t="s">
        <v>226</v>
      </c>
    </row>
    <row r="142" spans="1:8" x14ac:dyDescent="0.2">
      <c r="A142" s="3">
        <v>3069907006</v>
      </c>
      <c r="B142" s="4" t="s">
        <v>1008</v>
      </c>
      <c r="C142" s="4" t="s">
        <v>1009</v>
      </c>
      <c r="D142" s="3">
        <v>1</v>
      </c>
      <c r="E142" s="3" t="s">
        <v>16</v>
      </c>
      <c r="F142" s="3" t="s">
        <v>285</v>
      </c>
      <c r="G142" s="3" t="s">
        <v>142</v>
      </c>
      <c r="H142" s="3" t="s">
        <v>226</v>
      </c>
    </row>
    <row r="143" spans="1:8" x14ac:dyDescent="0.2">
      <c r="A143" s="3">
        <v>3060354053</v>
      </c>
      <c r="B143" s="4" t="s">
        <v>1010</v>
      </c>
      <c r="C143" s="4" t="s">
        <v>1011</v>
      </c>
      <c r="D143" s="3">
        <v>1</v>
      </c>
      <c r="E143" s="3" t="s">
        <v>16</v>
      </c>
      <c r="F143" s="3" t="s">
        <v>285</v>
      </c>
      <c r="G143" s="3" t="s">
        <v>142</v>
      </c>
      <c r="H143" s="3" t="s">
        <v>226</v>
      </c>
    </row>
    <row r="144" spans="1:8" x14ac:dyDescent="0.2">
      <c r="A144" s="3">
        <v>3060404049</v>
      </c>
      <c r="B144" s="4" t="s">
        <v>729</v>
      </c>
      <c r="C144" s="4" t="s">
        <v>1012</v>
      </c>
      <c r="D144" s="3">
        <v>1</v>
      </c>
      <c r="E144" s="3" t="s">
        <v>16</v>
      </c>
      <c r="F144" s="3" t="s">
        <v>289</v>
      </c>
      <c r="G144" s="3" t="s">
        <v>23</v>
      </c>
      <c r="H144" s="3" t="s">
        <v>226</v>
      </c>
    </row>
    <row r="145" spans="1:8" x14ac:dyDescent="0.2">
      <c r="A145" s="3">
        <v>3060354054</v>
      </c>
      <c r="B145" s="4" t="s">
        <v>1013</v>
      </c>
      <c r="C145" s="4" t="s">
        <v>1014</v>
      </c>
      <c r="D145" s="3">
        <v>2</v>
      </c>
      <c r="E145" s="3" t="s">
        <v>16</v>
      </c>
      <c r="F145" s="3" t="s">
        <v>285</v>
      </c>
      <c r="G145" s="3" t="s">
        <v>142</v>
      </c>
      <c r="H145" s="3" t="s">
        <v>226</v>
      </c>
    </row>
    <row r="146" spans="1:8" x14ac:dyDescent="0.2">
      <c r="A146" s="3">
        <v>3030302041</v>
      </c>
      <c r="B146" s="4" t="s">
        <v>1015</v>
      </c>
      <c r="C146" s="4" t="s">
        <v>1016</v>
      </c>
      <c r="D146" s="3">
        <v>1</v>
      </c>
      <c r="E146" s="3" t="s">
        <v>16</v>
      </c>
      <c r="F146" s="3" t="s">
        <v>295</v>
      </c>
      <c r="G146" s="3" t="s">
        <v>17</v>
      </c>
      <c r="H146" s="3" t="s">
        <v>226</v>
      </c>
    </row>
    <row r="147" spans="1:8" x14ac:dyDescent="0.2">
      <c r="A147" s="3">
        <v>3030302042</v>
      </c>
      <c r="B147" s="4" t="s">
        <v>1017</v>
      </c>
      <c r="C147" s="4" t="s">
        <v>1016</v>
      </c>
      <c r="D147" s="3">
        <v>1</v>
      </c>
      <c r="E147" s="3" t="s">
        <v>16</v>
      </c>
      <c r="F147" s="3" t="s">
        <v>295</v>
      </c>
      <c r="G147" s="3" t="s">
        <v>17</v>
      </c>
      <c r="H147" s="3" t="s">
        <v>226</v>
      </c>
    </row>
    <row r="148" spans="1:8" x14ac:dyDescent="0.2">
      <c r="A148" s="3">
        <v>3030302043</v>
      </c>
      <c r="B148" s="4" t="s">
        <v>1018</v>
      </c>
      <c r="C148" s="4" t="s">
        <v>1016</v>
      </c>
      <c r="D148" s="3">
        <v>2</v>
      </c>
      <c r="E148" s="3" t="s">
        <v>16</v>
      </c>
      <c r="F148" s="3" t="s">
        <v>295</v>
      </c>
      <c r="G148" s="3" t="s">
        <v>17</v>
      </c>
      <c r="H148" s="3" t="s">
        <v>226</v>
      </c>
    </row>
    <row r="149" spans="1:8" x14ac:dyDescent="0.2">
      <c r="A149" s="3">
        <v>3050305062</v>
      </c>
      <c r="B149" s="4" t="s">
        <v>527</v>
      </c>
      <c r="C149" s="4" t="s">
        <v>1019</v>
      </c>
      <c r="D149" s="3">
        <v>1</v>
      </c>
      <c r="E149" s="3" t="s">
        <v>16</v>
      </c>
      <c r="F149" s="3" t="s">
        <v>291</v>
      </c>
      <c r="G149" s="3" t="s">
        <v>26</v>
      </c>
      <c r="H149" s="3" t="s">
        <v>226</v>
      </c>
    </row>
    <row r="150" spans="1:8" x14ac:dyDescent="0.2">
      <c r="A150" s="3">
        <v>3030306048</v>
      </c>
      <c r="B150" s="4" t="s">
        <v>1020</v>
      </c>
      <c r="C150" s="4" t="s">
        <v>1021</v>
      </c>
      <c r="D150" s="3">
        <v>1</v>
      </c>
      <c r="E150" s="3" t="s">
        <v>16</v>
      </c>
      <c r="F150" s="3" t="s">
        <v>291</v>
      </c>
      <c r="G150" s="3" t="s">
        <v>26</v>
      </c>
      <c r="H150" s="3" t="s">
        <v>226</v>
      </c>
    </row>
    <row r="151" spans="1:8" x14ac:dyDescent="0.2">
      <c r="A151" s="3">
        <v>3030202028</v>
      </c>
      <c r="B151" s="4" t="s">
        <v>1022</v>
      </c>
      <c r="C151" s="4" t="s">
        <v>916</v>
      </c>
      <c r="D151" s="3">
        <v>1</v>
      </c>
      <c r="E151" s="3" t="s">
        <v>16</v>
      </c>
      <c r="F151" s="3" t="s">
        <v>295</v>
      </c>
      <c r="G151" s="3" t="s">
        <v>17</v>
      </c>
      <c r="H151" s="3" t="s">
        <v>226</v>
      </c>
    </row>
    <row r="152" spans="1:8" x14ac:dyDescent="0.2">
      <c r="A152" s="3">
        <v>3060354036</v>
      </c>
      <c r="B152" s="4" t="s">
        <v>1023</v>
      </c>
      <c r="C152" s="4" t="s">
        <v>1024</v>
      </c>
      <c r="D152" s="3">
        <v>4</v>
      </c>
      <c r="E152" s="3" t="s">
        <v>16</v>
      </c>
      <c r="F152" s="3" t="s">
        <v>289</v>
      </c>
      <c r="G152" s="3" t="s">
        <v>23</v>
      </c>
      <c r="H152" s="3" t="s">
        <v>226</v>
      </c>
    </row>
    <row r="153" spans="1:8" x14ac:dyDescent="0.2">
      <c r="A153" s="3">
        <v>3060354036</v>
      </c>
      <c r="B153" s="4" t="s">
        <v>1023</v>
      </c>
      <c r="C153" s="4" t="s">
        <v>1024</v>
      </c>
      <c r="D153" s="3">
        <v>2</v>
      </c>
      <c r="E153" s="3" t="s">
        <v>16</v>
      </c>
      <c r="F153" s="3" t="s">
        <v>291</v>
      </c>
      <c r="G153" s="3" t="s">
        <v>26</v>
      </c>
      <c r="H153" s="3" t="s">
        <v>226</v>
      </c>
    </row>
    <row r="154" spans="1:8" x14ac:dyDescent="0.2">
      <c r="A154" s="3">
        <v>3060354057</v>
      </c>
      <c r="B154" s="4" t="s">
        <v>1025</v>
      </c>
      <c r="C154" s="4" t="s">
        <v>1026</v>
      </c>
      <c r="D154" s="3">
        <v>2</v>
      </c>
      <c r="E154" s="3" t="s">
        <v>16</v>
      </c>
      <c r="F154" s="3" t="s">
        <v>291</v>
      </c>
      <c r="G154" s="3" t="s">
        <v>26</v>
      </c>
      <c r="H154" s="3" t="s">
        <v>226</v>
      </c>
    </row>
    <row r="155" spans="1:8" x14ac:dyDescent="0.2">
      <c r="A155" s="3">
        <v>3049902014</v>
      </c>
      <c r="B155" s="4" t="s">
        <v>383</v>
      </c>
      <c r="C155" s="4" t="s">
        <v>1027</v>
      </c>
      <c r="D155" s="3">
        <v>2</v>
      </c>
      <c r="E155" s="3" t="s">
        <v>16</v>
      </c>
      <c r="F155" s="3" t="s">
        <v>293</v>
      </c>
      <c r="G155" s="3" t="s">
        <v>29</v>
      </c>
      <c r="H155" s="3" t="s">
        <v>226</v>
      </c>
    </row>
    <row r="156" spans="1:8" x14ac:dyDescent="0.2">
      <c r="A156" s="3">
        <v>3040302013</v>
      </c>
      <c r="B156" s="4" t="s">
        <v>1028</v>
      </c>
      <c r="C156" s="4" t="s">
        <v>1027</v>
      </c>
      <c r="D156" s="3">
        <v>2</v>
      </c>
      <c r="E156" s="3" t="s">
        <v>16</v>
      </c>
      <c r="F156" s="3" t="s">
        <v>293</v>
      </c>
      <c r="G156" s="3" t="s">
        <v>29</v>
      </c>
      <c r="H156" s="3" t="s">
        <v>226</v>
      </c>
    </row>
    <row r="157" spans="1:8" x14ac:dyDescent="0.2">
      <c r="A157" s="3">
        <v>3040302014</v>
      </c>
      <c r="B157" s="4" t="s">
        <v>1029</v>
      </c>
      <c r="C157" s="4" t="s">
        <v>1027</v>
      </c>
      <c r="D157" s="3">
        <v>2</v>
      </c>
      <c r="E157" s="3" t="s">
        <v>16</v>
      </c>
      <c r="F157" s="3" t="s">
        <v>293</v>
      </c>
      <c r="G157" s="3" t="s">
        <v>29</v>
      </c>
      <c r="H157" s="3" t="s">
        <v>226</v>
      </c>
    </row>
    <row r="158" spans="1:8" x14ac:dyDescent="0.2">
      <c r="A158" s="3">
        <v>3040324040</v>
      </c>
      <c r="B158" s="4" t="s">
        <v>1030</v>
      </c>
      <c r="C158" s="4" t="s">
        <v>1031</v>
      </c>
      <c r="D158" s="3">
        <v>1</v>
      </c>
      <c r="E158" s="3" t="s">
        <v>16</v>
      </c>
      <c r="F158" s="3" t="s">
        <v>293</v>
      </c>
      <c r="G158" s="3" t="s">
        <v>29</v>
      </c>
      <c r="H158" s="3" t="s">
        <v>226</v>
      </c>
    </row>
    <row r="159" spans="1:8" x14ac:dyDescent="0.2">
      <c r="A159" s="3">
        <v>3040324041</v>
      </c>
      <c r="B159" s="4" t="s">
        <v>1030</v>
      </c>
      <c r="C159" s="4" t="s">
        <v>1032</v>
      </c>
      <c r="D159" s="3">
        <v>1</v>
      </c>
      <c r="E159" s="3" t="s">
        <v>16</v>
      </c>
      <c r="F159" s="3" t="s">
        <v>293</v>
      </c>
      <c r="G159" s="3" t="s">
        <v>29</v>
      </c>
      <c r="H159" s="3" t="s">
        <v>226</v>
      </c>
    </row>
    <row r="160" spans="1:8" x14ac:dyDescent="0.2">
      <c r="A160" s="3">
        <v>3040320045</v>
      </c>
      <c r="B160" s="4" t="s">
        <v>269</v>
      </c>
      <c r="C160" s="4" t="s">
        <v>921</v>
      </c>
      <c r="D160" s="3">
        <v>1</v>
      </c>
      <c r="E160" s="3" t="s">
        <v>16</v>
      </c>
      <c r="F160" s="3" t="s">
        <v>293</v>
      </c>
      <c r="G160" s="3" t="s">
        <v>29</v>
      </c>
      <c r="H160" s="3" t="s">
        <v>226</v>
      </c>
    </row>
    <row r="161" spans="1:8" x14ac:dyDescent="0.2">
      <c r="A161" s="3">
        <v>3040320046</v>
      </c>
      <c r="B161" s="4" t="s">
        <v>269</v>
      </c>
      <c r="C161" s="4" t="s">
        <v>922</v>
      </c>
      <c r="D161" s="3">
        <v>1</v>
      </c>
      <c r="E161" s="3" t="s">
        <v>16</v>
      </c>
      <c r="F161" s="3" t="s">
        <v>293</v>
      </c>
      <c r="G161" s="3" t="s">
        <v>29</v>
      </c>
      <c r="H161" s="3" t="s">
        <v>226</v>
      </c>
    </row>
    <row r="162" spans="1:8" x14ac:dyDescent="0.2">
      <c r="A162" s="3">
        <v>3040324034</v>
      </c>
      <c r="B162" s="4" t="s">
        <v>356</v>
      </c>
      <c r="C162" s="4" t="s">
        <v>921</v>
      </c>
      <c r="D162" s="3">
        <v>1</v>
      </c>
      <c r="E162" s="3" t="s">
        <v>16</v>
      </c>
      <c r="F162" s="3" t="s">
        <v>293</v>
      </c>
      <c r="G162" s="3" t="s">
        <v>29</v>
      </c>
      <c r="H162" s="3" t="s">
        <v>226</v>
      </c>
    </row>
    <row r="163" spans="1:8" x14ac:dyDescent="0.2">
      <c r="A163" s="3">
        <v>3040324035</v>
      </c>
      <c r="B163" s="4" t="s">
        <v>356</v>
      </c>
      <c r="C163" s="4" t="s">
        <v>922</v>
      </c>
      <c r="D163" s="3">
        <v>1</v>
      </c>
      <c r="E163" s="3" t="s">
        <v>16</v>
      </c>
      <c r="F163" s="3" t="s">
        <v>293</v>
      </c>
      <c r="G163" s="3" t="s">
        <v>29</v>
      </c>
      <c r="H163" s="3" t="s">
        <v>226</v>
      </c>
    </row>
    <row r="164" spans="1:8" x14ac:dyDescent="0.2">
      <c r="A164" s="3">
        <v>3030311007</v>
      </c>
      <c r="B164" s="4" t="s">
        <v>1033</v>
      </c>
      <c r="C164" s="4" t="s">
        <v>1034</v>
      </c>
      <c r="D164" s="3">
        <v>1</v>
      </c>
      <c r="E164" s="3" t="s">
        <v>16</v>
      </c>
      <c r="F164" s="3" t="s">
        <v>295</v>
      </c>
      <c r="G164" s="3" t="s">
        <v>17</v>
      </c>
      <c r="H164" s="3" t="s">
        <v>226</v>
      </c>
    </row>
    <row r="165" spans="1:8" x14ac:dyDescent="0.2">
      <c r="A165" s="3">
        <v>3030212002</v>
      </c>
      <c r="B165" s="4" t="s">
        <v>576</v>
      </c>
      <c r="C165" s="4" t="s">
        <v>1027</v>
      </c>
      <c r="D165" s="3">
        <v>1</v>
      </c>
      <c r="E165" s="3" t="s">
        <v>16</v>
      </c>
      <c r="F165" s="3" t="s">
        <v>295</v>
      </c>
      <c r="G165" s="3" t="s">
        <v>17</v>
      </c>
      <c r="H165" s="3" t="s">
        <v>226</v>
      </c>
    </row>
    <row r="166" spans="1:8" x14ac:dyDescent="0.2">
      <c r="A166" s="3">
        <v>3030311005</v>
      </c>
      <c r="B166" s="4" t="s">
        <v>1035</v>
      </c>
      <c r="C166" s="4" t="s">
        <v>1024</v>
      </c>
      <c r="D166" s="3">
        <v>2</v>
      </c>
      <c r="E166" s="3" t="s">
        <v>16</v>
      </c>
      <c r="F166" s="3" t="s">
        <v>295</v>
      </c>
      <c r="G166" s="3" t="s">
        <v>17</v>
      </c>
      <c r="H166" s="3" t="s">
        <v>226</v>
      </c>
    </row>
    <row r="167" spans="1:8" x14ac:dyDescent="0.2">
      <c r="A167" s="3">
        <v>3030311006</v>
      </c>
      <c r="B167" s="4" t="s">
        <v>1036</v>
      </c>
      <c r="C167" s="4" t="s">
        <v>1037</v>
      </c>
      <c r="D167" s="3">
        <v>2</v>
      </c>
      <c r="E167" s="3" t="s">
        <v>16</v>
      </c>
      <c r="F167" s="3" t="s">
        <v>295</v>
      </c>
      <c r="G167" s="3" t="s">
        <v>17</v>
      </c>
      <c r="H167" s="3" t="s">
        <v>226</v>
      </c>
    </row>
    <row r="168" spans="1:8" x14ac:dyDescent="0.2">
      <c r="A168" s="3">
        <v>3020199010</v>
      </c>
      <c r="B168" s="4" t="s">
        <v>239</v>
      </c>
      <c r="C168" s="4" t="s">
        <v>545</v>
      </c>
      <c r="D168" s="3">
        <v>5</v>
      </c>
      <c r="E168" s="3" t="s">
        <v>16</v>
      </c>
      <c r="F168" s="3" t="s">
        <v>297</v>
      </c>
      <c r="G168" s="3" t="s">
        <v>204</v>
      </c>
      <c r="H168" s="3" t="s">
        <v>226</v>
      </c>
    </row>
    <row r="169" spans="1:8" x14ac:dyDescent="0.2">
      <c r="A169" s="3">
        <v>3030302039</v>
      </c>
      <c r="B169" s="4" t="s">
        <v>584</v>
      </c>
      <c r="C169" s="4" t="s">
        <v>1027</v>
      </c>
      <c r="D169" s="3">
        <v>1</v>
      </c>
      <c r="E169" s="3" t="s">
        <v>16</v>
      </c>
      <c r="F169" s="3" t="s">
        <v>295</v>
      </c>
      <c r="G169" s="3" t="s">
        <v>17</v>
      </c>
      <c r="H169" s="3" t="s">
        <v>226</v>
      </c>
    </row>
    <row r="170" spans="1:8" x14ac:dyDescent="0.2">
      <c r="A170" s="3">
        <v>3070203013</v>
      </c>
      <c r="B170" s="4" t="s">
        <v>1038</v>
      </c>
      <c r="C170" s="4" t="s">
        <v>1039</v>
      </c>
      <c r="D170" s="3">
        <v>1</v>
      </c>
      <c r="E170" s="3" t="s">
        <v>16</v>
      </c>
      <c r="F170" s="3" t="s">
        <v>317</v>
      </c>
      <c r="G170" s="3" t="s">
        <v>318</v>
      </c>
      <c r="H170" s="3" t="s">
        <v>226</v>
      </c>
    </row>
    <row r="171" spans="1:8" x14ac:dyDescent="0.2">
      <c r="A171" s="3">
        <v>3070203014</v>
      </c>
      <c r="B171" s="4" t="s">
        <v>1038</v>
      </c>
      <c r="C171" s="4" t="s">
        <v>1040</v>
      </c>
      <c r="D171" s="3">
        <v>1</v>
      </c>
      <c r="E171" s="3" t="s">
        <v>16</v>
      </c>
      <c r="F171" s="3" t="s">
        <v>317</v>
      </c>
      <c r="G171" s="3" t="s">
        <v>318</v>
      </c>
      <c r="H171" s="3" t="s">
        <v>226</v>
      </c>
    </row>
    <row r="172" spans="1:8" x14ac:dyDescent="0.2">
      <c r="A172" s="3">
        <v>3070207012</v>
      </c>
      <c r="B172" s="4" t="s">
        <v>1041</v>
      </c>
      <c r="C172" s="4" t="s">
        <v>1042</v>
      </c>
      <c r="D172" s="3">
        <v>1</v>
      </c>
      <c r="E172" s="3" t="s">
        <v>16</v>
      </c>
      <c r="F172" s="3" t="s">
        <v>317</v>
      </c>
      <c r="G172" s="3" t="s">
        <v>318</v>
      </c>
      <c r="H172" s="3" t="s">
        <v>226</v>
      </c>
    </row>
    <row r="173" spans="1:8" x14ac:dyDescent="0.2">
      <c r="A173" s="3">
        <v>3070208008</v>
      </c>
      <c r="B173" s="4" t="s">
        <v>1043</v>
      </c>
      <c r="C173" s="4" t="s">
        <v>1044</v>
      </c>
      <c r="D173" s="3">
        <v>1</v>
      </c>
      <c r="E173" s="3" t="s">
        <v>16</v>
      </c>
      <c r="F173" s="3" t="s">
        <v>317</v>
      </c>
      <c r="G173" s="3" t="s">
        <v>318</v>
      </c>
      <c r="H173" s="3" t="s">
        <v>226</v>
      </c>
    </row>
    <row r="174" spans="1:8" x14ac:dyDescent="0.2">
      <c r="A174" s="3">
        <v>3070203007</v>
      </c>
      <c r="B174" s="4" t="s">
        <v>1045</v>
      </c>
      <c r="C174" s="4" t="s">
        <v>1046</v>
      </c>
      <c r="D174" s="3">
        <v>1</v>
      </c>
      <c r="E174" s="3" t="s">
        <v>16</v>
      </c>
      <c r="F174" s="3" t="s">
        <v>317</v>
      </c>
      <c r="G174" s="3" t="s">
        <v>318</v>
      </c>
      <c r="H174" s="3" t="s">
        <v>226</v>
      </c>
    </row>
    <row r="175" spans="1:8" x14ac:dyDescent="0.2">
      <c r="A175" s="3">
        <v>3070211016</v>
      </c>
      <c r="B175" s="4" t="s">
        <v>1047</v>
      </c>
      <c r="C175" s="4" t="s">
        <v>1042</v>
      </c>
      <c r="D175" s="3">
        <v>2</v>
      </c>
      <c r="E175" s="3" t="s">
        <v>16</v>
      </c>
      <c r="F175" s="3" t="s">
        <v>317</v>
      </c>
      <c r="G175" s="3" t="s">
        <v>318</v>
      </c>
      <c r="H175" s="3" t="s">
        <v>226</v>
      </c>
    </row>
    <row r="176" spans="1:8" x14ac:dyDescent="0.2">
      <c r="A176" s="3">
        <v>3070209018</v>
      </c>
      <c r="B176" s="4" t="s">
        <v>1048</v>
      </c>
      <c r="C176" s="4" t="s">
        <v>1049</v>
      </c>
      <c r="D176" s="3">
        <v>1</v>
      </c>
      <c r="E176" s="3" t="s">
        <v>16</v>
      </c>
      <c r="F176" s="3" t="s">
        <v>317</v>
      </c>
      <c r="G176" s="3" t="s">
        <v>318</v>
      </c>
      <c r="H176" s="3" t="s">
        <v>226</v>
      </c>
    </row>
    <row r="177" spans="1:8" x14ac:dyDescent="0.2">
      <c r="A177" s="3">
        <v>3070211015</v>
      </c>
      <c r="B177" s="4" t="s">
        <v>1050</v>
      </c>
      <c r="C177" s="4" t="s">
        <v>1051</v>
      </c>
      <c r="D177" s="3">
        <v>2</v>
      </c>
      <c r="E177" s="3" t="s">
        <v>16</v>
      </c>
      <c r="F177" s="3" t="s">
        <v>317</v>
      </c>
      <c r="G177" s="3" t="s">
        <v>318</v>
      </c>
      <c r="H177" s="3" t="s">
        <v>226</v>
      </c>
    </row>
    <row r="178" spans="1:8" x14ac:dyDescent="0.2">
      <c r="A178" s="3">
        <v>3080401028</v>
      </c>
      <c r="B178" s="4" t="s">
        <v>1052</v>
      </c>
      <c r="C178" s="4" t="s">
        <v>1053</v>
      </c>
      <c r="D178" s="3">
        <v>1</v>
      </c>
      <c r="E178" s="3" t="s">
        <v>16</v>
      </c>
      <c r="F178" s="3" t="s">
        <v>317</v>
      </c>
      <c r="G178" s="3" t="s">
        <v>318</v>
      </c>
      <c r="H178" s="3" t="s">
        <v>226</v>
      </c>
    </row>
    <row r="179" spans="1:8" x14ac:dyDescent="0.2">
      <c r="A179" s="3">
        <v>3070214014</v>
      </c>
      <c r="B179" s="4" t="s">
        <v>1054</v>
      </c>
      <c r="C179" s="4" t="s">
        <v>1049</v>
      </c>
      <c r="D179" s="3">
        <v>1</v>
      </c>
      <c r="E179" s="3" t="s">
        <v>16</v>
      </c>
      <c r="F179" s="3" t="s">
        <v>317</v>
      </c>
      <c r="G179" s="3" t="s">
        <v>318</v>
      </c>
      <c r="H179" s="3" t="s">
        <v>226</v>
      </c>
    </row>
    <row r="180" spans="1:8" x14ac:dyDescent="0.2">
      <c r="A180" s="3">
        <v>3070204021</v>
      </c>
      <c r="B180" s="4" t="s">
        <v>1055</v>
      </c>
      <c r="C180" s="4" t="s">
        <v>1044</v>
      </c>
      <c r="D180" s="3">
        <v>1</v>
      </c>
      <c r="E180" s="3" t="s">
        <v>16</v>
      </c>
      <c r="F180" s="3" t="s">
        <v>317</v>
      </c>
      <c r="G180" s="3" t="s">
        <v>318</v>
      </c>
      <c r="H180" s="3" t="s">
        <v>226</v>
      </c>
    </row>
    <row r="181" spans="1:8" x14ac:dyDescent="0.2">
      <c r="A181" s="3">
        <v>3060354052</v>
      </c>
      <c r="B181" s="4" t="s">
        <v>1056</v>
      </c>
      <c r="C181" s="4" t="s">
        <v>1057</v>
      </c>
      <c r="D181" s="3">
        <v>2</v>
      </c>
      <c r="E181" s="3" t="s">
        <v>16</v>
      </c>
      <c r="F181" s="3" t="s">
        <v>285</v>
      </c>
      <c r="G181" s="3" t="s">
        <v>142</v>
      </c>
      <c r="H181" s="3" t="s">
        <v>226</v>
      </c>
    </row>
    <row r="182" spans="1:8" x14ac:dyDescent="0.2">
      <c r="A182" s="3">
        <v>3060354041</v>
      </c>
      <c r="B182" s="4" t="s">
        <v>925</v>
      </c>
      <c r="C182" s="4" t="s">
        <v>1058</v>
      </c>
      <c r="D182" s="3">
        <v>2</v>
      </c>
      <c r="E182" s="3" t="s">
        <v>16</v>
      </c>
      <c r="F182" s="3" t="s">
        <v>287</v>
      </c>
      <c r="G182" s="3" t="s">
        <v>148</v>
      </c>
      <c r="H182" s="3" t="s">
        <v>226</v>
      </c>
    </row>
    <row r="183" spans="1:8" x14ac:dyDescent="0.2">
      <c r="A183" s="3">
        <v>3069902014</v>
      </c>
      <c r="B183" s="4" t="s">
        <v>1059</v>
      </c>
      <c r="C183" s="4" t="s">
        <v>1060</v>
      </c>
      <c r="D183" s="3">
        <v>1</v>
      </c>
      <c r="E183" s="3" t="s">
        <v>16</v>
      </c>
      <c r="F183" s="3" t="s">
        <v>285</v>
      </c>
      <c r="G183" s="3" t="s">
        <v>142</v>
      </c>
      <c r="H183" s="3" t="s">
        <v>226</v>
      </c>
    </row>
    <row r="184" spans="1:8" x14ac:dyDescent="0.2">
      <c r="A184" s="3">
        <v>3060321020</v>
      </c>
      <c r="B184" s="4" t="s">
        <v>1061</v>
      </c>
      <c r="C184" s="4" t="s">
        <v>1062</v>
      </c>
      <c r="D184" s="3">
        <v>2</v>
      </c>
      <c r="E184" s="3" t="s">
        <v>16</v>
      </c>
      <c r="F184" s="3" t="s">
        <v>289</v>
      </c>
      <c r="G184" s="3" t="s">
        <v>23</v>
      </c>
      <c r="H184" s="3" t="s">
        <v>226</v>
      </c>
    </row>
    <row r="185" spans="1:8" x14ac:dyDescent="0.2">
      <c r="A185" s="3">
        <v>3069902012</v>
      </c>
      <c r="B185" s="4" t="s">
        <v>1063</v>
      </c>
      <c r="C185" s="4" t="s">
        <v>921</v>
      </c>
      <c r="D185" s="3">
        <v>1</v>
      </c>
      <c r="E185" s="3" t="s">
        <v>16</v>
      </c>
      <c r="F185" s="3" t="s">
        <v>291</v>
      </c>
      <c r="G185" s="3" t="s">
        <v>26</v>
      </c>
      <c r="H185" s="3" t="s">
        <v>226</v>
      </c>
    </row>
    <row r="186" spans="1:8" x14ac:dyDescent="0.2">
      <c r="A186" s="3">
        <v>3069902013</v>
      </c>
      <c r="B186" s="4" t="s">
        <v>1063</v>
      </c>
      <c r="C186" s="4" t="s">
        <v>922</v>
      </c>
      <c r="D186" s="3">
        <v>1</v>
      </c>
      <c r="E186" s="3" t="s">
        <v>16</v>
      </c>
      <c r="F186" s="3" t="s">
        <v>291</v>
      </c>
      <c r="G186" s="3" t="s">
        <v>26</v>
      </c>
      <c r="H186" s="3" t="s">
        <v>226</v>
      </c>
    </row>
    <row r="187" spans="1:8" x14ac:dyDescent="0.2">
      <c r="A187" s="3">
        <v>3050308012</v>
      </c>
      <c r="B187" s="4" t="s">
        <v>1064</v>
      </c>
      <c r="C187" s="4" t="s">
        <v>1065</v>
      </c>
      <c r="D187" s="3">
        <v>1</v>
      </c>
      <c r="E187" s="3" t="s">
        <v>16</v>
      </c>
      <c r="F187" s="3" t="s">
        <v>295</v>
      </c>
      <c r="G187" s="3" t="s">
        <v>17</v>
      </c>
      <c r="H187" s="3" t="s">
        <v>226</v>
      </c>
    </row>
    <row r="188" spans="1:8" x14ac:dyDescent="0.2">
      <c r="A188" s="3">
        <v>3050308013</v>
      </c>
      <c r="B188" s="4" t="s">
        <v>1064</v>
      </c>
      <c r="C188" s="4" t="s">
        <v>1066</v>
      </c>
      <c r="D188" s="3">
        <v>1</v>
      </c>
      <c r="E188" s="3" t="s">
        <v>16</v>
      </c>
      <c r="F188" s="3" t="s">
        <v>295</v>
      </c>
      <c r="G188" s="3" t="s">
        <v>17</v>
      </c>
      <c r="H188" s="3" t="s">
        <v>226</v>
      </c>
    </row>
    <row r="189" spans="1:8" x14ac:dyDescent="0.2">
      <c r="A189" s="3">
        <v>3030216003</v>
      </c>
      <c r="B189" s="4" t="s">
        <v>1067</v>
      </c>
      <c r="C189" s="4" t="s">
        <v>1024</v>
      </c>
      <c r="D189" s="3">
        <v>2</v>
      </c>
      <c r="E189" s="3" t="s">
        <v>16</v>
      </c>
      <c r="F189" s="3" t="s">
        <v>295</v>
      </c>
      <c r="G189" s="3" t="s">
        <v>17</v>
      </c>
      <c r="H189" s="3" t="s">
        <v>226</v>
      </c>
    </row>
    <row r="190" spans="1:8" x14ac:dyDescent="0.2">
      <c r="A190" s="3">
        <v>3050307069</v>
      </c>
      <c r="B190" s="4" t="s">
        <v>1068</v>
      </c>
      <c r="C190" s="4" t="s">
        <v>1024</v>
      </c>
      <c r="D190" s="3">
        <v>2</v>
      </c>
      <c r="E190" s="3" t="s">
        <v>16</v>
      </c>
      <c r="F190" s="3" t="s">
        <v>291</v>
      </c>
      <c r="G190" s="3" t="s">
        <v>26</v>
      </c>
      <c r="H190" s="3" t="s">
        <v>226</v>
      </c>
    </row>
    <row r="191" spans="1:8" x14ac:dyDescent="0.2">
      <c r="A191" s="3">
        <v>3050303048</v>
      </c>
      <c r="B191" s="4" t="s">
        <v>245</v>
      </c>
      <c r="C191" s="4" t="s">
        <v>916</v>
      </c>
      <c r="D191" s="3">
        <v>1</v>
      </c>
      <c r="E191" s="3" t="s">
        <v>16</v>
      </c>
      <c r="F191" s="3" t="s">
        <v>291</v>
      </c>
      <c r="G191" s="3" t="s">
        <v>26</v>
      </c>
      <c r="H191" s="3" t="s">
        <v>226</v>
      </c>
    </row>
    <row r="192" spans="1:8" x14ac:dyDescent="0.2">
      <c r="A192" s="3">
        <v>3030202021</v>
      </c>
      <c r="B192" s="4" t="s">
        <v>1069</v>
      </c>
      <c r="C192" s="4" t="s">
        <v>1070</v>
      </c>
      <c r="D192" s="3">
        <v>1</v>
      </c>
      <c r="E192" s="3" t="s">
        <v>16</v>
      </c>
      <c r="F192" s="3" t="s">
        <v>295</v>
      </c>
      <c r="G192" s="3" t="s">
        <v>17</v>
      </c>
      <c r="H192" s="3" t="s">
        <v>249</v>
      </c>
    </row>
    <row r="193" spans="1:8" x14ac:dyDescent="0.2">
      <c r="A193" s="3">
        <v>3080401062</v>
      </c>
      <c r="B193" s="4" t="s">
        <v>41</v>
      </c>
      <c r="C193" s="4" t="s">
        <v>1071</v>
      </c>
      <c r="D193" s="3">
        <v>2</v>
      </c>
      <c r="E193" s="3" t="s">
        <v>16</v>
      </c>
      <c r="F193" s="3" t="s">
        <v>291</v>
      </c>
      <c r="G193" s="3" t="s">
        <v>26</v>
      </c>
      <c r="H193" s="3" t="s">
        <v>249</v>
      </c>
    </row>
    <row r="194" spans="1:8" x14ac:dyDescent="0.2">
      <c r="A194" s="3">
        <v>3080401031</v>
      </c>
      <c r="B194" s="4" t="s">
        <v>41</v>
      </c>
      <c r="C194" s="4" t="s">
        <v>551</v>
      </c>
      <c r="D194" s="3">
        <v>1</v>
      </c>
      <c r="E194" s="3" t="s">
        <v>16</v>
      </c>
      <c r="F194" s="3" t="s">
        <v>291</v>
      </c>
      <c r="G194" s="3" t="s">
        <v>26</v>
      </c>
      <c r="H194" s="3" t="s">
        <v>249</v>
      </c>
    </row>
    <row r="195" spans="1:8" x14ac:dyDescent="0.2">
      <c r="A195" s="3">
        <v>3030202020</v>
      </c>
      <c r="B195" s="4" t="s">
        <v>1072</v>
      </c>
      <c r="C195" s="4" t="s">
        <v>1070</v>
      </c>
      <c r="D195" s="3">
        <v>1</v>
      </c>
      <c r="E195" s="3" t="s">
        <v>16</v>
      </c>
      <c r="F195" s="3" t="s">
        <v>295</v>
      </c>
      <c r="G195" s="3" t="s">
        <v>17</v>
      </c>
      <c r="H195" s="3" t="s">
        <v>249</v>
      </c>
    </row>
  </sheetData>
  <phoneticPr fontId="2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F2741-075D-4F18-8ACF-2882DFC02319}">
  <dimension ref="A1:H200"/>
  <sheetViews>
    <sheetView workbookViewId="0">
      <selection activeCell="D3" sqref="D3"/>
    </sheetView>
  </sheetViews>
  <sheetFormatPr defaultRowHeight="14.25" x14ac:dyDescent="0.2"/>
  <cols>
    <col min="1" max="1" width="13.125" customWidth="1"/>
    <col min="2" max="2" width="13.5" customWidth="1"/>
    <col min="3" max="3" width="22.5" customWidth="1"/>
  </cols>
  <sheetData>
    <row r="1" spans="1:8" x14ac:dyDescent="0.2">
      <c r="A1" s="3" t="s">
        <v>1100</v>
      </c>
      <c r="B1" s="4"/>
      <c r="C1" s="4"/>
      <c r="D1" s="3"/>
      <c r="E1" s="3"/>
      <c r="F1" s="3"/>
      <c r="G1" s="3"/>
      <c r="H1" s="3"/>
    </row>
    <row r="2" spans="1:8" ht="28.5" x14ac:dyDescent="0.2">
      <c r="A2" s="1" t="s">
        <v>0</v>
      </c>
      <c r="B2" s="2" t="s">
        <v>1</v>
      </c>
      <c r="C2" s="2" t="s">
        <v>2</v>
      </c>
      <c r="D2" s="1" t="s">
        <v>4</v>
      </c>
      <c r="E2" s="1" t="s">
        <v>3</v>
      </c>
      <c r="F2" s="1" t="s">
        <v>5</v>
      </c>
      <c r="G2" s="1" t="s">
        <v>6</v>
      </c>
      <c r="H2" s="1" t="s">
        <v>7</v>
      </c>
    </row>
    <row r="3" spans="1:8" s="10" customFormat="1" x14ac:dyDescent="0.2">
      <c r="A3" s="8" t="s">
        <v>390</v>
      </c>
      <c r="B3" s="9" t="s">
        <v>8</v>
      </c>
      <c r="C3" s="9" t="s">
        <v>9</v>
      </c>
      <c r="D3" s="12">
        <f>0.3205/0.94</f>
        <v>0.34095744680851064</v>
      </c>
      <c r="E3" s="8" t="s">
        <v>596</v>
      </c>
      <c r="F3" s="8" t="s">
        <v>283</v>
      </c>
      <c r="G3" s="8" t="s">
        <v>13</v>
      </c>
      <c r="H3" s="8" t="s">
        <v>12</v>
      </c>
    </row>
    <row r="4" spans="1:8" x14ac:dyDescent="0.2">
      <c r="A4" s="3">
        <v>402030028</v>
      </c>
      <c r="B4" s="4" t="s">
        <v>107</v>
      </c>
      <c r="C4" s="4" t="s">
        <v>305</v>
      </c>
      <c r="D4" s="3">
        <v>1</v>
      </c>
      <c r="E4" s="3" t="s">
        <v>16</v>
      </c>
      <c r="F4" s="3" t="s">
        <v>289</v>
      </c>
      <c r="G4" s="3" t="s">
        <v>23</v>
      </c>
      <c r="H4" s="3" t="s">
        <v>306</v>
      </c>
    </row>
    <row r="5" spans="1:8" x14ac:dyDescent="0.2">
      <c r="A5" s="3">
        <v>3099980014</v>
      </c>
      <c r="B5" s="4" t="s">
        <v>391</v>
      </c>
      <c r="C5" s="4" t="s">
        <v>392</v>
      </c>
      <c r="D5" s="3">
        <v>1</v>
      </c>
      <c r="E5" s="3" t="s">
        <v>16</v>
      </c>
      <c r="F5" s="3" t="s">
        <v>291</v>
      </c>
      <c r="G5" s="3" t="s">
        <v>26</v>
      </c>
      <c r="H5" s="3" t="s">
        <v>393</v>
      </c>
    </row>
    <row r="6" spans="1:8" x14ac:dyDescent="0.2">
      <c r="A6" s="3">
        <v>3030314005</v>
      </c>
      <c r="B6" s="4" t="s">
        <v>394</v>
      </c>
      <c r="C6" s="4" t="s">
        <v>395</v>
      </c>
      <c r="D6" s="3">
        <v>1</v>
      </c>
      <c r="E6" s="3" t="s">
        <v>16</v>
      </c>
      <c r="F6" s="3" t="s">
        <v>291</v>
      </c>
      <c r="G6" s="3" t="s">
        <v>26</v>
      </c>
      <c r="H6" s="3" t="s">
        <v>18</v>
      </c>
    </row>
    <row r="7" spans="1:8" x14ac:dyDescent="0.2">
      <c r="A7" s="3">
        <v>3030210001</v>
      </c>
      <c r="B7" s="4" t="s">
        <v>396</v>
      </c>
      <c r="C7" s="4" t="s">
        <v>397</v>
      </c>
      <c r="D7" s="3">
        <v>1</v>
      </c>
      <c r="E7" s="3" t="s">
        <v>16</v>
      </c>
      <c r="F7" s="3" t="s">
        <v>295</v>
      </c>
      <c r="G7" s="3" t="s">
        <v>17</v>
      </c>
      <c r="H7" s="3" t="s">
        <v>18</v>
      </c>
    </row>
    <row r="8" spans="1:8" x14ac:dyDescent="0.2">
      <c r="A8" s="3">
        <v>3080301001</v>
      </c>
      <c r="B8" s="4" t="s">
        <v>247</v>
      </c>
      <c r="C8" s="4" t="s">
        <v>398</v>
      </c>
      <c r="D8" s="3">
        <v>1</v>
      </c>
      <c r="E8" s="3" t="s">
        <v>16</v>
      </c>
      <c r="F8" s="3" t="s">
        <v>295</v>
      </c>
      <c r="G8" s="3" t="s">
        <v>17</v>
      </c>
      <c r="H8" s="3" t="s">
        <v>18</v>
      </c>
    </row>
    <row r="9" spans="1:8" x14ac:dyDescent="0.2">
      <c r="A9" s="3">
        <v>3040201001</v>
      </c>
      <c r="B9" s="4" t="s">
        <v>399</v>
      </c>
      <c r="C9" s="4" t="s">
        <v>400</v>
      </c>
      <c r="D9" s="3">
        <v>2</v>
      </c>
      <c r="E9" s="3" t="s">
        <v>16</v>
      </c>
      <c r="F9" s="3" t="s">
        <v>293</v>
      </c>
      <c r="G9" s="3" t="s">
        <v>29</v>
      </c>
      <c r="H9" s="3" t="s">
        <v>18</v>
      </c>
    </row>
    <row r="10" spans="1:8" x14ac:dyDescent="0.2">
      <c r="A10" s="3">
        <v>3030202002</v>
      </c>
      <c r="B10" s="4" t="s">
        <v>401</v>
      </c>
      <c r="C10" s="4" t="s">
        <v>402</v>
      </c>
      <c r="D10" s="3">
        <v>1</v>
      </c>
      <c r="E10" s="3" t="s">
        <v>16</v>
      </c>
      <c r="F10" s="3" t="s">
        <v>295</v>
      </c>
      <c r="G10" s="3" t="s">
        <v>17</v>
      </c>
      <c r="H10" s="3" t="s">
        <v>18</v>
      </c>
    </row>
    <row r="11" spans="1:8" x14ac:dyDescent="0.2">
      <c r="A11" s="3">
        <v>3030202003</v>
      </c>
      <c r="B11" s="4" t="s">
        <v>403</v>
      </c>
      <c r="C11" s="4" t="s">
        <v>404</v>
      </c>
      <c r="D11" s="3">
        <v>1</v>
      </c>
      <c r="E11" s="3" t="s">
        <v>16</v>
      </c>
      <c r="F11" s="3" t="s">
        <v>295</v>
      </c>
      <c r="G11" s="3" t="s">
        <v>17</v>
      </c>
      <c r="H11" s="3" t="s">
        <v>18</v>
      </c>
    </row>
    <row r="12" spans="1:8" x14ac:dyDescent="0.2">
      <c r="A12" s="3">
        <v>3030212001</v>
      </c>
      <c r="B12" s="4" t="s">
        <v>405</v>
      </c>
      <c r="C12" s="4" t="s">
        <v>406</v>
      </c>
      <c r="D12" s="3">
        <v>1</v>
      </c>
      <c r="E12" s="3" t="s">
        <v>16</v>
      </c>
      <c r="F12" s="3" t="s">
        <v>295</v>
      </c>
      <c r="G12" s="3" t="s">
        <v>17</v>
      </c>
      <c r="H12" s="3" t="s">
        <v>18</v>
      </c>
    </row>
    <row r="13" spans="1:8" x14ac:dyDescent="0.2">
      <c r="A13" s="3">
        <v>3030206003</v>
      </c>
      <c r="B13" s="4" t="s">
        <v>407</v>
      </c>
      <c r="C13" s="4" t="s">
        <v>408</v>
      </c>
      <c r="D13" s="3">
        <v>1</v>
      </c>
      <c r="E13" s="3" t="s">
        <v>16</v>
      </c>
      <c r="F13" s="3" t="s">
        <v>295</v>
      </c>
      <c r="G13" s="3" t="s">
        <v>17</v>
      </c>
      <c r="H13" s="3" t="s">
        <v>18</v>
      </c>
    </row>
    <row r="14" spans="1:8" x14ac:dyDescent="0.2">
      <c r="A14" s="3">
        <v>404020072</v>
      </c>
      <c r="B14" s="4" t="s">
        <v>30</v>
      </c>
      <c r="C14" s="4" t="s">
        <v>308</v>
      </c>
      <c r="D14" s="3">
        <v>1</v>
      </c>
      <c r="E14" s="3" t="s">
        <v>16</v>
      </c>
      <c r="F14" s="3" t="s">
        <v>291</v>
      </c>
      <c r="G14" s="3" t="s">
        <v>26</v>
      </c>
      <c r="H14" s="3" t="s">
        <v>33</v>
      </c>
    </row>
    <row r="15" spans="1:8" x14ac:dyDescent="0.2">
      <c r="A15" s="3">
        <v>401020085</v>
      </c>
      <c r="B15" s="4" t="s">
        <v>35</v>
      </c>
      <c r="C15" s="4" t="s">
        <v>1082</v>
      </c>
      <c r="D15" s="3">
        <v>1</v>
      </c>
      <c r="E15" s="3" t="s">
        <v>16</v>
      </c>
      <c r="F15" s="3" t="s">
        <v>301</v>
      </c>
      <c r="G15" s="3" t="s">
        <v>32</v>
      </c>
      <c r="H15" s="3" t="s">
        <v>33</v>
      </c>
    </row>
    <row r="16" spans="1:8" x14ac:dyDescent="0.2">
      <c r="A16" s="3">
        <v>3080101015</v>
      </c>
      <c r="B16" s="4" t="s">
        <v>411</v>
      </c>
      <c r="C16" s="4" t="s">
        <v>412</v>
      </c>
      <c r="D16" s="3">
        <v>2</v>
      </c>
      <c r="E16" s="3" t="s">
        <v>16</v>
      </c>
      <c r="F16" s="3" t="s">
        <v>293</v>
      </c>
      <c r="G16" s="3" t="s">
        <v>29</v>
      </c>
      <c r="H16" s="3" t="s">
        <v>40</v>
      </c>
    </row>
    <row r="17" spans="1:8" x14ac:dyDescent="0.2">
      <c r="A17" s="3">
        <v>3080101002</v>
      </c>
      <c r="B17" s="4" t="s">
        <v>411</v>
      </c>
      <c r="C17" s="4" t="s">
        <v>413</v>
      </c>
      <c r="D17" s="3">
        <v>2</v>
      </c>
      <c r="E17" s="3" t="s">
        <v>16</v>
      </c>
      <c r="F17" s="3" t="s">
        <v>291</v>
      </c>
      <c r="G17" s="3" t="s">
        <v>26</v>
      </c>
      <c r="H17" s="3" t="s">
        <v>40</v>
      </c>
    </row>
    <row r="18" spans="1:8" x14ac:dyDescent="0.2">
      <c r="A18" s="3">
        <v>3080401023</v>
      </c>
      <c r="B18" s="4" t="s">
        <v>41</v>
      </c>
      <c r="C18" s="4" t="s">
        <v>699</v>
      </c>
      <c r="D18" s="3">
        <v>2</v>
      </c>
      <c r="E18" s="3" t="s">
        <v>16</v>
      </c>
      <c r="F18" s="3" t="s">
        <v>289</v>
      </c>
      <c r="G18" s="3" t="s">
        <v>23</v>
      </c>
      <c r="H18" s="3" t="s">
        <v>40</v>
      </c>
    </row>
    <row r="19" spans="1:8" x14ac:dyDescent="0.2">
      <c r="A19" s="3">
        <v>3080401008</v>
      </c>
      <c r="B19" s="4" t="s">
        <v>41</v>
      </c>
      <c r="C19" s="4" t="s">
        <v>700</v>
      </c>
      <c r="D19" s="3">
        <v>2</v>
      </c>
      <c r="E19" s="3" t="s">
        <v>16</v>
      </c>
      <c r="F19" s="3" t="s">
        <v>289</v>
      </c>
      <c r="G19" s="3" t="s">
        <v>23</v>
      </c>
      <c r="H19" s="3" t="s">
        <v>40</v>
      </c>
    </row>
    <row r="20" spans="1:8" x14ac:dyDescent="0.2">
      <c r="A20" s="3">
        <v>3080401064</v>
      </c>
      <c r="B20" s="4" t="s">
        <v>41</v>
      </c>
      <c r="C20" s="4" t="s">
        <v>414</v>
      </c>
      <c r="D20" s="3">
        <v>1</v>
      </c>
      <c r="E20" s="3" t="s">
        <v>16</v>
      </c>
      <c r="F20" s="3" t="s">
        <v>295</v>
      </c>
      <c r="G20" s="3" t="s">
        <v>17</v>
      </c>
      <c r="H20" s="3" t="s">
        <v>40</v>
      </c>
    </row>
    <row r="21" spans="1:8" x14ac:dyDescent="0.2">
      <c r="A21" s="3">
        <v>3080401016</v>
      </c>
      <c r="B21" s="4" t="s">
        <v>41</v>
      </c>
      <c r="C21" s="4" t="s">
        <v>415</v>
      </c>
      <c r="D21" s="3">
        <v>1</v>
      </c>
      <c r="E21" s="3" t="s">
        <v>16</v>
      </c>
      <c r="F21" s="3" t="s">
        <v>295</v>
      </c>
      <c r="G21" s="3" t="s">
        <v>17</v>
      </c>
      <c r="H21" s="3" t="s">
        <v>40</v>
      </c>
    </row>
    <row r="22" spans="1:8" x14ac:dyDescent="0.2">
      <c r="A22" s="3">
        <v>3080401007</v>
      </c>
      <c r="B22" s="4" t="s">
        <v>41</v>
      </c>
      <c r="C22" s="4" t="s">
        <v>416</v>
      </c>
      <c r="D22" s="3">
        <v>2</v>
      </c>
      <c r="E22" s="3" t="s">
        <v>16</v>
      </c>
      <c r="F22" s="3" t="s">
        <v>293</v>
      </c>
      <c r="G22" s="3" t="s">
        <v>29</v>
      </c>
      <c r="H22" s="3" t="s">
        <v>40</v>
      </c>
    </row>
    <row r="23" spans="1:8" x14ac:dyDescent="0.2">
      <c r="A23" s="3">
        <v>3080401014</v>
      </c>
      <c r="B23" s="4" t="s">
        <v>41</v>
      </c>
      <c r="C23" s="4" t="s">
        <v>417</v>
      </c>
      <c r="D23" s="3">
        <v>4</v>
      </c>
      <c r="E23" s="3" t="s">
        <v>16</v>
      </c>
      <c r="F23" s="3" t="s">
        <v>291</v>
      </c>
      <c r="G23" s="3" t="s">
        <v>26</v>
      </c>
      <c r="H23" s="3" t="s">
        <v>40</v>
      </c>
    </row>
    <row r="24" spans="1:8" x14ac:dyDescent="0.2">
      <c r="A24" s="3">
        <v>3080104081</v>
      </c>
      <c r="B24" s="4" t="s">
        <v>45</v>
      </c>
      <c r="C24" s="4" t="s">
        <v>701</v>
      </c>
      <c r="D24" s="3">
        <v>4</v>
      </c>
      <c r="E24" s="3" t="s">
        <v>16</v>
      </c>
      <c r="F24" s="3" t="s">
        <v>289</v>
      </c>
      <c r="G24" s="3" t="s">
        <v>23</v>
      </c>
      <c r="H24" s="3" t="s">
        <v>40</v>
      </c>
    </row>
    <row r="25" spans="1:8" x14ac:dyDescent="0.2">
      <c r="A25" s="3">
        <v>3080104018</v>
      </c>
      <c r="B25" s="4" t="s">
        <v>45</v>
      </c>
      <c r="C25" s="4" t="s">
        <v>418</v>
      </c>
      <c r="D25" s="3">
        <v>2</v>
      </c>
      <c r="E25" s="3" t="s">
        <v>16</v>
      </c>
      <c r="F25" s="3" t="s">
        <v>293</v>
      </c>
      <c r="G25" s="3" t="s">
        <v>29</v>
      </c>
      <c r="H25" s="3" t="s">
        <v>40</v>
      </c>
    </row>
    <row r="26" spans="1:8" x14ac:dyDescent="0.2">
      <c r="A26" s="3">
        <v>3080104099</v>
      </c>
      <c r="B26" s="4" t="s">
        <v>45</v>
      </c>
      <c r="C26" s="4" t="s">
        <v>419</v>
      </c>
      <c r="D26" s="3">
        <v>2</v>
      </c>
      <c r="E26" s="3" t="s">
        <v>16</v>
      </c>
      <c r="F26" s="3" t="s">
        <v>291</v>
      </c>
      <c r="G26" s="3" t="s">
        <v>26</v>
      </c>
      <c r="H26" s="3" t="s">
        <v>40</v>
      </c>
    </row>
    <row r="27" spans="1:8" x14ac:dyDescent="0.2">
      <c r="A27" s="3">
        <v>3080105004</v>
      </c>
      <c r="B27" s="4" t="s">
        <v>50</v>
      </c>
      <c r="C27" s="4" t="s">
        <v>54</v>
      </c>
      <c r="D27" s="3">
        <v>6</v>
      </c>
      <c r="E27" s="3" t="s">
        <v>16</v>
      </c>
      <c r="F27" s="3" t="s">
        <v>289</v>
      </c>
      <c r="G27" s="3" t="s">
        <v>23</v>
      </c>
      <c r="H27" s="3" t="s">
        <v>40</v>
      </c>
    </row>
    <row r="28" spans="1:8" x14ac:dyDescent="0.2">
      <c r="A28" s="3">
        <v>3080105114</v>
      </c>
      <c r="B28" s="4" t="s">
        <v>50</v>
      </c>
      <c r="C28" s="4" t="s">
        <v>53</v>
      </c>
      <c r="D28" s="3">
        <v>5</v>
      </c>
      <c r="E28" s="3" t="s">
        <v>16</v>
      </c>
      <c r="F28" s="3" t="s">
        <v>289</v>
      </c>
      <c r="G28" s="3" t="s">
        <v>23</v>
      </c>
      <c r="H28" s="3" t="s">
        <v>40</v>
      </c>
    </row>
    <row r="29" spans="1:8" x14ac:dyDescent="0.2">
      <c r="A29" s="3">
        <v>3080105114</v>
      </c>
      <c r="B29" s="4" t="s">
        <v>50</v>
      </c>
      <c r="C29" s="4" t="s">
        <v>53</v>
      </c>
      <c r="D29" s="3">
        <v>4</v>
      </c>
      <c r="E29" s="3" t="s">
        <v>16</v>
      </c>
      <c r="F29" s="3" t="s">
        <v>289</v>
      </c>
      <c r="G29" s="3" t="s">
        <v>23</v>
      </c>
      <c r="H29" s="3" t="s">
        <v>40</v>
      </c>
    </row>
    <row r="30" spans="1:8" x14ac:dyDescent="0.2">
      <c r="A30" s="3">
        <v>3080105040</v>
      </c>
      <c r="B30" s="4" t="s">
        <v>50</v>
      </c>
      <c r="C30" s="4" t="s">
        <v>421</v>
      </c>
      <c r="D30" s="3">
        <v>12</v>
      </c>
      <c r="E30" s="3" t="s">
        <v>16</v>
      </c>
      <c r="F30" s="3" t="s">
        <v>293</v>
      </c>
      <c r="G30" s="3" t="s">
        <v>29</v>
      </c>
      <c r="H30" s="3" t="s">
        <v>40</v>
      </c>
    </row>
    <row r="31" spans="1:8" x14ac:dyDescent="0.2">
      <c r="A31" s="3">
        <v>3080105015</v>
      </c>
      <c r="B31" s="4" t="s">
        <v>50</v>
      </c>
      <c r="C31" s="4" t="s">
        <v>422</v>
      </c>
      <c r="D31" s="3">
        <v>8</v>
      </c>
      <c r="E31" s="3" t="s">
        <v>16</v>
      </c>
      <c r="F31" s="3" t="s">
        <v>293</v>
      </c>
      <c r="G31" s="3" t="s">
        <v>29</v>
      </c>
      <c r="H31" s="3" t="s">
        <v>40</v>
      </c>
    </row>
    <row r="32" spans="1:8" x14ac:dyDescent="0.2">
      <c r="A32" s="3">
        <v>3080105088</v>
      </c>
      <c r="B32" s="4" t="s">
        <v>50</v>
      </c>
      <c r="C32" s="4" t="s">
        <v>423</v>
      </c>
      <c r="D32" s="3">
        <v>2</v>
      </c>
      <c r="E32" s="3" t="s">
        <v>16</v>
      </c>
      <c r="F32" s="3" t="s">
        <v>293</v>
      </c>
      <c r="G32" s="3" t="s">
        <v>29</v>
      </c>
      <c r="H32" s="3" t="s">
        <v>40</v>
      </c>
    </row>
    <row r="33" spans="1:8" x14ac:dyDescent="0.2">
      <c r="A33" s="3">
        <v>3080105008</v>
      </c>
      <c r="B33" s="4" t="s">
        <v>50</v>
      </c>
      <c r="C33" s="4" t="s">
        <v>424</v>
      </c>
      <c r="D33" s="3">
        <v>8</v>
      </c>
      <c r="E33" s="3" t="s">
        <v>16</v>
      </c>
      <c r="F33" s="3" t="s">
        <v>293</v>
      </c>
      <c r="G33" s="3" t="s">
        <v>29</v>
      </c>
      <c r="H33" s="3" t="s">
        <v>40</v>
      </c>
    </row>
    <row r="34" spans="1:8" x14ac:dyDescent="0.2">
      <c r="A34" s="3">
        <v>3080105114</v>
      </c>
      <c r="B34" s="4" t="s">
        <v>50</v>
      </c>
      <c r="C34" s="4" t="s">
        <v>53</v>
      </c>
      <c r="D34" s="3">
        <v>6</v>
      </c>
      <c r="E34" s="3" t="s">
        <v>16</v>
      </c>
      <c r="F34" s="3" t="s">
        <v>702</v>
      </c>
      <c r="G34" s="3" t="s">
        <v>703</v>
      </c>
      <c r="H34" s="3" t="s">
        <v>40</v>
      </c>
    </row>
    <row r="35" spans="1:8" x14ac:dyDescent="0.2">
      <c r="A35" s="3">
        <v>3080105114</v>
      </c>
      <c r="B35" s="4" t="s">
        <v>50</v>
      </c>
      <c r="C35" s="4" t="s">
        <v>53</v>
      </c>
      <c r="D35" s="3">
        <v>3</v>
      </c>
      <c r="E35" s="3" t="s">
        <v>16</v>
      </c>
      <c r="F35" s="3" t="s">
        <v>702</v>
      </c>
      <c r="G35" s="3" t="s">
        <v>703</v>
      </c>
      <c r="H35" s="3" t="s">
        <v>40</v>
      </c>
    </row>
    <row r="36" spans="1:8" x14ac:dyDescent="0.2">
      <c r="A36" s="3">
        <v>3080104055</v>
      </c>
      <c r="B36" s="4" t="s">
        <v>50</v>
      </c>
      <c r="C36" s="4" t="s">
        <v>425</v>
      </c>
      <c r="D36" s="3">
        <v>2</v>
      </c>
      <c r="E36" s="3" t="s">
        <v>16</v>
      </c>
      <c r="F36" s="3" t="s">
        <v>291</v>
      </c>
      <c r="G36" s="3" t="s">
        <v>26</v>
      </c>
      <c r="H36" s="3" t="s">
        <v>40</v>
      </c>
    </row>
    <row r="37" spans="1:8" x14ac:dyDescent="0.2">
      <c r="A37" s="3">
        <v>3080105040</v>
      </c>
      <c r="B37" s="4" t="s">
        <v>50</v>
      </c>
      <c r="C37" s="4" t="s">
        <v>421</v>
      </c>
      <c r="D37" s="3">
        <v>2</v>
      </c>
      <c r="E37" s="3" t="s">
        <v>16</v>
      </c>
      <c r="F37" s="3" t="s">
        <v>291</v>
      </c>
      <c r="G37" s="3" t="s">
        <v>26</v>
      </c>
      <c r="H37" s="3" t="s">
        <v>40</v>
      </c>
    </row>
    <row r="38" spans="1:8" x14ac:dyDescent="0.2">
      <c r="A38" s="3">
        <v>3080105046</v>
      </c>
      <c r="B38" s="4" t="s">
        <v>50</v>
      </c>
      <c r="C38" s="4" t="s">
        <v>863</v>
      </c>
      <c r="D38" s="3">
        <v>2</v>
      </c>
      <c r="E38" s="3" t="s">
        <v>16</v>
      </c>
      <c r="F38" s="3" t="s">
        <v>291</v>
      </c>
      <c r="G38" s="3" t="s">
        <v>26</v>
      </c>
      <c r="H38" s="3" t="s">
        <v>40</v>
      </c>
    </row>
    <row r="39" spans="1:8" x14ac:dyDescent="0.2">
      <c r="A39" s="3">
        <v>3080502003</v>
      </c>
      <c r="B39" s="4" t="s">
        <v>55</v>
      </c>
      <c r="C39" s="4" t="s">
        <v>426</v>
      </c>
      <c r="D39" s="3">
        <v>2</v>
      </c>
      <c r="E39" s="3" t="s">
        <v>16</v>
      </c>
      <c r="F39" s="3" t="s">
        <v>291</v>
      </c>
      <c r="G39" s="3" t="s">
        <v>26</v>
      </c>
      <c r="H39" s="3" t="s">
        <v>40</v>
      </c>
    </row>
    <row r="40" spans="1:8" x14ac:dyDescent="0.2">
      <c r="A40" s="3">
        <v>3080201012</v>
      </c>
      <c r="B40" s="4" t="s">
        <v>60</v>
      </c>
      <c r="C40" s="4" t="s">
        <v>320</v>
      </c>
      <c r="D40" s="3">
        <v>2</v>
      </c>
      <c r="E40" s="3" t="s">
        <v>16</v>
      </c>
      <c r="F40" s="3" t="s">
        <v>289</v>
      </c>
      <c r="G40" s="3" t="s">
        <v>23</v>
      </c>
      <c r="H40" s="3" t="s">
        <v>40</v>
      </c>
    </row>
    <row r="41" spans="1:8" x14ac:dyDescent="0.2">
      <c r="A41" s="3">
        <v>3080201005</v>
      </c>
      <c r="B41" s="4" t="s">
        <v>60</v>
      </c>
      <c r="C41" s="4" t="s">
        <v>427</v>
      </c>
      <c r="D41" s="3">
        <v>1</v>
      </c>
      <c r="E41" s="3" t="s">
        <v>16</v>
      </c>
      <c r="F41" s="3" t="s">
        <v>291</v>
      </c>
      <c r="G41" s="3" t="s">
        <v>26</v>
      </c>
      <c r="H41" s="3" t="s">
        <v>40</v>
      </c>
    </row>
    <row r="42" spans="1:8" x14ac:dyDescent="0.2">
      <c r="A42" s="3">
        <v>3080201006</v>
      </c>
      <c r="B42" s="4" t="s">
        <v>60</v>
      </c>
      <c r="C42" s="4" t="s">
        <v>428</v>
      </c>
      <c r="D42" s="3">
        <v>1</v>
      </c>
      <c r="E42" s="3" t="s">
        <v>16</v>
      </c>
      <c r="F42" s="3" t="s">
        <v>291</v>
      </c>
      <c r="G42" s="3" t="s">
        <v>26</v>
      </c>
      <c r="H42" s="3" t="s">
        <v>40</v>
      </c>
    </row>
    <row r="43" spans="1:8" x14ac:dyDescent="0.2">
      <c r="A43" s="3">
        <v>3080107284</v>
      </c>
      <c r="B43" s="4" t="s">
        <v>69</v>
      </c>
      <c r="C43" s="4" t="s">
        <v>706</v>
      </c>
      <c r="D43" s="3">
        <v>1</v>
      </c>
      <c r="E43" s="3" t="s">
        <v>16</v>
      </c>
      <c r="F43" s="3" t="s">
        <v>289</v>
      </c>
      <c r="G43" s="3" t="s">
        <v>23</v>
      </c>
      <c r="H43" s="3" t="s">
        <v>40</v>
      </c>
    </row>
    <row r="44" spans="1:8" x14ac:dyDescent="0.2">
      <c r="A44" s="3">
        <v>3080107111</v>
      </c>
      <c r="B44" s="4" t="s">
        <v>69</v>
      </c>
      <c r="C44" s="4" t="s">
        <v>787</v>
      </c>
      <c r="D44" s="3">
        <v>1</v>
      </c>
      <c r="E44" s="3" t="s">
        <v>16</v>
      </c>
      <c r="F44" s="3" t="s">
        <v>289</v>
      </c>
      <c r="G44" s="3" t="s">
        <v>23</v>
      </c>
      <c r="H44" s="3" t="s">
        <v>40</v>
      </c>
    </row>
    <row r="45" spans="1:8" x14ac:dyDescent="0.2">
      <c r="A45" s="3">
        <v>3080107112</v>
      </c>
      <c r="B45" s="4" t="s">
        <v>69</v>
      </c>
      <c r="C45" s="4" t="s">
        <v>705</v>
      </c>
      <c r="D45" s="3">
        <v>2</v>
      </c>
      <c r="E45" s="3" t="s">
        <v>16</v>
      </c>
      <c r="F45" s="3" t="s">
        <v>289</v>
      </c>
      <c r="G45" s="3" t="s">
        <v>23</v>
      </c>
      <c r="H45" s="3" t="s">
        <v>40</v>
      </c>
    </row>
    <row r="46" spans="1:8" x14ac:dyDescent="0.2">
      <c r="A46" s="3">
        <v>3080107034</v>
      </c>
      <c r="B46" s="4" t="s">
        <v>69</v>
      </c>
      <c r="C46" s="4" t="s">
        <v>429</v>
      </c>
      <c r="D46" s="3">
        <v>2</v>
      </c>
      <c r="E46" s="3" t="s">
        <v>16</v>
      </c>
      <c r="F46" s="3" t="s">
        <v>295</v>
      </c>
      <c r="G46" s="3" t="s">
        <v>17</v>
      </c>
      <c r="H46" s="3" t="s">
        <v>40</v>
      </c>
    </row>
    <row r="47" spans="1:8" x14ac:dyDescent="0.2">
      <c r="A47" s="3">
        <v>3080107034</v>
      </c>
      <c r="B47" s="4" t="s">
        <v>69</v>
      </c>
      <c r="C47" s="4" t="s">
        <v>429</v>
      </c>
      <c r="D47" s="3">
        <v>6</v>
      </c>
      <c r="E47" s="3" t="s">
        <v>16</v>
      </c>
      <c r="F47" s="3" t="s">
        <v>295</v>
      </c>
      <c r="G47" s="3" t="s">
        <v>17</v>
      </c>
      <c r="H47" s="3" t="s">
        <v>40</v>
      </c>
    </row>
    <row r="48" spans="1:8" x14ac:dyDescent="0.2">
      <c r="A48" s="3">
        <v>3080107002</v>
      </c>
      <c r="B48" s="4" t="s">
        <v>69</v>
      </c>
      <c r="C48" s="4" t="s">
        <v>430</v>
      </c>
      <c r="D48" s="3">
        <v>4</v>
      </c>
      <c r="E48" s="3" t="s">
        <v>16</v>
      </c>
      <c r="F48" s="3" t="s">
        <v>295</v>
      </c>
      <c r="G48" s="3" t="s">
        <v>17</v>
      </c>
      <c r="H48" s="3" t="s">
        <v>40</v>
      </c>
    </row>
    <row r="49" spans="1:8" x14ac:dyDescent="0.2">
      <c r="A49" s="3">
        <v>3080107052</v>
      </c>
      <c r="B49" s="4" t="s">
        <v>69</v>
      </c>
      <c r="C49" s="4" t="s">
        <v>431</v>
      </c>
      <c r="D49" s="3">
        <v>1</v>
      </c>
      <c r="E49" s="3" t="s">
        <v>16</v>
      </c>
      <c r="F49" s="3" t="s">
        <v>295</v>
      </c>
      <c r="G49" s="3" t="s">
        <v>17</v>
      </c>
      <c r="H49" s="3" t="s">
        <v>40</v>
      </c>
    </row>
    <row r="50" spans="1:8" x14ac:dyDescent="0.2">
      <c r="A50" s="3">
        <v>3080107160</v>
      </c>
      <c r="B50" s="4" t="s">
        <v>69</v>
      </c>
      <c r="C50" s="4" t="s">
        <v>432</v>
      </c>
      <c r="D50" s="3">
        <v>4</v>
      </c>
      <c r="E50" s="3" t="s">
        <v>16</v>
      </c>
      <c r="F50" s="3" t="s">
        <v>293</v>
      </c>
      <c r="G50" s="3" t="s">
        <v>29</v>
      </c>
      <c r="H50" s="3" t="s">
        <v>40</v>
      </c>
    </row>
    <row r="51" spans="1:8" x14ac:dyDescent="0.2">
      <c r="A51" s="3">
        <v>3080107308</v>
      </c>
      <c r="B51" s="4" t="s">
        <v>69</v>
      </c>
      <c r="C51" s="4" t="s">
        <v>433</v>
      </c>
      <c r="D51" s="3">
        <v>2</v>
      </c>
      <c r="E51" s="3" t="s">
        <v>16</v>
      </c>
      <c r="F51" s="3" t="s">
        <v>291</v>
      </c>
      <c r="G51" s="3" t="s">
        <v>26</v>
      </c>
      <c r="H51" s="3" t="s">
        <v>40</v>
      </c>
    </row>
    <row r="52" spans="1:8" x14ac:dyDescent="0.2">
      <c r="A52" s="3">
        <v>3080107305</v>
      </c>
      <c r="B52" s="4" t="s">
        <v>69</v>
      </c>
      <c r="C52" s="4" t="s">
        <v>434</v>
      </c>
      <c r="D52" s="3">
        <v>2</v>
      </c>
      <c r="E52" s="3" t="s">
        <v>16</v>
      </c>
      <c r="F52" s="3" t="s">
        <v>291</v>
      </c>
      <c r="G52" s="3" t="s">
        <v>26</v>
      </c>
      <c r="H52" s="3" t="s">
        <v>40</v>
      </c>
    </row>
    <row r="53" spans="1:8" x14ac:dyDescent="0.2">
      <c r="A53" s="3">
        <v>3080107072</v>
      </c>
      <c r="B53" s="4" t="s">
        <v>69</v>
      </c>
      <c r="C53" s="4" t="s">
        <v>435</v>
      </c>
      <c r="D53" s="3">
        <v>4</v>
      </c>
      <c r="E53" s="3" t="s">
        <v>16</v>
      </c>
      <c r="F53" s="3" t="s">
        <v>291</v>
      </c>
      <c r="G53" s="3" t="s">
        <v>26</v>
      </c>
      <c r="H53" s="3" t="s">
        <v>40</v>
      </c>
    </row>
    <row r="54" spans="1:8" x14ac:dyDescent="0.2">
      <c r="A54" s="3">
        <v>3080107094</v>
      </c>
      <c r="B54" s="4" t="s">
        <v>69</v>
      </c>
      <c r="C54" s="4" t="s">
        <v>436</v>
      </c>
      <c r="D54" s="3">
        <v>2</v>
      </c>
      <c r="E54" s="3" t="s">
        <v>16</v>
      </c>
      <c r="F54" s="3" t="s">
        <v>291</v>
      </c>
      <c r="G54" s="3" t="s">
        <v>26</v>
      </c>
      <c r="H54" s="3" t="s">
        <v>40</v>
      </c>
    </row>
    <row r="55" spans="1:8" x14ac:dyDescent="0.2">
      <c r="A55" s="3">
        <v>3080108025</v>
      </c>
      <c r="B55" s="4" t="s">
        <v>77</v>
      </c>
      <c r="C55" s="4" t="s">
        <v>437</v>
      </c>
      <c r="D55" s="3">
        <v>7</v>
      </c>
      <c r="E55" s="3" t="s">
        <v>16</v>
      </c>
      <c r="F55" s="3" t="s">
        <v>295</v>
      </c>
      <c r="G55" s="3" t="s">
        <v>17</v>
      </c>
      <c r="H55" s="3" t="s">
        <v>40</v>
      </c>
    </row>
    <row r="56" spans="1:8" x14ac:dyDescent="0.2">
      <c r="A56" s="3">
        <v>3080108033</v>
      </c>
      <c r="B56" s="4" t="s">
        <v>77</v>
      </c>
      <c r="C56" s="4" t="s">
        <v>438</v>
      </c>
      <c r="D56" s="3">
        <v>4</v>
      </c>
      <c r="E56" s="3" t="s">
        <v>16</v>
      </c>
      <c r="F56" s="3" t="s">
        <v>291</v>
      </c>
      <c r="G56" s="3" t="s">
        <v>26</v>
      </c>
      <c r="H56" s="3" t="s">
        <v>40</v>
      </c>
    </row>
    <row r="57" spans="1:8" x14ac:dyDescent="0.2">
      <c r="A57" s="3">
        <v>3080403001</v>
      </c>
      <c r="B57" s="4" t="s">
        <v>439</v>
      </c>
      <c r="C57" s="4" t="s">
        <v>440</v>
      </c>
      <c r="D57" s="3">
        <v>1</v>
      </c>
      <c r="E57" s="3" t="s">
        <v>16</v>
      </c>
      <c r="F57" s="3" t="s">
        <v>295</v>
      </c>
      <c r="G57" s="3" t="s">
        <v>17</v>
      </c>
      <c r="H57" s="3" t="s">
        <v>40</v>
      </c>
    </row>
    <row r="58" spans="1:8" x14ac:dyDescent="0.2">
      <c r="A58" s="3">
        <v>3080109002</v>
      </c>
      <c r="B58" s="4" t="s">
        <v>441</v>
      </c>
      <c r="C58" s="4" t="s">
        <v>442</v>
      </c>
      <c r="D58" s="3">
        <v>2</v>
      </c>
      <c r="E58" s="3" t="s">
        <v>16</v>
      </c>
      <c r="F58" s="3" t="s">
        <v>295</v>
      </c>
      <c r="G58" s="3" t="s">
        <v>17</v>
      </c>
      <c r="H58" s="3" t="s">
        <v>40</v>
      </c>
    </row>
    <row r="59" spans="1:8" x14ac:dyDescent="0.2">
      <c r="A59" s="3">
        <v>3080111012</v>
      </c>
      <c r="B59" s="4" t="s">
        <v>79</v>
      </c>
      <c r="C59" s="4" t="s">
        <v>443</v>
      </c>
      <c r="D59" s="3">
        <v>2</v>
      </c>
      <c r="E59" s="3" t="s">
        <v>16</v>
      </c>
      <c r="F59" s="3" t="s">
        <v>295</v>
      </c>
      <c r="G59" s="3" t="s">
        <v>17</v>
      </c>
      <c r="H59" s="3" t="s">
        <v>40</v>
      </c>
    </row>
    <row r="60" spans="1:8" x14ac:dyDescent="0.2">
      <c r="A60" s="3">
        <v>3080111006</v>
      </c>
      <c r="B60" s="4" t="s">
        <v>79</v>
      </c>
      <c r="C60" s="4" t="s">
        <v>444</v>
      </c>
      <c r="D60" s="3">
        <v>1</v>
      </c>
      <c r="E60" s="3" t="s">
        <v>16</v>
      </c>
      <c r="F60" s="3" t="s">
        <v>295</v>
      </c>
      <c r="G60" s="3" t="s">
        <v>17</v>
      </c>
      <c r="H60" s="3" t="s">
        <v>40</v>
      </c>
    </row>
    <row r="61" spans="1:8" x14ac:dyDescent="0.2">
      <c r="A61" s="3">
        <v>3080111004</v>
      </c>
      <c r="B61" s="4" t="s">
        <v>79</v>
      </c>
      <c r="C61" s="4" t="s">
        <v>445</v>
      </c>
      <c r="D61" s="3">
        <v>2</v>
      </c>
      <c r="E61" s="3" t="s">
        <v>16</v>
      </c>
      <c r="F61" s="3" t="s">
        <v>293</v>
      </c>
      <c r="G61" s="3" t="s">
        <v>29</v>
      </c>
      <c r="H61" s="3" t="s">
        <v>40</v>
      </c>
    </row>
    <row r="62" spans="1:8" x14ac:dyDescent="0.2">
      <c r="A62" s="3">
        <v>3080111087</v>
      </c>
      <c r="B62" s="4" t="s">
        <v>79</v>
      </c>
      <c r="C62" s="4" t="s">
        <v>80</v>
      </c>
      <c r="D62" s="3">
        <v>7</v>
      </c>
      <c r="E62" s="3" t="s">
        <v>16</v>
      </c>
      <c r="F62" s="3" t="s">
        <v>291</v>
      </c>
      <c r="G62" s="3" t="s">
        <v>26</v>
      </c>
      <c r="H62" s="3" t="s">
        <v>40</v>
      </c>
    </row>
    <row r="63" spans="1:8" x14ac:dyDescent="0.2">
      <c r="A63" s="3">
        <v>3080111087</v>
      </c>
      <c r="B63" s="4" t="s">
        <v>79</v>
      </c>
      <c r="C63" s="4" t="s">
        <v>80</v>
      </c>
      <c r="D63" s="3">
        <v>9</v>
      </c>
      <c r="E63" s="3" t="s">
        <v>16</v>
      </c>
      <c r="F63" s="3" t="s">
        <v>291</v>
      </c>
      <c r="G63" s="3" t="s">
        <v>26</v>
      </c>
      <c r="H63" s="3" t="s">
        <v>40</v>
      </c>
    </row>
    <row r="64" spans="1:8" x14ac:dyDescent="0.2">
      <c r="A64" s="3">
        <v>3080111087</v>
      </c>
      <c r="B64" s="4" t="s">
        <v>79</v>
      </c>
      <c r="C64" s="4" t="s">
        <v>80</v>
      </c>
      <c r="D64" s="3">
        <v>4</v>
      </c>
      <c r="E64" s="3" t="s">
        <v>16</v>
      </c>
      <c r="F64" s="3" t="s">
        <v>291</v>
      </c>
      <c r="G64" s="3" t="s">
        <v>26</v>
      </c>
      <c r="H64" s="3" t="s">
        <v>40</v>
      </c>
    </row>
    <row r="65" spans="1:8" x14ac:dyDescent="0.2">
      <c r="A65" s="3">
        <v>3080111015</v>
      </c>
      <c r="B65" s="4" t="s">
        <v>79</v>
      </c>
      <c r="C65" s="4" t="s">
        <v>446</v>
      </c>
      <c r="D65" s="3">
        <v>4</v>
      </c>
      <c r="E65" s="3" t="s">
        <v>16</v>
      </c>
      <c r="F65" s="3" t="s">
        <v>291</v>
      </c>
      <c r="G65" s="3" t="s">
        <v>26</v>
      </c>
      <c r="H65" s="3" t="s">
        <v>40</v>
      </c>
    </row>
    <row r="66" spans="1:8" x14ac:dyDescent="0.2">
      <c r="A66" s="3">
        <v>407030133</v>
      </c>
      <c r="B66" s="4" t="s">
        <v>81</v>
      </c>
      <c r="C66" s="4" t="s">
        <v>1083</v>
      </c>
      <c r="D66" s="3">
        <v>1</v>
      </c>
      <c r="E66" s="3" t="s">
        <v>16</v>
      </c>
      <c r="F66" s="3" t="s">
        <v>301</v>
      </c>
      <c r="G66" s="3" t="s">
        <v>32</v>
      </c>
      <c r="H66" s="3" t="s">
        <v>40</v>
      </c>
    </row>
    <row r="67" spans="1:8" x14ac:dyDescent="0.2">
      <c r="A67" s="3">
        <v>3099990501</v>
      </c>
      <c r="B67" s="4" t="s">
        <v>708</v>
      </c>
      <c r="C67" s="4" t="s">
        <v>105</v>
      </c>
      <c r="D67" s="3">
        <v>1</v>
      </c>
      <c r="E67" s="3" t="s">
        <v>16</v>
      </c>
      <c r="F67" s="3" t="s">
        <v>709</v>
      </c>
      <c r="G67" s="3" t="s">
        <v>710</v>
      </c>
      <c r="H67" s="3" t="s">
        <v>103</v>
      </c>
    </row>
    <row r="68" spans="1:8" x14ac:dyDescent="0.2">
      <c r="A68" s="3">
        <v>3099990104</v>
      </c>
      <c r="B68" s="4" t="s">
        <v>104</v>
      </c>
      <c r="C68" s="4" t="s">
        <v>448</v>
      </c>
      <c r="D68" s="3">
        <v>1</v>
      </c>
      <c r="E68" s="3" t="s">
        <v>16</v>
      </c>
      <c r="F68" s="3" t="s">
        <v>299</v>
      </c>
      <c r="G68" s="3" t="s">
        <v>106</v>
      </c>
      <c r="H68" s="3" t="s">
        <v>103</v>
      </c>
    </row>
    <row r="69" spans="1:8" x14ac:dyDescent="0.2">
      <c r="A69" s="3">
        <v>3099990704</v>
      </c>
      <c r="B69" s="4" t="s">
        <v>449</v>
      </c>
      <c r="C69" s="4" t="s">
        <v>450</v>
      </c>
      <c r="D69" s="3">
        <v>1</v>
      </c>
      <c r="E69" s="3" t="s">
        <v>16</v>
      </c>
      <c r="F69" s="3" t="s">
        <v>299</v>
      </c>
      <c r="G69" s="3" t="s">
        <v>106</v>
      </c>
      <c r="H69" s="3" t="s">
        <v>103</v>
      </c>
    </row>
    <row r="70" spans="1:8" x14ac:dyDescent="0.2">
      <c r="A70" s="3">
        <v>3099990604</v>
      </c>
      <c r="B70" s="4" t="s">
        <v>451</v>
      </c>
      <c r="C70" s="4" t="s">
        <v>450</v>
      </c>
      <c r="D70" s="3">
        <v>1</v>
      </c>
      <c r="E70" s="3" t="s">
        <v>16</v>
      </c>
      <c r="F70" s="3" t="s">
        <v>299</v>
      </c>
      <c r="G70" s="3" t="s">
        <v>106</v>
      </c>
      <c r="H70" s="3" t="s">
        <v>103</v>
      </c>
    </row>
    <row r="71" spans="1:8" x14ac:dyDescent="0.2">
      <c r="A71" s="3">
        <v>402030027</v>
      </c>
      <c r="B71" s="4" t="s">
        <v>107</v>
      </c>
      <c r="C71" s="4" t="s">
        <v>110</v>
      </c>
      <c r="D71" s="3">
        <v>1</v>
      </c>
      <c r="E71" s="3" t="s">
        <v>16</v>
      </c>
      <c r="F71" s="3" t="s">
        <v>291</v>
      </c>
      <c r="G71" s="3" t="s">
        <v>26</v>
      </c>
      <c r="H71" s="3" t="s">
        <v>109</v>
      </c>
    </row>
    <row r="72" spans="1:8" x14ac:dyDescent="0.2">
      <c r="A72" s="3">
        <v>402020002</v>
      </c>
      <c r="B72" s="4" t="s">
        <v>111</v>
      </c>
      <c r="C72" s="4" t="s">
        <v>452</v>
      </c>
      <c r="D72" s="3">
        <v>2</v>
      </c>
      <c r="E72" s="3" t="s">
        <v>16</v>
      </c>
      <c r="F72" s="3" t="s">
        <v>293</v>
      </c>
      <c r="G72" s="3" t="s">
        <v>29</v>
      </c>
      <c r="H72" s="3" t="s">
        <v>109</v>
      </c>
    </row>
    <row r="73" spans="1:8" x14ac:dyDescent="0.2">
      <c r="A73" s="3">
        <v>3060210001</v>
      </c>
      <c r="B73" s="4" t="s">
        <v>711</v>
      </c>
      <c r="C73" s="4" t="s">
        <v>712</v>
      </c>
      <c r="D73" s="3">
        <v>2</v>
      </c>
      <c r="E73" s="3" t="s">
        <v>16</v>
      </c>
      <c r="F73" s="3" t="s">
        <v>289</v>
      </c>
      <c r="G73" s="3" t="s">
        <v>23</v>
      </c>
      <c r="H73" s="3" t="s">
        <v>115</v>
      </c>
    </row>
    <row r="74" spans="1:8" x14ac:dyDescent="0.2">
      <c r="A74" s="3">
        <v>3040216001</v>
      </c>
      <c r="B74" s="4" t="s">
        <v>328</v>
      </c>
      <c r="C74" s="4" t="s">
        <v>329</v>
      </c>
      <c r="D74" s="3">
        <v>4</v>
      </c>
      <c r="E74" s="3" t="s">
        <v>16</v>
      </c>
      <c r="F74" s="3" t="s">
        <v>293</v>
      </c>
      <c r="G74" s="3" t="s">
        <v>29</v>
      </c>
      <c r="H74" s="3" t="s">
        <v>115</v>
      </c>
    </row>
    <row r="75" spans="1:8" x14ac:dyDescent="0.2">
      <c r="A75" s="3">
        <v>3030204017</v>
      </c>
      <c r="B75" s="4" t="s">
        <v>453</v>
      </c>
      <c r="C75" s="4" t="s">
        <v>454</v>
      </c>
      <c r="D75" s="3">
        <v>1</v>
      </c>
      <c r="E75" s="3" t="s">
        <v>16</v>
      </c>
      <c r="F75" s="3" t="s">
        <v>295</v>
      </c>
      <c r="G75" s="3" t="s">
        <v>17</v>
      </c>
      <c r="H75" s="3" t="s">
        <v>115</v>
      </c>
    </row>
    <row r="76" spans="1:8" x14ac:dyDescent="0.2">
      <c r="A76" s="3">
        <v>3030204005</v>
      </c>
      <c r="B76" s="4" t="s">
        <v>455</v>
      </c>
      <c r="C76" s="4" t="s">
        <v>456</v>
      </c>
      <c r="D76" s="3">
        <v>1</v>
      </c>
      <c r="E76" s="3" t="s">
        <v>16</v>
      </c>
      <c r="F76" s="3" t="s">
        <v>295</v>
      </c>
      <c r="G76" s="3" t="s">
        <v>17</v>
      </c>
      <c r="H76" s="3" t="s">
        <v>115</v>
      </c>
    </row>
    <row r="77" spans="1:8" x14ac:dyDescent="0.2">
      <c r="A77" s="3">
        <v>3050203003</v>
      </c>
      <c r="B77" s="4" t="s">
        <v>120</v>
      </c>
      <c r="C77" s="4" t="s">
        <v>457</v>
      </c>
      <c r="D77" s="3">
        <v>2</v>
      </c>
      <c r="E77" s="3" t="s">
        <v>16</v>
      </c>
      <c r="F77" s="3" t="s">
        <v>291</v>
      </c>
      <c r="G77" s="3" t="s">
        <v>26</v>
      </c>
      <c r="H77" s="3" t="s">
        <v>115</v>
      </c>
    </row>
    <row r="78" spans="1:8" x14ac:dyDescent="0.2">
      <c r="A78" s="3">
        <v>3030204008</v>
      </c>
      <c r="B78" s="4" t="s">
        <v>122</v>
      </c>
      <c r="C78" s="4" t="s">
        <v>123</v>
      </c>
      <c r="D78" s="3">
        <v>1</v>
      </c>
      <c r="E78" s="3" t="s">
        <v>16</v>
      </c>
      <c r="F78" s="3" t="s">
        <v>291</v>
      </c>
      <c r="G78" s="3" t="s">
        <v>26</v>
      </c>
      <c r="H78" s="3" t="s">
        <v>115</v>
      </c>
    </row>
    <row r="79" spans="1:8" x14ac:dyDescent="0.2">
      <c r="A79" s="3">
        <v>3030206001</v>
      </c>
      <c r="B79" s="4" t="s">
        <v>458</v>
      </c>
      <c r="C79" s="4" t="s">
        <v>404</v>
      </c>
      <c r="D79" s="3">
        <v>1</v>
      </c>
      <c r="E79" s="3" t="s">
        <v>16</v>
      </c>
      <c r="F79" s="3" t="s">
        <v>295</v>
      </c>
      <c r="G79" s="3" t="s">
        <v>17</v>
      </c>
      <c r="H79" s="3" t="s">
        <v>132</v>
      </c>
    </row>
    <row r="80" spans="1:8" x14ac:dyDescent="0.2">
      <c r="A80" s="3">
        <v>3040502046</v>
      </c>
      <c r="B80" s="4" t="s">
        <v>136</v>
      </c>
      <c r="C80" s="4" t="s">
        <v>778</v>
      </c>
      <c r="D80" s="3">
        <v>1</v>
      </c>
      <c r="E80" s="3" t="s">
        <v>16</v>
      </c>
      <c r="F80" s="3" t="s">
        <v>293</v>
      </c>
      <c r="G80" s="3" t="s">
        <v>29</v>
      </c>
      <c r="H80" s="3" t="s">
        <v>138</v>
      </c>
    </row>
    <row r="81" spans="1:8" x14ac:dyDescent="0.2">
      <c r="A81" s="3">
        <v>3040502048</v>
      </c>
      <c r="B81" s="4" t="s">
        <v>136</v>
      </c>
      <c r="C81" s="4" t="s">
        <v>779</v>
      </c>
      <c r="D81" s="3">
        <v>1</v>
      </c>
      <c r="E81" s="3" t="s">
        <v>16</v>
      </c>
      <c r="F81" s="3" t="s">
        <v>293</v>
      </c>
      <c r="G81" s="3" t="s">
        <v>29</v>
      </c>
      <c r="H81" s="3" t="s">
        <v>138</v>
      </c>
    </row>
    <row r="82" spans="1:8" x14ac:dyDescent="0.2">
      <c r="A82" s="3">
        <v>3990207002</v>
      </c>
      <c r="B82" s="4" t="s">
        <v>140</v>
      </c>
      <c r="C82" s="4" t="s">
        <v>714</v>
      </c>
      <c r="D82" s="3">
        <v>1</v>
      </c>
      <c r="E82" s="3" t="s">
        <v>16</v>
      </c>
      <c r="F82" s="3" t="s">
        <v>285</v>
      </c>
      <c r="G82" s="3" t="s">
        <v>142</v>
      </c>
      <c r="H82" s="3" t="s">
        <v>143</v>
      </c>
    </row>
    <row r="83" spans="1:8" x14ac:dyDescent="0.2">
      <c r="A83" s="3">
        <v>3030301005</v>
      </c>
      <c r="B83" s="4" t="s">
        <v>144</v>
      </c>
      <c r="C83" s="4" t="s">
        <v>145</v>
      </c>
      <c r="D83" s="3">
        <v>2</v>
      </c>
      <c r="E83" s="3" t="s">
        <v>16</v>
      </c>
      <c r="F83" s="3" t="s">
        <v>291</v>
      </c>
      <c r="G83" s="3" t="s">
        <v>26</v>
      </c>
      <c r="H83" s="3" t="s">
        <v>143</v>
      </c>
    </row>
    <row r="84" spans="1:8" x14ac:dyDescent="0.2">
      <c r="A84" s="3">
        <v>3990206001</v>
      </c>
      <c r="B84" s="4" t="s">
        <v>715</v>
      </c>
      <c r="C84" s="4" t="s">
        <v>716</v>
      </c>
      <c r="D84" s="3">
        <v>1</v>
      </c>
      <c r="E84" s="3" t="s">
        <v>16</v>
      </c>
      <c r="F84" s="3" t="s">
        <v>717</v>
      </c>
      <c r="G84" s="3" t="s">
        <v>718</v>
      </c>
      <c r="H84" s="3" t="s">
        <v>143</v>
      </c>
    </row>
    <row r="85" spans="1:8" x14ac:dyDescent="0.2">
      <c r="A85" s="3">
        <v>3990205003</v>
      </c>
      <c r="B85" s="4" t="s">
        <v>146</v>
      </c>
      <c r="C85" s="4" t="s">
        <v>460</v>
      </c>
      <c r="D85" s="3">
        <v>1</v>
      </c>
      <c r="E85" s="3" t="s">
        <v>16</v>
      </c>
      <c r="F85" s="3" t="s">
        <v>287</v>
      </c>
      <c r="G85" s="3" t="s">
        <v>148</v>
      </c>
      <c r="H85" s="3" t="s">
        <v>143</v>
      </c>
    </row>
    <row r="86" spans="1:8" x14ac:dyDescent="0.2">
      <c r="A86" s="3">
        <v>408090008</v>
      </c>
      <c r="B86" s="4" t="s">
        <v>461</v>
      </c>
      <c r="C86" s="4" t="s">
        <v>462</v>
      </c>
      <c r="D86" s="3">
        <v>1</v>
      </c>
      <c r="E86" s="3" t="s">
        <v>16</v>
      </c>
      <c r="F86" s="3" t="s">
        <v>293</v>
      </c>
      <c r="G86" s="3" t="s">
        <v>29</v>
      </c>
      <c r="H86" s="3" t="s">
        <v>151</v>
      </c>
    </row>
    <row r="87" spans="1:8" x14ac:dyDescent="0.2">
      <c r="A87" s="3">
        <v>408090007</v>
      </c>
      <c r="B87" s="4" t="s">
        <v>463</v>
      </c>
      <c r="C87" s="4" t="s">
        <v>464</v>
      </c>
      <c r="D87" s="3">
        <v>1</v>
      </c>
      <c r="E87" s="3" t="s">
        <v>16</v>
      </c>
      <c r="F87" s="3" t="s">
        <v>293</v>
      </c>
      <c r="G87" s="3" t="s">
        <v>29</v>
      </c>
      <c r="H87" s="3" t="s">
        <v>151</v>
      </c>
    </row>
    <row r="88" spans="1:8" x14ac:dyDescent="0.2">
      <c r="A88" s="3">
        <v>407010095</v>
      </c>
      <c r="B88" s="4" t="s">
        <v>149</v>
      </c>
      <c r="C88" s="4" t="s">
        <v>1084</v>
      </c>
      <c r="D88" s="3">
        <v>1</v>
      </c>
      <c r="E88" s="3" t="s">
        <v>16</v>
      </c>
      <c r="F88" s="3" t="s">
        <v>289</v>
      </c>
      <c r="G88" s="3" t="s">
        <v>23</v>
      </c>
      <c r="H88" s="3" t="s">
        <v>151</v>
      </c>
    </row>
    <row r="89" spans="1:8" x14ac:dyDescent="0.2">
      <c r="A89" s="3">
        <v>3060318001</v>
      </c>
      <c r="B89" s="4" t="s">
        <v>720</v>
      </c>
      <c r="C89" s="4" t="s">
        <v>721</v>
      </c>
      <c r="D89" s="3">
        <v>1</v>
      </c>
      <c r="E89" s="3" t="s">
        <v>16</v>
      </c>
      <c r="F89" s="3" t="s">
        <v>289</v>
      </c>
      <c r="G89" s="3" t="s">
        <v>23</v>
      </c>
      <c r="H89" s="3" t="s">
        <v>154</v>
      </c>
    </row>
    <row r="90" spans="1:8" x14ac:dyDescent="0.2">
      <c r="A90" s="3">
        <v>3060327003</v>
      </c>
      <c r="B90" s="4" t="s">
        <v>722</v>
      </c>
      <c r="C90" s="4" t="s">
        <v>723</v>
      </c>
      <c r="D90" s="3">
        <v>1</v>
      </c>
      <c r="E90" s="3" t="s">
        <v>16</v>
      </c>
      <c r="F90" s="3" t="s">
        <v>289</v>
      </c>
      <c r="G90" s="3" t="s">
        <v>23</v>
      </c>
      <c r="H90" s="3" t="s">
        <v>154</v>
      </c>
    </row>
    <row r="91" spans="1:8" x14ac:dyDescent="0.2">
      <c r="A91" s="3">
        <v>3080507001</v>
      </c>
      <c r="B91" s="4" t="s">
        <v>466</v>
      </c>
      <c r="C91" s="4" t="s">
        <v>467</v>
      </c>
      <c r="D91" s="3">
        <v>4</v>
      </c>
      <c r="E91" s="3" t="s">
        <v>16</v>
      </c>
      <c r="F91" s="3" t="s">
        <v>291</v>
      </c>
      <c r="G91" s="3" t="s">
        <v>26</v>
      </c>
      <c r="H91" s="3" t="s">
        <v>154</v>
      </c>
    </row>
    <row r="92" spans="1:8" x14ac:dyDescent="0.2">
      <c r="A92" s="3">
        <v>3030301010</v>
      </c>
      <c r="B92" s="4" t="s">
        <v>468</v>
      </c>
      <c r="C92" s="4" t="s">
        <v>469</v>
      </c>
      <c r="D92" s="3">
        <v>4</v>
      </c>
      <c r="E92" s="3" t="s">
        <v>16</v>
      </c>
      <c r="F92" s="3" t="s">
        <v>295</v>
      </c>
      <c r="G92" s="3" t="s">
        <v>17</v>
      </c>
      <c r="H92" s="3" t="s">
        <v>165</v>
      </c>
    </row>
    <row r="93" spans="1:8" x14ac:dyDescent="0.2">
      <c r="A93" s="3">
        <v>3060347005</v>
      </c>
      <c r="B93" s="4" t="s">
        <v>470</v>
      </c>
      <c r="C93" s="4" t="s">
        <v>471</v>
      </c>
      <c r="D93" s="3">
        <v>1</v>
      </c>
      <c r="E93" s="3" t="s">
        <v>16</v>
      </c>
      <c r="F93" s="3" t="s">
        <v>291</v>
      </c>
      <c r="G93" s="3" t="s">
        <v>26</v>
      </c>
      <c r="H93" s="3" t="s">
        <v>165</v>
      </c>
    </row>
    <row r="94" spans="1:8" x14ac:dyDescent="0.2">
      <c r="A94" s="3">
        <v>3060347006</v>
      </c>
      <c r="B94" s="4" t="s">
        <v>470</v>
      </c>
      <c r="C94" s="4" t="s">
        <v>472</v>
      </c>
      <c r="D94" s="3">
        <v>1</v>
      </c>
      <c r="E94" s="3" t="s">
        <v>16</v>
      </c>
      <c r="F94" s="3" t="s">
        <v>291</v>
      </c>
      <c r="G94" s="3" t="s">
        <v>26</v>
      </c>
      <c r="H94" s="3" t="s">
        <v>165</v>
      </c>
    </row>
    <row r="95" spans="1:8" x14ac:dyDescent="0.2">
      <c r="A95" s="3">
        <v>3060307003</v>
      </c>
      <c r="B95" s="4" t="s">
        <v>1085</v>
      </c>
      <c r="C95" s="4" t="s">
        <v>1086</v>
      </c>
      <c r="D95" s="3">
        <v>1</v>
      </c>
      <c r="E95" s="3" t="s">
        <v>16</v>
      </c>
      <c r="F95" s="3" t="s">
        <v>291</v>
      </c>
      <c r="G95" s="3" t="s">
        <v>26</v>
      </c>
      <c r="H95" s="3" t="s">
        <v>165</v>
      </c>
    </row>
    <row r="96" spans="1:8" x14ac:dyDescent="0.2">
      <c r="A96" s="3">
        <v>3060307004</v>
      </c>
      <c r="B96" s="4" t="s">
        <v>1085</v>
      </c>
      <c r="C96" s="4" t="s">
        <v>1087</v>
      </c>
      <c r="D96" s="3">
        <v>1</v>
      </c>
      <c r="E96" s="3" t="s">
        <v>16</v>
      </c>
      <c r="F96" s="3" t="s">
        <v>291</v>
      </c>
      <c r="G96" s="3" t="s">
        <v>26</v>
      </c>
      <c r="H96" s="3" t="s">
        <v>165</v>
      </c>
    </row>
    <row r="97" spans="1:8" x14ac:dyDescent="0.2">
      <c r="A97" s="3">
        <v>3110103002</v>
      </c>
      <c r="B97" s="4" t="s">
        <v>473</v>
      </c>
      <c r="C97" s="4" t="s">
        <v>474</v>
      </c>
      <c r="D97" s="3">
        <v>1</v>
      </c>
      <c r="E97" s="3" t="s">
        <v>16</v>
      </c>
      <c r="F97" s="3" t="s">
        <v>291</v>
      </c>
      <c r="G97" s="3" t="s">
        <v>26</v>
      </c>
      <c r="H97" s="3" t="s">
        <v>165</v>
      </c>
    </row>
    <row r="98" spans="1:8" x14ac:dyDescent="0.2">
      <c r="A98" s="3">
        <v>3030316006</v>
      </c>
      <c r="B98" s="4" t="s">
        <v>475</v>
      </c>
      <c r="C98" s="4" t="s">
        <v>476</v>
      </c>
      <c r="D98" s="3">
        <v>1</v>
      </c>
      <c r="E98" s="3" t="s">
        <v>16</v>
      </c>
      <c r="F98" s="3" t="s">
        <v>295</v>
      </c>
      <c r="G98" s="3" t="s">
        <v>17</v>
      </c>
      <c r="H98" s="3" t="s">
        <v>165</v>
      </c>
    </row>
    <row r="99" spans="1:8" x14ac:dyDescent="0.2">
      <c r="A99" s="3">
        <v>3030314007</v>
      </c>
      <c r="B99" s="4" t="s">
        <v>477</v>
      </c>
      <c r="C99" s="4" t="s">
        <v>478</v>
      </c>
      <c r="D99" s="3">
        <v>1</v>
      </c>
      <c r="E99" s="3" t="s">
        <v>16</v>
      </c>
      <c r="F99" s="3" t="s">
        <v>291</v>
      </c>
      <c r="G99" s="3" t="s">
        <v>26</v>
      </c>
      <c r="H99" s="3" t="s">
        <v>165</v>
      </c>
    </row>
    <row r="100" spans="1:8" x14ac:dyDescent="0.2">
      <c r="A100" s="3">
        <v>3030308013</v>
      </c>
      <c r="B100" s="4" t="s">
        <v>479</v>
      </c>
      <c r="C100" s="4" t="s">
        <v>478</v>
      </c>
      <c r="D100" s="3">
        <v>1</v>
      </c>
      <c r="E100" s="3" t="s">
        <v>16</v>
      </c>
      <c r="F100" s="3" t="s">
        <v>291</v>
      </c>
      <c r="G100" s="3" t="s">
        <v>26</v>
      </c>
      <c r="H100" s="3" t="s">
        <v>165</v>
      </c>
    </row>
    <row r="101" spans="1:8" x14ac:dyDescent="0.2">
      <c r="A101" s="3">
        <v>3050310030</v>
      </c>
      <c r="B101" s="4" t="s">
        <v>480</v>
      </c>
      <c r="C101" s="4" t="s">
        <v>469</v>
      </c>
      <c r="D101" s="3">
        <v>2</v>
      </c>
      <c r="E101" s="3" t="s">
        <v>16</v>
      </c>
      <c r="F101" s="3" t="s">
        <v>291</v>
      </c>
      <c r="G101" s="3" t="s">
        <v>26</v>
      </c>
      <c r="H101" s="3" t="s">
        <v>165</v>
      </c>
    </row>
    <row r="102" spans="1:8" x14ac:dyDescent="0.2">
      <c r="A102" s="3">
        <v>3010106010</v>
      </c>
      <c r="B102" s="4" t="s">
        <v>481</v>
      </c>
      <c r="C102" s="4" t="s">
        <v>482</v>
      </c>
      <c r="D102" s="3">
        <v>0.03</v>
      </c>
      <c r="E102" s="3" t="s">
        <v>10</v>
      </c>
      <c r="F102" s="3" t="s">
        <v>284</v>
      </c>
      <c r="G102" s="3" t="s">
        <v>11</v>
      </c>
      <c r="H102" s="3" t="s">
        <v>483</v>
      </c>
    </row>
    <row r="103" spans="1:8" x14ac:dyDescent="0.2">
      <c r="A103" s="3">
        <v>3060333003</v>
      </c>
      <c r="B103" s="4" t="s">
        <v>227</v>
      </c>
      <c r="C103" s="4" t="s">
        <v>724</v>
      </c>
      <c r="D103" s="3">
        <v>1</v>
      </c>
      <c r="E103" s="3" t="s">
        <v>16</v>
      </c>
      <c r="F103" s="3" t="s">
        <v>289</v>
      </c>
      <c r="G103" s="3" t="s">
        <v>23</v>
      </c>
      <c r="H103" s="3" t="s">
        <v>173</v>
      </c>
    </row>
    <row r="104" spans="1:8" x14ac:dyDescent="0.2">
      <c r="A104" s="3">
        <v>3050305013</v>
      </c>
      <c r="B104" s="4" t="s">
        <v>484</v>
      </c>
      <c r="C104" s="4" t="s">
        <v>485</v>
      </c>
      <c r="D104" s="3">
        <v>1</v>
      </c>
      <c r="E104" s="3" t="s">
        <v>16</v>
      </c>
      <c r="F104" s="3" t="s">
        <v>291</v>
      </c>
      <c r="G104" s="3" t="s">
        <v>26</v>
      </c>
      <c r="H104" s="3" t="s">
        <v>173</v>
      </c>
    </row>
    <row r="105" spans="1:8" x14ac:dyDescent="0.2">
      <c r="A105" s="3">
        <v>3040305002</v>
      </c>
      <c r="B105" s="4" t="s">
        <v>486</v>
      </c>
      <c r="C105" s="4" t="s">
        <v>487</v>
      </c>
      <c r="D105" s="3">
        <v>2</v>
      </c>
      <c r="E105" s="3" t="s">
        <v>16</v>
      </c>
      <c r="F105" s="3" t="s">
        <v>293</v>
      </c>
      <c r="G105" s="3" t="s">
        <v>29</v>
      </c>
      <c r="H105" s="3" t="s">
        <v>173</v>
      </c>
    </row>
    <row r="106" spans="1:8" x14ac:dyDescent="0.2">
      <c r="A106" s="3">
        <v>3040313002</v>
      </c>
      <c r="B106" s="4" t="s">
        <v>488</v>
      </c>
      <c r="C106" s="4" t="s">
        <v>489</v>
      </c>
      <c r="D106" s="3">
        <v>8</v>
      </c>
      <c r="E106" s="3" t="s">
        <v>16</v>
      </c>
      <c r="F106" s="3" t="s">
        <v>293</v>
      </c>
      <c r="G106" s="3" t="s">
        <v>29</v>
      </c>
      <c r="H106" s="3" t="s">
        <v>173</v>
      </c>
    </row>
    <row r="107" spans="1:8" x14ac:dyDescent="0.2">
      <c r="A107" s="3">
        <v>3040321001</v>
      </c>
      <c r="B107" s="4" t="s">
        <v>490</v>
      </c>
      <c r="C107" s="4" t="s">
        <v>347</v>
      </c>
      <c r="D107" s="3">
        <v>8</v>
      </c>
      <c r="E107" s="3" t="s">
        <v>16</v>
      </c>
      <c r="F107" s="3" t="s">
        <v>293</v>
      </c>
      <c r="G107" s="3" t="s">
        <v>29</v>
      </c>
      <c r="H107" s="3" t="s">
        <v>173</v>
      </c>
    </row>
    <row r="108" spans="1:8" x14ac:dyDescent="0.2">
      <c r="A108" s="3">
        <v>3040309001</v>
      </c>
      <c r="B108" s="4" t="s">
        <v>346</v>
      </c>
      <c r="C108" s="4" t="s">
        <v>347</v>
      </c>
      <c r="D108" s="3">
        <v>4</v>
      </c>
      <c r="E108" s="3" t="s">
        <v>16</v>
      </c>
      <c r="F108" s="3" t="s">
        <v>293</v>
      </c>
      <c r="G108" s="3" t="s">
        <v>29</v>
      </c>
      <c r="H108" s="3" t="s">
        <v>173</v>
      </c>
    </row>
    <row r="109" spans="1:8" x14ac:dyDescent="0.2">
      <c r="A109" s="3">
        <v>3060340001</v>
      </c>
      <c r="B109" s="4" t="s">
        <v>725</v>
      </c>
      <c r="C109" s="4" t="s">
        <v>726</v>
      </c>
      <c r="D109" s="3">
        <v>1</v>
      </c>
      <c r="E109" s="3" t="s">
        <v>16</v>
      </c>
      <c r="F109" s="3" t="s">
        <v>702</v>
      </c>
      <c r="G109" s="3" t="s">
        <v>703</v>
      </c>
      <c r="H109" s="3" t="s">
        <v>173</v>
      </c>
    </row>
    <row r="110" spans="1:8" x14ac:dyDescent="0.2">
      <c r="A110" s="3">
        <v>3050304006</v>
      </c>
      <c r="B110" s="4" t="s">
        <v>181</v>
      </c>
      <c r="C110" s="4" t="s">
        <v>491</v>
      </c>
      <c r="D110" s="3">
        <v>1</v>
      </c>
      <c r="E110" s="3" t="s">
        <v>16</v>
      </c>
      <c r="F110" s="3" t="s">
        <v>291</v>
      </c>
      <c r="G110" s="3" t="s">
        <v>26</v>
      </c>
      <c r="H110" s="3" t="s">
        <v>173</v>
      </c>
    </row>
    <row r="111" spans="1:8" x14ac:dyDescent="0.2">
      <c r="A111" s="3">
        <v>3020501004</v>
      </c>
      <c r="B111" s="4" t="s">
        <v>183</v>
      </c>
      <c r="C111" s="4" t="s">
        <v>761</v>
      </c>
      <c r="D111" s="3">
        <v>1</v>
      </c>
      <c r="E111" s="3" t="s">
        <v>16</v>
      </c>
      <c r="F111" s="3" t="s">
        <v>291</v>
      </c>
      <c r="G111" s="3" t="s">
        <v>26</v>
      </c>
      <c r="H111" s="3" t="s">
        <v>185</v>
      </c>
    </row>
    <row r="112" spans="1:8" x14ac:dyDescent="0.2">
      <c r="A112" s="3">
        <v>3030204003</v>
      </c>
      <c r="B112" s="4" t="s">
        <v>492</v>
      </c>
      <c r="C112" s="4" t="s">
        <v>493</v>
      </c>
      <c r="D112" s="3">
        <v>2</v>
      </c>
      <c r="E112" s="3" t="s">
        <v>16</v>
      </c>
      <c r="F112" s="3" t="s">
        <v>295</v>
      </c>
      <c r="G112" s="3" t="s">
        <v>17</v>
      </c>
      <c r="H112" s="3" t="s">
        <v>494</v>
      </c>
    </row>
    <row r="113" spans="1:8" x14ac:dyDescent="0.2">
      <c r="A113" s="3">
        <v>3990201008</v>
      </c>
      <c r="B113" s="4" t="s">
        <v>186</v>
      </c>
      <c r="C113" s="4" t="s">
        <v>495</v>
      </c>
      <c r="D113" s="3">
        <v>1</v>
      </c>
      <c r="E113" s="3" t="s">
        <v>16</v>
      </c>
      <c r="F113" s="3" t="s">
        <v>295</v>
      </c>
      <c r="G113" s="3" t="s">
        <v>17</v>
      </c>
      <c r="H113" s="3" t="s">
        <v>187</v>
      </c>
    </row>
    <row r="114" spans="1:8" x14ac:dyDescent="0.2">
      <c r="A114" s="3">
        <v>3990202007</v>
      </c>
      <c r="B114" s="4" t="s">
        <v>188</v>
      </c>
      <c r="C114" s="4" t="s">
        <v>495</v>
      </c>
      <c r="D114" s="3">
        <v>1</v>
      </c>
      <c r="E114" s="3" t="s">
        <v>16</v>
      </c>
      <c r="F114" s="3" t="s">
        <v>295</v>
      </c>
      <c r="G114" s="3" t="s">
        <v>17</v>
      </c>
      <c r="H114" s="3" t="s">
        <v>187</v>
      </c>
    </row>
    <row r="115" spans="1:8" x14ac:dyDescent="0.2">
      <c r="A115" s="3">
        <v>3990203002</v>
      </c>
      <c r="B115" s="4" t="s">
        <v>189</v>
      </c>
      <c r="C115" s="4" t="s">
        <v>495</v>
      </c>
      <c r="D115" s="3">
        <v>1</v>
      </c>
      <c r="E115" s="3" t="s">
        <v>16</v>
      </c>
      <c r="F115" s="3" t="s">
        <v>295</v>
      </c>
      <c r="G115" s="3" t="s">
        <v>17</v>
      </c>
      <c r="H115" s="3" t="s">
        <v>187</v>
      </c>
    </row>
    <row r="116" spans="1:8" x14ac:dyDescent="0.2">
      <c r="A116" s="3">
        <v>3050405006</v>
      </c>
      <c r="B116" s="4" t="s">
        <v>1088</v>
      </c>
      <c r="C116" s="4" t="s">
        <v>1089</v>
      </c>
      <c r="D116" s="3">
        <v>1</v>
      </c>
      <c r="E116" s="3" t="s">
        <v>16</v>
      </c>
      <c r="F116" s="3" t="s">
        <v>291</v>
      </c>
      <c r="G116" s="3" t="s">
        <v>26</v>
      </c>
      <c r="H116" s="3" t="s">
        <v>192</v>
      </c>
    </row>
    <row r="117" spans="1:8" x14ac:dyDescent="0.2">
      <c r="A117" s="3">
        <v>3060403035</v>
      </c>
      <c r="B117" s="4" t="s">
        <v>957</v>
      </c>
      <c r="C117" s="4" t="s">
        <v>502</v>
      </c>
      <c r="D117" s="3">
        <v>1</v>
      </c>
      <c r="E117" s="3" t="s">
        <v>16</v>
      </c>
      <c r="F117" s="3" t="s">
        <v>295</v>
      </c>
      <c r="G117" s="3" t="s">
        <v>17</v>
      </c>
      <c r="H117" s="3" t="s">
        <v>192</v>
      </c>
    </row>
    <row r="118" spans="1:8" x14ac:dyDescent="0.2">
      <c r="A118" s="3">
        <v>3060403036</v>
      </c>
      <c r="B118" s="4" t="s">
        <v>957</v>
      </c>
      <c r="C118" s="4" t="s">
        <v>501</v>
      </c>
      <c r="D118" s="3">
        <v>1</v>
      </c>
      <c r="E118" s="3" t="s">
        <v>16</v>
      </c>
      <c r="F118" s="3" t="s">
        <v>295</v>
      </c>
      <c r="G118" s="3" t="s">
        <v>17</v>
      </c>
      <c r="H118" s="3" t="s">
        <v>192</v>
      </c>
    </row>
    <row r="119" spans="1:8" x14ac:dyDescent="0.2">
      <c r="A119" s="3">
        <v>3060401001</v>
      </c>
      <c r="B119" s="4" t="s">
        <v>727</v>
      </c>
      <c r="C119" s="4" t="s">
        <v>728</v>
      </c>
      <c r="D119" s="3">
        <v>2</v>
      </c>
      <c r="E119" s="3" t="s">
        <v>16</v>
      </c>
      <c r="F119" s="3" t="s">
        <v>289</v>
      </c>
      <c r="G119" s="3" t="s">
        <v>23</v>
      </c>
      <c r="H119" s="3" t="s">
        <v>192</v>
      </c>
    </row>
    <row r="120" spans="1:8" x14ac:dyDescent="0.2">
      <c r="A120" s="3">
        <v>3030402001</v>
      </c>
      <c r="B120" s="4" t="s">
        <v>498</v>
      </c>
      <c r="C120" s="4" t="s">
        <v>499</v>
      </c>
      <c r="D120" s="3">
        <v>1</v>
      </c>
      <c r="E120" s="3" t="s">
        <v>16</v>
      </c>
      <c r="F120" s="3" t="s">
        <v>295</v>
      </c>
      <c r="G120" s="3" t="s">
        <v>17</v>
      </c>
      <c r="H120" s="3" t="s">
        <v>192</v>
      </c>
    </row>
    <row r="121" spans="1:8" x14ac:dyDescent="0.2">
      <c r="A121" s="3">
        <v>3040402005</v>
      </c>
      <c r="B121" s="4" t="s">
        <v>500</v>
      </c>
      <c r="C121" s="4" t="s">
        <v>501</v>
      </c>
      <c r="D121" s="3">
        <v>1</v>
      </c>
      <c r="E121" s="3" t="s">
        <v>16</v>
      </c>
      <c r="F121" s="3" t="s">
        <v>293</v>
      </c>
      <c r="G121" s="3" t="s">
        <v>29</v>
      </c>
      <c r="H121" s="3" t="s">
        <v>192</v>
      </c>
    </row>
    <row r="122" spans="1:8" x14ac:dyDescent="0.2">
      <c r="A122" s="3">
        <v>3040402006</v>
      </c>
      <c r="B122" s="4" t="s">
        <v>500</v>
      </c>
      <c r="C122" s="4" t="s">
        <v>502</v>
      </c>
      <c r="D122" s="3">
        <v>1</v>
      </c>
      <c r="E122" s="3" t="s">
        <v>16</v>
      </c>
      <c r="F122" s="3" t="s">
        <v>293</v>
      </c>
      <c r="G122" s="3" t="s">
        <v>29</v>
      </c>
      <c r="H122" s="3" t="s">
        <v>192</v>
      </c>
    </row>
    <row r="123" spans="1:8" x14ac:dyDescent="0.2">
      <c r="A123" s="3">
        <v>3020301004</v>
      </c>
      <c r="B123" s="4" t="s">
        <v>209</v>
      </c>
      <c r="C123" s="4" t="s">
        <v>1090</v>
      </c>
      <c r="D123" s="3">
        <v>1</v>
      </c>
      <c r="E123" s="3" t="s">
        <v>16</v>
      </c>
      <c r="F123" s="3" t="s">
        <v>301</v>
      </c>
      <c r="G123" s="3" t="s">
        <v>32</v>
      </c>
      <c r="H123" s="3" t="s">
        <v>192</v>
      </c>
    </row>
    <row r="124" spans="1:8" x14ac:dyDescent="0.2">
      <c r="A124" s="3">
        <v>404100032</v>
      </c>
      <c r="B124" s="4" t="s">
        <v>593</v>
      </c>
      <c r="C124" s="4" t="s">
        <v>1091</v>
      </c>
      <c r="D124" s="3">
        <v>1</v>
      </c>
      <c r="E124" s="3" t="s">
        <v>16</v>
      </c>
      <c r="F124" s="3" t="s">
        <v>301</v>
      </c>
      <c r="G124" s="3" t="s">
        <v>32</v>
      </c>
      <c r="H124" s="3" t="s">
        <v>198</v>
      </c>
    </row>
    <row r="125" spans="1:8" x14ac:dyDescent="0.2">
      <c r="A125" s="3">
        <v>404100033</v>
      </c>
      <c r="B125" s="4" t="s">
        <v>196</v>
      </c>
      <c r="C125" s="4" t="s">
        <v>1092</v>
      </c>
      <c r="D125" s="3">
        <v>1</v>
      </c>
      <c r="E125" s="3" t="s">
        <v>16</v>
      </c>
      <c r="F125" s="3" t="s">
        <v>301</v>
      </c>
      <c r="G125" s="3" t="s">
        <v>32</v>
      </c>
      <c r="H125" s="3" t="s">
        <v>198</v>
      </c>
    </row>
    <row r="126" spans="1:8" x14ac:dyDescent="0.2">
      <c r="A126" s="3">
        <v>404110008</v>
      </c>
      <c r="B126" s="4" t="s">
        <v>504</v>
      </c>
      <c r="C126" s="4" t="s">
        <v>505</v>
      </c>
      <c r="D126" s="3">
        <v>2</v>
      </c>
      <c r="E126" s="3" t="s">
        <v>16</v>
      </c>
      <c r="F126" s="3" t="s">
        <v>291</v>
      </c>
      <c r="G126" s="3" t="s">
        <v>26</v>
      </c>
      <c r="H126" s="3" t="s">
        <v>198</v>
      </c>
    </row>
    <row r="127" spans="1:8" x14ac:dyDescent="0.2">
      <c r="A127" s="3">
        <v>404110001</v>
      </c>
      <c r="B127" s="4" t="s">
        <v>504</v>
      </c>
      <c r="C127" s="4" t="s">
        <v>506</v>
      </c>
      <c r="D127" s="3">
        <v>1</v>
      </c>
      <c r="E127" s="3" t="s">
        <v>16</v>
      </c>
      <c r="F127" s="3" t="s">
        <v>291</v>
      </c>
      <c r="G127" s="3" t="s">
        <v>26</v>
      </c>
      <c r="H127" s="3" t="s">
        <v>198</v>
      </c>
    </row>
    <row r="128" spans="1:8" x14ac:dyDescent="0.2">
      <c r="A128" s="3">
        <v>404100025</v>
      </c>
      <c r="B128" s="4" t="s">
        <v>1093</v>
      </c>
      <c r="C128" s="4" t="s">
        <v>1094</v>
      </c>
      <c r="D128" s="3">
        <v>1</v>
      </c>
      <c r="E128" s="3" t="s">
        <v>16</v>
      </c>
      <c r="F128" s="3" t="s">
        <v>301</v>
      </c>
      <c r="G128" s="3" t="s">
        <v>32</v>
      </c>
      <c r="H128" s="3" t="s">
        <v>198</v>
      </c>
    </row>
    <row r="129" spans="1:8" x14ac:dyDescent="0.2">
      <c r="A129" s="3">
        <v>404010030</v>
      </c>
      <c r="B129" s="4" t="s">
        <v>30</v>
      </c>
      <c r="C129" s="4" t="s">
        <v>1095</v>
      </c>
      <c r="D129" s="3">
        <v>1</v>
      </c>
      <c r="E129" s="3" t="s">
        <v>16</v>
      </c>
      <c r="F129" s="3" t="s">
        <v>301</v>
      </c>
      <c r="G129" s="3" t="s">
        <v>32</v>
      </c>
      <c r="H129" s="3" t="s">
        <v>198</v>
      </c>
    </row>
    <row r="130" spans="1:8" x14ac:dyDescent="0.2">
      <c r="A130" s="3">
        <v>404100034</v>
      </c>
      <c r="B130" s="4" t="s">
        <v>1096</v>
      </c>
      <c r="C130" s="4" t="s">
        <v>1097</v>
      </c>
      <c r="D130" s="3">
        <v>1</v>
      </c>
      <c r="E130" s="3" t="s">
        <v>16</v>
      </c>
      <c r="F130" s="3" t="s">
        <v>301</v>
      </c>
      <c r="G130" s="3" t="s">
        <v>32</v>
      </c>
      <c r="H130" s="3" t="s">
        <v>198</v>
      </c>
    </row>
    <row r="131" spans="1:8" x14ac:dyDescent="0.2">
      <c r="A131" s="3">
        <v>403030012</v>
      </c>
      <c r="B131" s="4" t="s">
        <v>366</v>
      </c>
      <c r="C131" s="4" t="s">
        <v>507</v>
      </c>
      <c r="D131" s="3">
        <v>2</v>
      </c>
      <c r="E131" s="3" t="s">
        <v>16</v>
      </c>
      <c r="F131" s="3" t="s">
        <v>291</v>
      </c>
      <c r="G131" s="3" t="s">
        <v>26</v>
      </c>
      <c r="H131" s="3" t="s">
        <v>198</v>
      </c>
    </row>
    <row r="132" spans="1:8" x14ac:dyDescent="0.2">
      <c r="A132" s="3">
        <v>401070022</v>
      </c>
      <c r="B132" s="4" t="s">
        <v>35</v>
      </c>
      <c r="C132" s="4" t="s">
        <v>203</v>
      </c>
      <c r="D132" s="3">
        <v>1</v>
      </c>
      <c r="E132" s="3" t="s">
        <v>16</v>
      </c>
      <c r="F132" s="3" t="s">
        <v>297</v>
      </c>
      <c r="G132" s="3" t="s">
        <v>204</v>
      </c>
      <c r="H132" s="3" t="s">
        <v>198</v>
      </c>
    </row>
    <row r="133" spans="1:8" x14ac:dyDescent="0.2">
      <c r="A133" s="3">
        <v>401070018</v>
      </c>
      <c r="B133" s="4" t="s">
        <v>35</v>
      </c>
      <c r="C133" s="4" t="s">
        <v>202</v>
      </c>
      <c r="D133" s="3">
        <v>1</v>
      </c>
      <c r="E133" s="3" t="s">
        <v>16</v>
      </c>
      <c r="F133" s="3" t="s">
        <v>291</v>
      </c>
      <c r="G133" s="3" t="s">
        <v>26</v>
      </c>
      <c r="H133" s="3" t="s">
        <v>198</v>
      </c>
    </row>
    <row r="134" spans="1:8" x14ac:dyDescent="0.2">
      <c r="A134" s="3">
        <v>401040100</v>
      </c>
      <c r="B134" s="4" t="s">
        <v>35</v>
      </c>
      <c r="C134" s="4" t="s">
        <v>508</v>
      </c>
      <c r="D134" s="3">
        <v>1</v>
      </c>
      <c r="E134" s="3" t="s">
        <v>16</v>
      </c>
      <c r="F134" s="3" t="s">
        <v>291</v>
      </c>
      <c r="G134" s="3" t="s">
        <v>26</v>
      </c>
      <c r="H134" s="3" t="s">
        <v>198</v>
      </c>
    </row>
    <row r="135" spans="1:8" x14ac:dyDescent="0.2">
      <c r="A135" s="3">
        <v>404100003</v>
      </c>
      <c r="B135" s="4" t="s">
        <v>205</v>
      </c>
      <c r="C135" s="4" t="s">
        <v>509</v>
      </c>
      <c r="D135" s="3">
        <v>1</v>
      </c>
      <c r="E135" s="3" t="s">
        <v>16</v>
      </c>
      <c r="F135" s="3" t="s">
        <v>291</v>
      </c>
      <c r="G135" s="3" t="s">
        <v>26</v>
      </c>
      <c r="H135" s="3" t="s">
        <v>198</v>
      </c>
    </row>
    <row r="136" spans="1:8" x14ac:dyDescent="0.2">
      <c r="A136" s="3">
        <v>404100004</v>
      </c>
      <c r="B136" s="4" t="s">
        <v>207</v>
      </c>
      <c r="C136" s="4" t="s">
        <v>510</v>
      </c>
      <c r="D136" s="3">
        <v>1</v>
      </c>
      <c r="E136" s="3" t="s">
        <v>16</v>
      </c>
      <c r="F136" s="3" t="s">
        <v>291</v>
      </c>
      <c r="G136" s="3" t="s">
        <v>26</v>
      </c>
      <c r="H136" s="3" t="s">
        <v>198</v>
      </c>
    </row>
    <row r="137" spans="1:8" x14ac:dyDescent="0.2">
      <c r="A137" s="3">
        <v>3030305007</v>
      </c>
      <c r="B137" s="4" t="s">
        <v>511</v>
      </c>
      <c r="C137" s="4" t="s">
        <v>512</v>
      </c>
      <c r="D137" s="3">
        <v>1</v>
      </c>
      <c r="E137" s="3" t="s">
        <v>16</v>
      </c>
      <c r="F137" s="3" t="s">
        <v>295</v>
      </c>
      <c r="G137" s="3" t="s">
        <v>17</v>
      </c>
      <c r="H137" s="3" t="s">
        <v>211</v>
      </c>
    </row>
    <row r="138" spans="1:8" x14ac:dyDescent="0.2">
      <c r="A138" s="3">
        <v>3030305006</v>
      </c>
      <c r="B138" s="4" t="s">
        <v>513</v>
      </c>
      <c r="C138" s="4" t="s">
        <v>512</v>
      </c>
      <c r="D138" s="3">
        <v>1</v>
      </c>
      <c r="E138" s="3" t="s">
        <v>16</v>
      </c>
      <c r="F138" s="3" t="s">
        <v>295</v>
      </c>
      <c r="G138" s="3" t="s">
        <v>17</v>
      </c>
      <c r="H138" s="3" t="s">
        <v>211</v>
      </c>
    </row>
    <row r="139" spans="1:8" x14ac:dyDescent="0.2">
      <c r="A139" s="3">
        <v>3069904001</v>
      </c>
      <c r="B139" s="4" t="s">
        <v>514</v>
      </c>
      <c r="C139" s="4" t="s">
        <v>355</v>
      </c>
      <c r="D139" s="3">
        <v>4</v>
      </c>
      <c r="E139" s="3" t="s">
        <v>16</v>
      </c>
      <c r="F139" s="3" t="s">
        <v>295</v>
      </c>
      <c r="G139" s="3" t="s">
        <v>17</v>
      </c>
      <c r="H139" s="3" t="s">
        <v>214</v>
      </c>
    </row>
    <row r="140" spans="1:8" x14ac:dyDescent="0.2">
      <c r="A140" s="3">
        <v>3030201003</v>
      </c>
      <c r="B140" s="4" t="s">
        <v>515</v>
      </c>
      <c r="C140" s="4" t="s">
        <v>516</v>
      </c>
      <c r="D140" s="3">
        <v>1</v>
      </c>
      <c r="E140" s="3" t="s">
        <v>16</v>
      </c>
      <c r="F140" s="3" t="s">
        <v>295</v>
      </c>
      <c r="G140" s="3" t="s">
        <v>17</v>
      </c>
      <c r="H140" s="3" t="s">
        <v>214</v>
      </c>
    </row>
    <row r="141" spans="1:8" x14ac:dyDescent="0.2">
      <c r="A141" s="3">
        <v>3049903001</v>
      </c>
      <c r="B141" s="4" t="s">
        <v>517</v>
      </c>
      <c r="C141" s="4" t="s">
        <v>355</v>
      </c>
      <c r="D141" s="3">
        <v>2</v>
      </c>
      <c r="E141" s="3" t="s">
        <v>16</v>
      </c>
      <c r="F141" s="3" t="s">
        <v>293</v>
      </c>
      <c r="G141" s="3" t="s">
        <v>29</v>
      </c>
      <c r="H141" s="3" t="s">
        <v>214</v>
      </c>
    </row>
    <row r="142" spans="1:8" x14ac:dyDescent="0.2">
      <c r="A142" s="3">
        <v>3049904001</v>
      </c>
      <c r="B142" s="4" t="s">
        <v>354</v>
      </c>
      <c r="C142" s="4" t="s">
        <v>355</v>
      </c>
      <c r="D142" s="3">
        <v>4</v>
      </c>
      <c r="E142" s="3" t="s">
        <v>16</v>
      </c>
      <c r="F142" s="3" t="s">
        <v>293</v>
      </c>
      <c r="G142" s="3" t="s">
        <v>29</v>
      </c>
      <c r="H142" s="3" t="s">
        <v>214</v>
      </c>
    </row>
    <row r="143" spans="1:8" x14ac:dyDescent="0.2">
      <c r="A143" s="3">
        <v>3049902001</v>
      </c>
      <c r="B143" s="4" t="s">
        <v>518</v>
      </c>
      <c r="C143" s="4" t="s">
        <v>355</v>
      </c>
      <c r="D143" s="3">
        <v>2</v>
      </c>
      <c r="E143" s="3" t="s">
        <v>16</v>
      </c>
      <c r="F143" s="3" t="s">
        <v>293</v>
      </c>
      <c r="G143" s="3" t="s">
        <v>29</v>
      </c>
      <c r="H143" s="3" t="s">
        <v>214</v>
      </c>
    </row>
    <row r="144" spans="1:8" x14ac:dyDescent="0.2">
      <c r="A144" s="3">
        <v>3050204001</v>
      </c>
      <c r="B144" s="4" t="s">
        <v>519</v>
      </c>
      <c r="C144" s="4" t="s">
        <v>355</v>
      </c>
      <c r="D144" s="3">
        <v>2</v>
      </c>
      <c r="E144" s="3" t="s">
        <v>16</v>
      </c>
      <c r="F144" s="3" t="s">
        <v>291</v>
      </c>
      <c r="G144" s="3" t="s">
        <v>26</v>
      </c>
      <c r="H144" s="3" t="s">
        <v>214</v>
      </c>
    </row>
    <row r="145" spans="1:8" x14ac:dyDescent="0.2">
      <c r="A145" s="3">
        <v>3050204002</v>
      </c>
      <c r="B145" s="4" t="s">
        <v>520</v>
      </c>
      <c r="C145" s="4" t="s">
        <v>355</v>
      </c>
      <c r="D145" s="3">
        <v>2</v>
      </c>
      <c r="E145" s="3" t="s">
        <v>16</v>
      </c>
      <c r="F145" s="3" t="s">
        <v>291</v>
      </c>
      <c r="G145" s="3" t="s">
        <v>26</v>
      </c>
      <c r="H145" s="3" t="s">
        <v>214</v>
      </c>
    </row>
    <row r="146" spans="1:8" x14ac:dyDescent="0.2">
      <c r="A146" s="3">
        <v>403030051</v>
      </c>
      <c r="B146" s="4" t="s">
        <v>366</v>
      </c>
      <c r="C146" s="4" t="s">
        <v>367</v>
      </c>
      <c r="D146" s="3">
        <v>3</v>
      </c>
      <c r="E146" s="3" t="s">
        <v>16</v>
      </c>
      <c r="F146" s="3" t="s">
        <v>301</v>
      </c>
      <c r="G146" s="3" t="s">
        <v>32</v>
      </c>
      <c r="H146" s="3" t="s">
        <v>221</v>
      </c>
    </row>
    <row r="147" spans="1:8" x14ac:dyDescent="0.2">
      <c r="A147" s="3">
        <v>402050001</v>
      </c>
      <c r="B147" s="4" t="s">
        <v>522</v>
      </c>
      <c r="C147" s="4" t="s">
        <v>523</v>
      </c>
      <c r="D147" s="3">
        <v>1</v>
      </c>
      <c r="E147" s="3" t="s">
        <v>16</v>
      </c>
      <c r="F147" s="3" t="s">
        <v>289</v>
      </c>
      <c r="G147" s="3" t="s">
        <v>23</v>
      </c>
      <c r="H147" s="3" t="s">
        <v>524</v>
      </c>
    </row>
    <row r="148" spans="1:8" x14ac:dyDescent="0.2">
      <c r="A148" s="3">
        <v>408120036</v>
      </c>
      <c r="B148" s="4" t="s">
        <v>525</v>
      </c>
      <c r="C148" s="4" t="s">
        <v>526</v>
      </c>
      <c r="D148" s="3">
        <v>2</v>
      </c>
      <c r="E148" s="3" t="s">
        <v>16</v>
      </c>
      <c r="F148" s="3" t="s">
        <v>291</v>
      </c>
      <c r="G148" s="3" t="s">
        <v>26</v>
      </c>
      <c r="H148" s="3" t="s">
        <v>524</v>
      </c>
    </row>
    <row r="149" spans="1:8" x14ac:dyDescent="0.2">
      <c r="A149" s="3">
        <v>3060301001</v>
      </c>
      <c r="B149" s="4" t="s">
        <v>731</v>
      </c>
      <c r="C149" s="4" t="s">
        <v>732</v>
      </c>
      <c r="D149" s="3">
        <v>1</v>
      </c>
      <c r="E149" s="3" t="s">
        <v>16</v>
      </c>
      <c r="F149" s="3" t="s">
        <v>289</v>
      </c>
      <c r="G149" s="3" t="s">
        <v>23</v>
      </c>
      <c r="H149" s="3" t="s">
        <v>226</v>
      </c>
    </row>
    <row r="150" spans="1:8" x14ac:dyDescent="0.2">
      <c r="A150" s="3">
        <v>3050305016</v>
      </c>
      <c r="B150" s="4" t="s">
        <v>527</v>
      </c>
      <c r="C150" s="4" t="s">
        <v>528</v>
      </c>
      <c r="D150" s="3">
        <v>1</v>
      </c>
      <c r="E150" s="3" t="s">
        <v>16</v>
      </c>
      <c r="F150" s="3" t="s">
        <v>291</v>
      </c>
      <c r="G150" s="3" t="s">
        <v>26</v>
      </c>
      <c r="H150" s="3" t="s">
        <v>226</v>
      </c>
    </row>
    <row r="151" spans="1:8" x14ac:dyDescent="0.2">
      <c r="A151" s="3">
        <v>3050305015</v>
      </c>
      <c r="B151" s="4" t="s">
        <v>529</v>
      </c>
      <c r="C151" s="4" t="s">
        <v>530</v>
      </c>
      <c r="D151" s="3">
        <v>1</v>
      </c>
      <c r="E151" s="3" t="s">
        <v>16</v>
      </c>
      <c r="F151" s="3" t="s">
        <v>291</v>
      </c>
      <c r="G151" s="3" t="s">
        <v>26</v>
      </c>
      <c r="H151" s="3" t="s">
        <v>226</v>
      </c>
    </row>
    <row r="152" spans="1:8" x14ac:dyDescent="0.2">
      <c r="A152" s="3">
        <v>3030309020</v>
      </c>
      <c r="B152" s="4" t="s">
        <v>531</v>
      </c>
      <c r="C152" s="4" t="s">
        <v>532</v>
      </c>
      <c r="D152" s="3">
        <v>1</v>
      </c>
      <c r="E152" s="3" t="s">
        <v>16</v>
      </c>
      <c r="F152" s="3" t="s">
        <v>291</v>
      </c>
      <c r="G152" s="3" t="s">
        <v>26</v>
      </c>
      <c r="H152" s="3" t="s">
        <v>226</v>
      </c>
    </row>
    <row r="153" spans="1:8" x14ac:dyDescent="0.2">
      <c r="A153" s="3">
        <v>3030302002</v>
      </c>
      <c r="B153" s="4" t="s">
        <v>533</v>
      </c>
      <c r="C153" s="4" t="s">
        <v>534</v>
      </c>
      <c r="D153" s="3">
        <v>1</v>
      </c>
      <c r="E153" s="3" t="s">
        <v>16</v>
      </c>
      <c r="F153" s="3" t="s">
        <v>295</v>
      </c>
      <c r="G153" s="3" t="s">
        <v>17</v>
      </c>
      <c r="H153" s="3" t="s">
        <v>226</v>
      </c>
    </row>
    <row r="154" spans="1:8" x14ac:dyDescent="0.2">
      <c r="A154" s="3">
        <v>3030306012</v>
      </c>
      <c r="B154" s="4" t="s">
        <v>535</v>
      </c>
      <c r="C154" s="4" t="s">
        <v>536</v>
      </c>
      <c r="D154" s="3">
        <v>1</v>
      </c>
      <c r="E154" s="3" t="s">
        <v>16</v>
      </c>
      <c r="F154" s="3" t="s">
        <v>295</v>
      </c>
      <c r="G154" s="3" t="s">
        <v>17</v>
      </c>
      <c r="H154" s="3" t="s">
        <v>226</v>
      </c>
    </row>
    <row r="155" spans="1:8" x14ac:dyDescent="0.2">
      <c r="A155" s="3">
        <v>3030306011</v>
      </c>
      <c r="B155" s="4" t="s">
        <v>537</v>
      </c>
      <c r="C155" s="4" t="s">
        <v>536</v>
      </c>
      <c r="D155" s="3">
        <v>1</v>
      </c>
      <c r="E155" s="3" t="s">
        <v>16</v>
      </c>
      <c r="F155" s="3" t="s">
        <v>295</v>
      </c>
      <c r="G155" s="3" t="s">
        <v>17</v>
      </c>
      <c r="H155" s="3" t="s">
        <v>226</v>
      </c>
    </row>
    <row r="156" spans="1:8" x14ac:dyDescent="0.2">
      <c r="A156" s="3">
        <v>3030303002</v>
      </c>
      <c r="B156" s="4" t="s">
        <v>175</v>
      </c>
      <c r="C156" s="4" t="s">
        <v>538</v>
      </c>
      <c r="D156" s="3">
        <v>1</v>
      </c>
      <c r="E156" s="3" t="s">
        <v>16</v>
      </c>
      <c r="F156" s="3" t="s">
        <v>295</v>
      </c>
      <c r="G156" s="3" t="s">
        <v>17</v>
      </c>
      <c r="H156" s="3" t="s">
        <v>226</v>
      </c>
    </row>
    <row r="157" spans="1:8" x14ac:dyDescent="0.2">
      <c r="A157" s="3">
        <v>3030303017</v>
      </c>
      <c r="B157" s="4" t="s">
        <v>539</v>
      </c>
      <c r="C157" s="4" t="s">
        <v>540</v>
      </c>
      <c r="D157" s="3">
        <v>1</v>
      </c>
      <c r="E157" s="3" t="s">
        <v>16</v>
      </c>
      <c r="F157" s="3" t="s">
        <v>295</v>
      </c>
      <c r="G157" s="3" t="s">
        <v>17</v>
      </c>
      <c r="H157" s="3" t="s">
        <v>226</v>
      </c>
    </row>
    <row r="158" spans="1:8" x14ac:dyDescent="0.2">
      <c r="A158" s="3">
        <v>3040312012</v>
      </c>
      <c r="B158" s="4" t="s">
        <v>263</v>
      </c>
      <c r="C158" s="4" t="s">
        <v>541</v>
      </c>
      <c r="D158" s="3">
        <v>2</v>
      </c>
      <c r="E158" s="3" t="s">
        <v>16</v>
      </c>
      <c r="F158" s="3" t="s">
        <v>293</v>
      </c>
      <c r="G158" s="3" t="s">
        <v>29</v>
      </c>
      <c r="H158" s="3" t="s">
        <v>226</v>
      </c>
    </row>
    <row r="159" spans="1:8" x14ac:dyDescent="0.2">
      <c r="A159" s="3">
        <v>3040320010</v>
      </c>
      <c r="B159" s="4" t="s">
        <v>269</v>
      </c>
      <c r="C159" s="4" t="s">
        <v>542</v>
      </c>
      <c r="D159" s="3">
        <v>1</v>
      </c>
      <c r="E159" s="3" t="s">
        <v>16</v>
      </c>
      <c r="F159" s="3" t="s">
        <v>293</v>
      </c>
      <c r="G159" s="3" t="s">
        <v>29</v>
      </c>
      <c r="H159" s="3" t="s">
        <v>226</v>
      </c>
    </row>
    <row r="160" spans="1:8" x14ac:dyDescent="0.2">
      <c r="A160" s="3">
        <v>3040320011</v>
      </c>
      <c r="B160" s="4" t="s">
        <v>269</v>
      </c>
      <c r="C160" s="4" t="s">
        <v>543</v>
      </c>
      <c r="D160" s="3">
        <v>1</v>
      </c>
      <c r="E160" s="3" t="s">
        <v>16</v>
      </c>
      <c r="F160" s="3" t="s">
        <v>293</v>
      </c>
      <c r="G160" s="3" t="s">
        <v>29</v>
      </c>
      <c r="H160" s="3" t="s">
        <v>226</v>
      </c>
    </row>
    <row r="161" spans="1:8" x14ac:dyDescent="0.2">
      <c r="A161" s="3">
        <v>3030313003</v>
      </c>
      <c r="B161" s="4" t="s">
        <v>217</v>
      </c>
      <c r="C161" s="4" t="s">
        <v>544</v>
      </c>
      <c r="D161" s="3">
        <v>8</v>
      </c>
      <c r="E161" s="3" t="s">
        <v>16</v>
      </c>
      <c r="F161" s="3" t="s">
        <v>291</v>
      </c>
      <c r="G161" s="3" t="s">
        <v>26</v>
      </c>
      <c r="H161" s="3" t="s">
        <v>226</v>
      </c>
    </row>
    <row r="162" spans="1:8" x14ac:dyDescent="0.2">
      <c r="A162" s="3">
        <v>3020101004</v>
      </c>
      <c r="B162" s="4" t="s">
        <v>239</v>
      </c>
      <c r="C162" s="4" t="s">
        <v>1098</v>
      </c>
      <c r="D162" s="3">
        <v>5</v>
      </c>
      <c r="E162" s="3" t="s">
        <v>16</v>
      </c>
      <c r="F162" s="3" t="s">
        <v>297</v>
      </c>
      <c r="G162" s="3" t="s">
        <v>204</v>
      </c>
      <c r="H162" s="3" t="s">
        <v>226</v>
      </c>
    </row>
    <row r="163" spans="1:8" x14ac:dyDescent="0.2">
      <c r="A163" s="3">
        <v>3050305019</v>
      </c>
      <c r="B163" s="4" t="s">
        <v>549</v>
      </c>
      <c r="C163" s="4" t="s">
        <v>530</v>
      </c>
      <c r="D163" s="3">
        <v>1</v>
      </c>
      <c r="E163" s="3" t="s">
        <v>16</v>
      </c>
      <c r="F163" s="3" t="s">
        <v>291</v>
      </c>
      <c r="G163" s="3" t="s">
        <v>26</v>
      </c>
      <c r="H163" s="3" t="s">
        <v>226</v>
      </c>
    </row>
    <row r="164" spans="1:8" x14ac:dyDescent="0.2">
      <c r="A164" s="3">
        <v>3050401014</v>
      </c>
      <c r="B164" s="4" t="s">
        <v>222</v>
      </c>
      <c r="C164" s="4" t="s">
        <v>550</v>
      </c>
      <c r="D164" s="3">
        <v>1</v>
      </c>
      <c r="E164" s="3" t="s">
        <v>16</v>
      </c>
      <c r="F164" s="3" t="s">
        <v>291</v>
      </c>
      <c r="G164" s="3" t="s">
        <v>26</v>
      </c>
      <c r="H164" s="3" t="s">
        <v>226</v>
      </c>
    </row>
    <row r="165" spans="1:8" x14ac:dyDescent="0.2">
      <c r="A165" s="3">
        <v>3080401031</v>
      </c>
      <c r="B165" s="4" t="s">
        <v>41</v>
      </c>
      <c r="C165" s="4" t="s">
        <v>551</v>
      </c>
      <c r="D165" s="3">
        <v>1</v>
      </c>
      <c r="E165" s="3" t="s">
        <v>16</v>
      </c>
      <c r="F165" s="3" t="s">
        <v>291</v>
      </c>
      <c r="G165" s="3" t="s">
        <v>26</v>
      </c>
      <c r="H165" s="3" t="s">
        <v>249</v>
      </c>
    </row>
    <row r="166" spans="1:8" x14ac:dyDescent="0.2">
      <c r="A166" s="3">
        <v>3030211001</v>
      </c>
      <c r="B166" s="4" t="s">
        <v>552</v>
      </c>
      <c r="C166" s="4" t="s">
        <v>553</v>
      </c>
      <c r="D166" s="3">
        <v>1</v>
      </c>
      <c r="E166" s="3" t="s">
        <v>16</v>
      </c>
      <c r="F166" s="3" t="s">
        <v>295</v>
      </c>
      <c r="G166" s="3" t="s">
        <v>17</v>
      </c>
      <c r="H166" s="3" t="s">
        <v>249</v>
      </c>
    </row>
    <row r="167" spans="1:8" x14ac:dyDescent="0.2">
      <c r="A167" s="3">
        <v>3080309001</v>
      </c>
      <c r="B167" s="4" t="s">
        <v>554</v>
      </c>
      <c r="C167" s="4" t="s">
        <v>555</v>
      </c>
      <c r="D167" s="3">
        <v>1</v>
      </c>
      <c r="E167" s="3" t="s">
        <v>16</v>
      </c>
      <c r="F167" s="3" t="s">
        <v>295</v>
      </c>
      <c r="G167" s="3" t="s">
        <v>17</v>
      </c>
      <c r="H167" s="3" t="s">
        <v>249</v>
      </c>
    </row>
    <row r="168" spans="1:8" x14ac:dyDescent="0.2">
      <c r="A168" s="3">
        <v>3080107268</v>
      </c>
      <c r="B168" s="4" t="s">
        <v>69</v>
      </c>
      <c r="C168" s="4" t="s">
        <v>556</v>
      </c>
      <c r="D168" s="3">
        <v>2</v>
      </c>
      <c r="E168" s="3" t="s">
        <v>16</v>
      </c>
      <c r="F168" s="3" t="s">
        <v>291</v>
      </c>
      <c r="G168" s="3" t="s">
        <v>26</v>
      </c>
      <c r="H168" s="3" t="s">
        <v>249</v>
      </c>
    </row>
    <row r="169" spans="1:8" x14ac:dyDescent="0.2">
      <c r="A169" s="3">
        <v>3080107269</v>
      </c>
      <c r="B169" s="4" t="s">
        <v>69</v>
      </c>
      <c r="C169" s="4" t="s">
        <v>557</v>
      </c>
      <c r="D169" s="3">
        <v>2</v>
      </c>
      <c r="E169" s="3" t="s">
        <v>16</v>
      </c>
      <c r="F169" s="3" t="s">
        <v>291</v>
      </c>
      <c r="G169" s="3" t="s">
        <v>26</v>
      </c>
      <c r="H169" s="3" t="s">
        <v>249</v>
      </c>
    </row>
    <row r="170" spans="1:8" x14ac:dyDescent="0.2">
      <c r="A170" s="3">
        <v>3060335005</v>
      </c>
      <c r="B170" s="4" t="s">
        <v>233</v>
      </c>
      <c r="C170" s="4" t="s">
        <v>734</v>
      </c>
      <c r="D170" s="3">
        <v>1</v>
      </c>
      <c r="E170" s="3" t="s">
        <v>16</v>
      </c>
      <c r="F170" s="3" t="s">
        <v>289</v>
      </c>
      <c r="G170" s="3" t="s">
        <v>23</v>
      </c>
      <c r="H170" s="3" t="s">
        <v>254</v>
      </c>
    </row>
    <row r="171" spans="1:8" x14ac:dyDescent="0.2">
      <c r="A171" s="3">
        <v>3060324001</v>
      </c>
      <c r="B171" s="4" t="s">
        <v>735</v>
      </c>
      <c r="C171" s="4" t="s">
        <v>736</v>
      </c>
      <c r="D171" s="3">
        <v>1</v>
      </c>
      <c r="E171" s="3" t="s">
        <v>16</v>
      </c>
      <c r="F171" s="3" t="s">
        <v>289</v>
      </c>
      <c r="G171" s="3" t="s">
        <v>23</v>
      </c>
      <c r="H171" s="3" t="s">
        <v>254</v>
      </c>
    </row>
    <row r="172" spans="1:8" x14ac:dyDescent="0.2">
      <c r="A172" s="3">
        <v>3030302001</v>
      </c>
      <c r="B172" s="4" t="s">
        <v>558</v>
      </c>
      <c r="C172" s="4" t="s">
        <v>534</v>
      </c>
      <c r="D172" s="3">
        <v>1</v>
      </c>
      <c r="E172" s="3" t="s">
        <v>16</v>
      </c>
      <c r="F172" s="3" t="s">
        <v>295</v>
      </c>
      <c r="G172" s="3" t="s">
        <v>17</v>
      </c>
      <c r="H172" s="3" t="s">
        <v>254</v>
      </c>
    </row>
    <row r="173" spans="1:8" x14ac:dyDescent="0.2">
      <c r="A173" s="3">
        <v>3030306031</v>
      </c>
      <c r="B173" s="4" t="s">
        <v>559</v>
      </c>
      <c r="C173" s="4" t="s">
        <v>560</v>
      </c>
      <c r="D173" s="3">
        <v>1</v>
      </c>
      <c r="E173" s="3" t="s">
        <v>16</v>
      </c>
      <c r="F173" s="3" t="s">
        <v>295</v>
      </c>
      <c r="G173" s="3" t="s">
        <v>17</v>
      </c>
      <c r="H173" s="3" t="s">
        <v>254</v>
      </c>
    </row>
    <row r="174" spans="1:8" x14ac:dyDescent="0.2">
      <c r="A174" s="3">
        <v>3080311002</v>
      </c>
      <c r="B174" s="4" t="s">
        <v>561</v>
      </c>
      <c r="C174" s="4" t="s">
        <v>536</v>
      </c>
      <c r="D174" s="3">
        <v>1</v>
      </c>
      <c r="E174" s="3" t="s">
        <v>16</v>
      </c>
      <c r="F174" s="3" t="s">
        <v>295</v>
      </c>
      <c r="G174" s="3" t="s">
        <v>17</v>
      </c>
      <c r="H174" s="3" t="s">
        <v>254</v>
      </c>
    </row>
    <row r="175" spans="1:8" x14ac:dyDescent="0.2">
      <c r="A175" s="3">
        <v>3030303016</v>
      </c>
      <c r="B175" s="4" t="s">
        <v>562</v>
      </c>
      <c r="C175" s="4" t="s">
        <v>563</v>
      </c>
      <c r="D175" s="3">
        <v>1</v>
      </c>
      <c r="E175" s="3" t="s">
        <v>16</v>
      </c>
      <c r="F175" s="3" t="s">
        <v>295</v>
      </c>
      <c r="G175" s="3" t="s">
        <v>17</v>
      </c>
      <c r="H175" s="3" t="s">
        <v>254</v>
      </c>
    </row>
    <row r="176" spans="1:8" x14ac:dyDescent="0.2">
      <c r="A176" s="3">
        <v>3030303015</v>
      </c>
      <c r="B176" s="4" t="s">
        <v>564</v>
      </c>
      <c r="C176" s="4" t="s">
        <v>563</v>
      </c>
      <c r="D176" s="3">
        <v>1</v>
      </c>
      <c r="E176" s="3" t="s">
        <v>16</v>
      </c>
      <c r="F176" s="3" t="s">
        <v>295</v>
      </c>
      <c r="G176" s="3" t="s">
        <v>17</v>
      </c>
      <c r="H176" s="3" t="s">
        <v>254</v>
      </c>
    </row>
    <row r="177" spans="1:8" x14ac:dyDescent="0.2">
      <c r="A177" s="3">
        <v>3040323001</v>
      </c>
      <c r="B177" s="4" t="s">
        <v>565</v>
      </c>
      <c r="C177" s="4" t="s">
        <v>566</v>
      </c>
      <c r="D177" s="3">
        <v>2</v>
      </c>
      <c r="E177" s="3" t="s">
        <v>16</v>
      </c>
      <c r="F177" s="3" t="s">
        <v>293</v>
      </c>
      <c r="G177" s="3" t="s">
        <v>29</v>
      </c>
      <c r="H177" s="3" t="s">
        <v>254</v>
      </c>
    </row>
    <row r="178" spans="1:8" x14ac:dyDescent="0.2">
      <c r="A178" s="3">
        <v>3040302001</v>
      </c>
      <c r="B178" s="4" t="s">
        <v>567</v>
      </c>
      <c r="C178" s="4" t="s">
        <v>568</v>
      </c>
      <c r="D178" s="3">
        <v>1</v>
      </c>
      <c r="E178" s="3" t="s">
        <v>16</v>
      </c>
      <c r="F178" s="3" t="s">
        <v>293</v>
      </c>
      <c r="G178" s="3" t="s">
        <v>29</v>
      </c>
      <c r="H178" s="3" t="s">
        <v>254</v>
      </c>
    </row>
    <row r="179" spans="1:8" x14ac:dyDescent="0.2">
      <c r="A179" s="3">
        <v>3040302002</v>
      </c>
      <c r="B179" s="4" t="s">
        <v>567</v>
      </c>
      <c r="C179" s="4" t="s">
        <v>569</v>
      </c>
      <c r="D179" s="3">
        <v>1</v>
      </c>
      <c r="E179" s="3" t="s">
        <v>16</v>
      </c>
      <c r="F179" s="3" t="s">
        <v>293</v>
      </c>
      <c r="G179" s="3" t="s">
        <v>29</v>
      </c>
      <c r="H179" s="3" t="s">
        <v>254</v>
      </c>
    </row>
    <row r="180" spans="1:8" x14ac:dyDescent="0.2">
      <c r="A180" s="3">
        <v>3040324004</v>
      </c>
      <c r="B180" s="4" t="s">
        <v>570</v>
      </c>
      <c r="C180" s="4" t="s">
        <v>536</v>
      </c>
      <c r="D180" s="3">
        <v>2</v>
      </c>
      <c r="E180" s="3" t="s">
        <v>16</v>
      </c>
      <c r="F180" s="3" t="s">
        <v>293</v>
      </c>
      <c r="G180" s="3" t="s">
        <v>29</v>
      </c>
      <c r="H180" s="3" t="s">
        <v>254</v>
      </c>
    </row>
    <row r="181" spans="1:8" x14ac:dyDescent="0.2">
      <c r="A181" s="3">
        <v>3030302008</v>
      </c>
      <c r="B181" s="4" t="s">
        <v>571</v>
      </c>
      <c r="C181" s="4" t="s">
        <v>572</v>
      </c>
      <c r="D181" s="3">
        <v>1</v>
      </c>
      <c r="E181" s="3" t="s">
        <v>16</v>
      </c>
      <c r="F181" s="3" t="s">
        <v>295</v>
      </c>
      <c r="G181" s="3" t="s">
        <v>17</v>
      </c>
      <c r="H181" s="3" t="s">
        <v>254</v>
      </c>
    </row>
    <row r="182" spans="1:8" x14ac:dyDescent="0.2">
      <c r="A182" s="3">
        <v>3030302009</v>
      </c>
      <c r="B182" s="4" t="s">
        <v>571</v>
      </c>
      <c r="C182" s="4" t="s">
        <v>573</v>
      </c>
      <c r="D182" s="3">
        <v>1</v>
      </c>
      <c r="E182" s="3" t="s">
        <v>16</v>
      </c>
      <c r="F182" s="3" t="s">
        <v>295</v>
      </c>
      <c r="G182" s="3" t="s">
        <v>17</v>
      </c>
      <c r="H182" s="3" t="s">
        <v>254</v>
      </c>
    </row>
    <row r="183" spans="1:8" x14ac:dyDescent="0.2">
      <c r="A183" s="3">
        <v>3030302004</v>
      </c>
      <c r="B183" s="4" t="s">
        <v>574</v>
      </c>
      <c r="C183" s="4" t="s">
        <v>575</v>
      </c>
      <c r="D183" s="3">
        <v>1</v>
      </c>
      <c r="E183" s="3" t="s">
        <v>16</v>
      </c>
      <c r="F183" s="3" t="s">
        <v>295</v>
      </c>
      <c r="G183" s="3" t="s">
        <v>17</v>
      </c>
      <c r="H183" s="3" t="s">
        <v>254</v>
      </c>
    </row>
    <row r="184" spans="1:8" x14ac:dyDescent="0.2">
      <c r="A184" s="3">
        <v>3030302006</v>
      </c>
      <c r="B184" s="4" t="s">
        <v>576</v>
      </c>
      <c r="C184" s="4" t="s">
        <v>575</v>
      </c>
      <c r="D184" s="3">
        <v>1</v>
      </c>
      <c r="E184" s="3" t="s">
        <v>16</v>
      </c>
      <c r="F184" s="3" t="s">
        <v>295</v>
      </c>
      <c r="G184" s="3" t="s">
        <v>17</v>
      </c>
      <c r="H184" s="3" t="s">
        <v>254</v>
      </c>
    </row>
    <row r="185" spans="1:8" x14ac:dyDescent="0.2">
      <c r="A185" s="3">
        <v>3030314004</v>
      </c>
      <c r="B185" s="4" t="s">
        <v>577</v>
      </c>
      <c r="C185" s="4" t="s">
        <v>575</v>
      </c>
      <c r="D185" s="3">
        <v>1</v>
      </c>
      <c r="E185" s="3" t="s">
        <v>16</v>
      </c>
      <c r="F185" s="3" t="s">
        <v>295</v>
      </c>
      <c r="G185" s="3" t="s">
        <v>17</v>
      </c>
      <c r="H185" s="3" t="s">
        <v>254</v>
      </c>
    </row>
    <row r="186" spans="1:8" x14ac:dyDescent="0.2">
      <c r="A186" s="3">
        <v>3030308001</v>
      </c>
      <c r="B186" s="4" t="s">
        <v>578</v>
      </c>
      <c r="C186" s="4" t="s">
        <v>575</v>
      </c>
      <c r="D186" s="3">
        <v>1</v>
      </c>
      <c r="E186" s="3" t="s">
        <v>16</v>
      </c>
      <c r="F186" s="3" t="s">
        <v>295</v>
      </c>
      <c r="G186" s="3" t="s">
        <v>17</v>
      </c>
      <c r="H186" s="3" t="s">
        <v>254</v>
      </c>
    </row>
    <row r="187" spans="1:8" x14ac:dyDescent="0.2">
      <c r="A187" s="3">
        <v>3030314003</v>
      </c>
      <c r="B187" s="4" t="s">
        <v>579</v>
      </c>
      <c r="C187" s="4" t="s">
        <v>575</v>
      </c>
      <c r="D187" s="3">
        <v>1</v>
      </c>
      <c r="E187" s="3" t="s">
        <v>16</v>
      </c>
      <c r="F187" s="3" t="s">
        <v>295</v>
      </c>
      <c r="G187" s="3" t="s">
        <v>17</v>
      </c>
      <c r="H187" s="3" t="s">
        <v>254</v>
      </c>
    </row>
    <row r="188" spans="1:8" x14ac:dyDescent="0.2">
      <c r="A188" s="3">
        <v>3030308003</v>
      </c>
      <c r="B188" s="4" t="s">
        <v>580</v>
      </c>
      <c r="C188" s="4" t="s">
        <v>581</v>
      </c>
      <c r="D188" s="3">
        <v>1</v>
      </c>
      <c r="E188" s="3" t="s">
        <v>16</v>
      </c>
      <c r="F188" s="3" t="s">
        <v>295</v>
      </c>
      <c r="G188" s="3" t="s">
        <v>17</v>
      </c>
      <c r="H188" s="3" t="s">
        <v>254</v>
      </c>
    </row>
    <row r="189" spans="1:8" x14ac:dyDescent="0.2">
      <c r="A189" s="3">
        <v>3040325007</v>
      </c>
      <c r="B189" s="4" t="s">
        <v>582</v>
      </c>
      <c r="C189" s="4" t="s">
        <v>543</v>
      </c>
      <c r="D189" s="3">
        <v>1</v>
      </c>
      <c r="E189" s="3" t="s">
        <v>16</v>
      </c>
      <c r="F189" s="3" t="s">
        <v>293</v>
      </c>
      <c r="G189" s="3" t="s">
        <v>29</v>
      </c>
      <c r="H189" s="3" t="s">
        <v>254</v>
      </c>
    </row>
    <row r="190" spans="1:8" x14ac:dyDescent="0.2">
      <c r="A190" s="3">
        <v>3040325008</v>
      </c>
      <c r="B190" s="4" t="s">
        <v>582</v>
      </c>
      <c r="C190" s="4" t="s">
        <v>542</v>
      </c>
      <c r="D190" s="3">
        <v>1</v>
      </c>
      <c r="E190" s="3" t="s">
        <v>16</v>
      </c>
      <c r="F190" s="3" t="s">
        <v>293</v>
      </c>
      <c r="G190" s="3" t="s">
        <v>29</v>
      </c>
      <c r="H190" s="3" t="s">
        <v>254</v>
      </c>
    </row>
    <row r="191" spans="1:8" x14ac:dyDescent="0.2">
      <c r="A191" s="3">
        <v>3040326013</v>
      </c>
      <c r="B191" s="4" t="s">
        <v>546</v>
      </c>
      <c r="C191" s="4" t="s">
        <v>781</v>
      </c>
      <c r="D191" s="3">
        <v>1</v>
      </c>
      <c r="E191" s="3" t="s">
        <v>16</v>
      </c>
      <c r="F191" s="3" t="s">
        <v>293</v>
      </c>
      <c r="G191" s="3" t="s">
        <v>29</v>
      </c>
      <c r="H191" s="3" t="s">
        <v>254</v>
      </c>
    </row>
    <row r="192" spans="1:8" x14ac:dyDescent="0.2">
      <c r="A192" s="3">
        <v>3040326011</v>
      </c>
      <c r="B192" s="4" t="s">
        <v>546</v>
      </c>
      <c r="C192" s="4" t="s">
        <v>782</v>
      </c>
      <c r="D192" s="3">
        <v>1</v>
      </c>
      <c r="E192" s="3" t="s">
        <v>16</v>
      </c>
      <c r="F192" s="3" t="s">
        <v>293</v>
      </c>
      <c r="G192" s="3" t="s">
        <v>29</v>
      </c>
      <c r="H192" s="3" t="s">
        <v>254</v>
      </c>
    </row>
    <row r="193" spans="1:8" x14ac:dyDescent="0.2">
      <c r="A193" s="3">
        <v>3040308003</v>
      </c>
      <c r="B193" s="4" t="s">
        <v>583</v>
      </c>
      <c r="C193" s="4" t="s">
        <v>536</v>
      </c>
      <c r="D193" s="3">
        <v>2</v>
      </c>
      <c r="E193" s="3" t="s">
        <v>16</v>
      </c>
      <c r="F193" s="3" t="s">
        <v>293</v>
      </c>
      <c r="G193" s="3" t="s">
        <v>29</v>
      </c>
      <c r="H193" s="3" t="s">
        <v>254</v>
      </c>
    </row>
    <row r="194" spans="1:8" x14ac:dyDescent="0.2">
      <c r="A194" s="3">
        <v>3030302007</v>
      </c>
      <c r="B194" s="4" t="s">
        <v>584</v>
      </c>
      <c r="C194" s="4" t="s">
        <v>575</v>
      </c>
      <c r="D194" s="3">
        <v>1</v>
      </c>
      <c r="E194" s="3" t="s">
        <v>16</v>
      </c>
      <c r="F194" s="3" t="s">
        <v>295</v>
      </c>
      <c r="G194" s="3" t="s">
        <v>17</v>
      </c>
      <c r="H194" s="3" t="s">
        <v>254</v>
      </c>
    </row>
    <row r="195" spans="1:8" x14ac:dyDescent="0.2">
      <c r="A195" s="3">
        <v>3111601003</v>
      </c>
      <c r="B195" s="4" t="s">
        <v>585</v>
      </c>
      <c r="C195" s="4" t="s">
        <v>586</v>
      </c>
      <c r="D195" s="3">
        <v>2</v>
      </c>
      <c r="E195" s="3" t="s">
        <v>16</v>
      </c>
      <c r="F195" s="3" t="s">
        <v>291</v>
      </c>
      <c r="G195" s="3" t="s">
        <v>26</v>
      </c>
      <c r="H195" s="3" t="s">
        <v>254</v>
      </c>
    </row>
    <row r="196" spans="1:8" x14ac:dyDescent="0.2">
      <c r="A196" s="3">
        <v>3060339002</v>
      </c>
      <c r="B196" s="4" t="s">
        <v>737</v>
      </c>
      <c r="C196" s="4" t="s">
        <v>738</v>
      </c>
      <c r="D196" s="3">
        <v>1</v>
      </c>
      <c r="E196" s="3" t="s">
        <v>16</v>
      </c>
      <c r="F196" s="3" t="s">
        <v>702</v>
      </c>
      <c r="G196" s="3" t="s">
        <v>703</v>
      </c>
      <c r="H196" s="3" t="s">
        <v>254</v>
      </c>
    </row>
    <row r="197" spans="1:8" x14ac:dyDescent="0.2">
      <c r="A197" s="3">
        <v>3060325001</v>
      </c>
      <c r="B197" s="4" t="s">
        <v>739</v>
      </c>
      <c r="C197" s="4" t="s">
        <v>740</v>
      </c>
      <c r="D197" s="3">
        <v>1</v>
      </c>
      <c r="E197" s="3" t="s">
        <v>16</v>
      </c>
      <c r="F197" s="3" t="s">
        <v>289</v>
      </c>
      <c r="G197" s="3" t="s">
        <v>23</v>
      </c>
      <c r="H197" s="3" t="s">
        <v>254</v>
      </c>
    </row>
    <row r="198" spans="1:8" x14ac:dyDescent="0.2">
      <c r="A198" s="3">
        <v>3050303006</v>
      </c>
      <c r="B198" s="4" t="s">
        <v>245</v>
      </c>
      <c r="C198" s="4" t="s">
        <v>587</v>
      </c>
      <c r="D198" s="3">
        <v>1</v>
      </c>
      <c r="E198" s="3" t="s">
        <v>16</v>
      </c>
      <c r="F198" s="3" t="s">
        <v>291</v>
      </c>
      <c r="G198" s="3" t="s">
        <v>26</v>
      </c>
      <c r="H198" s="3" t="s">
        <v>254</v>
      </c>
    </row>
    <row r="199" spans="1:8" x14ac:dyDescent="0.2">
      <c r="A199" s="3">
        <v>3080310002</v>
      </c>
      <c r="B199" s="4" t="s">
        <v>588</v>
      </c>
      <c r="C199" s="4" t="s">
        <v>589</v>
      </c>
      <c r="D199" s="3">
        <v>1</v>
      </c>
      <c r="E199" s="3" t="s">
        <v>16</v>
      </c>
      <c r="F199" s="3" t="s">
        <v>295</v>
      </c>
      <c r="G199" s="3" t="s">
        <v>17</v>
      </c>
      <c r="H199" s="3" t="s">
        <v>590</v>
      </c>
    </row>
    <row r="200" spans="1:8" x14ac:dyDescent="0.2">
      <c r="A200" s="3">
        <v>3060404006</v>
      </c>
      <c r="B200" s="4" t="s">
        <v>729</v>
      </c>
      <c r="C200" s="4" t="s">
        <v>1099</v>
      </c>
      <c r="D200" s="3">
        <v>1</v>
      </c>
      <c r="E200" s="3" t="s">
        <v>16</v>
      </c>
      <c r="F200" s="3" t="s">
        <v>289</v>
      </c>
      <c r="G200" s="3" t="s">
        <v>23</v>
      </c>
      <c r="H200" s="3" t="s">
        <v>769</v>
      </c>
    </row>
  </sheetData>
  <phoneticPr fontId="2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2276D-3264-422D-BF19-6A90D5323D18}">
  <dimension ref="A1:H217"/>
  <sheetViews>
    <sheetView workbookViewId="0">
      <selection activeCell="D3" sqref="D3"/>
    </sheetView>
  </sheetViews>
  <sheetFormatPr defaultRowHeight="14.25" x14ac:dyDescent="0.2"/>
  <cols>
    <col min="1" max="1" width="13" customWidth="1"/>
    <col min="2" max="3" width="15.625" customWidth="1"/>
  </cols>
  <sheetData>
    <row r="1" spans="1:8" x14ac:dyDescent="0.2">
      <c r="A1" s="3" t="s">
        <v>1105</v>
      </c>
      <c r="B1" s="4"/>
      <c r="C1" s="4"/>
      <c r="D1" s="3"/>
      <c r="E1" s="3"/>
      <c r="F1" s="3"/>
      <c r="G1" s="3"/>
      <c r="H1" s="3"/>
    </row>
    <row r="2" spans="1:8" ht="28.5" x14ac:dyDescent="0.2">
      <c r="A2" s="1" t="s">
        <v>0</v>
      </c>
      <c r="B2" s="2" t="s">
        <v>1</v>
      </c>
      <c r="C2" s="2" t="s">
        <v>2</v>
      </c>
      <c r="D2" s="1" t="s">
        <v>4</v>
      </c>
      <c r="E2" s="1" t="s">
        <v>3</v>
      </c>
      <c r="F2" s="1" t="s">
        <v>5</v>
      </c>
      <c r="G2" s="1" t="s">
        <v>6</v>
      </c>
      <c r="H2" s="1" t="s">
        <v>7</v>
      </c>
    </row>
    <row r="3" spans="1:8" s="10" customFormat="1" x14ac:dyDescent="0.2">
      <c r="A3" s="8" t="s">
        <v>390</v>
      </c>
      <c r="B3" s="9" t="s">
        <v>8</v>
      </c>
      <c r="C3" s="9" t="s">
        <v>9</v>
      </c>
      <c r="D3" s="12">
        <f>0.3555/0.94</f>
        <v>0.3781914893617021</v>
      </c>
      <c r="E3" s="8" t="s">
        <v>596</v>
      </c>
      <c r="F3" s="8" t="s">
        <v>283</v>
      </c>
      <c r="G3" s="8" t="s">
        <v>13</v>
      </c>
      <c r="H3" s="8" t="s">
        <v>12</v>
      </c>
    </row>
    <row r="4" spans="1:8" x14ac:dyDescent="0.2">
      <c r="A4" s="3">
        <v>402030028</v>
      </c>
      <c r="B4" s="4" t="s">
        <v>107</v>
      </c>
      <c r="C4" s="4" t="s">
        <v>305</v>
      </c>
      <c r="D4" s="3">
        <v>1</v>
      </c>
      <c r="E4" s="3" t="s">
        <v>16</v>
      </c>
      <c r="F4" s="3" t="s">
        <v>289</v>
      </c>
      <c r="G4" s="3" t="s">
        <v>23</v>
      </c>
      <c r="H4" s="3" t="s">
        <v>306</v>
      </c>
    </row>
    <row r="5" spans="1:8" x14ac:dyDescent="0.2">
      <c r="A5" s="3">
        <v>3099980014</v>
      </c>
      <c r="B5" s="4" t="s">
        <v>391</v>
      </c>
      <c r="C5" s="4" t="s">
        <v>392</v>
      </c>
      <c r="D5" s="3">
        <v>1</v>
      </c>
      <c r="E5" s="3" t="s">
        <v>16</v>
      </c>
      <c r="F5" s="3" t="s">
        <v>291</v>
      </c>
      <c r="G5" s="3" t="s">
        <v>26</v>
      </c>
      <c r="H5" s="3" t="s">
        <v>393</v>
      </c>
    </row>
    <row r="6" spans="1:8" x14ac:dyDescent="0.2">
      <c r="A6" s="3">
        <v>3030314005</v>
      </c>
      <c r="B6" s="4" t="s">
        <v>394</v>
      </c>
      <c r="C6" s="4" t="s">
        <v>395</v>
      </c>
      <c r="D6" s="3">
        <v>1</v>
      </c>
      <c r="E6" s="3" t="s">
        <v>16</v>
      </c>
      <c r="F6" s="3" t="s">
        <v>291</v>
      </c>
      <c r="G6" s="3" t="s">
        <v>26</v>
      </c>
      <c r="H6" s="3" t="s">
        <v>18</v>
      </c>
    </row>
    <row r="7" spans="1:8" x14ac:dyDescent="0.2">
      <c r="A7" s="3">
        <v>3030210001</v>
      </c>
      <c r="B7" s="4" t="s">
        <v>396</v>
      </c>
      <c r="C7" s="4" t="s">
        <v>397</v>
      </c>
      <c r="D7" s="3">
        <v>1</v>
      </c>
      <c r="E7" s="3" t="s">
        <v>16</v>
      </c>
      <c r="F7" s="3" t="s">
        <v>295</v>
      </c>
      <c r="G7" s="3" t="s">
        <v>17</v>
      </c>
      <c r="H7" s="3" t="s">
        <v>18</v>
      </c>
    </row>
    <row r="8" spans="1:8" x14ac:dyDescent="0.2">
      <c r="A8" s="3">
        <v>3080301001</v>
      </c>
      <c r="B8" s="4" t="s">
        <v>247</v>
      </c>
      <c r="C8" s="4" t="s">
        <v>398</v>
      </c>
      <c r="D8" s="3">
        <v>1</v>
      </c>
      <c r="E8" s="3" t="s">
        <v>16</v>
      </c>
      <c r="F8" s="3" t="s">
        <v>295</v>
      </c>
      <c r="G8" s="3" t="s">
        <v>17</v>
      </c>
      <c r="H8" s="3" t="s">
        <v>18</v>
      </c>
    </row>
    <row r="9" spans="1:8" x14ac:dyDescent="0.2">
      <c r="A9" s="3">
        <v>3040201001</v>
      </c>
      <c r="B9" s="4" t="s">
        <v>399</v>
      </c>
      <c r="C9" s="4" t="s">
        <v>400</v>
      </c>
      <c r="D9" s="3">
        <v>2</v>
      </c>
      <c r="E9" s="3" t="s">
        <v>16</v>
      </c>
      <c r="F9" s="3" t="s">
        <v>293</v>
      </c>
      <c r="G9" s="3" t="s">
        <v>29</v>
      </c>
      <c r="H9" s="3" t="s">
        <v>18</v>
      </c>
    </row>
    <row r="10" spans="1:8" x14ac:dyDescent="0.2">
      <c r="A10" s="3">
        <v>3030202002</v>
      </c>
      <c r="B10" s="4" t="s">
        <v>401</v>
      </c>
      <c r="C10" s="4" t="s">
        <v>402</v>
      </c>
      <c r="D10" s="3">
        <v>1</v>
      </c>
      <c r="E10" s="3" t="s">
        <v>16</v>
      </c>
      <c r="F10" s="3" t="s">
        <v>295</v>
      </c>
      <c r="G10" s="3" t="s">
        <v>17</v>
      </c>
      <c r="H10" s="3" t="s">
        <v>18</v>
      </c>
    </row>
    <row r="11" spans="1:8" x14ac:dyDescent="0.2">
      <c r="A11" s="3">
        <v>3030202003</v>
      </c>
      <c r="B11" s="4" t="s">
        <v>403</v>
      </c>
      <c r="C11" s="4" t="s">
        <v>404</v>
      </c>
      <c r="D11" s="3">
        <v>1</v>
      </c>
      <c r="E11" s="3" t="s">
        <v>16</v>
      </c>
      <c r="F11" s="3" t="s">
        <v>295</v>
      </c>
      <c r="G11" s="3" t="s">
        <v>17</v>
      </c>
      <c r="H11" s="3" t="s">
        <v>18</v>
      </c>
    </row>
    <row r="12" spans="1:8" x14ac:dyDescent="0.2">
      <c r="A12" s="3">
        <v>3030212001</v>
      </c>
      <c r="B12" s="4" t="s">
        <v>405</v>
      </c>
      <c r="C12" s="4" t="s">
        <v>406</v>
      </c>
      <c r="D12" s="3">
        <v>1</v>
      </c>
      <c r="E12" s="3" t="s">
        <v>16</v>
      </c>
      <c r="F12" s="3" t="s">
        <v>295</v>
      </c>
      <c r="G12" s="3" t="s">
        <v>17</v>
      </c>
      <c r="H12" s="3" t="s">
        <v>18</v>
      </c>
    </row>
    <row r="13" spans="1:8" x14ac:dyDescent="0.2">
      <c r="A13" s="3">
        <v>3030206003</v>
      </c>
      <c r="B13" s="4" t="s">
        <v>407</v>
      </c>
      <c r="C13" s="4" t="s">
        <v>408</v>
      </c>
      <c r="D13" s="3">
        <v>1</v>
      </c>
      <c r="E13" s="3" t="s">
        <v>16</v>
      </c>
      <c r="F13" s="3" t="s">
        <v>295</v>
      </c>
      <c r="G13" s="3" t="s">
        <v>17</v>
      </c>
      <c r="H13" s="3" t="s">
        <v>18</v>
      </c>
    </row>
    <row r="14" spans="1:8" x14ac:dyDescent="0.2">
      <c r="A14" s="3">
        <v>404090136</v>
      </c>
      <c r="B14" s="4" t="s">
        <v>30</v>
      </c>
      <c r="C14" s="4" t="s">
        <v>784</v>
      </c>
      <c r="D14" s="3">
        <v>1</v>
      </c>
      <c r="E14" s="3" t="s">
        <v>16</v>
      </c>
      <c r="F14" s="3" t="s">
        <v>301</v>
      </c>
      <c r="G14" s="3" t="s">
        <v>32</v>
      </c>
      <c r="H14" s="3" t="s">
        <v>33</v>
      </c>
    </row>
    <row r="15" spans="1:8" x14ac:dyDescent="0.2">
      <c r="A15" s="3">
        <v>404090141</v>
      </c>
      <c r="B15" s="4" t="s">
        <v>30</v>
      </c>
      <c r="C15" s="4" t="s">
        <v>1101</v>
      </c>
      <c r="D15" s="3">
        <v>1</v>
      </c>
      <c r="E15" s="3" t="s">
        <v>16</v>
      </c>
      <c r="F15" s="3" t="s">
        <v>301</v>
      </c>
      <c r="G15" s="3" t="s">
        <v>32</v>
      </c>
      <c r="H15" s="3" t="s">
        <v>33</v>
      </c>
    </row>
    <row r="16" spans="1:8" x14ac:dyDescent="0.2">
      <c r="A16" s="3">
        <v>404020072</v>
      </c>
      <c r="B16" s="4" t="s">
        <v>30</v>
      </c>
      <c r="C16" s="4" t="s">
        <v>308</v>
      </c>
      <c r="D16" s="3">
        <v>1</v>
      </c>
      <c r="E16" s="3" t="s">
        <v>16</v>
      </c>
      <c r="F16" s="3" t="s">
        <v>291</v>
      </c>
      <c r="G16" s="3" t="s">
        <v>26</v>
      </c>
      <c r="H16" s="3" t="s">
        <v>33</v>
      </c>
    </row>
    <row r="17" spans="1:8" x14ac:dyDescent="0.2">
      <c r="A17" s="3">
        <v>401020086</v>
      </c>
      <c r="B17" s="4" t="s">
        <v>35</v>
      </c>
      <c r="C17" s="4" t="s">
        <v>1102</v>
      </c>
      <c r="D17" s="3">
        <v>1</v>
      </c>
      <c r="E17" s="3" t="s">
        <v>16</v>
      </c>
      <c r="F17" s="3" t="s">
        <v>301</v>
      </c>
      <c r="G17" s="3" t="s">
        <v>32</v>
      </c>
      <c r="H17" s="3" t="s">
        <v>33</v>
      </c>
    </row>
    <row r="18" spans="1:8" x14ac:dyDescent="0.2">
      <c r="A18" s="3">
        <v>401040087</v>
      </c>
      <c r="B18" s="4" t="s">
        <v>35</v>
      </c>
      <c r="C18" s="4" t="s">
        <v>410</v>
      </c>
      <c r="D18" s="3">
        <v>1</v>
      </c>
      <c r="E18" s="3" t="s">
        <v>16</v>
      </c>
      <c r="F18" s="3" t="s">
        <v>293</v>
      </c>
      <c r="G18" s="3" t="s">
        <v>29</v>
      </c>
      <c r="H18" s="3" t="s">
        <v>33</v>
      </c>
    </row>
    <row r="19" spans="1:8" x14ac:dyDescent="0.2">
      <c r="A19" s="3">
        <v>3080101015</v>
      </c>
      <c r="B19" s="4" t="s">
        <v>411</v>
      </c>
      <c r="C19" s="4" t="s">
        <v>412</v>
      </c>
      <c r="D19" s="3">
        <v>2</v>
      </c>
      <c r="E19" s="3" t="s">
        <v>16</v>
      </c>
      <c r="F19" s="3" t="s">
        <v>293</v>
      </c>
      <c r="G19" s="3" t="s">
        <v>29</v>
      </c>
      <c r="H19" s="3" t="s">
        <v>40</v>
      </c>
    </row>
    <row r="20" spans="1:8" x14ac:dyDescent="0.2">
      <c r="A20" s="3">
        <v>3080101002</v>
      </c>
      <c r="B20" s="4" t="s">
        <v>411</v>
      </c>
      <c r="C20" s="4" t="s">
        <v>413</v>
      </c>
      <c r="D20" s="3">
        <v>2</v>
      </c>
      <c r="E20" s="3" t="s">
        <v>16</v>
      </c>
      <c r="F20" s="3" t="s">
        <v>291</v>
      </c>
      <c r="G20" s="3" t="s">
        <v>26</v>
      </c>
      <c r="H20" s="3" t="s">
        <v>40</v>
      </c>
    </row>
    <row r="21" spans="1:8" x14ac:dyDescent="0.2">
      <c r="A21" s="3">
        <v>3080401023</v>
      </c>
      <c r="B21" s="4" t="s">
        <v>41</v>
      </c>
      <c r="C21" s="4" t="s">
        <v>699</v>
      </c>
      <c r="D21" s="3">
        <v>2</v>
      </c>
      <c r="E21" s="3" t="s">
        <v>16</v>
      </c>
      <c r="F21" s="3" t="s">
        <v>289</v>
      </c>
      <c r="G21" s="3" t="s">
        <v>23</v>
      </c>
      <c r="H21" s="3" t="s">
        <v>40</v>
      </c>
    </row>
    <row r="22" spans="1:8" x14ac:dyDescent="0.2">
      <c r="A22" s="3">
        <v>3080401064</v>
      </c>
      <c r="B22" s="4" t="s">
        <v>41</v>
      </c>
      <c r="C22" s="4" t="s">
        <v>414</v>
      </c>
      <c r="D22" s="3">
        <v>1</v>
      </c>
      <c r="E22" s="3" t="s">
        <v>16</v>
      </c>
      <c r="F22" s="3" t="s">
        <v>295</v>
      </c>
      <c r="G22" s="3" t="s">
        <v>17</v>
      </c>
      <c r="H22" s="3" t="s">
        <v>40</v>
      </c>
    </row>
    <row r="23" spans="1:8" x14ac:dyDescent="0.2">
      <c r="A23" s="3">
        <v>3080401016</v>
      </c>
      <c r="B23" s="4" t="s">
        <v>41</v>
      </c>
      <c r="C23" s="4" t="s">
        <v>415</v>
      </c>
      <c r="D23" s="3">
        <v>1</v>
      </c>
      <c r="E23" s="3" t="s">
        <v>16</v>
      </c>
      <c r="F23" s="3" t="s">
        <v>295</v>
      </c>
      <c r="G23" s="3" t="s">
        <v>17</v>
      </c>
      <c r="H23" s="3" t="s">
        <v>40</v>
      </c>
    </row>
    <row r="24" spans="1:8" x14ac:dyDescent="0.2">
      <c r="A24" s="3">
        <v>3080401007</v>
      </c>
      <c r="B24" s="4" t="s">
        <v>41</v>
      </c>
      <c r="C24" s="4" t="s">
        <v>416</v>
      </c>
      <c r="D24" s="3">
        <v>2</v>
      </c>
      <c r="E24" s="3" t="s">
        <v>16</v>
      </c>
      <c r="F24" s="3" t="s">
        <v>293</v>
      </c>
      <c r="G24" s="3" t="s">
        <v>29</v>
      </c>
      <c r="H24" s="3" t="s">
        <v>40</v>
      </c>
    </row>
    <row r="25" spans="1:8" x14ac:dyDescent="0.2">
      <c r="A25" s="3">
        <v>3080401008</v>
      </c>
      <c r="B25" s="4" t="s">
        <v>41</v>
      </c>
      <c r="C25" s="4" t="s">
        <v>700</v>
      </c>
      <c r="D25" s="3">
        <v>2</v>
      </c>
      <c r="E25" s="3" t="s">
        <v>16</v>
      </c>
      <c r="F25" s="3" t="s">
        <v>317</v>
      </c>
      <c r="G25" s="3" t="s">
        <v>318</v>
      </c>
      <c r="H25" s="3" t="s">
        <v>40</v>
      </c>
    </row>
    <row r="26" spans="1:8" x14ac:dyDescent="0.2">
      <c r="A26" s="3">
        <v>3080401014</v>
      </c>
      <c r="B26" s="4" t="s">
        <v>41</v>
      </c>
      <c r="C26" s="4" t="s">
        <v>417</v>
      </c>
      <c r="D26" s="3">
        <v>4</v>
      </c>
      <c r="E26" s="3" t="s">
        <v>16</v>
      </c>
      <c r="F26" s="3" t="s">
        <v>291</v>
      </c>
      <c r="G26" s="3" t="s">
        <v>26</v>
      </c>
      <c r="H26" s="3" t="s">
        <v>40</v>
      </c>
    </row>
    <row r="27" spans="1:8" x14ac:dyDescent="0.2">
      <c r="A27" s="3">
        <v>3080104081</v>
      </c>
      <c r="B27" s="4" t="s">
        <v>45</v>
      </c>
      <c r="C27" s="4" t="s">
        <v>701</v>
      </c>
      <c r="D27" s="3">
        <v>4</v>
      </c>
      <c r="E27" s="3" t="s">
        <v>16</v>
      </c>
      <c r="F27" s="3" t="s">
        <v>289</v>
      </c>
      <c r="G27" s="3" t="s">
        <v>23</v>
      </c>
      <c r="H27" s="3" t="s">
        <v>40</v>
      </c>
    </row>
    <row r="28" spans="1:8" x14ac:dyDescent="0.2">
      <c r="A28" s="3">
        <v>3080104018</v>
      </c>
      <c r="B28" s="4" t="s">
        <v>45</v>
      </c>
      <c r="C28" s="4" t="s">
        <v>418</v>
      </c>
      <c r="D28" s="3">
        <v>2</v>
      </c>
      <c r="E28" s="3" t="s">
        <v>16</v>
      </c>
      <c r="F28" s="3" t="s">
        <v>293</v>
      </c>
      <c r="G28" s="3" t="s">
        <v>29</v>
      </c>
      <c r="H28" s="3" t="s">
        <v>40</v>
      </c>
    </row>
    <row r="29" spans="1:8" x14ac:dyDescent="0.2">
      <c r="A29" s="3">
        <v>3080104099</v>
      </c>
      <c r="B29" s="4" t="s">
        <v>45</v>
      </c>
      <c r="C29" s="4" t="s">
        <v>419</v>
      </c>
      <c r="D29" s="3">
        <v>2</v>
      </c>
      <c r="E29" s="3" t="s">
        <v>16</v>
      </c>
      <c r="F29" s="3" t="s">
        <v>291</v>
      </c>
      <c r="G29" s="3" t="s">
        <v>26</v>
      </c>
      <c r="H29" s="3" t="s">
        <v>40</v>
      </c>
    </row>
    <row r="30" spans="1:8" x14ac:dyDescent="0.2">
      <c r="A30" s="3">
        <v>3080105004</v>
      </c>
      <c r="B30" s="4" t="s">
        <v>50</v>
      </c>
      <c r="C30" s="4" t="s">
        <v>54</v>
      </c>
      <c r="D30" s="3">
        <v>6</v>
      </c>
      <c r="E30" s="3" t="s">
        <v>16</v>
      </c>
      <c r="F30" s="3" t="s">
        <v>289</v>
      </c>
      <c r="G30" s="3" t="s">
        <v>23</v>
      </c>
      <c r="H30" s="3" t="s">
        <v>40</v>
      </c>
    </row>
    <row r="31" spans="1:8" x14ac:dyDescent="0.2">
      <c r="A31" s="3">
        <v>3080105114</v>
      </c>
      <c r="B31" s="4" t="s">
        <v>50</v>
      </c>
      <c r="C31" s="4" t="s">
        <v>53</v>
      </c>
      <c r="D31" s="3">
        <v>5</v>
      </c>
      <c r="E31" s="3" t="s">
        <v>16</v>
      </c>
      <c r="F31" s="3" t="s">
        <v>289</v>
      </c>
      <c r="G31" s="3" t="s">
        <v>23</v>
      </c>
      <c r="H31" s="3" t="s">
        <v>40</v>
      </c>
    </row>
    <row r="32" spans="1:8" x14ac:dyDescent="0.2">
      <c r="A32" s="3">
        <v>3080105114</v>
      </c>
      <c r="B32" s="4" t="s">
        <v>50</v>
      </c>
      <c r="C32" s="4" t="s">
        <v>53</v>
      </c>
      <c r="D32" s="3">
        <v>4</v>
      </c>
      <c r="E32" s="3" t="s">
        <v>16</v>
      </c>
      <c r="F32" s="3" t="s">
        <v>289</v>
      </c>
      <c r="G32" s="3" t="s">
        <v>23</v>
      </c>
      <c r="H32" s="3" t="s">
        <v>40</v>
      </c>
    </row>
    <row r="33" spans="1:8" x14ac:dyDescent="0.2">
      <c r="A33" s="3">
        <v>3080105040</v>
      </c>
      <c r="B33" s="4" t="s">
        <v>50</v>
      </c>
      <c r="C33" s="4" t="s">
        <v>421</v>
      </c>
      <c r="D33" s="3">
        <v>12</v>
      </c>
      <c r="E33" s="3" t="s">
        <v>16</v>
      </c>
      <c r="F33" s="3" t="s">
        <v>293</v>
      </c>
      <c r="G33" s="3" t="s">
        <v>29</v>
      </c>
      <c r="H33" s="3" t="s">
        <v>40</v>
      </c>
    </row>
    <row r="34" spans="1:8" x14ac:dyDescent="0.2">
      <c r="A34" s="3">
        <v>3080105015</v>
      </c>
      <c r="B34" s="4" t="s">
        <v>50</v>
      </c>
      <c r="C34" s="4" t="s">
        <v>422</v>
      </c>
      <c r="D34" s="3">
        <v>8</v>
      </c>
      <c r="E34" s="3" t="s">
        <v>16</v>
      </c>
      <c r="F34" s="3" t="s">
        <v>293</v>
      </c>
      <c r="G34" s="3" t="s">
        <v>29</v>
      </c>
      <c r="H34" s="3" t="s">
        <v>40</v>
      </c>
    </row>
    <row r="35" spans="1:8" x14ac:dyDescent="0.2">
      <c r="A35" s="3">
        <v>3080105088</v>
      </c>
      <c r="B35" s="4" t="s">
        <v>50</v>
      </c>
      <c r="C35" s="4" t="s">
        <v>423</v>
      </c>
      <c r="D35" s="3">
        <v>2</v>
      </c>
      <c r="E35" s="3" t="s">
        <v>16</v>
      </c>
      <c r="F35" s="3" t="s">
        <v>293</v>
      </c>
      <c r="G35" s="3" t="s">
        <v>29</v>
      </c>
      <c r="H35" s="3" t="s">
        <v>40</v>
      </c>
    </row>
    <row r="36" spans="1:8" x14ac:dyDescent="0.2">
      <c r="A36" s="3">
        <v>3080105008</v>
      </c>
      <c r="B36" s="4" t="s">
        <v>50</v>
      </c>
      <c r="C36" s="4" t="s">
        <v>424</v>
      </c>
      <c r="D36" s="3">
        <v>8</v>
      </c>
      <c r="E36" s="3" t="s">
        <v>16</v>
      </c>
      <c r="F36" s="3" t="s">
        <v>293</v>
      </c>
      <c r="G36" s="3" t="s">
        <v>29</v>
      </c>
      <c r="H36" s="3" t="s">
        <v>40</v>
      </c>
    </row>
    <row r="37" spans="1:8" x14ac:dyDescent="0.2">
      <c r="A37" s="3">
        <v>3080105121</v>
      </c>
      <c r="B37" s="4" t="s">
        <v>50</v>
      </c>
      <c r="C37" s="4" t="s">
        <v>316</v>
      </c>
      <c r="D37" s="3">
        <v>2</v>
      </c>
      <c r="E37" s="3" t="s">
        <v>16</v>
      </c>
      <c r="F37" s="3" t="s">
        <v>317</v>
      </c>
      <c r="G37" s="3" t="s">
        <v>318</v>
      </c>
      <c r="H37" s="3" t="s">
        <v>40</v>
      </c>
    </row>
    <row r="38" spans="1:8" x14ac:dyDescent="0.2">
      <c r="A38" s="3">
        <v>3080105021</v>
      </c>
      <c r="B38" s="4" t="s">
        <v>50</v>
      </c>
      <c r="C38" s="4" t="s">
        <v>319</v>
      </c>
      <c r="D38" s="3">
        <v>8</v>
      </c>
      <c r="E38" s="3" t="s">
        <v>16</v>
      </c>
      <c r="F38" s="3" t="s">
        <v>317</v>
      </c>
      <c r="G38" s="3" t="s">
        <v>318</v>
      </c>
      <c r="H38" s="3" t="s">
        <v>40</v>
      </c>
    </row>
    <row r="39" spans="1:8" x14ac:dyDescent="0.2">
      <c r="A39" s="3">
        <v>3080105114</v>
      </c>
      <c r="B39" s="4" t="s">
        <v>50</v>
      </c>
      <c r="C39" s="4" t="s">
        <v>53</v>
      </c>
      <c r="D39" s="3">
        <v>6</v>
      </c>
      <c r="E39" s="3" t="s">
        <v>16</v>
      </c>
      <c r="F39" s="3" t="s">
        <v>702</v>
      </c>
      <c r="G39" s="3" t="s">
        <v>703</v>
      </c>
      <c r="H39" s="3" t="s">
        <v>40</v>
      </c>
    </row>
    <row r="40" spans="1:8" x14ac:dyDescent="0.2">
      <c r="A40" s="3">
        <v>3080105114</v>
      </c>
      <c r="B40" s="4" t="s">
        <v>50</v>
      </c>
      <c r="C40" s="4" t="s">
        <v>53</v>
      </c>
      <c r="D40" s="3">
        <v>3</v>
      </c>
      <c r="E40" s="3" t="s">
        <v>16</v>
      </c>
      <c r="F40" s="3" t="s">
        <v>702</v>
      </c>
      <c r="G40" s="3" t="s">
        <v>703</v>
      </c>
      <c r="H40" s="3" t="s">
        <v>40</v>
      </c>
    </row>
    <row r="41" spans="1:8" x14ac:dyDescent="0.2">
      <c r="A41" s="3">
        <v>3080104055</v>
      </c>
      <c r="B41" s="4" t="s">
        <v>50</v>
      </c>
      <c r="C41" s="4" t="s">
        <v>425</v>
      </c>
      <c r="D41" s="3">
        <v>2</v>
      </c>
      <c r="E41" s="3" t="s">
        <v>16</v>
      </c>
      <c r="F41" s="3" t="s">
        <v>291</v>
      </c>
      <c r="G41" s="3" t="s">
        <v>26</v>
      </c>
      <c r="H41" s="3" t="s">
        <v>40</v>
      </c>
    </row>
    <row r="42" spans="1:8" x14ac:dyDescent="0.2">
      <c r="A42" s="3">
        <v>3080105040</v>
      </c>
      <c r="B42" s="4" t="s">
        <v>50</v>
      </c>
      <c r="C42" s="4" t="s">
        <v>421</v>
      </c>
      <c r="D42" s="3">
        <v>2</v>
      </c>
      <c r="E42" s="3" t="s">
        <v>16</v>
      </c>
      <c r="F42" s="3" t="s">
        <v>291</v>
      </c>
      <c r="G42" s="3" t="s">
        <v>26</v>
      </c>
      <c r="H42" s="3" t="s">
        <v>40</v>
      </c>
    </row>
    <row r="43" spans="1:8" x14ac:dyDescent="0.2">
      <c r="A43" s="3">
        <v>3080105046</v>
      </c>
      <c r="B43" s="4" t="s">
        <v>50</v>
      </c>
      <c r="C43" s="4" t="s">
        <v>863</v>
      </c>
      <c r="D43" s="3">
        <v>2</v>
      </c>
      <c r="E43" s="3" t="s">
        <v>16</v>
      </c>
      <c r="F43" s="3" t="s">
        <v>291</v>
      </c>
      <c r="G43" s="3" t="s">
        <v>26</v>
      </c>
      <c r="H43" s="3" t="s">
        <v>40</v>
      </c>
    </row>
    <row r="44" spans="1:8" x14ac:dyDescent="0.2">
      <c r="A44" s="3">
        <v>3080502002</v>
      </c>
      <c r="B44" s="4" t="s">
        <v>55</v>
      </c>
      <c r="C44" s="4" t="s">
        <v>56</v>
      </c>
      <c r="D44" s="3">
        <v>1</v>
      </c>
      <c r="E44" s="3" t="s">
        <v>16</v>
      </c>
      <c r="F44" s="3" t="s">
        <v>317</v>
      </c>
      <c r="G44" s="3" t="s">
        <v>318</v>
      </c>
      <c r="H44" s="3" t="s">
        <v>40</v>
      </c>
    </row>
    <row r="45" spans="1:8" x14ac:dyDescent="0.2">
      <c r="A45" s="3">
        <v>3080502003</v>
      </c>
      <c r="B45" s="4" t="s">
        <v>55</v>
      </c>
      <c r="C45" s="4" t="s">
        <v>426</v>
      </c>
      <c r="D45" s="3">
        <v>2</v>
      </c>
      <c r="E45" s="3" t="s">
        <v>16</v>
      </c>
      <c r="F45" s="3" t="s">
        <v>291</v>
      </c>
      <c r="G45" s="3" t="s">
        <v>26</v>
      </c>
      <c r="H45" s="3" t="s">
        <v>40</v>
      </c>
    </row>
    <row r="46" spans="1:8" x14ac:dyDescent="0.2">
      <c r="A46" s="3">
        <v>3080201012</v>
      </c>
      <c r="B46" s="4" t="s">
        <v>60</v>
      </c>
      <c r="C46" s="4" t="s">
        <v>320</v>
      </c>
      <c r="D46" s="3">
        <v>2</v>
      </c>
      <c r="E46" s="3" t="s">
        <v>16</v>
      </c>
      <c r="F46" s="3" t="s">
        <v>289</v>
      </c>
      <c r="G46" s="3" t="s">
        <v>23</v>
      </c>
      <c r="H46" s="3" t="s">
        <v>40</v>
      </c>
    </row>
    <row r="47" spans="1:8" x14ac:dyDescent="0.2">
      <c r="A47" s="3">
        <v>3080201012</v>
      </c>
      <c r="B47" s="4" t="s">
        <v>60</v>
      </c>
      <c r="C47" s="4" t="s">
        <v>320</v>
      </c>
      <c r="D47" s="3">
        <v>1</v>
      </c>
      <c r="E47" s="3" t="s">
        <v>16</v>
      </c>
      <c r="F47" s="3" t="s">
        <v>317</v>
      </c>
      <c r="G47" s="3" t="s">
        <v>318</v>
      </c>
      <c r="H47" s="3" t="s">
        <v>40</v>
      </c>
    </row>
    <row r="48" spans="1:8" x14ac:dyDescent="0.2">
      <c r="A48" s="3">
        <v>3080201005</v>
      </c>
      <c r="B48" s="4" t="s">
        <v>60</v>
      </c>
      <c r="C48" s="4" t="s">
        <v>427</v>
      </c>
      <c r="D48" s="3">
        <v>1</v>
      </c>
      <c r="E48" s="3" t="s">
        <v>16</v>
      </c>
      <c r="F48" s="3" t="s">
        <v>291</v>
      </c>
      <c r="G48" s="3" t="s">
        <v>26</v>
      </c>
      <c r="H48" s="3" t="s">
        <v>40</v>
      </c>
    </row>
    <row r="49" spans="1:8" x14ac:dyDescent="0.2">
      <c r="A49" s="3">
        <v>3080201006</v>
      </c>
      <c r="B49" s="4" t="s">
        <v>60</v>
      </c>
      <c r="C49" s="4" t="s">
        <v>428</v>
      </c>
      <c r="D49" s="3">
        <v>1</v>
      </c>
      <c r="E49" s="3" t="s">
        <v>16</v>
      </c>
      <c r="F49" s="3" t="s">
        <v>291</v>
      </c>
      <c r="G49" s="3" t="s">
        <v>26</v>
      </c>
      <c r="H49" s="3" t="s">
        <v>40</v>
      </c>
    </row>
    <row r="50" spans="1:8" x14ac:dyDescent="0.2">
      <c r="A50" s="3">
        <v>3080107284</v>
      </c>
      <c r="B50" s="4" t="s">
        <v>69</v>
      </c>
      <c r="C50" s="4" t="s">
        <v>706</v>
      </c>
      <c r="D50" s="3">
        <v>1</v>
      </c>
      <c r="E50" s="3" t="s">
        <v>16</v>
      </c>
      <c r="F50" s="3" t="s">
        <v>289</v>
      </c>
      <c r="G50" s="3" t="s">
        <v>23</v>
      </c>
      <c r="H50" s="3" t="s">
        <v>40</v>
      </c>
    </row>
    <row r="51" spans="1:8" x14ac:dyDescent="0.2">
      <c r="A51" s="3">
        <v>3080107111</v>
      </c>
      <c r="B51" s="4" t="s">
        <v>69</v>
      </c>
      <c r="C51" s="4" t="s">
        <v>787</v>
      </c>
      <c r="D51" s="3">
        <v>1</v>
      </c>
      <c r="E51" s="3" t="s">
        <v>16</v>
      </c>
      <c r="F51" s="3" t="s">
        <v>289</v>
      </c>
      <c r="G51" s="3" t="s">
        <v>23</v>
      </c>
      <c r="H51" s="3" t="s">
        <v>40</v>
      </c>
    </row>
    <row r="52" spans="1:8" x14ac:dyDescent="0.2">
      <c r="A52" s="3">
        <v>3080107112</v>
      </c>
      <c r="B52" s="4" t="s">
        <v>69</v>
      </c>
      <c r="C52" s="4" t="s">
        <v>705</v>
      </c>
      <c r="D52" s="3">
        <v>2</v>
      </c>
      <c r="E52" s="3" t="s">
        <v>16</v>
      </c>
      <c r="F52" s="3" t="s">
        <v>289</v>
      </c>
      <c r="G52" s="3" t="s">
        <v>23</v>
      </c>
      <c r="H52" s="3" t="s">
        <v>40</v>
      </c>
    </row>
    <row r="53" spans="1:8" x14ac:dyDescent="0.2">
      <c r="A53" s="3">
        <v>3080107034</v>
      </c>
      <c r="B53" s="4" t="s">
        <v>69</v>
      </c>
      <c r="C53" s="4" t="s">
        <v>429</v>
      </c>
      <c r="D53" s="3">
        <v>2</v>
      </c>
      <c r="E53" s="3" t="s">
        <v>16</v>
      </c>
      <c r="F53" s="3" t="s">
        <v>295</v>
      </c>
      <c r="G53" s="3" t="s">
        <v>17</v>
      </c>
      <c r="H53" s="3" t="s">
        <v>40</v>
      </c>
    </row>
    <row r="54" spans="1:8" x14ac:dyDescent="0.2">
      <c r="A54" s="3">
        <v>3080107034</v>
      </c>
      <c r="B54" s="4" t="s">
        <v>69</v>
      </c>
      <c r="C54" s="4" t="s">
        <v>429</v>
      </c>
      <c r="D54" s="3">
        <v>6</v>
      </c>
      <c r="E54" s="3" t="s">
        <v>16</v>
      </c>
      <c r="F54" s="3" t="s">
        <v>295</v>
      </c>
      <c r="G54" s="3" t="s">
        <v>17</v>
      </c>
      <c r="H54" s="3" t="s">
        <v>40</v>
      </c>
    </row>
    <row r="55" spans="1:8" x14ac:dyDescent="0.2">
      <c r="A55" s="3">
        <v>3080107002</v>
      </c>
      <c r="B55" s="4" t="s">
        <v>69</v>
      </c>
      <c r="C55" s="4" t="s">
        <v>430</v>
      </c>
      <c r="D55" s="3">
        <v>4</v>
      </c>
      <c r="E55" s="3" t="s">
        <v>16</v>
      </c>
      <c r="F55" s="3" t="s">
        <v>295</v>
      </c>
      <c r="G55" s="3" t="s">
        <v>17</v>
      </c>
      <c r="H55" s="3" t="s">
        <v>40</v>
      </c>
    </row>
    <row r="56" spans="1:8" x14ac:dyDescent="0.2">
      <c r="A56" s="3">
        <v>3080107052</v>
      </c>
      <c r="B56" s="4" t="s">
        <v>69</v>
      </c>
      <c r="C56" s="4" t="s">
        <v>431</v>
      </c>
      <c r="D56" s="3">
        <v>1</v>
      </c>
      <c r="E56" s="3" t="s">
        <v>16</v>
      </c>
      <c r="F56" s="3" t="s">
        <v>295</v>
      </c>
      <c r="G56" s="3" t="s">
        <v>17</v>
      </c>
      <c r="H56" s="3" t="s">
        <v>40</v>
      </c>
    </row>
    <row r="57" spans="1:8" x14ac:dyDescent="0.2">
      <c r="A57" s="3">
        <v>3080107160</v>
      </c>
      <c r="B57" s="4" t="s">
        <v>69</v>
      </c>
      <c r="C57" s="4" t="s">
        <v>432</v>
      </c>
      <c r="D57" s="3">
        <v>4</v>
      </c>
      <c r="E57" s="3" t="s">
        <v>16</v>
      </c>
      <c r="F57" s="3" t="s">
        <v>293</v>
      </c>
      <c r="G57" s="3" t="s">
        <v>29</v>
      </c>
      <c r="H57" s="3" t="s">
        <v>40</v>
      </c>
    </row>
    <row r="58" spans="1:8" x14ac:dyDescent="0.2">
      <c r="A58" s="3">
        <v>3080107284</v>
      </c>
      <c r="B58" s="4" t="s">
        <v>69</v>
      </c>
      <c r="C58" s="4" t="s">
        <v>706</v>
      </c>
      <c r="D58" s="3">
        <v>1</v>
      </c>
      <c r="E58" s="3" t="s">
        <v>16</v>
      </c>
      <c r="F58" s="3" t="s">
        <v>317</v>
      </c>
      <c r="G58" s="3" t="s">
        <v>318</v>
      </c>
      <c r="H58" s="3" t="s">
        <v>40</v>
      </c>
    </row>
    <row r="59" spans="1:8" x14ac:dyDescent="0.2">
      <c r="A59" s="3">
        <v>3080107308</v>
      </c>
      <c r="B59" s="4" t="s">
        <v>69</v>
      </c>
      <c r="C59" s="4" t="s">
        <v>433</v>
      </c>
      <c r="D59" s="3">
        <v>2</v>
      </c>
      <c r="E59" s="3" t="s">
        <v>16</v>
      </c>
      <c r="F59" s="3" t="s">
        <v>291</v>
      </c>
      <c r="G59" s="3" t="s">
        <v>26</v>
      </c>
      <c r="H59" s="3" t="s">
        <v>40</v>
      </c>
    </row>
    <row r="60" spans="1:8" x14ac:dyDescent="0.2">
      <c r="A60" s="3">
        <v>3080107305</v>
      </c>
      <c r="B60" s="4" t="s">
        <v>69</v>
      </c>
      <c r="C60" s="4" t="s">
        <v>434</v>
      </c>
      <c r="D60" s="3">
        <v>2</v>
      </c>
      <c r="E60" s="3" t="s">
        <v>16</v>
      </c>
      <c r="F60" s="3" t="s">
        <v>291</v>
      </c>
      <c r="G60" s="3" t="s">
        <v>26</v>
      </c>
      <c r="H60" s="3" t="s">
        <v>40</v>
      </c>
    </row>
    <row r="61" spans="1:8" x14ac:dyDescent="0.2">
      <c r="A61" s="3">
        <v>3080107072</v>
      </c>
      <c r="B61" s="4" t="s">
        <v>69</v>
      </c>
      <c r="C61" s="4" t="s">
        <v>435</v>
      </c>
      <c r="D61" s="3">
        <v>4</v>
      </c>
      <c r="E61" s="3" t="s">
        <v>16</v>
      </c>
      <c r="F61" s="3" t="s">
        <v>291</v>
      </c>
      <c r="G61" s="3" t="s">
        <v>26</v>
      </c>
      <c r="H61" s="3" t="s">
        <v>40</v>
      </c>
    </row>
    <row r="62" spans="1:8" x14ac:dyDescent="0.2">
      <c r="A62" s="3">
        <v>3080107094</v>
      </c>
      <c r="B62" s="4" t="s">
        <v>69</v>
      </c>
      <c r="C62" s="4" t="s">
        <v>436</v>
      </c>
      <c r="D62" s="3">
        <v>2</v>
      </c>
      <c r="E62" s="3" t="s">
        <v>16</v>
      </c>
      <c r="F62" s="3" t="s">
        <v>291</v>
      </c>
      <c r="G62" s="3" t="s">
        <v>26</v>
      </c>
      <c r="H62" s="3" t="s">
        <v>40</v>
      </c>
    </row>
    <row r="63" spans="1:8" x14ac:dyDescent="0.2">
      <c r="A63" s="3">
        <v>3080108025</v>
      </c>
      <c r="B63" s="4" t="s">
        <v>77</v>
      </c>
      <c r="C63" s="4" t="s">
        <v>437</v>
      </c>
      <c r="D63" s="3">
        <v>7</v>
      </c>
      <c r="E63" s="3" t="s">
        <v>16</v>
      </c>
      <c r="F63" s="3" t="s">
        <v>295</v>
      </c>
      <c r="G63" s="3" t="s">
        <v>17</v>
      </c>
      <c r="H63" s="3" t="s">
        <v>40</v>
      </c>
    </row>
    <row r="64" spans="1:8" x14ac:dyDescent="0.2">
      <c r="A64" s="3">
        <v>3080108033</v>
      </c>
      <c r="B64" s="4" t="s">
        <v>77</v>
      </c>
      <c r="C64" s="4" t="s">
        <v>438</v>
      </c>
      <c r="D64" s="3">
        <v>4</v>
      </c>
      <c r="E64" s="3" t="s">
        <v>16</v>
      </c>
      <c r="F64" s="3" t="s">
        <v>291</v>
      </c>
      <c r="G64" s="3" t="s">
        <v>26</v>
      </c>
      <c r="H64" s="3" t="s">
        <v>40</v>
      </c>
    </row>
    <row r="65" spans="1:8" x14ac:dyDescent="0.2">
      <c r="A65" s="3">
        <v>3080403001</v>
      </c>
      <c r="B65" s="4" t="s">
        <v>439</v>
      </c>
      <c r="C65" s="4" t="s">
        <v>440</v>
      </c>
      <c r="D65" s="3">
        <v>1</v>
      </c>
      <c r="E65" s="3" t="s">
        <v>16</v>
      </c>
      <c r="F65" s="3" t="s">
        <v>295</v>
      </c>
      <c r="G65" s="3" t="s">
        <v>17</v>
      </c>
      <c r="H65" s="3" t="s">
        <v>40</v>
      </c>
    </row>
    <row r="66" spans="1:8" x14ac:dyDescent="0.2">
      <c r="A66" s="3">
        <v>3080109002</v>
      </c>
      <c r="B66" s="4" t="s">
        <v>441</v>
      </c>
      <c r="C66" s="4" t="s">
        <v>442</v>
      </c>
      <c r="D66" s="3">
        <v>2</v>
      </c>
      <c r="E66" s="3" t="s">
        <v>16</v>
      </c>
      <c r="F66" s="3" t="s">
        <v>295</v>
      </c>
      <c r="G66" s="3" t="s">
        <v>17</v>
      </c>
      <c r="H66" s="3" t="s">
        <v>40</v>
      </c>
    </row>
    <row r="67" spans="1:8" x14ac:dyDescent="0.2">
      <c r="A67" s="3">
        <v>3080111012</v>
      </c>
      <c r="B67" s="4" t="s">
        <v>79</v>
      </c>
      <c r="C67" s="4" t="s">
        <v>443</v>
      </c>
      <c r="D67" s="3">
        <v>2</v>
      </c>
      <c r="E67" s="3" t="s">
        <v>16</v>
      </c>
      <c r="F67" s="3" t="s">
        <v>295</v>
      </c>
      <c r="G67" s="3" t="s">
        <v>17</v>
      </c>
      <c r="H67" s="3" t="s">
        <v>40</v>
      </c>
    </row>
    <row r="68" spans="1:8" x14ac:dyDescent="0.2">
      <c r="A68" s="3">
        <v>3080111006</v>
      </c>
      <c r="B68" s="4" t="s">
        <v>79</v>
      </c>
      <c r="C68" s="4" t="s">
        <v>444</v>
      </c>
      <c r="D68" s="3">
        <v>1</v>
      </c>
      <c r="E68" s="3" t="s">
        <v>16</v>
      </c>
      <c r="F68" s="3" t="s">
        <v>295</v>
      </c>
      <c r="G68" s="3" t="s">
        <v>17</v>
      </c>
      <c r="H68" s="3" t="s">
        <v>40</v>
      </c>
    </row>
    <row r="69" spans="1:8" x14ac:dyDescent="0.2">
      <c r="A69" s="3">
        <v>3080111004</v>
      </c>
      <c r="B69" s="4" t="s">
        <v>79</v>
      </c>
      <c r="C69" s="4" t="s">
        <v>445</v>
      </c>
      <c r="D69" s="3">
        <v>2</v>
      </c>
      <c r="E69" s="3" t="s">
        <v>16</v>
      </c>
      <c r="F69" s="3" t="s">
        <v>293</v>
      </c>
      <c r="G69" s="3" t="s">
        <v>29</v>
      </c>
      <c r="H69" s="3" t="s">
        <v>40</v>
      </c>
    </row>
    <row r="70" spans="1:8" x14ac:dyDescent="0.2">
      <c r="A70" s="3">
        <v>3080111087</v>
      </c>
      <c r="B70" s="4" t="s">
        <v>79</v>
      </c>
      <c r="C70" s="4" t="s">
        <v>80</v>
      </c>
      <c r="D70" s="3">
        <v>7</v>
      </c>
      <c r="E70" s="3" t="s">
        <v>16</v>
      </c>
      <c r="F70" s="3" t="s">
        <v>291</v>
      </c>
      <c r="G70" s="3" t="s">
        <v>26</v>
      </c>
      <c r="H70" s="3" t="s">
        <v>40</v>
      </c>
    </row>
    <row r="71" spans="1:8" x14ac:dyDescent="0.2">
      <c r="A71" s="3">
        <v>3080111087</v>
      </c>
      <c r="B71" s="4" t="s">
        <v>79</v>
      </c>
      <c r="C71" s="4" t="s">
        <v>80</v>
      </c>
      <c r="D71" s="3">
        <v>9</v>
      </c>
      <c r="E71" s="3" t="s">
        <v>16</v>
      </c>
      <c r="F71" s="3" t="s">
        <v>291</v>
      </c>
      <c r="G71" s="3" t="s">
        <v>26</v>
      </c>
      <c r="H71" s="3" t="s">
        <v>40</v>
      </c>
    </row>
    <row r="72" spans="1:8" x14ac:dyDescent="0.2">
      <c r="A72" s="3">
        <v>3080111087</v>
      </c>
      <c r="B72" s="4" t="s">
        <v>79</v>
      </c>
      <c r="C72" s="4" t="s">
        <v>80</v>
      </c>
      <c r="D72" s="3">
        <v>4</v>
      </c>
      <c r="E72" s="3" t="s">
        <v>16</v>
      </c>
      <c r="F72" s="3" t="s">
        <v>291</v>
      </c>
      <c r="G72" s="3" t="s">
        <v>26</v>
      </c>
      <c r="H72" s="3" t="s">
        <v>40</v>
      </c>
    </row>
    <row r="73" spans="1:8" x14ac:dyDescent="0.2">
      <c r="A73" s="3">
        <v>3080111015</v>
      </c>
      <c r="B73" s="4" t="s">
        <v>79</v>
      </c>
      <c r="C73" s="4" t="s">
        <v>446</v>
      </c>
      <c r="D73" s="3">
        <v>4</v>
      </c>
      <c r="E73" s="3" t="s">
        <v>16</v>
      </c>
      <c r="F73" s="3" t="s">
        <v>291</v>
      </c>
      <c r="G73" s="3" t="s">
        <v>26</v>
      </c>
      <c r="H73" s="3" t="s">
        <v>40</v>
      </c>
    </row>
    <row r="74" spans="1:8" x14ac:dyDescent="0.2">
      <c r="A74" s="3">
        <v>407030133</v>
      </c>
      <c r="B74" s="4" t="s">
        <v>81</v>
      </c>
      <c r="C74" s="4" t="s">
        <v>1083</v>
      </c>
      <c r="D74" s="3">
        <v>1</v>
      </c>
      <c r="E74" s="3" t="s">
        <v>16</v>
      </c>
      <c r="F74" s="3" t="s">
        <v>301</v>
      </c>
      <c r="G74" s="3" t="s">
        <v>32</v>
      </c>
      <c r="H74" s="3" t="s">
        <v>40</v>
      </c>
    </row>
    <row r="75" spans="1:8" x14ac:dyDescent="0.2">
      <c r="A75" s="3">
        <v>3099990501</v>
      </c>
      <c r="B75" s="4" t="s">
        <v>708</v>
      </c>
      <c r="C75" s="4" t="s">
        <v>105</v>
      </c>
      <c r="D75" s="3">
        <v>1</v>
      </c>
      <c r="E75" s="3" t="s">
        <v>16</v>
      </c>
      <c r="F75" s="3" t="s">
        <v>709</v>
      </c>
      <c r="G75" s="3" t="s">
        <v>710</v>
      </c>
      <c r="H75" s="3" t="s">
        <v>103</v>
      </c>
    </row>
    <row r="76" spans="1:8" x14ac:dyDescent="0.2">
      <c r="A76" s="3">
        <v>3099990104</v>
      </c>
      <c r="B76" s="4" t="s">
        <v>104</v>
      </c>
      <c r="C76" s="4" t="s">
        <v>448</v>
      </c>
      <c r="D76" s="3">
        <v>1</v>
      </c>
      <c r="E76" s="3" t="s">
        <v>16</v>
      </c>
      <c r="F76" s="3" t="s">
        <v>299</v>
      </c>
      <c r="G76" s="3" t="s">
        <v>106</v>
      </c>
      <c r="H76" s="3" t="s">
        <v>103</v>
      </c>
    </row>
    <row r="77" spans="1:8" x14ac:dyDescent="0.2">
      <c r="A77" s="3">
        <v>3099990704</v>
      </c>
      <c r="B77" s="4" t="s">
        <v>449</v>
      </c>
      <c r="C77" s="4" t="s">
        <v>450</v>
      </c>
      <c r="D77" s="3">
        <v>1</v>
      </c>
      <c r="E77" s="3" t="s">
        <v>16</v>
      </c>
      <c r="F77" s="3" t="s">
        <v>299</v>
      </c>
      <c r="G77" s="3" t="s">
        <v>106</v>
      </c>
      <c r="H77" s="3" t="s">
        <v>103</v>
      </c>
    </row>
    <row r="78" spans="1:8" x14ac:dyDescent="0.2">
      <c r="A78" s="3">
        <v>3099990604</v>
      </c>
      <c r="B78" s="4" t="s">
        <v>451</v>
      </c>
      <c r="C78" s="4" t="s">
        <v>450</v>
      </c>
      <c r="D78" s="3">
        <v>1</v>
      </c>
      <c r="E78" s="3" t="s">
        <v>16</v>
      </c>
      <c r="F78" s="3" t="s">
        <v>299</v>
      </c>
      <c r="G78" s="3" t="s">
        <v>106</v>
      </c>
      <c r="H78" s="3" t="s">
        <v>103</v>
      </c>
    </row>
    <row r="79" spans="1:8" x14ac:dyDescent="0.2">
      <c r="A79" s="3">
        <v>402030027</v>
      </c>
      <c r="B79" s="4" t="s">
        <v>107</v>
      </c>
      <c r="C79" s="4" t="s">
        <v>110</v>
      </c>
      <c r="D79" s="3">
        <v>1</v>
      </c>
      <c r="E79" s="3" t="s">
        <v>16</v>
      </c>
      <c r="F79" s="3" t="s">
        <v>291</v>
      </c>
      <c r="G79" s="3" t="s">
        <v>26</v>
      </c>
      <c r="H79" s="3" t="s">
        <v>109</v>
      </c>
    </row>
    <row r="80" spans="1:8" x14ac:dyDescent="0.2">
      <c r="A80" s="3">
        <v>402020002</v>
      </c>
      <c r="B80" s="4" t="s">
        <v>111</v>
      </c>
      <c r="C80" s="4" t="s">
        <v>452</v>
      </c>
      <c r="D80" s="3">
        <v>2</v>
      </c>
      <c r="E80" s="3" t="s">
        <v>16</v>
      </c>
      <c r="F80" s="3" t="s">
        <v>293</v>
      </c>
      <c r="G80" s="3" t="s">
        <v>29</v>
      </c>
      <c r="H80" s="3" t="s">
        <v>109</v>
      </c>
    </row>
    <row r="81" spans="1:8" x14ac:dyDescent="0.2">
      <c r="A81" s="3">
        <v>3060210001</v>
      </c>
      <c r="B81" s="4" t="s">
        <v>711</v>
      </c>
      <c r="C81" s="4" t="s">
        <v>712</v>
      </c>
      <c r="D81" s="3">
        <v>2</v>
      </c>
      <c r="E81" s="3" t="s">
        <v>16</v>
      </c>
      <c r="F81" s="3" t="s">
        <v>289</v>
      </c>
      <c r="G81" s="3" t="s">
        <v>23</v>
      </c>
      <c r="H81" s="3" t="s">
        <v>115</v>
      </c>
    </row>
    <row r="82" spans="1:8" x14ac:dyDescent="0.2">
      <c r="A82" s="3">
        <v>3040216001</v>
      </c>
      <c r="B82" s="4" t="s">
        <v>328</v>
      </c>
      <c r="C82" s="4" t="s">
        <v>329</v>
      </c>
      <c r="D82" s="3">
        <v>4</v>
      </c>
      <c r="E82" s="3" t="s">
        <v>16</v>
      </c>
      <c r="F82" s="3" t="s">
        <v>293</v>
      </c>
      <c r="G82" s="3" t="s">
        <v>29</v>
      </c>
      <c r="H82" s="3" t="s">
        <v>115</v>
      </c>
    </row>
    <row r="83" spans="1:8" x14ac:dyDescent="0.2">
      <c r="A83" s="3">
        <v>3030204017</v>
      </c>
      <c r="B83" s="4" t="s">
        <v>453</v>
      </c>
      <c r="C83" s="4" t="s">
        <v>454</v>
      </c>
      <c r="D83" s="3">
        <v>1</v>
      </c>
      <c r="E83" s="3" t="s">
        <v>16</v>
      </c>
      <c r="F83" s="3" t="s">
        <v>295</v>
      </c>
      <c r="G83" s="3" t="s">
        <v>17</v>
      </c>
      <c r="H83" s="3" t="s">
        <v>115</v>
      </c>
    </row>
    <row r="84" spans="1:8" x14ac:dyDescent="0.2">
      <c r="A84" s="3">
        <v>3030204005</v>
      </c>
      <c r="B84" s="4" t="s">
        <v>455</v>
      </c>
      <c r="C84" s="4" t="s">
        <v>456</v>
      </c>
      <c r="D84" s="3">
        <v>1</v>
      </c>
      <c r="E84" s="3" t="s">
        <v>16</v>
      </c>
      <c r="F84" s="3" t="s">
        <v>295</v>
      </c>
      <c r="G84" s="3" t="s">
        <v>17</v>
      </c>
      <c r="H84" s="3" t="s">
        <v>115</v>
      </c>
    </row>
    <row r="85" spans="1:8" x14ac:dyDescent="0.2">
      <c r="A85" s="3">
        <v>3050203003</v>
      </c>
      <c r="B85" s="4" t="s">
        <v>120</v>
      </c>
      <c r="C85" s="4" t="s">
        <v>457</v>
      </c>
      <c r="D85" s="3">
        <v>2</v>
      </c>
      <c r="E85" s="3" t="s">
        <v>16</v>
      </c>
      <c r="F85" s="3" t="s">
        <v>291</v>
      </c>
      <c r="G85" s="3" t="s">
        <v>26</v>
      </c>
      <c r="H85" s="3" t="s">
        <v>115</v>
      </c>
    </row>
    <row r="86" spans="1:8" x14ac:dyDescent="0.2">
      <c r="A86" s="3">
        <v>3030204008</v>
      </c>
      <c r="B86" s="4" t="s">
        <v>122</v>
      </c>
      <c r="C86" s="4" t="s">
        <v>123</v>
      </c>
      <c r="D86" s="3">
        <v>1</v>
      </c>
      <c r="E86" s="3" t="s">
        <v>16</v>
      </c>
      <c r="F86" s="3" t="s">
        <v>291</v>
      </c>
      <c r="G86" s="3" t="s">
        <v>26</v>
      </c>
      <c r="H86" s="3" t="s">
        <v>115</v>
      </c>
    </row>
    <row r="87" spans="1:8" x14ac:dyDescent="0.2">
      <c r="A87" s="3">
        <v>3070104002</v>
      </c>
      <c r="B87" s="4" t="s">
        <v>128</v>
      </c>
      <c r="C87" s="4" t="s">
        <v>129</v>
      </c>
      <c r="D87" s="3">
        <v>1</v>
      </c>
      <c r="E87" s="3" t="s">
        <v>16</v>
      </c>
      <c r="F87" s="3" t="s">
        <v>317</v>
      </c>
      <c r="G87" s="3" t="s">
        <v>318</v>
      </c>
      <c r="H87" s="3" t="s">
        <v>115</v>
      </c>
    </row>
    <row r="88" spans="1:8" x14ac:dyDescent="0.2">
      <c r="A88" s="3">
        <v>3070104001</v>
      </c>
      <c r="B88" s="4" t="s">
        <v>331</v>
      </c>
      <c r="C88" s="4" t="s">
        <v>332</v>
      </c>
      <c r="D88" s="3">
        <v>1</v>
      </c>
      <c r="E88" s="3" t="s">
        <v>16</v>
      </c>
      <c r="F88" s="3" t="s">
        <v>317</v>
      </c>
      <c r="G88" s="3" t="s">
        <v>318</v>
      </c>
      <c r="H88" s="3" t="s">
        <v>115</v>
      </c>
    </row>
    <row r="89" spans="1:8" x14ac:dyDescent="0.2">
      <c r="A89" s="3">
        <v>3030206001</v>
      </c>
      <c r="B89" s="4" t="s">
        <v>458</v>
      </c>
      <c r="C89" s="4" t="s">
        <v>404</v>
      </c>
      <c r="D89" s="3">
        <v>1</v>
      </c>
      <c r="E89" s="3" t="s">
        <v>16</v>
      </c>
      <c r="F89" s="3" t="s">
        <v>295</v>
      </c>
      <c r="G89" s="3" t="s">
        <v>17</v>
      </c>
      <c r="H89" s="3" t="s">
        <v>132</v>
      </c>
    </row>
    <row r="90" spans="1:8" x14ac:dyDescent="0.2">
      <c r="A90" s="3">
        <v>3040502046</v>
      </c>
      <c r="B90" s="4" t="s">
        <v>136</v>
      </c>
      <c r="C90" s="4" t="s">
        <v>778</v>
      </c>
      <c r="D90" s="3">
        <v>1</v>
      </c>
      <c r="E90" s="3" t="s">
        <v>16</v>
      </c>
      <c r="F90" s="3" t="s">
        <v>293</v>
      </c>
      <c r="G90" s="3" t="s">
        <v>29</v>
      </c>
      <c r="H90" s="3" t="s">
        <v>138</v>
      </c>
    </row>
    <row r="91" spans="1:8" x14ac:dyDescent="0.2">
      <c r="A91" s="3">
        <v>3040502048</v>
      </c>
      <c r="B91" s="4" t="s">
        <v>136</v>
      </c>
      <c r="C91" s="4" t="s">
        <v>779</v>
      </c>
      <c r="D91" s="3">
        <v>1</v>
      </c>
      <c r="E91" s="3" t="s">
        <v>16</v>
      </c>
      <c r="F91" s="3" t="s">
        <v>293</v>
      </c>
      <c r="G91" s="3" t="s">
        <v>29</v>
      </c>
      <c r="H91" s="3" t="s">
        <v>138</v>
      </c>
    </row>
    <row r="92" spans="1:8" x14ac:dyDescent="0.2">
      <c r="A92" s="3">
        <v>3990207002</v>
      </c>
      <c r="B92" s="4" t="s">
        <v>140</v>
      </c>
      <c r="C92" s="4" t="s">
        <v>714</v>
      </c>
      <c r="D92" s="3">
        <v>1</v>
      </c>
      <c r="E92" s="3" t="s">
        <v>16</v>
      </c>
      <c r="F92" s="3" t="s">
        <v>285</v>
      </c>
      <c r="G92" s="3" t="s">
        <v>142</v>
      </c>
      <c r="H92" s="3" t="s">
        <v>143</v>
      </c>
    </row>
    <row r="93" spans="1:8" x14ac:dyDescent="0.2">
      <c r="A93" s="3">
        <v>3030301005</v>
      </c>
      <c r="B93" s="4" t="s">
        <v>144</v>
      </c>
      <c r="C93" s="4" t="s">
        <v>145</v>
      </c>
      <c r="D93" s="3">
        <v>2</v>
      </c>
      <c r="E93" s="3" t="s">
        <v>16</v>
      </c>
      <c r="F93" s="3" t="s">
        <v>291</v>
      </c>
      <c r="G93" s="3" t="s">
        <v>26</v>
      </c>
      <c r="H93" s="3" t="s">
        <v>143</v>
      </c>
    </row>
    <row r="94" spans="1:8" x14ac:dyDescent="0.2">
      <c r="A94" s="3">
        <v>3990204002</v>
      </c>
      <c r="B94" s="4" t="s">
        <v>333</v>
      </c>
      <c r="C94" s="4" t="s">
        <v>334</v>
      </c>
      <c r="D94" s="3">
        <v>1</v>
      </c>
      <c r="E94" s="3" t="s">
        <v>16</v>
      </c>
      <c r="F94" s="3" t="s">
        <v>335</v>
      </c>
      <c r="G94" s="3" t="s">
        <v>336</v>
      </c>
      <c r="H94" s="3" t="s">
        <v>143</v>
      </c>
    </row>
    <row r="95" spans="1:8" x14ac:dyDescent="0.2">
      <c r="A95" s="3">
        <v>3990206001</v>
      </c>
      <c r="B95" s="4" t="s">
        <v>715</v>
      </c>
      <c r="C95" s="4" t="s">
        <v>716</v>
      </c>
      <c r="D95" s="3">
        <v>1</v>
      </c>
      <c r="E95" s="3" t="s">
        <v>16</v>
      </c>
      <c r="F95" s="3" t="s">
        <v>717</v>
      </c>
      <c r="G95" s="3" t="s">
        <v>718</v>
      </c>
      <c r="H95" s="3" t="s">
        <v>143</v>
      </c>
    </row>
    <row r="96" spans="1:8" x14ac:dyDescent="0.2">
      <c r="A96" s="3">
        <v>3990205003</v>
      </c>
      <c r="B96" s="4" t="s">
        <v>146</v>
      </c>
      <c r="C96" s="4" t="s">
        <v>460</v>
      </c>
      <c r="D96" s="3">
        <v>1</v>
      </c>
      <c r="E96" s="3" t="s">
        <v>16</v>
      </c>
      <c r="F96" s="3" t="s">
        <v>287</v>
      </c>
      <c r="G96" s="3" t="s">
        <v>148</v>
      </c>
      <c r="H96" s="3" t="s">
        <v>143</v>
      </c>
    </row>
    <row r="97" spans="1:8" x14ac:dyDescent="0.2">
      <c r="A97" s="3">
        <v>408090008</v>
      </c>
      <c r="B97" s="4" t="s">
        <v>461</v>
      </c>
      <c r="C97" s="4" t="s">
        <v>462</v>
      </c>
      <c r="D97" s="3">
        <v>1</v>
      </c>
      <c r="E97" s="3" t="s">
        <v>16</v>
      </c>
      <c r="F97" s="3" t="s">
        <v>293</v>
      </c>
      <c r="G97" s="3" t="s">
        <v>29</v>
      </c>
      <c r="H97" s="3" t="s">
        <v>151</v>
      </c>
    </row>
    <row r="98" spans="1:8" x14ac:dyDescent="0.2">
      <c r="A98" s="3">
        <v>408090007</v>
      </c>
      <c r="B98" s="4" t="s">
        <v>463</v>
      </c>
      <c r="C98" s="4" t="s">
        <v>464</v>
      </c>
      <c r="D98" s="3">
        <v>1</v>
      </c>
      <c r="E98" s="3" t="s">
        <v>16</v>
      </c>
      <c r="F98" s="3" t="s">
        <v>293</v>
      </c>
      <c r="G98" s="3" t="s">
        <v>29</v>
      </c>
      <c r="H98" s="3" t="s">
        <v>151</v>
      </c>
    </row>
    <row r="99" spans="1:8" x14ac:dyDescent="0.2">
      <c r="A99" s="3">
        <v>407010094</v>
      </c>
      <c r="B99" s="4" t="s">
        <v>149</v>
      </c>
      <c r="C99" s="4" t="s">
        <v>1103</v>
      </c>
      <c r="D99" s="3">
        <v>1</v>
      </c>
      <c r="E99" s="3" t="s">
        <v>16</v>
      </c>
      <c r="F99" s="3" t="s">
        <v>289</v>
      </c>
      <c r="G99" s="3" t="s">
        <v>23</v>
      </c>
      <c r="H99" s="3" t="s">
        <v>151</v>
      </c>
    </row>
    <row r="100" spans="1:8" x14ac:dyDescent="0.2">
      <c r="A100" s="3">
        <v>3060318001</v>
      </c>
      <c r="B100" s="4" t="s">
        <v>720</v>
      </c>
      <c r="C100" s="4" t="s">
        <v>721</v>
      </c>
      <c r="D100" s="3">
        <v>1</v>
      </c>
      <c r="E100" s="3" t="s">
        <v>16</v>
      </c>
      <c r="F100" s="3" t="s">
        <v>289</v>
      </c>
      <c r="G100" s="3" t="s">
        <v>23</v>
      </c>
      <c r="H100" s="3" t="s">
        <v>154</v>
      </c>
    </row>
    <row r="101" spans="1:8" x14ac:dyDescent="0.2">
      <c r="A101" s="3">
        <v>3060327003</v>
      </c>
      <c r="B101" s="4" t="s">
        <v>722</v>
      </c>
      <c r="C101" s="4" t="s">
        <v>723</v>
      </c>
      <c r="D101" s="3">
        <v>1</v>
      </c>
      <c r="E101" s="3" t="s">
        <v>16</v>
      </c>
      <c r="F101" s="3" t="s">
        <v>289</v>
      </c>
      <c r="G101" s="3" t="s">
        <v>23</v>
      </c>
      <c r="H101" s="3" t="s">
        <v>154</v>
      </c>
    </row>
    <row r="102" spans="1:8" x14ac:dyDescent="0.2">
      <c r="A102" s="3">
        <v>3080507001</v>
      </c>
      <c r="B102" s="4" t="s">
        <v>466</v>
      </c>
      <c r="C102" s="4" t="s">
        <v>467</v>
      </c>
      <c r="D102" s="3">
        <v>4</v>
      </c>
      <c r="E102" s="3" t="s">
        <v>16</v>
      </c>
      <c r="F102" s="3" t="s">
        <v>291</v>
      </c>
      <c r="G102" s="3" t="s">
        <v>26</v>
      </c>
      <c r="H102" s="3" t="s">
        <v>154</v>
      </c>
    </row>
    <row r="103" spans="1:8" x14ac:dyDescent="0.2">
      <c r="A103" s="3">
        <v>3030301010</v>
      </c>
      <c r="B103" s="4" t="s">
        <v>468</v>
      </c>
      <c r="C103" s="4" t="s">
        <v>469</v>
      </c>
      <c r="D103" s="3">
        <v>4</v>
      </c>
      <c r="E103" s="3" t="s">
        <v>16</v>
      </c>
      <c r="F103" s="3" t="s">
        <v>295</v>
      </c>
      <c r="G103" s="3" t="s">
        <v>17</v>
      </c>
      <c r="H103" s="3" t="s">
        <v>165</v>
      </c>
    </row>
    <row r="104" spans="1:8" x14ac:dyDescent="0.2">
      <c r="A104" s="3">
        <v>3060347005</v>
      </c>
      <c r="B104" s="4" t="s">
        <v>470</v>
      </c>
      <c r="C104" s="4" t="s">
        <v>471</v>
      </c>
      <c r="D104" s="3">
        <v>1</v>
      </c>
      <c r="E104" s="3" t="s">
        <v>16</v>
      </c>
      <c r="F104" s="3" t="s">
        <v>291</v>
      </c>
      <c r="G104" s="3" t="s">
        <v>26</v>
      </c>
      <c r="H104" s="3" t="s">
        <v>165</v>
      </c>
    </row>
    <row r="105" spans="1:8" x14ac:dyDescent="0.2">
      <c r="A105" s="3">
        <v>3060347006</v>
      </c>
      <c r="B105" s="4" t="s">
        <v>470</v>
      </c>
      <c r="C105" s="4" t="s">
        <v>472</v>
      </c>
      <c r="D105" s="3">
        <v>1</v>
      </c>
      <c r="E105" s="3" t="s">
        <v>16</v>
      </c>
      <c r="F105" s="3" t="s">
        <v>291</v>
      </c>
      <c r="G105" s="3" t="s">
        <v>26</v>
      </c>
      <c r="H105" s="3" t="s">
        <v>165</v>
      </c>
    </row>
    <row r="106" spans="1:8" x14ac:dyDescent="0.2">
      <c r="A106" s="3">
        <v>3060307003</v>
      </c>
      <c r="B106" s="4" t="s">
        <v>1085</v>
      </c>
      <c r="C106" s="4" t="s">
        <v>1086</v>
      </c>
      <c r="D106" s="3">
        <v>1</v>
      </c>
      <c r="E106" s="3" t="s">
        <v>16</v>
      </c>
      <c r="F106" s="3" t="s">
        <v>291</v>
      </c>
      <c r="G106" s="3" t="s">
        <v>26</v>
      </c>
      <c r="H106" s="3" t="s">
        <v>165</v>
      </c>
    </row>
    <row r="107" spans="1:8" x14ac:dyDescent="0.2">
      <c r="A107" s="3">
        <v>3060307004</v>
      </c>
      <c r="B107" s="4" t="s">
        <v>1085</v>
      </c>
      <c r="C107" s="4" t="s">
        <v>1087</v>
      </c>
      <c r="D107" s="3">
        <v>1</v>
      </c>
      <c r="E107" s="3" t="s">
        <v>16</v>
      </c>
      <c r="F107" s="3" t="s">
        <v>291</v>
      </c>
      <c r="G107" s="3" t="s">
        <v>26</v>
      </c>
      <c r="H107" s="3" t="s">
        <v>165</v>
      </c>
    </row>
    <row r="108" spans="1:8" x14ac:dyDescent="0.2">
      <c r="A108" s="3">
        <v>3110103002</v>
      </c>
      <c r="B108" s="4" t="s">
        <v>473</v>
      </c>
      <c r="C108" s="4" t="s">
        <v>474</v>
      </c>
      <c r="D108" s="3">
        <v>1</v>
      </c>
      <c r="E108" s="3" t="s">
        <v>16</v>
      </c>
      <c r="F108" s="3" t="s">
        <v>291</v>
      </c>
      <c r="G108" s="3" t="s">
        <v>26</v>
      </c>
      <c r="H108" s="3" t="s">
        <v>165</v>
      </c>
    </row>
    <row r="109" spans="1:8" x14ac:dyDescent="0.2">
      <c r="A109" s="3">
        <v>3030316006</v>
      </c>
      <c r="B109" s="4" t="s">
        <v>475</v>
      </c>
      <c r="C109" s="4" t="s">
        <v>476</v>
      </c>
      <c r="D109" s="3">
        <v>1</v>
      </c>
      <c r="E109" s="3" t="s">
        <v>16</v>
      </c>
      <c r="F109" s="3" t="s">
        <v>295</v>
      </c>
      <c r="G109" s="3" t="s">
        <v>17</v>
      </c>
      <c r="H109" s="3" t="s">
        <v>165</v>
      </c>
    </row>
    <row r="110" spans="1:8" x14ac:dyDescent="0.2">
      <c r="A110" s="3">
        <v>3030314007</v>
      </c>
      <c r="B110" s="4" t="s">
        <v>477</v>
      </c>
      <c r="C110" s="4" t="s">
        <v>478</v>
      </c>
      <c r="D110" s="3">
        <v>1</v>
      </c>
      <c r="E110" s="3" t="s">
        <v>16</v>
      </c>
      <c r="F110" s="3" t="s">
        <v>291</v>
      </c>
      <c r="G110" s="3" t="s">
        <v>26</v>
      </c>
      <c r="H110" s="3" t="s">
        <v>165</v>
      </c>
    </row>
    <row r="111" spans="1:8" x14ac:dyDescent="0.2">
      <c r="A111" s="3">
        <v>3030308013</v>
      </c>
      <c r="B111" s="4" t="s">
        <v>479</v>
      </c>
      <c r="C111" s="4" t="s">
        <v>478</v>
      </c>
      <c r="D111" s="3">
        <v>1</v>
      </c>
      <c r="E111" s="3" t="s">
        <v>16</v>
      </c>
      <c r="F111" s="3" t="s">
        <v>291</v>
      </c>
      <c r="G111" s="3" t="s">
        <v>26</v>
      </c>
      <c r="H111" s="3" t="s">
        <v>165</v>
      </c>
    </row>
    <row r="112" spans="1:8" x14ac:dyDescent="0.2">
      <c r="A112" s="3">
        <v>3050310030</v>
      </c>
      <c r="B112" s="4" t="s">
        <v>480</v>
      </c>
      <c r="C112" s="4" t="s">
        <v>469</v>
      </c>
      <c r="D112" s="3">
        <v>2</v>
      </c>
      <c r="E112" s="3" t="s">
        <v>16</v>
      </c>
      <c r="F112" s="3" t="s">
        <v>291</v>
      </c>
      <c r="G112" s="3" t="s">
        <v>26</v>
      </c>
      <c r="H112" s="3" t="s">
        <v>165</v>
      </c>
    </row>
    <row r="113" spans="1:8" x14ac:dyDescent="0.2">
      <c r="A113" s="3">
        <v>3010106010</v>
      </c>
      <c r="B113" s="4" t="s">
        <v>481</v>
      </c>
      <c r="C113" s="4" t="s">
        <v>482</v>
      </c>
      <c r="D113" s="3">
        <v>0.03</v>
      </c>
      <c r="E113" s="3" t="s">
        <v>10</v>
      </c>
      <c r="F113" s="3" t="s">
        <v>284</v>
      </c>
      <c r="G113" s="3" t="s">
        <v>11</v>
      </c>
      <c r="H113" s="3" t="s">
        <v>483</v>
      </c>
    </row>
    <row r="114" spans="1:8" x14ac:dyDescent="0.2">
      <c r="A114" s="3">
        <v>3060333003</v>
      </c>
      <c r="B114" s="4" t="s">
        <v>227</v>
      </c>
      <c r="C114" s="4" t="s">
        <v>724</v>
      </c>
      <c r="D114" s="3">
        <v>1</v>
      </c>
      <c r="E114" s="3" t="s">
        <v>16</v>
      </c>
      <c r="F114" s="3" t="s">
        <v>289</v>
      </c>
      <c r="G114" s="3" t="s">
        <v>23</v>
      </c>
      <c r="H114" s="3" t="s">
        <v>173</v>
      </c>
    </row>
    <row r="115" spans="1:8" x14ac:dyDescent="0.2">
      <c r="A115" s="3">
        <v>3050305013</v>
      </c>
      <c r="B115" s="4" t="s">
        <v>484</v>
      </c>
      <c r="C115" s="4" t="s">
        <v>485</v>
      </c>
      <c r="D115" s="3">
        <v>1</v>
      </c>
      <c r="E115" s="3" t="s">
        <v>16</v>
      </c>
      <c r="F115" s="3" t="s">
        <v>291</v>
      </c>
      <c r="G115" s="3" t="s">
        <v>26</v>
      </c>
      <c r="H115" s="3" t="s">
        <v>173</v>
      </c>
    </row>
    <row r="116" spans="1:8" x14ac:dyDescent="0.2">
      <c r="A116" s="3">
        <v>3040305002</v>
      </c>
      <c r="B116" s="4" t="s">
        <v>486</v>
      </c>
      <c r="C116" s="4" t="s">
        <v>487</v>
      </c>
      <c r="D116" s="3">
        <v>2</v>
      </c>
      <c r="E116" s="3" t="s">
        <v>16</v>
      </c>
      <c r="F116" s="3" t="s">
        <v>293</v>
      </c>
      <c r="G116" s="3" t="s">
        <v>29</v>
      </c>
      <c r="H116" s="3" t="s">
        <v>173</v>
      </c>
    </row>
    <row r="117" spans="1:8" x14ac:dyDescent="0.2">
      <c r="A117" s="3">
        <v>3040313002</v>
      </c>
      <c r="B117" s="4" t="s">
        <v>488</v>
      </c>
      <c r="C117" s="4" t="s">
        <v>489</v>
      </c>
      <c r="D117" s="3">
        <v>8</v>
      </c>
      <c r="E117" s="3" t="s">
        <v>16</v>
      </c>
      <c r="F117" s="3" t="s">
        <v>293</v>
      </c>
      <c r="G117" s="3" t="s">
        <v>29</v>
      </c>
      <c r="H117" s="3" t="s">
        <v>173</v>
      </c>
    </row>
    <row r="118" spans="1:8" x14ac:dyDescent="0.2">
      <c r="A118" s="3">
        <v>3040321001</v>
      </c>
      <c r="B118" s="4" t="s">
        <v>490</v>
      </c>
      <c r="C118" s="4" t="s">
        <v>347</v>
      </c>
      <c r="D118" s="3">
        <v>8</v>
      </c>
      <c r="E118" s="3" t="s">
        <v>16</v>
      </c>
      <c r="F118" s="3" t="s">
        <v>293</v>
      </c>
      <c r="G118" s="3" t="s">
        <v>29</v>
      </c>
      <c r="H118" s="3" t="s">
        <v>173</v>
      </c>
    </row>
    <row r="119" spans="1:8" x14ac:dyDescent="0.2">
      <c r="A119" s="3">
        <v>3040309001</v>
      </c>
      <c r="B119" s="4" t="s">
        <v>346</v>
      </c>
      <c r="C119" s="4" t="s">
        <v>347</v>
      </c>
      <c r="D119" s="3">
        <v>4</v>
      </c>
      <c r="E119" s="3" t="s">
        <v>16</v>
      </c>
      <c r="F119" s="3" t="s">
        <v>293</v>
      </c>
      <c r="G119" s="3" t="s">
        <v>29</v>
      </c>
      <c r="H119" s="3" t="s">
        <v>173</v>
      </c>
    </row>
    <row r="120" spans="1:8" x14ac:dyDescent="0.2">
      <c r="A120" s="3">
        <v>3070201002</v>
      </c>
      <c r="B120" s="4" t="s">
        <v>348</v>
      </c>
      <c r="C120" s="4" t="s">
        <v>349</v>
      </c>
      <c r="D120" s="3">
        <v>1</v>
      </c>
      <c r="E120" s="3" t="s">
        <v>16</v>
      </c>
      <c r="F120" s="3" t="s">
        <v>317</v>
      </c>
      <c r="G120" s="3" t="s">
        <v>318</v>
      </c>
      <c r="H120" s="3" t="s">
        <v>173</v>
      </c>
    </row>
    <row r="121" spans="1:8" x14ac:dyDescent="0.2">
      <c r="A121" s="3">
        <v>3060340001</v>
      </c>
      <c r="B121" s="4" t="s">
        <v>725</v>
      </c>
      <c r="C121" s="4" t="s">
        <v>726</v>
      </c>
      <c r="D121" s="3">
        <v>1</v>
      </c>
      <c r="E121" s="3" t="s">
        <v>16</v>
      </c>
      <c r="F121" s="3" t="s">
        <v>702</v>
      </c>
      <c r="G121" s="3" t="s">
        <v>703</v>
      </c>
      <c r="H121" s="3" t="s">
        <v>173</v>
      </c>
    </row>
    <row r="122" spans="1:8" x14ac:dyDescent="0.2">
      <c r="A122" s="3">
        <v>3050304006</v>
      </c>
      <c r="B122" s="4" t="s">
        <v>181</v>
      </c>
      <c r="C122" s="4" t="s">
        <v>491</v>
      </c>
      <c r="D122" s="3">
        <v>1</v>
      </c>
      <c r="E122" s="3" t="s">
        <v>16</v>
      </c>
      <c r="F122" s="3" t="s">
        <v>291</v>
      </c>
      <c r="G122" s="3" t="s">
        <v>26</v>
      </c>
      <c r="H122" s="3" t="s">
        <v>173</v>
      </c>
    </row>
    <row r="123" spans="1:8" x14ac:dyDescent="0.2">
      <c r="A123" s="3">
        <v>3020501004</v>
      </c>
      <c r="B123" s="4" t="s">
        <v>183</v>
      </c>
      <c r="C123" s="4" t="s">
        <v>761</v>
      </c>
      <c r="D123" s="3">
        <v>1</v>
      </c>
      <c r="E123" s="3" t="s">
        <v>16</v>
      </c>
      <c r="F123" s="3" t="s">
        <v>291</v>
      </c>
      <c r="G123" s="3" t="s">
        <v>26</v>
      </c>
      <c r="H123" s="3" t="s">
        <v>185</v>
      </c>
    </row>
    <row r="124" spans="1:8" x14ac:dyDescent="0.2">
      <c r="A124" s="3">
        <v>3030204003</v>
      </c>
      <c r="B124" s="4" t="s">
        <v>492</v>
      </c>
      <c r="C124" s="4" t="s">
        <v>493</v>
      </c>
      <c r="D124" s="3">
        <v>2</v>
      </c>
      <c r="E124" s="3" t="s">
        <v>16</v>
      </c>
      <c r="F124" s="3" t="s">
        <v>295</v>
      </c>
      <c r="G124" s="3" t="s">
        <v>17</v>
      </c>
      <c r="H124" s="3" t="s">
        <v>494</v>
      </c>
    </row>
    <row r="125" spans="1:8" x14ac:dyDescent="0.2">
      <c r="A125" s="3">
        <v>3990201008</v>
      </c>
      <c r="B125" s="4" t="s">
        <v>186</v>
      </c>
      <c r="C125" s="4" t="s">
        <v>495</v>
      </c>
      <c r="D125" s="3">
        <v>1</v>
      </c>
      <c r="E125" s="3" t="s">
        <v>16</v>
      </c>
      <c r="F125" s="3" t="s">
        <v>295</v>
      </c>
      <c r="G125" s="3" t="s">
        <v>17</v>
      </c>
      <c r="H125" s="3" t="s">
        <v>187</v>
      </c>
    </row>
    <row r="126" spans="1:8" x14ac:dyDescent="0.2">
      <c r="A126" s="3">
        <v>3990202007</v>
      </c>
      <c r="B126" s="4" t="s">
        <v>188</v>
      </c>
      <c r="C126" s="4" t="s">
        <v>495</v>
      </c>
      <c r="D126" s="3">
        <v>1</v>
      </c>
      <c r="E126" s="3" t="s">
        <v>16</v>
      </c>
      <c r="F126" s="3" t="s">
        <v>295</v>
      </c>
      <c r="G126" s="3" t="s">
        <v>17</v>
      </c>
      <c r="H126" s="3" t="s">
        <v>187</v>
      </c>
    </row>
    <row r="127" spans="1:8" x14ac:dyDescent="0.2">
      <c r="A127" s="3">
        <v>3990203002</v>
      </c>
      <c r="B127" s="4" t="s">
        <v>189</v>
      </c>
      <c r="C127" s="4" t="s">
        <v>495</v>
      </c>
      <c r="D127" s="3">
        <v>1</v>
      </c>
      <c r="E127" s="3" t="s">
        <v>16</v>
      </c>
      <c r="F127" s="3" t="s">
        <v>295</v>
      </c>
      <c r="G127" s="3" t="s">
        <v>17</v>
      </c>
      <c r="H127" s="3" t="s">
        <v>187</v>
      </c>
    </row>
    <row r="128" spans="1:8" x14ac:dyDescent="0.2">
      <c r="A128" s="3">
        <v>3050405006</v>
      </c>
      <c r="B128" s="4" t="s">
        <v>1088</v>
      </c>
      <c r="C128" s="4" t="s">
        <v>1089</v>
      </c>
      <c r="D128" s="3">
        <v>1</v>
      </c>
      <c r="E128" s="3" t="s">
        <v>16</v>
      </c>
      <c r="F128" s="3" t="s">
        <v>291</v>
      </c>
      <c r="G128" s="3" t="s">
        <v>26</v>
      </c>
      <c r="H128" s="3" t="s">
        <v>192</v>
      </c>
    </row>
    <row r="129" spans="1:8" x14ac:dyDescent="0.2">
      <c r="A129" s="3">
        <v>3060403035</v>
      </c>
      <c r="B129" s="4" t="s">
        <v>957</v>
      </c>
      <c r="C129" s="4" t="s">
        <v>502</v>
      </c>
      <c r="D129" s="3">
        <v>1</v>
      </c>
      <c r="E129" s="3" t="s">
        <v>16</v>
      </c>
      <c r="F129" s="3" t="s">
        <v>295</v>
      </c>
      <c r="G129" s="3" t="s">
        <v>17</v>
      </c>
      <c r="H129" s="3" t="s">
        <v>192</v>
      </c>
    </row>
    <row r="130" spans="1:8" x14ac:dyDescent="0.2">
      <c r="A130" s="3">
        <v>3060403036</v>
      </c>
      <c r="B130" s="4" t="s">
        <v>957</v>
      </c>
      <c r="C130" s="4" t="s">
        <v>501</v>
      </c>
      <c r="D130" s="3">
        <v>1</v>
      </c>
      <c r="E130" s="3" t="s">
        <v>16</v>
      </c>
      <c r="F130" s="3" t="s">
        <v>295</v>
      </c>
      <c r="G130" s="3" t="s">
        <v>17</v>
      </c>
      <c r="H130" s="3" t="s">
        <v>192</v>
      </c>
    </row>
    <row r="131" spans="1:8" x14ac:dyDescent="0.2">
      <c r="A131" s="3">
        <v>3060401001</v>
      </c>
      <c r="B131" s="4" t="s">
        <v>727</v>
      </c>
      <c r="C131" s="4" t="s">
        <v>728</v>
      </c>
      <c r="D131" s="3">
        <v>2</v>
      </c>
      <c r="E131" s="3" t="s">
        <v>16</v>
      </c>
      <c r="F131" s="3" t="s">
        <v>289</v>
      </c>
      <c r="G131" s="3" t="s">
        <v>23</v>
      </c>
      <c r="H131" s="3" t="s">
        <v>192</v>
      </c>
    </row>
    <row r="132" spans="1:8" x14ac:dyDescent="0.2">
      <c r="A132" s="3">
        <v>3030402001</v>
      </c>
      <c r="B132" s="4" t="s">
        <v>498</v>
      </c>
      <c r="C132" s="4" t="s">
        <v>499</v>
      </c>
      <c r="D132" s="3">
        <v>1</v>
      </c>
      <c r="E132" s="3" t="s">
        <v>16</v>
      </c>
      <c r="F132" s="3" t="s">
        <v>295</v>
      </c>
      <c r="G132" s="3" t="s">
        <v>17</v>
      </c>
      <c r="H132" s="3" t="s">
        <v>192</v>
      </c>
    </row>
    <row r="133" spans="1:8" x14ac:dyDescent="0.2">
      <c r="A133" s="3">
        <v>3040402005</v>
      </c>
      <c r="B133" s="4" t="s">
        <v>500</v>
      </c>
      <c r="C133" s="4" t="s">
        <v>501</v>
      </c>
      <c r="D133" s="3">
        <v>1</v>
      </c>
      <c r="E133" s="3" t="s">
        <v>16</v>
      </c>
      <c r="F133" s="3" t="s">
        <v>293</v>
      </c>
      <c r="G133" s="3" t="s">
        <v>29</v>
      </c>
      <c r="H133" s="3" t="s">
        <v>192</v>
      </c>
    </row>
    <row r="134" spans="1:8" x14ac:dyDescent="0.2">
      <c r="A134" s="3">
        <v>3040402006</v>
      </c>
      <c r="B134" s="4" t="s">
        <v>500</v>
      </c>
      <c r="C134" s="4" t="s">
        <v>502</v>
      </c>
      <c r="D134" s="3">
        <v>1</v>
      </c>
      <c r="E134" s="3" t="s">
        <v>16</v>
      </c>
      <c r="F134" s="3" t="s">
        <v>293</v>
      </c>
      <c r="G134" s="3" t="s">
        <v>29</v>
      </c>
      <c r="H134" s="3" t="s">
        <v>192</v>
      </c>
    </row>
    <row r="135" spans="1:8" x14ac:dyDescent="0.2">
      <c r="A135" s="3">
        <v>3020301004</v>
      </c>
      <c r="B135" s="4" t="s">
        <v>209</v>
      </c>
      <c r="C135" s="4" t="s">
        <v>1090</v>
      </c>
      <c r="D135" s="3">
        <v>1</v>
      </c>
      <c r="E135" s="3" t="s">
        <v>16</v>
      </c>
      <c r="F135" s="3" t="s">
        <v>301</v>
      </c>
      <c r="G135" s="3" t="s">
        <v>32</v>
      </c>
      <c r="H135" s="3" t="s">
        <v>192</v>
      </c>
    </row>
    <row r="136" spans="1:8" x14ac:dyDescent="0.2">
      <c r="A136" s="3">
        <v>404100035</v>
      </c>
      <c r="B136" s="4" t="s">
        <v>196</v>
      </c>
      <c r="C136" s="4" t="s">
        <v>1104</v>
      </c>
      <c r="D136" s="3">
        <v>1</v>
      </c>
      <c r="E136" s="3" t="s">
        <v>16</v>
      </c>
      <c r="F136" s="3" t="s">
        <v>301</v>
      </c>
      <c r="G136" s="3" t="s">
        <v>32</v>
      </c>
      <c r="H136" s="3" t="s">
        <v>198</v>
      </c>
    </row>
    <row r="137" spans="1:8" x14ac:dyDescent="0.2">
      <c r="A137" s="3">
        <v>404110007</v>
      </c>
      <c r="B137" s="4" t="s">
        <v>504</v>
      </c>
      <c r="C137" s="4" t="s">
        <v>790</v>
      </c>
      <c r="D137" s="3">
        <v>1</v>
      </c>
      <c r="E137" s="3" t="s">
        <v>16</v>
      </c>
      <c r="F137" s="3" t="s">
        <v>301</v>
      </c>
      <c r="G137" s="3" t="s">
        <v>32</v>
      </c>
      <c r="H137" s="3" t="s">
        <v>198</v>
      </c>
    </row>
    <row r="138" spans="1:8" x14ac:dyDescent="0.2">
      <c r="A138" s="3">
        <v>404110009</v>
      </c>
      <c r="B138" s="4" t="s">
        <v>504</v>
      </c>
      <c r="C138" s="4" t="s">
        <v>791</v>
      </c>
      <c r="D138" s="3">
        <v>1</v>
      </c>
      <c r="E138" s="3" t="s">
        <v>16</v>
      </c>
      <c r="F138" s="3" t="s">
        <v>301</v>
      </c>
      <c r="G138" s="3" t="s">
        <v>32</v>
      </c>
      <c r="H138" s="3" t="s">
        <v>198</v>
      </c>
    </row>
    <row r="139" spans="1:8" x14ac:dyDescent="0.2">
      <c r="A139" s="3">
        <v>404110008</v>
      </c>
      <c r="B139" s="4" t="s">
        <v>504</v>
      </c>
      <c r="C139" s="4" t="s">
        <v>505</v>
      </c>
      <c r="D139" s="3">
        <v>2</v>
      </c>
      <c r="E139" s="3" t="s">
        <v>16</v>
      </c>
      <c r="F139" s="3" t="s">
        <v>291</v>
      </c>
      <c r="G139" s="3" t="s">
        <v>26</v>
      </c>
      <c r="H139" s="3" t="s">
        <v>198</v>
      </c>
    </row>
    <row r="140" spans="1:8" x14ac:dyDescent="0.2">
      <c r="A140" s="3">
        <v>404110001</v>
      </c>
      <c r="B140" s="4" t="s">
        <v>504</v>
      </c>
      <c r="C140" s="4" t="s">
        <v>506</v>
      </c>
      <c r="D140" s="3">
        <v>1</v>
      </c>
      <c r="E140" s="3" t="s">
        <v>16</v>
      </c>
      <c r="F140" s="3" t="s">
        <v>291</v>
      </c>
      <c r="G140" s="3" t="s">
        <v>26</v>
      </c>
      <c r="H140" s="3" t="s">
        <v>198</v>
      </c>
    </row>
    <row r="141" spans="1:8" x14ac:dyDescent="0.2">
      <c r="A141" s="3">
        <v>403030012</v>
      </c>
      <c r="B141" s="4" t="s">
        <v>366</v>
      </c>
      <c r="C141" s="4" t="s">
        <v>507</v>
      </c>
      <c r="D141" s="3">
        <v>2</v>
      </c>
      <c r="E141" s="3" t="s">
        <v>16</v>
      </c>
      <c r="F141" s="3" t="s">
        <v>291</v>
      </c>
      <c r="G141" s="3" t="s">
        <v>26</v>
      </c>
      <c r="H141" s="3" t="s">
        <v>198</v>
      </c>
    </row>
    <row r="142" spans="1:8" x14ac:dyDescent="0.2">
      <c r="A142" s="3">
        <v>401070022</v>
      </c>
      <c r="B142" s="4" t="s">
        <v>35</v>
      </c>
      <c r="C142" s="4" t="s">
        <v>203</v>
      </c>
      <c r="D142" s="3">
        <v>1</v>
      </c>
      <c r="E142" s="3" t="s">
        <v>16</v>
      </c>
      <c r="F142" s="3" t="s">
        <v>297</v>
      </c>
      <c r="G142" s="3" t="s">
        <v>204</v>
      </c>
      <c r="H142" s="3" t="s">
        <v>198</v>
      </c>
    </row>
    <row r="143" spans="1:8" x14ac:dyDescent="0.2">
      <c r="A143" s="3">
        <v>401070018</v>
      </c>
      <c r="B143" s="4" t="s">
        <v>35</v>
      </c>
      <c r="C143" s="4" t="s">
        <v>202</v>
      </c>
      <c r="D143" s="3">
        <v>1</v>
      </c>
      <c r="E143" s="3" t="s">
        <v>16</v>
      </c>
      <c r="F143" s="3" t="s">
        <v>291</v>
      </c>
      <c r="G143" s="3" t="s">
        <v>26</v>
      </c>
      <c r="H143" s="3" t="s">
        <v>198</v>
      </c>
    </row>
    <row r="144" spans="1:8" x14ac:dyDescent="0.2">
      <c r="A144" s="3">
        <v>401040100</v>
      </c>
      <c r="B144" s="4" t="s">
        <v>35</v>
      </c>
      <c r="C144" s="4" t="s">
        <v>508</v>
      </c>
      <c r="D144" s="3">
        <v>1</v>
      </c>
      <c r="E144" s="3" t="s">
        <v>16</v>
      </c>
      <c r="F144" s="3" t="s">
        <v>291</v>
      </c>
      <c r="G144" s="3" t="s">
        <v>26</v>
      </c>
      <c r="H144" s="3" t="s">
        <v>198</v>
      </c>
    </row>
    <row r="145" spans="1:8" x14ac:dyDescent="0.2">
      <c r="A145" s="3">
        <v>404100003</v>
      </c>
      <c r="B145" s="4" t="s">
        <v>205</v>
      </c>
      <c r="C145" s="4" t="s">
        <v>509</v>
      </c>
      <c r="D145" s="3">
        <v>1</v>
      </c>
      <c r="E145" s="3" t="s">
        <v>16</v>
      </c>
      <c r="F145" s="3" t="s">
        <v>291</v>
      </c>
      <c r="G145" s="3" t="s">
        <v>26</v>
      </c>
      <c r="H145" s="3" t="s">
        <v>198</v>
      </c>
    </row>
    <row r="146" spans="1:8" x14ac:dyDescent="0.2">
      <c r="A146" s="3">
        <v>404100004</v>
      </c>
      <c r="B146" s="4" t="s">
        <v>207</v>
      </c>
      <c r="C146" s="4" t="s">
        <v>510</v>
      </c>
      <c r="D146" s="3">
        <v>1</v>
      </c>
      <c r="E146" s="3" t="s">
        <v>16</v>
      </c>
      <c r="F146" s="3" t="s">
        <v>291</v>
      </c>
      <c r="G146" s="3" t="s">
        <v>26</v>
      </c>
      <c r="H146" s="3" t="s">
        <v>198</v>
      </c>
    </row>
    <row r="147" spans="1:8" x14ac:dyDescent="0.2">
      <c r="A147" s="3">
        <v>3030305007</v>
      </c>
      <c r="B147" s="4" t="s">
        <v>511</v>
      </c>
      <c r="C147" s="4" t="s">
        <v>512</v>
      </c>
      <c r="D147" s="3">
        <v>1</v>
      </c>
      <c r="E147" s="3" t="s">
        <v>16</v>
      </c>
      <c r="F147" s="3" t="s">
        <v>295</v>
      </c>
      <c r="G147" s="3" t="s">
        <v>17</v>
      </c>
      <c r="H147" s="3" t="s">
        <v>211</v>
      </c>
    </row>
    <row r="148" spans="1:8" x14ac:dyDescent="0.2">
      <c r="A148" s="3">
        <v>3030305006</v>
      </c>
      <c r="B148" s="4" t="s">
        <v>513</v>
      </c>
      <c r="C148" s="4" t="s">
        <v>512</v>
      </c>
      <c r="D148" s="3">
        <v>1</v>
      </c>
      <c r="E148" s="3" t="s">
        <v>16</v>
      </c>
      <c r="F148" s="3" t="s">
        <v>295</v>
      </c>
      <c r="G148" s="3" t="s">
        <v>17</v>
      </c>
      <c r="H148" s="3" t="s">
        <v>211</v>
      </c>
    </row>
    <row r="149" spans="1:8" x14ac:dyDescent="0.2">
      <c r="A149" s="3">
        <v>3069904001</v>
      </c>
      <c r="B149" s="4" t="s">
        <v>514</v>
      </c>
      <c r="C149" s="4" t="s">
        <v>355</v>
      </c>
      <c r="D149" s="3">
        <v>4</v>
      </c>
      <c r="E149" s="3" t="s">
        <v>16</v>
      </c>
      <c r="F149" s="3" t="s">
        <v>295</v>
      </c>
      <c r="G149" s="3" t="s">
        <v>17</v>
      </c>
      <c r="H149" s="3" t="s">
        <v>214</v>
      </c>
    </row>
    <row r="150" spans="1:8" x14ac:dyDescent="0.2">
      <c r="A150" s="3">
        <v>3030201003</v>
      </c>
      <c r="B150" s="4" t="s">
        <v>515</v>
      </c>
      <c r="C150" s="4" t="s">
        <v>516</v>
      </c>
      <c r="D150" s="3">
        <v>1</v>
      </c>
      <c r="E150" s="3" t="s">
        <v>16</v>
      </c>
      <c r="F150" s="3" t="s">
        <v>295</v>
      </c>
      <c r="G150" s="3" t="s">
        <v>17</v>
      </c>
      <c r="H150" s="3" t="s">
        <v>214</v>
      </c>
    </row>
    <row r="151" spans="1:8" x14ac:dyDescent="0.2">
      <c r="A151" s="3">
        <v>3049903001</v>
      </c>
      <c r="B151" s="4" t="s">
        <v>517</v>
      </c>
      <c r="C151" s="4" t="s">
        <v>355</v>
      </c>
      <c r="D151" s="3">
        <v>2</v>
      </c>
      <c r="E151" s="3" t="s">
        <v>16</v>
      </c>
      <c r="F151" s="3" t="s">
        <v>293</v>
      </c>
      <c r="G151" s="3" t="s">
        <v>29</v>
      </c>
      <c r="H151" s="3" t="s">
        <v>214</v>
      </c>
    </row>
    <row r="152" spans="1:8" x14ac:dyDescent="0.2">
      <c r="A152" s="3">
        <v>3049904001</v>
      </c>
      <c r="B152" s="4" t="s">
        <v>354</v>
      </c>
      <c r="C152" s="4" t="s">
        <v>355</v>
      </c>
      <c r="D152" s="3">
        <v>4</v>
      </c>
      <c r="E152" s="3" t="s">
        <v>16</v>
      </c>
      <c r="F152" s="3" t="s">
        <v>293</v>
      </c>
      <c r="G152" s="3" t="s">
        <v>29</v>
      </c>
      <c r="H152" s="3" t="s">
        <v>214</v>
      </c>
    </row>
    <row r="153" spans="1:8" x14ac:dyDescent="0.2">
      <c r="A153" s="3">
        <v>3049902001</v>
      </c>
      <c r="B153" s="4" t="s">
        <v>518</v>
      </c>
      <c r="C153" s="4" t="s">
        <v>355</v>
      </c>
      <c r="D153" s="3">
        <v>2</v>
      </c>
      <c r="E153" s="3" t="s">
        <v>16</v>
      </c>
      <c r="F153" s="3" t="s">
        <v>293</v>
      </c>
      <c r="G153" s="3" t="s">
        <v>29</v>
      </c>
      <c r="H153" s="3" t="s">
        <v>214</v>
      </c>
    </row>
    <row r="154" spans="1:8" x14ac:dyDescent="0.2">
      <c r="A154" s="3">
        <v>3070105007</v>
      </c>
      <c r="B154" s="4" t="s">
        <v>360</v>
      </c>
      <c r="C154" s="4" t="s">
        <v>361</v>
      </c>
      <c r="D154" s="3">
        <v>1</v>
      </c>
      <c r="E154" s="3" t="s">
        <v>16</v>
      </c>
      <c r="F154" s="3" t="s">
        <v>317</v>
      </c>
      <c r="G154" s="3" t="s">
        <v>318</v>
      </c>
      <c r="H154" s="3" t="s">
        <v>214</v>
      </c>
    </row>
    <row r="155" spans="1:8" x14ac:dyDescent="0.2">
      <c r="A155" s="3">
        <v>3070105008</v>
      </c>
      <c r="B155" s="4" t="s">
        <v>362</v>
      </c>
      <c r="C155" s="4" t="s">
        <v>361</v>
      </c>
      <c r="D155" s="3">
        <v>1</v>
      </c>
      <c r="E155" s="3" t="s">
        <v>16</v>
      </c>
      <c r="F155" s="3" t="s">
        <v>317</v>
      </c>
      <c r="G155" s="3" t="s">
        <v>318</v>
      </c>
      <c r="H155" s="3" t="s">
        <v>214</v>
      </c>
    </row>
    <row r="156" spans="1:8" x14ac:dyDescent="0.2">
      <c r="A156" s="3">
        <v>3050204001</v>
      </c>
      <c r="B156" s="4" t="s">
        <v>519</v>
      </c>
      <c r="C156" s="4" t="s">
        <v>355</v>
      </c>
      <c r="D156" s="3">
        <v>2</v>
      </c>
      <c r="E156" s="3" t="s">
        <v>16</v>
      </c>
      <c r="F156" s="3" t="s">
        <v>291</v>
      </c>
      <c r="G156" s="3" t="s">
        <v>26</v>
      </c>
      <c r="H156" s="3" t="s">
        <v>214</v>
      </c>
    </row>
    <row r="157" spans="1:8" x14ac:dyDescent="0.2">
      <c r="A157" s="3">
        <v>3050204002</v>
      </c>
      <c r="B157" s="4" t="s">
        <v>520</v>
      </c>
      <c r="C157" s="4" t="s">
        <v>355</v>
      </c>
      <c r="D157" s="3">
        <v>2</v>
      </c>
      <c r="E157" s="3" t="s">
        <v>16</v>
      </c>
      <c r="F157" s="3" t="s">
        <v>291</v>
      </c>
      <c r="G157" s="3" t="s">
        <v>26</v>
      </c>
      <c r="H157" s="3" t="s">
        <v>214</v>
      </c>
    </row>
    <row r="158" spans="1:8" x14ac:dyDescent="0.2">
      <c r="A158" s="3">
        <v>403030051</v>
      </c>
      <c r="B158" s="4" t="s">
        <v>366</v>
      </c>
      <c r="C158" s="4" t="s">
        <v>367</v>
      </c>
      <c r="D158" s="3">
        <v>3</v>
      </c>
      <c r="E158" s="3" t="s">
        <v>16</v>
      </c>
      <c r="F158" s="3" t="s">
        <v>301</v>
      </c>
      <c r="G158" s="3" t="s">
        <v>32</v>
      </c>
      <c r="H158" s="3" t="s">
        <v>221</v>
      </c>
    </row>
    <row r="159" spans="1:8" x14ac:dyDescent="0.2">
      <c r="A159" s="3">
        <v>403030005</v>
      </c>
      <c r="B159" s="4" t="s">
        <v>366</v>
      </c>
      <c r="C159" s="4" t="s">
        <v>368</v>
      </c>
      <c r="D159" s="3">
        <v>2</v>
      </c>
      <c r="E159" s="3" t="s">
        <v>16</v>
      </c>
      <c r="F159" s="3" t="s">
        <v>301</v>
      </c>
      <c r="G159" s="3" t="s">
        <v>32</v>
      </c>
      <c r="H159" s="3" t="s">
        <v>221</v>
      </c>
    </row>
    <row r="160" spans="1:8" x14ac:dyDescent="0.2">
      <c r="A160" s="3">
        <v>402050001</v>
      </c>
      <c r="B160" s="4" t="s">
        <v>522</v>
      </c>
      <c r="C160" s="4" t="s">
        <v>523</v>
      </c>
      <c r="D160" s="3">
        <v>1</v>
      </c>
      <c r="E160" s="3" t="s">
        <v>16</v>
      </c>
      <c r="F160" s="3" t="s">
        <v>289</v>
      </c>
      <c r="G160" s="3" t="s">
        <v>23</v>
      </c>
      <c r="H160" s="3" t="s">
        <v>524</v>
      </c>
    </row>
    <row r="161" spans="1:8" x14ac:dyDescent="0.2">
      <c r="A161" s="3">
        <v>408120036</v>
      </c>
      <c r="B161" s="4" t="s">
        <v>525</v>
      </c>
      <c r="C161" s="4" t="s">
        <v>526</v>
      </c>
      <c r="D161" s="3">
        <v>2</v>
      </c>
      <c r="E161" s="3" t="s">
        <v>16</v>
      </c>
      <c r="F161" s="3" t="s">
        <v>291</v>
      </c>
      <c r="G161" s="3" t="s">
        <v>26</v>
      </c>
      <c r="H161" s="3" t="s">
        <v>524</v>
      </c>
    </row>
    <row r="162" spans="1:8" x14ac:dyDescent="0.2">
      <c r="A162" s="3">
        <v>3050305016</v>
      </c>
      <c r="B162" s="4" t="s">
        <v>527</v>
      </c>
      <c r="C162" s="4" t="s">
        <v>528</v>
      </c>
      <c r="D162" s="3">
        <v>1</v>
      </c>
      <c r="E162" s="3" t="s">
        <v>16</v>
      </c>
      <c r="F162" s="3" t="s">
        <v>291</v>
      </c>
      <c r="G162" s="3" t="s">
        <v>26</v>
      </c>
      <c r="H162" s="3" t="s">
        <v>226</v>
      </c>
    </row>
    <row r="163" spans="1:8" x14ac:dyDescent="0.2">
      <c r="A163" s="3">
        <v>3050305015</v>
      </c>
      <c r="B163" s="4" t="s">
        <v>529</v>
      </c>
      <c r="C163" s="4" t="s">
        <v>530</v>
      </c>
      <c r="D163" s="3">
        <v>1</v>
      </c>
      <c r="E163" s="3" t="s">
        <v>16</v>
      </c>
      <c r="F163" s="3" t="s">
        <v>291</v>
      </c>
      <c r="G163" s="3" t="s">
        <v>26</v>
      </c>
      <c r="H163" s="3" t="s">
        <v>226</v>
      </c>
    </row>
    <row r="164" spans="1:8" x14ac:dyDescent="0.2">
      <c r="A164" s="3">
        <v>3030309020</v>
      </c>
      <c r="B164" s="4" t="s">
        <v>531</v>
      </c>
      <c r="C164" s="4" t="s">
        <v>532</v>
      </c>
      <c r="D164" s="3">
        <v>1</v>
      </c>
      <c r="E164" s="3" t="s">
        <v>16</v>
      </c>
      <c r="F164" s="3" t="s">
        <v>291</v>
      </c>
      <c r="G164" s="3" t="s">
        <v>26</v>
      </c>
      <c r="H164" s="3" t="s">
        <v>226</v>
      </c>
    </row>
    <row r="165" spans="1:8" x14ac:dyDescent="0.2">
      <c r="A165" s="3">
        <v>3030302002</v>
      </c>
      <c r="B165" s="4" t="s">
        <v>533</v>
      </c>
      <c r="C165" s="4" t="s">
        <v>534</v>
      </c>
      <c r="D165" s="3">
        <v>1</v>
      </c>
      <c r="E165" s="3" t="s">
        <v>16</v>
      </c>
      <c r="F165" s="3" t="s">
        <v>295</v>
      </c>
      <c r="G165" s="3" t="s">
        <v>17</v>
      </c>
      <c r="H165" s="3" t="s">
        <v>226</v>
      </c>
    </row>
    <row r="166" spans="1:8" x14ac:dyDescent="0.2">
      <c r="A166" s="3">
        <v>3030306012</v>
      </c>
      <c r="B166" s="4" t="s">
        <v>535</v>
      </c>
      <c r="C166" s="4" t="s">
        <v>536</v>
      </c>
      <c r="D166" s="3">
        <v>1</v>
      </c>
      <c r="E166" s="3" t="s">
        <v>16</v>
      </c>
      <c r="F166" s="3" t="s">
        <v>295</v>
      </c>
      <c r="G166" s="3" t="s">
        <v>17</v>
      </c>
      <c r="H166" s="3" t="s">
        <v>226</v>
      </c>
    </row>
    <row r="167" spans="1:8" x14ac:dyDescent="0.2">
      <c r="A167" s="3">
        <v>3030306011</v>
      </c>
      <c r="B167" s="4" t="s">
        <v>537</v>
      </c>
      <c r="C167" s="4" t="s">
        <v>536</v>
      </c>
      <c r="D167" s="3">
        <v>1</v>
      </c>
      <c r="E167" s="3" t="s">
        <v>16</v>
      </c>
      <c r="F167" s="3" t="s">
        <v>295</v>
      </c>
      <c r="G167" s="3" t="s">
        <v>17</v>
      </c>
      <c r="H167" s="3" t="s">
        <v>226</v>
      </c>
    </row>
    <row r="168" spans="1:8" x14ac:dyDescent="0.2">
      <c r="A168" s="3">
        <v>3030303002</v>
      </c>
      <c r="B168" s="4" t="s">
        <v>175</v>
      </c>
      <c r="C168" s="4" t="s">
        <v>538</v>
      </c>
      <c r="D168" s="3">
        <v>1</v>
      </c>
      <c r="E168" s="3" t="s">
        <v>16</v>
      </c>
      <c r="F168" s="3" t="s">
        <v>295</v>
      </c>
      <c r="G168" s="3" t="s">
        <v>17</v>
      </c>
      <c r="H168" s="3" t="s">
        <v>226</v>
      </c>
    </row>
    <row r="169" spans="1:8" x14ac:dyDescent="0.2">
      <c r="A169" s="3">
        <v>3030303017</v>
      </c>
      <c r="B169" s="4" t="s">
        <v>539</v>
      </c>
      <c r="C169" s="4" t="s">
        <v>540</v>
      </c>
      <c r="D169" s="3">
        <v>1</v>
      </c>
      <c r="E169" s="3" t="s">
        <v>16</v>
      </c>
      <c r="F169" s="3" t="s">
        <v>295</v>
      </c>
      <c r="G169" s="3" t="s">
        <v>17</v>
      </c>
      <c r="H169" s="3" t="s">
        <v>226</v>
      </c>
    </row>
    <row r="170" spans="1:8" x14ac:dyDescent="0.2">
      <c r="A170" s="3">
        <v>3040312012</v>
      </c>
      <c r="B170" s="4" t="s">
        <v>263</v>
      </c>
      <c r="C170" s="4" t="s">
        <v>541</v>
      </c>
      <c r="D170" s="3">
        <v>2</v>
      </c>
      <c r="E170" s="3" t="s">
        <v>16</v>
      </c>
      <c r="F170" s="3" t="s">
        <v>293</v>
      </c>
      <c r="G170" s="3" t="s">
        <v>29</v>
      </c>
      <c r="H170" s="3" t="s">
        <v>226</v>
      </c>
    </row>
    <row r="171" spans="1:8" x14ac:dyDescent="0.2">
      <c r="A171" s="3">
        <v>3040320010</v>
      </c>
      <c r="B171" s="4" t="s">
        <v>269</v>
      </c>
      <c r="C171" s="4" t="s">
        <v>542</v>
      </c>
      <c r="D171" s="3">
        <v>1</v>
      </c>
      <c r="E171" s="3" t="s">
        <v>16</v>
      </c>
      <c r="F171" s="3" t="s">
        <v>293</v>
      </c>
      <c r="G171" s="3" t="s">
        <v>29</v>
      </c>
      <c r="H171" s="3" t="s">
        <v>226</v>
      </c>
    </row>
    <row r="172" spans="1:8" x14ac:dyDescent="0.2">
      <c r="A172" s="3">
        <v>3040320011</v>
      </c>
      <c r="B172" s="4" t="s">
        <v>269</v>
      </c>
      <c r="C172" s="4" t="s">
        <v>543</v>
      </c>
      <c r="D172" s="3">
        <v>1</v>
      </c>
      <c r="E172" s="3" t="s">
        <v>16</v>
      </c>
      <c r="F172" s="3" t="s">
        <v>293</v>
      </c>
      <c r="G172" s="3" t="s">
        <v>29</v>
      </c>
      <c r="H172" s="3" t="s">
        <v>226</v>
      </c>
    </row>
    <row r="173" spans="1:8" x14ac:dyDescent="0.2">
      <c r="A173" s="3">
        <v>3030313003</v>
      </c>
      <c r="B173" s="4" t="s">
        <v>217</v>
      </c>
      <c r="C173" s="4" t="s">
        <v>544</v>
      </c>
      <c r="D173" s="3">
        <v>8</v>
      </c>
      <c r="E173" s="3" t="s">
        <v>16</v>
      </c>
      <c r="F173" s="3" t="s">
        <v>291</v>
      </c>
      <c r="G173" s="3" t="s">
        <v>26</v>
      </c>
      <c r="H173" s="3" t="s">
        <v>226</v>
      </c>
    </row>
    <row r="174" spans="1:8" x14ac:dyDescent="0.2">
      <c r="A174" s="3">
        <v>3020101004</v>
      </c>
      <c r="B174" s="4" t="s">
        <v>239</v>
      </c>
      <c r="C174" s="4" t="s">
        <v>1098</v>
      </c>
      <c r="D174" s="3">
        <v>5</v>
      </c>
      <c r="E174" s="3" t="s">
        <v>16</v>
      </c>
      <c r="F174" s="3" t="s">
        <v>297</v>
      </c>
      <c r="G174" s="3" t="s">
        <v>204</v>
      </c>
      <c r="H174" s="3" t="s">
        <v>226</v>
      </c>
    </row>
    <row r="175" spans="1:8" x14ac:dyDescent="0.2">
      <c r="A175" s="3">
        <v>3070212001</v>
      </c>
      <c r="B175" s="4" t="s">
        <v>377</v>
      </c>
      <c r="C175" s="4" t="s">
        <v>378</v>
      </c>
      <c r="D175" s="3">
        <v>1</v>
      </c>
      <c r="E175" s="3" t="s">
        <v>16</v>
      </c>
      <c r="F175" s="3" t="s">
        <v>317</v>
      </c>
      <c r="G175" s="3" t="s">
        <v>318</v>
      </c>
      <c r="H175" s="3" t="s">
        <v>226</v>
      </c>
    </row>
    <row r="176" spans="1:8" x14ac:dyDescent="0.2">
      <c r="A176" s="3">
        <v>3070210001</v>
      </c>
      <c r="B176" s="4" t="s">
        <v>379</v>
      </c>
      <c r="C176" s="4" t="s">
        <v>280</v>
      </c>
      <c r="D176" s="3">
        <v>1</v>
      </c>
      <c r="E176" s="3" t="s">
        <v>16</v>
      </c>
      <c r="F176" s="3" t="s">
        <v>317</v>
      </c>
      <c r="G176" s="3" t="s">
        <v>318</v>
      </c>
      <c r="H176" s="3" t="s">
        <v>226</v>
      </c>
    </row>
    <row r="177" spans="1:8" x14ac:dyDescent="0.2">
      <c r="A177" s="3">
        <v>3050305019</v>
      </c>
      <c r="B177" s="4" t="s">
        <v>549</v>
      </c>
      <c r="C177" s="4" t="s">
        <v>530</v>
      </c>
      <c r="D177" s="3">
        <v>1</v>
      </c>
      <c r="E177" s="3" t="s">
        <v>16</v>
      </c>
      <c r="F177" s="3" t="s">
        <v>291</v>
      </c>
      <c r="G177" s="3" t="s">
        <v>26</v>
      </c>
      <c r="H177" s="3" t="s">
        <v>226</v>
      </c>
    </row>
    <row r="178" spans="1:8" x14ac:dyDescent="0.2">
      <c r="A178" s="3">
        <v>3050401014</v>
      </c>
      <c r="B178" s="4" t="s">
        <v>222</v>
      </c>
      <c r="C178" s="4" t="s">
        <v>550</v>
      </c>
      <c r="D178" s="3">
        <v>1</v>
      </c>
      <c r="E178" s="3" t="s">
        <v>16</v>
      </c>
      <c r="F178" s="3" t="s">
        <v>291</v>
      </c>
      <c r="G178" s="3" t="s">
        <v>26</v>
      </c>
      <c r="H178" s="3" t="s">
        <v>226</v>
      </c>
    </row>
    <row r="179" spans="1:8" x14ac:dyDescent="0.2">
      <c r="A179" s="3">
        <v>3080401031</v>
      </c>
      <c r="B179" s="4" t="s">
        <v>41</v>
      </c>
      <c r="C179" s="4" t="s">
        <v>551</v>
      </c>
      <c r="D179" s="3">
        <v>1</v>
      </c>
      <c r="E179" s="3" t="s">
        <v>16</v>
      </c>
      <c r="F179" s="3" t="s">
        <v>291</v>
      </c>
      <c r="G179" s="3" t="s">
        <v>26</v>
      </c>
      <c r="H179" s="3" t="s">
        <v>249</v>
      </c>
    </row>
    <row r="180" spans="1:8" x14ac:dyDescent="0.2">
      <c r="A180" s="3">
        <v>3030211001</v>
      </c>
      <c r="B180" s="4" t="s">
        <v>552</v>
      </c>
      <c r="C180" s="4" t="s">
        <v>553</v>
      </c>
      <c r="D180" s="3">
        <v>1</v>
      </c>
      <c r="E180" s="3" t="s">
        <v>16</v>
      </c>
      <c r="F180" s="3" t="s">
        <v>295</v>
      </c>
      <c r="G180" s="3" t="s">
        <v>17</v>
      </c>
      <c r="H180" s="3" t="s">
        <v>249</v>
      </c>
    </row>
    <row r="181" spans="1:8" x14ac:dyDescent="0.2">
      <c r="A181" s="3">
        <v>3080309001</v>
      </c>
      <c r="B181" s="4" t="s">
        <v>554</v>
      </c>
      <c r="C181" s="4" t="s">
        <v>555</v>
      </c>
      <c r="D181" s="3">
        <v>1</v>
      </c>
      <c r="E181" s="3" t="s">
        <v>16</v>
      </c>
      <c r="F181" s="3" t="s">
        <v>295</v>
      </c>
      <c r="G181" s="3" t="s">
        <v>17</v>
      </c>
      <c r="H181" s="3" t="s">
        <v>249</v>
      </c>
    </row>
    <row r="182" spans="1:8" x14ac:dyDescent="0.2">
      <c r="A182" s="3">
        <v>3080107268</v>
      </c>
      <c r="B182" s="4" t="s">
        <v>69</v>
      </c>
      <c r="C182" s="4" t="s">
        <v>556</v>
      </c>
      <c r="D182" s="3">
        <v>2</v>
      </c>
      <c r="E182" s="3" t="s">
        <v>16</v>
      </c>
      <c r="F182" s="3" t="s">
        <v>291</v>
      </c>
      <c r="G182" s="3" t="s">
        <v>26</v>
      </c>
      <c r="H182" s="3" t="s">
        <v>249</v>
      </c>
    </row>
    <row r="183" spans="1:8" x14ac:dyDescent="0.2">
      <c r="A183" s="3">
        <v>3080107269</v>
      </c>
      <c r="B183" s="4" t="s">
        <v>69</v>
      </c>
      <c r="C183" s="4" t="s">
        <v>557</v>
      </c>
      <c r="D183" s="3">
        <v>2</v>
      </c>
      <c r="E183" s="3" t="s">
        <v>16</v>
      </c>
      <c r="F183" s="3" t="s">
        <v>291</v>
      </c>
      <c r="G183" s="3" t="s">
        <v>26</v>
      </c>
      <c r="H183" s="3" t="s">
        <v>249</v>
      </c>
    </row>
    <row r="184" spans="1:8" x14ac:dyDescent="0.2">
      <c r="A184" s="3">
        <v>3060335005</v>
      </c>
      <c r="B184" s="4" t="s">
        <v>233</v>
      </c>
      <c r="C184" s="4" t="s">
        <v>734</v>
      </c>
      <c r="D184" s="3">
        <v>1</v>
      </c>
      <c r="E184" s="3" t="s">
        <v>16</v>
      </c>
      <c r="F184" s="3" t="s">
        <v>289</v>
      </c>
      <c r="G184" s="3" t="s">
        <v>23</v>
      </c>
      <c r="H184" s="3" t="s">
        <v>254</v>
      </c>
    </row>
    <row r="185" spans="1:8" x14ac:dyDescent="0.2">
      <c r="A185" s="3">
        <v>3060324001</v>
      </c>
      <c r="B185" s="4" t="s">
        <v>735</v>
      </c>
      <c r="C185" s="4" t="s">
        <v>736</v>
      </c>
      <c r="D185" s="3">
        <v>1</v>
      </c>
      <c r="E185" s="3" t="s">
        <v>16</v>
      </c>
      <c r="F185" s="3" t="s">
        <v>289</v>
      </c>
      <c r="G185" s="3" t="s">
        <v>23</v>
      </c>
      <c r="H185" s="3" t="s">
        <v>254</v>
      </c>
    </row>
    <row r="186" spans="1:8" x14ac:dyDescent="0.2">
      <c r="A186" s="3">
        <v>3030302001</v>
      </c>
      <c r="B186" s="4" t="s">
        <v>558</v>
      </c>
      <c r="C186" s="4" t="s">
        <v>534</v>
      </c>
      <c r="D186" s="3">
        <v>1</v>
      </c>
      <c r="E186" s="3" t="s">
        <v>16</v>
      </c>
      <c r="F186" s="3" t="s">
        <v>295</v>
      </c>
      <c r="G186" s="3" t="s">
        <v>17</v>
      </c>
      <c r="H186" s="3" t="s">
        <v>254</v>
      </c>
    </row>
    <row r="187" spans="1:8" x14ac:dyDescent="0.2">
      <c r="A187" s="3">
        <v>3030306031</v>
      </c>
      <c r="B187" s="4" t="s">
        <v>559</v>
      </c>
      <c r="C187" s="4" t="s">
        <v>560</v>
      </c>
      <c r="D187" s="3">
        <v>1</v>
      </c>
      <c r="E187" s="3" t="s">
        <v>16</v>
      </c>
      <c r="F187" s="3" t="s">
        <v>295</v>
      </c>
      <c r="G187" s="3" t="s">
        <v>17</v>
      </c>
      <c r="H187" s="3" t="s">
        <v>254</v>
      </c>
    </row>
    <row r="188" spans="1:8" x14ac:dyDescent="0.2">
      <c r="A188" s="3">
        <v>3080311002</v>
      </c>
      <c r="B188" s="4" t="s">
        <v>561</v>
      </c>
      <c r="C188" s="4" t="s">
        <v>536</v>
      </c>
      <c r="D188" s="3">
        <v>1</v>
      </c>
      <c r="E188" s="3" t="s">
        <v>16</v>
      </c>
      <c r="F188" s="3" t="s">
        <v>295</v>
      </c>
      <c r="G188" s="3" t="s">
        <v>17</v>
      </c>
      <c r="H188" s="3" t="s">
        <v>254</v>
      </c>
    </row>
    <row r="189" spans="1:8" x14ac:dyDescent="0.2">
      <c r="A189" s="3">
        <v>3030303016</v>
      </c>
      <c r="B189" s="4" t="s">
        <v>562</v>
      </c>
      <c r="C189" s="4" t="s">
        <v>563</v>
      </c>
      <c r="D189" s="3">
        <v>1</v>
      </c>
      <c r="E189" s="3" t="s">
        <v>16</v>
      </c>
      <c r="F189" s="3" t="s">
        <v>295</v>
      </c>
      <c r="G189" s="3" t="s">
        <v>17</v>
      </c>
      <c r="H189" s="3" t="s">
        <v>254</v>
      </c>
    </row>
    <row r="190" spans="1:8" x14ac:dyDescent="0.2">
      <c r="A190" s="3">
        <v>3030303015</v>
      </c>
      <c r="B190" s="4" t="s">
        <v>564</v>
      </c>
      <c r="C190" s="4" t="s">
        <v>563</v>
      </c>
      <c r="D190" s="3">
        <v>1</v>
      </c>
      <c r="E190" s="3" t="s">
        <v>16</v>
      </c>
      <c r="F190" s="3" t="s">
        <v>295</v>
      </c>
      <c r="G190" s="3" t="s">
        <v>17</v>
      </c>
      <c r="H190" s="3" t="s">
        <v>254</v>
      </c>
    </row>
    <row r="191" spans="1:8" x14ac:dyDescent="0.2">
      <c r="A191" s="3">
        <v>3040323001</v>
      </c>
      <c r="B191" s="4" t="s">
        <v>565</v>
      </c>
      <c r="C191" s="4" t="s">
        <v>566</v>
      </c>
      <c r="D191" s="3">
        <v>2</v>
      </c>
      <c r="E191" s="3" t="s">
        <v>16</v>
      </c>
      <c r="F191" s="3" t="s">
        <v>293</v>
      </c>
      <c r="G191" s="3" t="s">
        <v>29</v>
      </c>
      <c r="H191" s="3" t="s">
        <v>254</v>
      </c>
    </row>
    <row r="192" spans="1:8" x14ac:dyDescent="0.2">
      <c r="A192" s="3">
        <v>3040302001</v>
      </c>
      <c r="B192" s="4" t="s">
        <v>567</v>
      </c>
      <c r="C192" s="4" t="s">
        <v>568</v>
      </c>
      <c r="D192" s="3">
        <v>1</v>
      </c>
      <c r="E192" s="3" t="s">
        <v>16</v>
      </c>
      <c r="F192" s="3" t="s">
        <v>293</v>
      </c>
      <c r="G192" s="3" t="s">
        <v>29</v>
      </c>
      <c r="H192" s="3" t="s">
        <v>254</v>
      </c>
    </row>
    <row r="193" spans="1:8" x14ac:dyDescent="0.2">
      <c r="A193" s="3">
        <v>3040302002</v>
      </c>
      <c r="B193" s="4" t="s">
        <v>567</v>
      </c>
      <c r="C193" s="4" t="s">
        <v>569</v>
      </c>
      <c r="D193" s="3">
        <v>1</v>
      </c>
      <c r="E193" s="3" t="s">
        <v>16</v>
      </c>
      <c r="F193" s="3" t="s">
        <v>293</v>
      </c>
      <c r="G193" s="3" t="s">
        <v>29</v>
      </c>
      <c r="H193" s="3" t="s">
        <v>254</v>
      </c>
    </row>
    <row r="194" spans="1:8" x14ac:dyDescent="0.2">
      <c r="A194" s="3">
        <v>3040324004</v>
      </c>
      <c r="B194" s="4" t="s">
        <v>570</v>
      </c>
      <c r="C194" s="4" t="s">
        <v>536</v>
      </c>
      <c r="D194" s="3">
        <v>2</v>
      </c>
      <c r="E194" s="3" t="s">
        <v>16</v>
      </c>
      <c r="F194" s="3" t="s">
        <v>293</v>
      </c>
      <c r="G194" s="3" t="s">
        <v>29</v>
      </c>
      <c r="H194" s="3" t="s">
        <v>254</v>
      </c>
    </row>
    <row r="195" spans="1:8" x14ac:dyDescent="0.2">
      <c r="A195" s="3">
        <v>3030302008</v>
      </c>
      <c r="B195" s="4" t="s">
        <v>571</v>
      </c>
      <c r="C195" s="4" t="s">
        <v>572</v>
      </c>
      <c r="D195" s="3">
        <v>1</v>
      </c>
      <c r="E195" s="3" t="s">
        <v>16</v>
      </c>
      <c r="F195" s="3" t="s">
        <v>295</v>
      </c>
      <c r="G195" s="3" t="s">
        <v>17</v>
      </c>
      <c r="H195" s="3" t="s">
        <v>254</v>
      </c>
    </row>
    <row r="196" spans="1:8" x14ac:dyDescent="0.2">
      <c r="A196" s="3">
        <v>3030302009</v>
      </c>
      <c r="B196" s="4" t="s">
        <v>571</v>
      </c>
      <c r="C196" s="4" t="s">
        <v>573</v>
      </c>
      <c r="D196" s="3">
        <v>1</v>
      </c>
      <c r="E196" s="3" t="s">
        <v>16</v>
      </c>
      <c r="F196" s="3" t="s">
        <v>295</v>
      </c>
      <c r="G196" s="3" t="s">
        <v>17</v>
      </c>
      <c r="H196" s="3" t="s">
        <v>254</v>
      </c>
    </row>
    <row r="197" spans="1:8" x14ac:dyDescent="0.2">
      <c r="A197" s="3">
        <v>3030302004</v>
      </c>
      <c r="B197" s="4" t="s">
        <v>574</v>
      </c>
      <c r="C197" s="4" t="s">
        <v>575</v>
      </c>
      <c r="D197" s="3">
        <v>1</v>
      </c>
      <c r="E197" s="3" t="s">
        <v>16</v>
      </c>
      <c r="F197" s="3" t="s">
        <v>295</v>
      </c>
      <c r="G197" s="3" t="s">
        <v>17</v>
      </c>
      <c r="H197" s="3" t="s">
        <v>254</v>
      </c>
    </row>
    <row r="198" spans="1:8" x14ac:dyDescent="0.2">
      <c r="A198" s="3">
        <v>3030302006</v>
      </c>
      <c r="B198" s="4" t="s">
        <v>576</v>
      </c>
      <c r="C198" s="4" t="s">
        <v>575</v>
      </c>
      <c r="D198" s="3">
        <v>1</v>
      </c>
      <c r="E198" s="3" t="s">
        <v>16</v>
      </c>
      <c r="F198" s="3" t="s">
        <v>295</v>
      </c>
      <c r="G198" s="3" t="s">
        <v>17</v>
      </c>
      <c r="H198" s="3" t="s">
        <v>254</v>
      </c>
    </row>
    <row r="199" spans="1:8" x14ac:dyDescent="0.2">
      <c r="A199" s="3">
        <v>3030314004</v>
      </c>
      <c r="B199" s="4" t="s">
        <v>577</v>
      </c>
      <c r="C199" s="4" t="s">
        <v>575</v>
      </c>
      <c r="D199" s="3">
        <v>1</v>
      </c>
      <c r="E199" s="3" t="s">
        <v>16</v>
      </c>
      <c r="F199" s="3" t="s">
        <v>295</v>
      </c>
      <c r="G199" s="3" t="s">
        <v>17</v>
      </c>
      <c r="H199" s="3" t="s">
        <v>254</v>
      </c>
    </row>
    <row r="200" spans="1:8" x14ac:dyDescent="0.2">
      <c r="A200" s="3">
        <v>3030308001</v>
      </c>
      <c r="B200" s="4" t="s">
        <v>578</v>
      </c>
      <c r="C200" s="4" t="s">
        <v>575</v>
      </c>
      <c r="D200" s="3">
        <v>1</v>
      </c>
      <c r="E200" s="3" t="s">
        <v>16</v>
      </c>
      <c r="F200" s="3" t="s">
        <v>295</v>
      </c>
      <c r="G200" s="3" t="s">
        <v>17</v>
      </c>
      <c r="H200" s="3" t="s">
        <v>254</v>
      </c>
    </row>
    <row r="201" spans="1:8" x14ac:dyDescent="0.2">
      <c r="A201" s="3">
        <v>3030314003</v>
      </c>
      <c r="B201" s="4" t="s">
        <v>579</v>
      </c>
      <c r="C201" s="4" t="s">
        <v>575</v>
      </c>
      <c r="D201" s="3">
        <v>1</v>
      </c>
      <c r="E201" s="3" t="s">
        <v>16</v>
      </c>
      <c r="F201" s="3" t="s">
        <v>295</v>
      </c>
      <c r="G201" s="3" t="s">
        <v>17</v>
      </c>
      <c r="H201" s="3" t="s">
        <v>254</v>
      </c>
    </row>
    <row r="202" spans="1:8" x14ac:dyDescent="0.2">
      <c r="A202" s="3">
        <v>3030308003</v>
      </c>
      <c r="B202" s="4" t="s">
        <v>580</v>
      </c>
      <c r="C202" s="4" t="s">
        <v>581</v>
      </c>
      <c r="D202" s="3">
        <v>1</v>
      </c>
      <c r="E202" s="3" t="s">
        <v>16</v>
      </c>
      <c r="F202" s="3" t="s">
        <v>295</v>
      </c>
      <c r="G202" s="3" t="s">
        <v>17</v>
      </c>
      <c r="H202" s="3" t="s">
        <v>254</v>
      </c>
    </row>
    <row r="203" spans="1:8" x14ac:dyDescent="0.2">
      <c r="A203" s="3">
        <v>3040325007</v>
      </c>
      <c r="B203" s="4" t="s">
        <v>582</v>
      </c>
      <c r="C203" s="4" t="s">
        <v>543</v>
      </c>
      <c r="D203" s="3">
        <v>1</v>
      </c>
      <c r="E203" s="3" t="s">
        <v>16</v>
      </c>
      <c r="F203" s="3" t="s">
        <v>293</v>
      </c>
      <c r="G203" s="3" t="s">
        <v>29</v>
      </c>
      <c r="H203" s="3" t="s">
        <v>254</v>
      </c>
    </row>
    <row r="204" spans="1:8" x14ac:dyDescent="0.2">
      <c r="A204" s="3">
        <v>3040325008</v>
      </c>
      <c r="B204" s="4" t="s">
        <v>582</v>
      </c>
      <c r="C204" s="4" t="s">
        <v>542</v>
      </c>
      <c r="D204" s="3">
        <v>1</v>
      </c>
      <c r="E204" s="3" t="s">
        <v>16</v>
      </c>
      <c r="F204" s="3" t="s">
        <v>293</v>
      </c>
      <c r="G204" s="3" t="s">
        <v>29</v>
      </c>
      <c r="H204" s="3" t="s">
        <v>254</v>
      </c>
    </row>
    <row r="205" spans="1:8" x14ac:dyDescent="0.2">
      <c r="A205" s="3">
        <v>3040326013</v>
      </c>
      <c r="B205" s="4" t="s">
        <v>546</v>
      </c>
      <c r="C205" s="4" t="s">
        <v>781</v>
      </c>
      <c r="D205" s="3">
        <v>1</v>
      </c>
      <c r="E205" s="3" t="s">
        <v>16</v>
      </c>
      <c r="F205" s="3" t="s">
        <v>293</v>
      </c>
      <c r="G205" s="3" t="s">
        <v>29</v>
      </c>
      <c r="H205" s="3" t="s">
        <v>254</v>
      </c>
    </row>
    <row r="206" spans="1:8" x14ac:dyDescent="0.2">
      <c r="A206" s="3">
        <v>3040326011</v>
      </c>
      <c r="B206" s="4" t="s">
        <v>546</v>
      </c>
      <c r="C206" s="4" t="s">
        <v>782</v>
      </c>
      <c r="D206" s="3">
        <v>1</v>
      </c>
      <c r="E206" s="3" t="s">
        <v>16</v>
      </c>
      <c r="F206" s="3" t="s">
        <v>293</v>
      </c>
      <c r="G206" s="3" t="s">
        <v>29</v>
      </c>
      <c r="H206" s="3" t="s">
        <v>254</v>
      </c>
    </row>
    <row r="207" spans="1:8" x14ac:dyDescent="0.2">
      <c r="A207" s="3">
        <v>3040308003</v>
      </c>
      <c r="B207" s="4" t="s">
        <v>583</v>
      </c>
      <c r="C207" s="4" t="s">
        <v>536</v>
      </c>
      <c r="D207" s="3">
        <v>2</v>
      </c>
      <c r="E207" s="3" t="s">
        <v>16</v>
      </c>
      <c r="F207" s="3" t="s">
        <v>293</v>
      </c>
      <c r="G207" s="3" t="s">
        <v>29</v>
      </c>
      <c r="H207" s="3" t="s">
        <v>254</v>
      </c>
    </row>
    <row r="208" spans="1:8" x14ac:dyDescent="0.2">
      <c r="A208" s="3">
        <v>3030302007</v>
      </c>
      <c r="B208" s="4" t="s">
        <v>584</v>
      </c>
      <c r="C208" s="4" t="s">
        <v>575</v>
      </c>
      <c r="D208" s="3">
        <v>1</v>
      </c>
      <c r="E208" s="3" t="s">
        <v>16</v>
      </c>
      <c r="F208" s="3" t="s">
        <v>295</v>
      </c>
      <c r="G208" s="3" t="s">
        <v>17</v>
      </c>
      <c r="H208" s="3" t="s">
        <v>254</v>
      </c>
    </row>
    <row r="209" spans="1:8" x14ac:dyDescent="0.2">
      <c r="A209" s="3">
        <v>3070205003</v>
      </c>
      <c r="B209" s="4" t="s">
        <v>372</v>
      </c>
      <c r="C209" s="4" t="s">
        <v>747</v>
      </c>
      <c r="D209" s="3">
        <v>1</v>
      </c>
      <c r="E209" s="3" t="s">
        <v>16</v>
      </c>
      <c r="F209" s="3" t="s">
        <v>317</v>
      </c>
      <c r="G209" s="3" t="s">
        <v>318</v>
      </c>
      <c r="H209" s="3" t="s">
        <v>254</v>
      </c>
    </row>
    <row r="210" spans="1:8" x14ac:dyDescent="0.2">
      <c r="A210" s="3">
        <v>3070202019</v>
      </c>
      <c r="B210" s="4" t="s">
        <v>388</v>
      </c>
      <c r="C210" s="4" t="s">
        <v>389</v>
      </c>
      <c r="D210" s="3">
        <v>1</v>
      </c>
      <c r="E210" s="3" t="s">
        <v>16</v>
      </c>
      <c r="F210" s="3" t="s">
        <v>317</v>
      </c>
      <c r="G210" s="3" t="s">
        <v>318</v>
      </c>
      <c r="H210" s="3" t="s">
        <v>254</v>
      </c>
    </row>
    <row r="211" spans="1:8" x14ac:dyDescent="0.2">
      <c r="A211" s="3">
        <v>3070209001</v>
      </c>
      <c r="B211" s="4" t="s">
        <v>748</v>
      </c>
      <c r="C211" s="4" t="s">
        <v>246</v>
      </c>
      <c r="D211" s="3">
        <v>1</v>
      </c>
      <c r="E211" s="3" t="s">
        <v>16</v>
      </c>
      <c r="F211" s="3" t="s">
        <v>317</v>
      </c>
      <c r="G211" s="3" t="s">
        <v>318</v>
      </c>
      <c r="H211" s="3" t="s">
        <v>254</v>
      </c>
    </row>
    <row r="212" spans="1:8" x14ac:dyDescent="0.2">
      <c r="A212" s="3">
        <v>3111601003</v>
      </c>
      <c r="B212" s="4" t="s">
        <v>585</v>
      </c>
      <c r="C212" s="4" t="s">
        <v>586</v>
      </c>
      <c r="D212" s="3">
        <v>2</v>
      </c>
      <c r="E212" s="3" t="s">
        <v>16</v>
      </c>
      <c r="F212" s="3" t="s">
        <v>291</v>
      </c>
      <c r="G212" s="3" t="s">
        <v>26</v>
      </c>
      <c r="H212" s="3" t="s">
        <v>254</v>
      </c>
    </row>
    <row r="213" spans="1:8" x14ac:dyDescent="0.2">
      <c r="A213" s="3">
        <v>3060339002</v>
      </c>
      <c r="B213" s="4" t="s">
        <v>737</v>
      </c>
      <c r="C213" s="4" t="s">
        <v>738</v>
      </c>
      <c r="D213" s="3">
        <v>1</v>
      </c>
      <c r="E213" s="3" t="s">
        <v>16</v>
      </c>
      <c r="F213" s="3" t="s">
        <v>702</v>
      </c>
      <c r="G213" s="3" t="s">
        <v>703</v>
      </c>
      <c r="H213" s="3" t="s">
        <v>254</v>
      </c>
    </row>
    <row r="214" spans="1:8" x14ac:dyDescent="0.2">
      <c r="A214" s="3">
        <v>3060325001</v>
      </c>
      <c r="B214" s="4" t="s">
        <v>739</v>
      </c>
      <c r="C214" s="4" t="s">
        <v>740</v>
      </c>
      <c r="D214" s="3">
        <v>1</v>
      </c>
      <c r="E214" s="3" t="s">
        <v>16</v>
      </c>
      <c r="F214" s="3" t="s">
        <v>289</v>
      </c>
      <c r="G214" s="3" t="s">
        <v>23</v>
      </c>
      <c r="H214" s="3" t="s">
        <v>254</v>
      </c>
    </row>
    <row r="215" spans="1:8" x14ac:dyDescent="0.2">
      <c r="A215" s="3">
        <v>3050303006</v>
      </c>
      <c r="B215" s="4" t="s">
        <v>245</v>
      </c>
      <c r="C215" s="4" t="s">
        <v>587</v>
      </c>
      <c r="D215" s="3">
        <v>1</v>
      </c>
      <c r="E215" s="3" t="s">
        <v>16</v>
      </c>
      <c r="F215" s="3" t="s">
        <v>291</v>
      </c>
      <c r="G215" s="3" t="s">
        <v>26</v>
      </c>
      <c r="H215" s="3" t="s">
        <v>254</v>
      </c>
    </row>
    <row r="216" spans="1:8" x14ac:dyDescent="0.2">
      <c r="A216" s="3">
        <v>3080310002</v>
      </c>
      <c r="B216" s="4" t="s">
        <v>588</v>
      </c>
      <c r="C216" s="4" t="s">
        <v>589</v>
      </c>
      <c r="D216" s="3">
        <v>1</v>
      </c>
      <c r="E216" s="3" t="s">
        <v>16</v>
      </c>
      <c r="F216" s="3" t="s">
        <v>295</v>
      </c>
      <c r="G216" s="3" t="s">
        <v>17</v>
      </c>
      <c r="H216" s="3" t="s">
        <v>590</v>
      </c>
    </row>
    <row r="217" spans="1:8" x14ac:dyDescent="0.2">
      <c r="A217" s="3">
        <v>3060404006</v>
      </c>
      <c r="B217" s="4" t="s">
        <v>729</v>
      </c>
      <c r="C217" s="4" t="s">
        <v>1099</v>
      </c>
      <c r="D217" s="3">
        <v>1</v>
      </c>
      <c r="E217" s="3" t="s">
        <v>16</v>
      </c>
      <c r="F217" s="3" t="s">
        <v>289</v>
      </c>
      <c r="G217" s="3" t="s">
        <v>23</v>
      </c>
      <c r="H217" s="3" t="s">
        <v>769</v>
      </c>
    </row>
  </sheetData>
  <phoneticPr fontId="2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3F5D4-F967-4C7A-AA19-829A5C7A4D23}">
  <dimension ref="A1:H242"/>
  <sheetViews>
    <sheetView workbookViewId="0">
      <selection activeCell="M20" sqref="M20"/>
    </sheetView>
  </sheetViews>
  <sheetFormatPr defaultRowHeight="14.25" x14ac:dyDescent="0.2"/>
  <cols>
    <col min="1" max="1" width="11.25" customWidth="1"/>
    <col min="2" max="3" width="14.5" customWidth="1"/>
  </cols>
  <sheetData>
    <row r="1" spans="1:8" x14ac:dyDescent="0.2">
      <c r="A1" s="3" t="s">
        <v>1106</v>
      </c>
      <c r="B1" s="4"/>
      <c r="C1" s="4"/>
      <c r="D1" s="3"/>
      <c r="E1" s="3"/>
      <c r="F1" s="3"/>
      <c r="G1" s="3"/>
      <c r="H1" s="3"/>
    </row>
    <row r="2" spans="1:8" ht="28.5" x14ac:dyDescent="0.2">
      <c r="A2" s="1" t="s">
        <v>0</v>
      </c>
      <c r="B2" s="2" t="s">
        <v>1</v>
      </c>
      <c r="C2" s="2" t="s">
        <v>2</v>
      </c>
      <c r="D2" s="1" t="s">
        <v>4</v>
      </c>
      <c r="E2" s="1" t="s">
        <v>3</v>
      </c>
      <c r="F2" s="1" t="s">
        <v>5</v>
      </c>
      <c r="G2" s="1" t="s">
        <v>6</v>
      </c>
      <c r="H2" s="1" t="s">
        <v>7</v>
      </c>
    </row>
    <row r="3" spans="1:8" s="10" customFormat="1" x14ac:dyDescent="0.2">
      <c r="A3" s="8" t="s">
        <v>390</v>
      </c>
      <c r="B3" s="9" t="s">
        <v>8</v>
      </c>
      <c r="C3" s="9" t="s">
        <v>9</v>
      </c>
      <c r="D3" s="12">
        <f>0.4021/0.94</f>
        <v>0.42776595744680856</v>
      </c>
      <c r="E3" s="8" t="s">
        <v>596</v>
      </c>
      <c r="F3" s="8" t="s">
        <v>283</v>
      </c>
      <c r="G3" s="8" t="s">
        <v>13</v>
      </c>
      <c r="H3" s="8" t="s">
        <v>12</v>
      </c>
    </row>
    <row r="4" spans="1:8" x14ac:dyDescent="0.2">
      <c r="A4" s="3">
        <v>402030028</v>
      </c>
      <c r="B4" s="4" t="s">
        <v>107</v>
      </c>
      <c r="C4" s="4" t="s">
        <v>305</v>
      </c>
      <c r="D4" s="3">
        <v>1</v>
      </c>
      <c r="E4" s="3" t="s">
        <v>16</v>
      </c>
      <c r="F4" s="3" t="s">
        <v>289</v>
      </c>
      <c r="G4" s="3" t="s">
        <v>23</v>
      </c>
      <c r="H4" s="3" t="s">
        <v>306</v>
      </c>
    </row>
    <row r="5" spans="1:8" x14ac:dyDescent="0.2">
      <c r="A5" s="3">
        <v>3099980014</v>
      </c>
      <c r="B5" s="4" t="s">
        <v>391</v>
      </c>
      <c r="C5" s="4" t="s">
        <v>392</v>
      </c>
      <c r="D5" s="3">
        <v>1</v>
      </c>
      <c r="E5" s="3" t="s">
        <v>16</v>
      </c>
      <c r="F5" s="3" t="s">
        <v>291</v>
      </c>
      <c r="G5" s="3" t="s">
        <v>26</v>
      </c>
      <c r="H5" s="3" t="s">
        <v>393</v>
      </c>
    </row>
    <row r="6" spans="1:8" x14ac:dyDescent="0.2">
      <c r="A6" s="3">
        <v>3030314005</v>
      </c>
      <c r="B6" s="4" t="s">
        <v>394</v>
      </c>
      <c r="C6" s="4" t="s">
        <v>395</v>
      </c>
      <c r="D6" s="3">
        <v>1</v>
      </c>
      <c r="E6" s="3" t="s">
        <v>16</v>
      </c>
      <c r="F6" s="3" t="s">
        <v>291</v>
      </c>
      <c r="G6" s="3" t="s">
        <v>26</v>
      </c>
      <c r="H6" s="3" t="s">
        <v>18</v>
      </c>
    </row>
    <row r="7" spans="1:8" x14ac:dyDescent="0.2">
      <c r="A7" s="3">
        <v>3030210001</v>
      </c>
      <c r="B7" s="4" t="s">
        <v>396</v>
      </c>
      <c r="C7" s="4" t="s">
        <v>397</v>
      </c>
      <c r="D7" s="3">
        <v>1</v>
      </c>
      <c r="E7" s="3" t="s">
        <v>16</v>
      </c>
      <c r="F7" s="3" t="s">
        <v>295</v>
      </c>
      <c r="G7" s="3" t="s">
        <v>17</v>
      </c>
      <c r="H7" s="3" t="s">
        <v>18</v>
      </c>
    </row>
    <row r="8" spans="1:8" x14ac:dyDescent="0.2">
      <c r="A8" s="3">
        <v>3080301001</v>
      </c>
      <c r="B8" s="4" t="s">
        <v>247</v>
      </c>
      <c r="C8" s="4" t="s">
        <v>398</v>
      </c>
      <c r="D8" s="3">
        <v>1</v>
      </c>
      <c r="E8" s="3" t="s">
        <v>16</v>
      </c>
      <c r="F8" s="3" t="s">
        <v>295</v>
      </c>
      <c r="G8" s="3" t="s">
        <v>17</v>
      </c>
      <c r="H8" s="3" t="s">
        <v>18</v>
      </c>
    </row>
    <row r="9" spans="1:8" x14ac:dyDescent="0.2">
      <c r="A9" s="3">
        <v>3040201001</v>
      </c>
      <c r="B9" s="4" t="s">
        <v>399</v>
      </c>
      <c r="C9" s="4" t="s">
        <v>400</v>
      </c>
      <c r="D9" s="3">
        <v>2</v>
      </c>
      <c r="E9" s="3" t="s">
        <v>16</v>
      </c>
      <c r="F9" s="3" t="s">
        <v>293</v>
      </c>
      <c r="G9" s="3" t="s">
        <v>29</v>
      </c>
      <c r="H9" s="3" t="s">
        <v>18</v>
      </c>
    </row>
    <row r="10" spans="1:8" x14ac:dyDescent="0.2">
      <c r="A10" s="3">
        <v>3030202002</v>
      </c>
      <c r="B10" s="4" t="s">
        <v>401</v>
      </c>
      <c r="C10" s="4" t="s">
        <v>402</v>
      </c>
      <c r="D10" s="3">
        <v>1</v>
      </c>
      <c r="E10" s="3" t="s">
        <v>16</v>
      </c>
      <c r="F10" s="3" t="s">
        <v>295</v>
      </c>
      <c r="G10" s="3" t="s">
        <v>17</v>
      </c>
      <c r="H10" s="3" t="s">
        <v>18</v>
      </c>
    </row>
    <row r="11" spans="1:8" x14ac:dyDescent="0.2">
      <c r="A11" s="3">
        <v>3030202003</v>
      </c>
      <c r="B11" s="4" t="s">
        <v>403</v>
      </c>
      <c r="C11" s="4" t="s">
        <v>404</v>
      </c>
      <c r="D11" s="3">
        <v>1</v>
      </c>
      <c r="E11" s="3" t="s">
        <v>16</v>
      </c>
      <c r="F11" s="3" t="s">
        <v>295</v>
      </c>
      <c r="G11" s="3" t="s">
        <v>17</v>
      </c>
      <c r="H11" s="3" t="s">
        <v>18</v>
      </c>
    </row>
    <row r="12" spans="1:8" x14ac:dyDescent="0.2">
      <c r="A12" s="3">
        <v>3030212001</v>
      </c>
      <c r="B12" s="4" t="s">
        <v>405</v>
      </c>
      <c r="C12" s="4" t="s">
        <v>406</v>
      </c>
      <c r="D12" s="3">
        <v>1</v>
      </c>
      <c r="E12" s="3" t="s">
        <v>16</v>
      </c>
      <c r="F12" s="3" t="s">
        <v>295</v>
      </c>
      <c r="G12" s="3" t="s">
        <v>17</v>
      </c>
      <c r="H12" s="3" t="s">
        <v>18</v>
      </c>
    </row>
    <row r="13" spans="1:8" x14ac:dyDescent="0.2">
      <c r="A13" s="3">
        <v>3030206003</v>
      </c>
      <c r="B13" s="4" t="s">
        <v>407</v>
      </c>
      <c r="C13" s="4" t="s">
        <v>408</v>
      </c>
      <c r="D13" s="3">
        <v>1</v>
      </c>
      <c r="E13" s="3" t="s">
        <v>16</v>
      </c>
      <c r="F13" s="3" t="s">
        <v>295</v>
      </c>
      <c r="G13" s="3" t="s">
        <v>17</v>
      </c>
      <c r="H13" s="3" t="s">
        <v>18</v>
      </c>
    </row>
    <row r="14" spans="1:8" x14ac:dyDescent="0.2">
      <c r="A14" s="3">
        <v>404090136</v>
      </c>
      <c r="B14" s="4" t="s">
        <v>30</v>
      </c>
      <c r="C14" s="4" t="s">
        <v>784</v>
      </c>
      <c r="D14" s="3">
        <v>1</v>
      </c>
      <c r="E14" s="3" t="s">
        <v>16</v>
      </c>
      <c r="F14" s="3" t="s">
        <v>301</v>
      </c>
      <c r="G14" s="3" t="s">
        <v>32</v>
      </c>
      <c r="H14" s="3" t="s">
        <v>33</v>
      </c>
    </row>
    <row r="15" spans="1:8" x14ac:dyDescent="0.2">
      <c r="A15" s="3">
        <v>404090141</v>
      </c>
      <c r="B15" s="4" t="s">
        <v>30</v>
      </c>
      <c r="C15" s="4" t="s">
        <v>1101</v>
      </c>
      <c r="D15" s="3">
        <v>1</v>
      </c>
      <c r="E15" s="3" t="s">
        <v>16</v>
      </c>
      <c r="F15" s="3" t="s">
        <v>301</v>
      </c>
      <c r="G15" s="3" t="s">
        <v>32</v>
      </c>
      <c r="H15" s="3" t="s">
        <v>33</v>
      </c>
    </row>
    <row r="16" spans="1:8" x14ac:dyDescent="0.2">
      <c r="A16" s="3">
        <v>404020072</v>
      </c>
      <c r="B16" s="4" t="s">
        <v>30</v>
      </c>
      <c r="C16" s="4" t="s">
        <v>308</v>
      </c>
      <c r="D16" s="3">
        <v>1</v>
      </c>
      <c r="E16" s="3" t="s">
        <v>16</v>
      </c>
      <c r="F16" s="3" t="s">
        <v>291</v>
      </c>
      <c r="G16" s="3" t="s">
        <v>26</v>
      </c>
      <c r="H16" s="3" t="s">
        <v>33</v>
      </c>
    </row>
    <row r="17" spans="1:8" x14ac:dyDescent="0.2">
      <c r="A17" s="3">
        <v>401020086</v>
      </c>
      <c r="B17" s="4" t="s">
        <v>35</v>
      </c>
      <c r="C17" s="4" t="s">
        <v>1102</v>
      </c>
      <c r="D17" s="3">
        <v>1</v>
      </c>
      <c r="E17" s="3" t="s">
        <v>16</v>
      </c>
      <c r="F17" s="3" t="s">
        <v>301</v>
      </c>
      <c r="G17" s="3" t="s">
        <v>32</v>
      </c>
      <c r="H17" s="3" t="s">
        <v>33</v>
      </c>
    </row>
    <row r="18" spans="1:8" x14ac:dyDescent="0.2">
      <c r="A18" s="3">
        <v>401040087</v>
      </c>
      <c r="B18" s="4" t="s">
        <v>35</v>
      </c>
      <c r="C18" s="4" t="s">
        <v>410</v>
      </c>
      <c r="D18" s="3">
        <v>1</v>
      </c>
      <c r="E18" s="3" t="s">
        <v>16</v>
      </c>
      <c r="F18" s="3" t="s">
        <v>293</v>
      </c>
      <c r="G18" s="3" t="s">
        <v>29</v>
      </c>
      <c r="H18" s="3" t="s">
        <v>33</v>
      </c>
    </row>
    <row r="19" spans="1:8" x14ac:dyDescent="0.2">
      <c r="A19" s="3">
        <v>3080101015</v>
      </c>
      <c r="B19" s="4" t="s">
        <v>411</v>
      </c>
      <c r="C19" s="4" t="s">
        <v>412</v>
      </c>
      <c r="D19" s="3">
        <v>2</v>
      </c>
      <c r="E19" s="3" t="s">
        <v>16</v>
      </c>
      <c r="F19" s="3" t="s">
        <v>293</v>
      </c>
      <c r="G19" s="3" t="s">
        <v>29</v>
      </c>
      <c r="H19" s="3" t="s">
        <v>40</v>
      </c>
    </row>
    <row r="20" spans="1:8" x14ac:dyDescent="0.2">
      <c r="A20" s="3">
        <v>3080101002</v>
      </c>
      <c r="B20" s="4" t="s">
        <v>411</v>
      </c>
      <c r="C20" s="4" t="s">
        <v>413</v>
      </c>
      <c r="D20" s="3">
        <v>2</v>
      </c>
      <c r="E20" s="3" t="s">
        <v>16</v>
      </c>
      <c r="F20" s="3" t="s">
        <v>291</v>
      </c>
      <c r="G20" s="3" t="s">
        <v>26</v>
      </c>
      <c r="H20" s="3" t="s">
        <v>40</v>
      </c>
    </row>
    <row r="21" spans="1:8" x14ac:dyDescent="0.2">
      <c r="A21" s="3">
        <v>3080401023</v>
      </c>
      <c r="B21" s="4" t="s">
        <v>41</v>
      </c>
      <c r="C21" s="4" t="s">
        <v>699</v>
      </c>
      <c r="D21" s="3">
        <v>2</v>
      </c>
      <c r="E21" s="3" t="s">
        <v>16</v>
      </c>
      <c r="F21" s="3" t="s">
        <v>289</v>
      </c>
      <c r="G21" s="3" t="s">
        <v>23</v>
      </c>
      <c r="H21" s="3" t="s">
        <v>40</v>
      </c>
    </row>
    <row r="22" spans="1:8" x14ac:dyDescent="0.2">
      <c r="A22" s="3">
        <v>3080401064</v>
      </c>
      <c r="B22" s="4" t="s">
        <v>41</v>
      </c>
      <c r="C22" s="4" t="s">
        <v>414</v>
      </c>
      <c r="D22" s="3">
        <v>1</v>
      </c>
      <c r="E22" s="3" t="s">
        <v>16</v>
      </c>
      <c r="F22" s="3" t="s">
        <v>295</v>
      </c>
      <c r="G22" s="3" t="s">
        <v>17</v>
      </c>
      <c r="H22" s="3" t="s">
        <v>40</v>
      </c>
    </row>
    <row r="23" spans="1:8" x14ac:dyDescent="0.2">
      <c r="A23" s="3">
        <v>3080401016</v>
      </c>
      <c r="B23" s="4" t="s">
        <v>41</v>
      </c>
      <c r="C23" s="4" t="s">
        <v>415</v>
      </c>
      <c r="D23" s="3">
        <v>1</v>
      </c>
      <c r="E23" s="3" t="s">
        <v>16</v>
      </c>
      <c r="F23" s="3" t="s">
        <v>295</v>
      </c>
      <c r="G23" s="3" t="s">
        <v>17</v>
      </c>
      <c r="H23" s="3" t="s">
        <v>40</v>
      </c>
    </row>
    <row r="24" spans="1:8" x14ac:dyDescent="0.2">
      <c r="A24" s="3">
        <v>3080401007</v>
      </c>
      <c r="B24" s="4" t="s">
        <v>41</v>
      </c>
      <c r="C24" s="4" t="s">
        <v>416</v>
      </c>
      <c r="D24" s="3">
        <v>2</v>
      </c>
      <c r="E24" s="3" t="s">
        <v>16</v>
      </c>
      <c r="F24" s="3" t="s">
        <v>293</v>
      </c>
      <c r="G24" s="3" t="s">
        <v>29</v>
      </c>
      <c r="H24" s="3" t="s">
        <v>40</v>
      </c>
    </row>
    <row r="25" spans="1:8" x14ac:dyDescent="0.2">
      <c r="A25" s="3">
        <v>3080401048</v>
      </c>
      <c r="B25" s="4" t="s">
        <v>41</v>
      </c>
      <c r="C25" s="4" t="s">
        <v>793</v>
      </c>
      <c r="D25" s="3">
        <v>2</v>
      </c>
      <c r="E25" s="3" t="s">
        <v>16</v>
      </c>
      <c r="F25" s="3" t="s">
        <v>794</v>
      </c>
      <c r="G25" s="3" t="s">
        <v>795</v>
      </c>
      <c r="H25" s="3" t="s">
        <v>40</v>
      </c>
    </row>
    <row r="26" spans="1:8" x14ac:dyDescent="0.2">
      <c r="A26" s="3">
        <v>3080401047</v>
      </c>
      <c r="B26" s="4" t="s">
        <v>41</v>
      </c>
      <c r="C26" s="4" t="s">
        <v>796</v>
      </c>
      <c r="D26" s="3">
        <v>1</v>
      </c>
      <c r="E26" s="3" t="s">
        <v>16</v>
      </c>
      <c r="F26" s="3" t="s">
        <v>794</v>
      </c>
      <c r="G26" s="3" t="s">
        <v>795</v>
      </c>
      <c r="H26" s="3" t="s">
        <v>40</v>
      </c>
    </row>
    <row r="27" spans="1:8" x14ac:dyDescent="0.2">
      <c r="A27" s="3">
        <v>3080401008</v>
      </c>
      <c r="B27" s="4" t="s">
        <v>41</v>
      </c>
      <c r="C27" s="4" t="s">
        <v>700</v>
      </c>
      <c r="D27" s="3">
        <v>2</v>
      </c>
      <c r="E27" s="3" t="s">
        <v>16</v>
      </c>
      <c r="F27" s="3" t="s">
        <v>317</v>
      </c>
      <c r="G27" s="3" t="s">
        <v>318</v>
      </c>
      <c r="H27" s="3" t="s">
        <v>40</v>
      </c>
    </row>
    <row r="28" spans="1:8" x14ac:dyDescent="0.2">
      <c r="A28" s="3">
        <v>3080401014</v>
      </c>
      <c r="B28" s="4" t="s">
        <v>41</v>
      </c>
      <c r="C28" s="4" t="s">
        <v>417</v>
      </c>
      <c r="D28" s="3">
        <v>4</v>
      </c>
      <c r="E28" s="3" t="s">
        <v>16</v>
      </c>
      <c r="F28" s="3" t="s">
        <v>291</v>
      </c>
      <c r="G28" s="3" t="s">
        <v>26</v>
      </c>
      <c r="H28" s="3" t="s">
        <v>40</v>
      </c>
    </row>
    <row r="29" spans="1:8" x14ac:dyDescent="0.2">
      <c r="A29" s="3">
        <v>3080104081</v>
      </c>
      <c r="B29" s="4" t="s">
        <v>45</v>
      </c>
      <c r="C29" s="4" t="s">
        <v>701</v>
      </c>
      <c r="D29" s="3">
        <v>4</v>
      </c>
      <c r="E29" s="3" t="s">
        <v>16</v>
      </c>
      <c r="F29" s="3" t="s">
        <v>289</v>
      </c>
      <c r="G29" s="3" t="s">
        <v>23</v>
      </c>
      <c r="H29" s="3" t="s">
        <v>40</v>
      </c>
    </row>
    <row r="30" spans="1:8" x14ac:dyDescent="0.2">
      <c r="A30" s="3">
        <v>3080104018</v>
      </c>
      <c r="B30" s="4" t="s">
        <v>45</v>
      </c>
      <c r="C30" s="4" t="s">
        <v>418</v>
      </c>
      <c r="D30" s="3">
        <v>2</v>
      </c>
      <c r="E30" s="3" t="s">
        <v>16</v>
      </c>
      <c r="F30" s="3" t="s">
        <v>293</v>
      </c>
      <c r="G30" s="3" t="s">
        <v>29</v>
      </c>
      <c r="H30" s="3" t="s">
        <v>40</v>
      </c>
    </row>
    <row r="31" spans="1:8" x14ac:dyDescent="0.2">
      <c r="A31" s="3">
        <v>3080104099</v>
      </c>
      <c r="B31" s="4" t="s">
        <v>45</v>
      </c>
      <c r="C31" s="4" t="s">
        <v>419</v>
      </c>
      <c r="D31" s="3">
        <v>2</v>
      </c>
      <c r="E31" s="3" t="s">
        <v>16</v>
      </c>
      <c r="F31" s="3" t="s">
        <v>291</v>
      </c>
      <c r="G31" s="3" t="s">
        <v>26</v>
      </c>
      <c r="H31" s="3" t="s">
        <v>40</v>
      </c>
    </row>
    <row r="32" spans="1:8" x14ac:dyDescent="0.2">
      <c r="A32" s="3">
        <v>3080105004</v>
      </c>
      <c r="B32" s="4" t="s">
        <v>50</v>
      </c>
      <c r="C32" s="4" t="s">
        <v>54</v>
      </c>
      <c r="D32" s="3">
        <v>6</v>
      </c>
      <c r="E32" s="3" t="s">
        <v>16</v>
      </c>
      <c r="F32" s="3" t="s">
        <v>289</v>
      </c>
      <c r="G32" s="3" t="s">
        <v>23</v>
      </c>
      <c r="H32" s="3" t="s">
        <v>40</v>
      </c>
    </row>
    <row r="33" spans="1:8" x14ac:dyDescent="0.2">
      <c r="A33" s="3">
        <v>3080105114</v>
      </c>
      <c r="B33" s="4" t="s">
        <v>50</v>
      </c>
      <c r="C33" s="4" t="s">
        <v>53</v>
      </c>
      <c r="D33" s="3">
        <v>5</v>
      </c>
      <c r="E33" s="3" t="s">
        <v>16</v>
      </c>
      <c r="F33" s="3" t="s">
        <v>289</v>
      </c>
      <c r="G33" s="3" t="s">
        <v>23</v>
      </c>
      <c r="H33" s="3" t="s">
        <v>40</v>
      </c>
    </row>
    <row r="34" spans="1:8" x14ac:dyDescent="0.2">
      <c r="A34" s="3">
        <v>3080105114</v>
      </c>
      <c r="B34" s="4" t="s">
        <v>50</v>
      </c>
      <c r="C34" s="4" t="s">
        <v>53</v>
      </c>
      <c r="D34" s="3">
        <v>4</v>
      </c>
      <c r="E34" s="3" t="s">
        <v>16</v>
      </c>
      <c r="F34" s="3" t="s">
        <v>289</v>
      </c>
      <c r="G34" s="3" t="s">
        <v>23</v>
      </c>
      <c r="H34" s="3" t="s">
        <v>40</v>
      </c>
    </row>
    <row r="35" spans="1:8" x14ac:dyDescent="0.2">
      <c r="A35" s="3">
        <v>3080105040</v>
      </c>
      <c r="B35" s="4" t="s">
        <v>50</v>
      </c>
      <c r="C35" s="4" t="s">
        <v>421</v>
      </c>
      <c r="D35" s="3">
        <v>12</v>
      </c>
      <c r="E35" s="3" t="s">
        <v>16</v>
      </c>
      <c r="F35" s="3" t="s">
        <v>293</v>
      </c>
      <c r="G35" s="3" t="s">
        <v>29</v>
      </c>
      <c r="H35" s="3" t="s">
        <v>40</v>
      </c>
    </row>
    <row r="36" spans="1:8" x14ac:dyDescent="0.2">
      <c r="A36" s="3">
        <v>3080105015</v>
      </c>
      <c r="B36" s="4" t="s">
        <v>50</v>
      </c>
      <c r="C36" s="4" t="s">
        <v>422</v>
      </c>
      <c r="D36" s="3">
        <v>8</v>
      </c>
      <c r="E36" s="3" t="s">
        <v>16</v>
      </c>
      <c r="F36" s="3" t="s">
        <v>293</v>
      </c>
      <c r="G36" s="3" t="s">
        <v>29</v>
      </c>
      <c r="H36" s="3" t="s">
        <v>40</v>
      </c>
    </row>
    <row r="37" spans="1:8" x14ac:dyDescent="0.2">
      <c r="A37" s="3">
        <v>3080105088</v>
      </c>
      <c r="B37" s="4" t="s">
        <v>50</v>
      </c>
      <c r="C37" s="4" t="s">
        <v>423</v>
      </c>
      <c r="D37" s="3">
        <v>2</v>
      </c>
      <c r="E37" s="3" t="s">
        <v>16</v>
      </c>
      <c r="F37" s="3" t="s">
        <v>293</v>
      </c>
      <c r="G37" s="3" t="s">
        <v>29</v>
      </c>
      <c r="H37" s="3" t="s">
        <v>40</v>
      </c>
    </row>
    <row r="38" spans="1:8" x14ac:dyDescent="0.2">
      <c r="A38" s="3">
        <v>3080105008</v>
      </c>
      <c r="B38" s="4" t="s">
        <v>50</v>
      </c>
      <c r="C38" s="4" t="s">
        <v>424</v>
      </c>
      <c r="D38" s="3">
        <v>8</v>
      </c>
      <c r="E38" s="3" t="s">
        <v>16</v>
      </c>
      <c r="F38" s="3" t="s">
        <v>293</v>
      </c>
      <c r="G38" s="3" t="s">
        <v>29</v>
      </c>
      <c r="H38" s="3" t="s">
        <v>40</v>
      </c>
    </row>
    <row r="39" spans="1:8" x14ac:dyDescent="0.2">
      <c r="A39" s="3">
        <v>3080105093</v>
      </c>
      <c r="B39" s="4" t="s">
        <v>50</v>
      </c>
      <c r="C39" s="4" t="s">
        <v>797</v>
      </c>
      <c r="D39" s="3">
        <v>6</v>
      </c>
      <c r="E39" s="3" t="s">
        <v>16</v>
      </c>
      <c r="F39" s="3" t="s">
        <v>794</v>
      </c>
      <c r="G39" s="3" t="s">
        <v>795</v>
      </c>
      <c r="H39" s="3" t="s">
        <v>40</v>
      </c>
    </row>
    <row r="40" spans="1:8" x14ac:dyDescent="0.2">
      <c r="A40" s="3">
        <v>3080105026</v>
      </c>
      <c r="B40" s="4" t="s">
        <v>50</v>
      </c>
      <c r="C40" s="4" t="s">
        <v>798</v>
      </c>
      <c r="D40" s="3">
        <v>8</v>
      </c>
      <c r="E40" s="3" t="s">
        <v>16</v>
      </c>
      <c r="F40" s="3" t="s">
        <v>794</v>
      </c>
      <c r="G40" s="3" t="s">
        <v>795</v>
      </c>
      <c r="H40" s="3" t="s">
        <v>40</v>
      </c>
    </row>
    <row r="41" spans="1:8" x14ac:dyDescent="0.2">
      <c r="A41" s="3">
        <v>3080105121</v>
      </c>
      <c r="B41" s="4" t="s">
        <v>50</v>
      </c>
      <c r="C41" s="4" t="s">
        <v>316</v>
      </c>
      <c r="D41" s="3">
        <v>2</v>
      </c>
      <c r="E41" s="3" t="s">
        <v>16</v>
      </c>
      <c r="F41" s="3" t="s">
        <v>317</v>
      </c>
      <c r="G41" s="3" t="s">
        <v>318</v>
      </c>
      <c r="H41" s="3" t="s">
        <v>40</v>
      </c>
    </row>
    <row r="42" spans="1:8" x14ac:dyDescent="0.2">
      <c r="A42" s="3">
        <v>3080105021</v>
      </c>
      <c r="B42" s="4" t="s">
        <v>50</v>
      </c>
      <c r="C42" s="4" t="s">
        <v>319</v>
      </c>
      <c r="D42" s="3">
        <v>8</v>
      </c>
      <c r="E42" s="3" t="s">
        <v>16</v>
      </c>
      <c r="F42" s="3" t="s">
        <v>317</v>
      </c>
      <c r="G42" s="3" t="s">
        <v>318</v>
      </c>
      <c r="H42" s="3" t="s">
        <v>40</v>
      </c>
    </row>
    <row r="43" spans="1:8" x14ac:dyDescent="0.2">
      <c r="A43" s="3">
        <v>3080105114</v>
      </c>
      <c r="B43" s="4" t="s">
        <v>50</v>
      </c>
      <c r="C43" s="4" t="s">
        <v>53</v>
      </c>
      <c r="D43" s="3">
        <v>6</v>
      </c>
      <c r="E43" s="3" t="s">
        <v>16</v>
      </c>
      <c r="F43" s="3" t="s">
        <v>702</v>
      </c>
      <c r="G43" s="3" t="s">
        <v>703</v>
      </c>
      <c r="H43" s="3" t="s">
        <v>40</v>
      </c>
    </row>
    <row r="44" spans="1:8" x14ac:dyDescent="0.2">
      <c r="A44" s="3">
        <v>3080105114</v>
      </c>
      <c r="B44" s="4" t="s">
        <v>50</v>
      </c>
      <c r="C44" s="4" t="s">
        <v>53</v>
      </c>
      <c r="D44" s="3">
        <v>3</v>
      </c>
      <c r="E44" s="3" t="s">
        <v>16</v>
      </c>
      <c r="F44" s="3" t="s">
        <v>702</v>
      </c>
      <c r="G44" s="3" t="s">
        <v>703</v>
      </c>
      <c r="H44" s="3" t="s">
        <v>40</v>
      </c>
    </row>
    <row r="45" spans="1:8" x14ac:dyDescent="0.2">
      <c r="A45" s="3">
        <v>3080104055</v>
      </c>
      <c r="B45" s="4" t="s">
        <v>50</v>
      </c>
      <c r="C45" s="4" t="s">
        <v>425</v>
      </c>
      <c r="D45" s="3">
        <v>2</v>
      </c>
      <c r="E45" s="3" t="s">
        <v>16</v>
      </c>
      <c r="F45" s="3" t="s">
        <v>291</v>
      </c>
      <c r="G45" s="3" t="s">
        <v>26</v>
      </c>
      <c r="H45" s="3" t="s">
        <v>40</v>
      </c>
    </row>
    <row r="46" spans="1:8" x14ac:dyDescent="0.2">
      <c r="A46" s="3">
        <v>3080105040</v>
      </c>
      <c r="B46" s="4" t="s">
        <v>50</v>
      </c>
      <c r="C46" s="4" t="s">
        <v>421</v>
      </c>
      <c r="D46" s="3">
        <v>2</v>
      </c>
      <c r="E46" s="3" t="s">
        <v>16</v>
      </c>
      <c r="F46" s="3" t="s">
        <v>291</v>
      </c>
      <c r="G46" s="3" t="s">
        <v>26</v>
      </c>
      <c r="H46" s="3" t="s">
        <v>40</v>
      </c>
    </row>
    <row r="47" spans="1:8" x14ac:dyDescent="0.2">
      <c r="A47" s="3">
        <v>3080105046</v>
      </c>
      <c r="B47" s="4" t="s">
        <v>50</v>
      </c>
      <c r="C47" s="4" t="s">
        <v>863</v>
      </c>
      <c r="D47" s="3">
        <v>2</v>
      </c>
      <c r="E47" s="3" t="s">
        <v>16</v>
      </c>
      <c r="F47" s="3" t="s">
        <v>291</v>
      </c>
      <c r="G47" s="3" t="s">
        <v>26</v>
      </c>
      <c r="H47" s="3" t="s">
        <v>40</v>
      </c>
    </row>
    <row r="48" spans="1:8" x14ac:dyDescent="0.2">
      <c r="A48" s="3">
        <v>3080502002</v>
      </c>
      <c r="B48" s="4" t="s">
        <v>55</v>
      </c>
      <c r="C48" s="4" t="s">
        <v>56</v>
      </c>
      <c r="D48" s="3">
        <v>1</v>
      </c>
      <c r="E48" s="3" t="s">
        <v>16</v>
      </c>
      <c r="F48" s="3" t="s">
        <v>317</v>
      </c>
      <c r="G48" s="3" t="s">
        <v>318</v>
      </c>
      <c r="H48" s="3" t="s">
        <v>40</v>
      </c>
    </row>
    <row r="49" spans="1:8" x14ac:dyDescent="0.2">
      <c r="A49" s="3">
        <v>3080502003</v>
      </c>
      <c r="B49" s="4" t="s">
        <v>55</v>
      </c>
      <c r="C49" s="4" t="s">
        <v>426</v>
      </c>
      <c r="D49" s="3">
        <v>2</v>
      </c>
      <c r="E49" s="3" t="s">
        <v>16</v>
      </c>
      <c r="F49" s="3" t="s">
        <v>291</v>
      </c>
      <c r="G49" s="3" t="s">
        <v>26</v>
      </c>
      <c r="H49" s="3" t="s">
        <v>40</v>
      </c>
    </row>
    <row r="50" spans="1:8" x14ac:dyDescent="0.2">
      <c r="A50" s="3">
        <v>3080201012</v>
      </c>
      <c r="B50" s="4" t="s">
        <v>60</v>
      </c>
      <c r="C50" s="4" t="s">
        <v>320</v>
      </c>
      <c r="D50" s="3">
        <v>2</v>
      </c>
      <c r="E50" s="3" t="s">
        <v>16</v>
      </c>
      <c r="F50" s="3" t="s">
        <v>289</v>
      </c>
      <c r="G50" s="3" t="s">
        <v>23</v>
      </c>
      <c r="H50" s="3" t="s">
        <v>40</v>
      </c>
    </row>
    <row r="51" spans="1:8" x14ac:dyDescent="0.2">
      <c r="A51" s="3">
        <v>3080201012</v>
      </c>
      <c r="B51" s="4" t="s">
        <v>60</v>
      </c>
      <c r="C51" s="4" t="s">
        <v>320</v>
      </c>
      <c r="D51" s="3">
        <v>1</v>
      </c>
      <c r="E51" s="3" t="s">
        <v>16</v>
      </c>
      <c r="F51" s="3" t="s">
        <v>317</v>
      </c>
      <c r="G51" s="3" t="s">
        <v>318</v>
      </c>
      <c r="H51" s="3" t="s">
        <v>40</v>
      </c>
    </row>
    <row r="52" spans="1:8" x14ac:dyDescent="0.2">
      <c r="A52" s="3">
        <v>3080201005</v>
      </c>
      <c r="B52" s="4" t="s">
        <v>60</v>
      </c>
      <c r="C52" s="4" t="s">
        <v>427</v>
      </c>
      <c r="D52" s="3">
        <v>1</v>
      </c>
      <c r="E52" s="3" t="s">
        <v>16</v>
      </c>
      <c r="F52" s="3" t="s">
        <v>291</v>
      </c>
      <c r="G52" s="3" t="s">
        <v>26</v>
      </c>
      <c r="H52" s="3" t="s">
        <v>40</v>
      </c>
    </row>
    <row r="53" spans="1:8" x14ac:dyDescent="0.2">
      <c r="A53" s="3">
        <v>3080201006</v>
      </c>
      <c r="B53" s="4" t="s">
        <v>60</v>
      </c>
      <c r="C53" s="4" t="s">
        <v>428</v>
      </c>
      <c r="D53" s="3">
        <v>1</v>
      </c>
      <c r="E53" s="3" t="s">
        <v>16</v>
      </c>
      <c r="F53" s="3" t="s">
        <v>291</v>
      </c>
      <c r="G53" s="3" t="s">
        <v>26</v>
      </c>
      <c r="H53" s="3" t="s">
        <v>40</v>
      </c>
    </row>
    <row r="54" spans="1:8" x14ac:dyDescent="0.2">
      <c r="A54" s="3">
        <v>3080107284</v>
      </c>
      <c r="B54" s="4" t="s">
        <v>69</v>
      </c>
      <c r="C54" s="4" t="s">
        <v>706</v>
      </c>
      <c r="D54" s="3">
        <v>1</v>
      </c>
      <c r="E54" s="3" t="s">
        <v>16</v>
      </c>
      <c r="F54" s="3" t="s">
        <v>289</v>
      </c>
      <c r="G54" s="3" t="s">
        <v>23</v>
      </c>
      <c r="H54" s="3" t="s">
        <v>40</v>
      </c>
    </row>
    <row r="55" spans="1:8" x14ac:dyDescent="0.2">
      <c r="A55" s="3">
        <v>3080107111</v>
      </c>
      <c r="B55" s="4" t="s">
        <v>69</v>
      </c>
      <c r="C55" s="4" t="s">
        <v>787</v>
      </c>
      <c r="D55" s="3">
        <v>1</v>
      </c>
      <c r="E55" s="3" t="s">
        <v>16</v>
      </c>
      <c r="F55" s="3" t="s">
        <v>289</v>
      </c>
      <c r="G55" s="3" t="s">
        <v>23</v>
      </c>
      <c r="H55" s="3" t="s">
        <v>40</v>
      </c>
    </row>
    <row r="56" spans="1:8" x14ac:dyDescent="0.2">
      <c r="A56" s="3">
        <v>3080107112</v>
      </c>
      <c r="B56" s="4" t="s">
        <v>69</v>
      </c>
      <c r="C56" s="4" t="s">
        <v>705</v>
      </c>
      <c r="D56" s="3">
        <v>2</v>
      </c>
      <c r="E56" s="3" t="s">
        <v>16</v>
      </c>
      <c r="F56" s="3" t="s">
        <v>289</v>
      </c>
      <c r="G56" s="3" t="s">
        <v>23</v>
      </c>
      <c r="H56" s="3" t="s">
        <v>40</v>
      </c>
    </row>
    <row r="57" spans="1:8" x14ac:dyDescent="0.2">
      <c r="A57" s="3">
        <v>3080107034</v>
      </c>
      <c r="B57" s="4" t="s">
        <v>69</v>
      </c>
      <c r="C57" s="4" t="s">
        <v>429</v>
      </c>
      <c r="D57" s="3">
        <v>2</v>
      </c>
      <c r="E57" s="3" t="s">
        <v>16</v>
      </c>
      <c r="F57" s="3" t="s">
        <v>295</v>
      </c>
      <c r="G57" s="3" t="s">
        <v>17</v>
      </c>
      <c r="H57" s="3" t="s">
        <v>40</v>
      </c>
    </row>
    <row r="58" spans="1:8" x14ac:dyDescent="0.2">
      <c r="A58" s="3">
        <v>3080107034</v>
      </c>
      <c r="B58" s="4" t="s">
        <v>69</v>
      </c>
      <c r="C58" s="4" t="s">
        <v>429</v>
      </c>
      <c r="D58" s="3">
        <v>6</v>
      </c>
      <c r="E58" s="3" t="s">
        <v>16</v>
      </c>
      <c r="F58" s="3" t="s">
        <v>295</v>
      </c>
      <c r="G58" s="3" t="s">
        <v>17</v>
      </c>
      <c r="H58" s="3" t="s">
        <v>40</v>
      </c>
    </row>
    <row r="59" spans="1:8" x14ac:dyDescent="0.2">
      <c r="A59" s="3">
        <v>3080107002</v>
      </c>
      <c r="B59" s="4" t="s">
        <v>69</v>
      </c>
      <c r="C59" s="4" t="s">
        <v>430</v>
      </c>
      <c r="D59" s="3">
        <v>4</v>
      </c>
      <c r="E59" s="3" t="s">
        <v>16</v>
      </c>
      <c r="F59" s="3" t="s">
        <v>295</v>
      </c>
      <c r="G59" s="3" t="s">
        <v>17</v>
      </c>
      <c r="H59" s="3" t="s">
        <v>40</v>
      </c>
    </row>
    <row r="60" spans="1:8" x14ac:dyDescent="0.2">
      <c r="A60" s="3">
        <v>3080107052</v>
      </c>
      <c r="B60" s="4" t="s">
        <v>69</v>
      </c>
      <c r="C60" s="4" t="s">
        <v>431</v>
      </c>
      <c r="D60" s="3">
        <v>1</v>
      </c>
      <c r="E60" s="3" t="s">
        <v>16</v>
      </c>
      <c r="F60" s="3" t="s">
        <v>295</v>
      </c>
      <c r="G60" s="3" t="s">
        <v>17</v>
      </c>
      <c r="H60" s="3" t="s">
        <v>40</v>
      </c>
    </row>
    <row r="61" spans="1:8" x14ac:dyDescent="0.2">
      <c r="A61" s="3">
        <v>3080107160</v>
      </c>
      <c r="B61" s="4" t="s">
        <v>69</v>
      </c>
      <c r="C61" s="4" t="s">
        <v>432</v>
      </c>
      <c r="D61" s="3">
        <v>4</v>
      </c>
      <c r="E61" s="3" t="s">
        <v>16</v>
      </c>
      <c r="F61" s="3" t="s">
        <v>293</v>
      </c>
      <c r="G61" s="3" t="s">
        <v>29</v>
      </c>
      <c r="H61" s="3" t="s">
        <v>40</v>
      </c>
    </row>
    <row r="62" spans="1:8" x14ac:dyDescent="0.2">
      <c r="A62" s="3">
        <v>3080107149</v>
      </c>
      <c r="B62" s="4" t="s">
        <v>69</v>
      </c>
      <c r="C62" s="4" t="s">
        <v>799</v>
      </c>
      <c r="D62" s="3">
        <v>2</v>
      </c>
      <c r="E62" s="3" t="s">
        <v>16</v>
      </c>
      <c r="F62" s="3" t="s">
        <v>794</v>
      </c>
      <c r="G62" s="3" t="s">
        <v>795</v>
      </c>
      <c r="H62" s="3" t="s">
        <v>40</v>
      </c>
    </row>
    <row r="63" spans="1:8" x14ac:dyDescent="0.2">
      <c r="A63" s="3">
        <v>3080107284</v>
      </c>
      <c r="B63" s="4" t="s">
        <v>69</v>
      </c>
      <c r="C63" s="4" t="s">
        <v>706</v>
      </c>
      <c r="D63" s="3">
        <v>1</v>
      </c>
      <c r="E63" s="3" t="s">
        <v>16</v>
      </c>
      <c r="F63" s="3" t="s">
        <v>317</v>
      </c>
      <c r="G63" s="3" t="s">
        <v>318</v>
      </c>
      <c r="H63" s="3" t="s">
        <v>40</v>
      </c>
    </row>
    <row r="64" spans="1:8" x14ac:dyDescent="0.2">
      <c r="A64" s="3">
        <v>3080107308</v>
      </c>
      <c r="B64" s="4" t="s">
        <v>69</v>
      </c>
      <c r="C64" s="4" t="s">
        <v>433</v>
      </c>
      <c r="D64" s="3">
        <v>2</v>
      </c>
      <c r="E64" s="3" t="s">
        <v>16</v>
      </c>
      <c r="F64" s="3" t="s">
        <v>291</v>
      </c>
      <c r="G64" s="3" t="s">
        <v>26</v>
      </c>
      <c r="H64" s="3" t="s">
        <v>40</v>
      </c>
    </row>
    <row r="65" spans="1:8" x14ac:dyDescent="0.2">
      <c r="A65" s="3">
        <v>3080107305</v>
      </c>
      <c r="B65" s="4" t="s">
        <v>69</v>
      </c>
      <c r="C65" s="4" t="s">
        <v>434</v>
      </c>
      <c r="D65" s="3">
        <v>2</v>
      </c>
      <c r="E65" s="3" t="s">
        <v>16</v>
      </c>
      <c r="F65" s="3" t="s">
        <v>291</v>
      </c>
      <c r="G65" s="3" t="s">
        <v>26</v>
      </c>
      <c r="H65" s="3" t="s">
        <v>40</v>
      </c>
    </row>
    <row r="66" spans="1:8" x14ac:dyDescent="0.2">
      <c r="A66" s="3">
        <v>3080107072</v>
      </c>
      <c r="B66" s="4" t="s">
        <v>69</v>
      </c>
      <c r="C66" s="4" t="s">
        <v>435</v>
      </c>
      <c r="D66" s="3">
        <v>4</v>
      </c>
      <c r="E66" s="3" t="s">
        <v>16</v>
      </c>
      <c r="F66" s="3" t="s">
        <v>291</v>
      </c>
      <c r="G66" s="3" t="s">
        <v>26</v>
      </c>
      <c r="H66" s="3" t="s">
        <v>40</v>
      </c>
    </row>
    <row r="67" spans="1:8" x14ac:dyDescent="0.2">
      <c r="A67" s="3">
        <v>3080107094</v>
      </c>
      <c r="B67" s="4" t="s">
        <v>69</v>
      </c>
      <c r="C67" s="4" t="s">
        <v>436</v>
      </c>
      <c r="D67" s="3">
        <v>2</v>
      </c>
      <c r="E67" s="3" t="s">
        <v>16</v>
      </c>
      <c r="F67" s="3" t="s">
        <v>291</v>
      </c>
      <c r="G67" s="3" t="s">
        <v>26</v>
      </c>
      <c r="H67" s="3" t="s">
        <v>40</v>
      </c>
    </row>
    <row r="68" spans="1:8" x14ac:dyDescent="0.2">
      <c r="A68" s="3">
        <v>3080108025</v>
      </c>
      <c r="B68" s="4" t="s">
        <v>77</v>
      </c>
      <c r="C68" s="4" t="s">
        <v>437</v>
      </c>
      <c r="D68" s="3">
        <v>7</v>
      </c>
      <c r="E68" s="3" t="s">
        <v>16</v>
      </c>
      <c r="F68" s="3" t="s">
        <v>295</v>
      </c>
      <c r="G68" s="3" t="s">
        <v>17</v>
      </c>
      <c r="H68" s="3" t="s">
        <v>40</v>
      </c>
    </row>
    <row r="69" spans="1:8" x14ac:dyDescent="0.2">
      <c r="A69" s="3">
        <v>3080108033</v>
      </c>
      <c r="B69" s="4" t="s">
        <v>77</v>
      </c>
      <c r="C69" s="4" t="s">
        <v>438</v>
      </c>
      <c r="D69" s="3">
        <v>4</v>
      </c>
      <c r="E69" s="3" t="s">
        <v>16</v>
      </c>
      <c r="F69" s="3" t="s">
        <v>291</v>
      </c>
      <c r="G69" s="3" t="s">
        <v>26</v>
      </c>
      <c r="H69" s="3" t="s">
        <v>40</v>
      </c>
    </row>
    <row r="70" spans="1:8" x14ac:dyDescent="0.2">
      <c r="A70" s="3">
        <v>3080403001</v>
      </c>
      <c r="B70" s="4" t="s">
        <v>439</v>
      </c>
      <c r="C70" s="4" t="s">
        <v>440</v>
      </c>
      <c r="D70" s="3">
        <v>1</v>
      </c>
      <c r="E70" s="3" t="s">
        <v>16</v>
      </c>
      <c r="F70" s="3" t="s">
        <v>295</v>
      </c>
      <c r="G70" s="3" t="s">
        <v>17</v>
      </c>
      <c r="H70" s="3" t="s">
        <v>40</v>
      </c>
    </row>
    <row r="71" spans="1:8" x14ac:dyDescent="0.2">
      <c r="A71" s="3">
        <v>3080109002</v>
      </c>
      <c r="B71" s="4" t="s">
        <v>441</v>
      </c>
      <c r="C71" s="4" t="s">
        <v>442</v>
      </c>
      <c r="D71" s="3">
        <v>2</v>
      </c>
      <c r="E71" s="3" t="s">
        <v>16</v>
      </c>
      <c r="F71" s="3" t="s">
        <v>295</v>
      </c>
      <c r="G71" s="3" t="s">
        <v>17</v>
      </c>
      <c r="H71" s="3" t="s">
        <v>40</v>
      </c>
    </row>
    <row r="72" spans="1:8" x14ac:dyDescent="0.2">
      <c r="A72" s="3">
        <v>3080111012</v>
      </c>
      <c r="B72" s="4" t="s">
        <v>79</v>
      </c>
      <c r="C72" s="4" t="s">
        <v>443</v>
      </c>
      <c r="D72" s="3">
        <v>2</v>
      </c>
      <c r="E72" s="3" t="s">
        <v>16</v>
      </c>
      <c r="F72" s="3" t="s">
        <v>295</v>
      </c>
      <c r="G72" s="3" t="s">
        <v>17</v>
      </c>
      <c r="H72" s="3" t="s">
        <v>40</v>
      </c>
    </row>
    <row r="73" spans="1:8" x14ac:dyDescent="0.2">
      <c r="A73" s="3">
        <v>3080111006</v>
      </c>
      <c r="B73" s="4" t="s">
        <v>79</v>
      </c>
      <c r="C73" s="4" t="s">
        <v>444</v>
      </c>
      <c r="D73" s="3">
        <v>1</v>
      </c>
      <c r="E73" s="3" t="s">
        <v>16</v>
      </c>
      <c r="F73" s="3" t="s">
        <v>295</v>
      </c>
      <c r="G73" s="3" t="s">
        <v>17</v>
      </c>
      <c r="H73" s="3" t="s">
        <v>40</v>
      </c>
    </row>
    <row r="74" spans="1:8" x14ac:dyDescent="0.2">
      <c r="A74" s="3">
        <v>3080111004</v>
      </c>
      <c r="B74" s="4" t="s">
        <v>79</v>
      </c>
      <c r="C74" s="4" t="s">
        <v>445</v>
      </c>
      <c r="D74" s="3">
        <v>2</v>
      </c>
      <c r="E74" s="3" t="s">
        <v>16</v>
      </c>
      <c r="F74" s="3" t="s">
        <v>293</v>
      </c>
      <c r="G74" s="3" t="s">
        <v>29</v>
      </c>
      <c r="H74" s="3" t="s">
        <v>40</v>
      </c>
    </row>
    <row r="75" spans="1:8" x14ac:dyDescent="0.2">
      <c r="A75" s="3">
        <v>3080111062</v>
      </c>
      <c r="B75" s="4" t="s">
        <v>79</v>
      </c>
      <c r="C75" s="4" t="s">
        <v>800</v>
      </c>
      <c r="D75" s="3">
        <v>4</v>
      </c>
      <c r="E75" s="3" t="s">
        <v>16</v>
      </c>
      <c r="F75" s="3" t="s">
        <v>794</v>
      </c>
      <c r="G75" s="3" t="s">
        <v>795</v>
      </c>
      <c r="H75" s="3" t="s">
        <v>40</v>
      </c>
    </row>
    <row r="76" spans="1:8" x14ac:dyDescent="0.2">
      <c r="A76" s="3">
        <v>3080111087</v>
      </c>
      <c r="B76" s="4" t="s">
        <v>79</v>
      </c>
      <c r="C76" s="4" t="s">
        <v>80</v>
      </c>
      <c r="D76" s="3">
        <v>7</v>
      </c>
      <c r="E76" s="3" t="s">
        <v>16</v>
      </c>
      <c r="F76" s="3" t="s">
        <v>291</v>
      </c>
      <c r="G76" s="3" t="s">
        <v>26</v>
      </c>
      <c r="H76" s="3" t="s">
        <v>40</v>
      </c>
    </row>
    <row r="77" spans="1:8" x14ac:dyDescent="0.2">
      <c r="A77" s="3">
        <v>3080111087</v>
      </c>
      <c r="B77" s="4" t="s">
        <v>79</v>
      </c>
      <c r="C77" s="4" t="s">
        <v>80</v>
      </c>
      <c r="D77" s="3">
        <v>9</v>
      </c>
      <c r="E77" s="3" t="s">
        <v>16</v>
      </c>
      <c r="F77" s="3" t="s">
        <v>291</v>
      </c>
      <c r="G77" s="3" t="s">
        <v>26</v>
      </c>
      <c r="H77" s="3" t="s">
        <v>40</v>
      </c>
    </row>
    <row r="78" spans="1:8" x14ac:dyDescent="0.2">
      <c r="A78" s="3">
        <v>3080111087</v>
      </c>
      <c r="B78" s="4" t="s">
        <v>79</v>
      </c>
      <c r="C78" s="4" t="s">
        <v>80</v>
      </c>
      <c r="D78" s="3">
        <v>4</v>
      </c>
      <c r="E78" s="3" t="s">
        <v>16</v>
      </c>
      <c r="F78" s="3" t="s">
        <v>291</v>
      </c>
      <c r="G78" s="3" t="s">
        <v>26</v>
      </c>
      <c r="H78" s="3" t="s">
        <v>40</v>
      </c>
    </row>
    <row r="79" spans="1:8" x14ac:dyDescent="0.2">
      <c r="A79" s="3">
        <v>3080111015</v>
      </c>
      <c r="B79" s="4" t="s">
        <v>79</v>
      </c>
      <c r="C79" s="4" t="s">
        <v>446</v>
      </c>
      <c r="D79" s="3">
        <v>4</v>
      </c>
      <c r="E79" s="3" t="s">
        <v>16</v>
      </c>
      <c r="F79" s="3" t="s">
        <v>291</v>
      </c>
      <c r="G79" s="3" t="s">
        <v>26</v>
      </c>
      <c r="H79" s="3" t="s">
        <v>40</v>
      </c>
    </row>
    <row r="80" spans="1:8" x14ac:dyDescent="0.2">
      <c r="A80" s="3">
        <v>407030133</v>
      </c>
      <c r="B80" s="4" t="s">
        <v>81</v>
      </c>
      <c r="C80" s="4" t="s">
        <v>1083</v>
      </c>
      <c r="D80" s="3">
        <v>1</v>
      </c>
      <c r="E80" s="3" t="s">
        <v>16</v>
      </c>
      <c r="F80" s="3" t="s">
        <v>301</v>
      </c>
      <c r="G80" s="3" t="s">
        <v>32</v>
      </c>
      <c r="H80" s="3" t="s">
        <v>40</v>
      </c>
    </row>
    <row r="81" spans="1:8" x14ac:dyDescent="0.2">
      <c r="A81" s="3">
        <v>3099990501</v>
      </c>
      <c r="B81" s="4" t="s">
        <v>708</v>
      </c>
      <c r="C81" s="4" t="s">
        <v>105</v>
      </c>
      <c r="D81" s="3">
        <v>1</v>
      </c>
      <c r="E81" s="3" t="s">
        <v>16</v>
      </c>
      <c r="F81" s="3" t="s">
        <v>709</v>
      </c>
      <c r="G81" s="3" t="s">
        <v>710</v>
      </c>
      <c r="H81" s="3" t="s">
        <v>103</v>
      </c>
    </row>
    <row r="82" spans="1:8" x14ac:dyDescent="0.2">
      <c r="A82" s="3">
        <v>3099990104</v>
      </c>
      <c r="B82" s="4" t="s">
        <v>104</v>
      </c>
      <c r="C82" s="4" t="s">
        <v>448</v>
      </c>
      <c r="D82" s="3">
        <v>1</v>
      </c>
      <c r="E82" s="3" t="s">
        <v>16</v>
      </c>
      <c r="F82" s="3" t="s">
        <v>299</v>
      </c>
      <c r="G82" s="3" t="s">
        <v>106</v>
      </c>
      <c r="H82" s="3" t="s">
        <v>103</v>
      </c>
    </row>
    <row r="83" spans="1:8" x14ac:dyDescent="0.2">
      <c r="A83" s="3">
        <v>3099990704</v>
      </c>
      <c r="B83" s="4" t="s">
        <v>449</v>
      </c>
      <c r="C83" s="4" t="s">
        <v>450</v>
      </c>
      <c r="D83" s="3">
        <v>1</v>
      </c>
      <c r="E83" s="3" t="s">
        <v>16</v>
      </c>
      <c r="F83" s="3" t="s">
        <v>299</v>
      </c>
      <c r="G83" s="3" t="s">
        <v>106</v>
      </c>
      <c r="H83" s="3" t="s">
        <v>103</v>
      </c>
    </row>
    <row r="84" spans="1:8" x14ac:dyDescent="0.2">
      <c r="A84" s="3">
        <v>3099990604</v>
      </c>
      <c r="B84" s="4" t="s">
        <v>451</v>
      </c>
      <c r="C84" s="4" t="s">
        <v>450</v>
      </c>
      <c r="D84" s="3">
        <v>1</v>
      </c>
      <c r="E84" s="3" t="s">
        <v>16</v>
      </c>
      <c r="F84" s="3" t="s">
        <v>299</v>
      </c>
      <c r="G84" s="3" t="s">
        <v>106</v>
      </c>
      <c r="H84" s="3" t="s">
        <v>103</v>
      </c>
    </row>
    <row r="85" spans="1:8" x14ac:dyDescent="0.2">
      <c r="A85" s="3">
        <v>402030027</v>
      </c>
      <c r="B85" s="4" t="s">
        <v>107</v>
      </c>
      <c r="C85" s="4" t="s">
        <v>110</v>
      </c>
      <c r="D85" s="3">
        <v>1</v>
      </c>
      <c r="E85" s="3" t="s">
        <v>16</v>
      </c>
      <c r="F85" s="3" t="s">
        <v>291</v>
      </c>
      <c r="G85" s="3" t="s">
        <v>26</v>
      </c>
      <c r="H85" s="3" t="s">
        <v>109</v>
      </c>
    </row>
    <row r="86" spans="1:8" x14ac:dyDescent="0.2">
      <c r="A86" s="3">
        <v>403030033</v>
      </c>
      <c r="B86" s="4" t="s">
        <v>801</v>
      </c>
      <c r="C86" s="4" t="s">
        <v>802</v>
      </c>
      <c r="D86" s="3">
        <v>1</v>
      </c>
      <c r="E86" s="3" t="s">
        <v>16</v>
      </c>
      <c r="F86" s="3" t="s">
        <v>291</v>
      </c>
      <c r="G86" s="3" t="s">
        <v>26</v>
      </c>
      <c r="H86" s="3" t="s">
        <v>109</v>
      </c>
    </row>
    <row r="87" spans="1:8" x14ac:dyDescent="0.2">
      <c r="A87" s="3">
        <v>402020002</v>
      </c>
      <c r="B87" s="4" t="s">
        <v>111</v>
      </c>
      <c r="C87" s="4" t="s">
        <v>452</v>
      </c>
      <c r="D87" s="3">
        <v>2</v>
      </c>
      <c r="E87" s="3" t="s">
        <v>16</v>
      </c>
      <c r="F87" s="3" t="s">
        <v>293</v>
      </c>
      <c r="G87" s="3" t="s">
        <v>29</v>
      </c>
      <c r="H87" s="3" t="s">
        <v>109</v>
      </c>
    </row>
    <row r="88" spans="1:8" x14ac:dyDescent="0.2">
      <c r="A88" s="3">
        <v>3060210001</v>
      </c>
      <c r="B88" s="4" t="s">
        <v>711</v>
      </c>
      <c r="C88" s="4" t="s">
        <v>712</v>
      </c>
      <c r="D88" s="3">
        <v>2</v>
      </c>
      <c r="E88" s="3" t="s">
        <v>16</v>
      </c>
      <c r="F88" s="3" t="s">
        <v>289</v>
      </c>
      <c r="G88" s="3" t="s">
        <v>23</v>
      </c>
      <c r="H88" s="3" t="s">
        <v>115</v>
      </c>
    </row>
    <row r="89" spans="1:8" x14ac:dyDescent="0.2">
      <c r="A89" s="3">
        <v>3040216001</v>
      </c>
      <c r="B89" s="4" t="s">
        <v>328</v>
      </c>
      <c r="C89" s="4" t="s">
        <v>329</v>
      </c>
      <c r="D89" s="3">
        <v>4</v>
      </c>
      <c r="E89" s="3" t="s">
        <v>16</v>
      </c>
      <c r="F89" s="3" t="s">
        <v>293</v>
      </c>
      <c r="G89" s="3" t="s">
        <v>29</v>
      </c>
      <c r="H89" s="3" t="s">
        <v>115</v>
      </c>
    </row>
    <row r="90" spans="1:8" x14ac:dyDescent="0.2">
      <c r="A90" s="3">
        <v>3030204017</v>
      </c>
      <c r="B90" s="4" t="s">
        <v>453</v>
      </c>
      <c r="C90" s="4" t="s">
        <v>454</v>
      </c>
      <c r="D90" s="3">
        <v>1</v>
      </c>
      <c r="E90" s="3" t="s">
        <v>16</v>
      </c>
      <c r="F90" s="3" t="s">
        <v>295</v>
      </c>
      <c r="G90" s="3" t="s">
        <v>17</v>
      </c>
      <c r="H90" s="3" t="s">
        <v>115</v>
      </c>
    </row>
    <row r="91" spans="1:8" x14ac:dyDescent="0.2">
      <c r="A91" s="3">
        <v>3030204005</v>
      </c>
      <c r="B91" s="4" t="s">
        <v>455</v>
      </c>
      <c r="C91" s="4" t="s">
        <v>456</v>
      </c>
      <c r="D91" s="3">
        <v>1</v>
      </c>
      <c r="E91" s="3" t="s">
        <v>16</v>
      </c>
      <c r="F91" s="3" t="s">
        <v>295</v>
      </c>
      <c r="G91" s="3" t="s">
        <v>17</v>
      </c>
      <c r="H91" s="3" t="s">
        <v>115</v>
      </c>
    </row>
    <row r="92" spans="1:8" x14ac:dyDescent="0.2">
      <c r="A92" s="3">
        <v>3050203003</v>
      </c>
      <c r="B92" s="4" t="s">
        <v>120</v>
      </c>
      <c r="C92" s="4" t="s">
        <v>457</v>
      </c>
      <c r="D92" s="3">
        <v>2</v>
      </c>
      <c r="E92" s="3" t="s">
        <v>16</v>
      </c>
      <c r="F92" s="3" t="s">
        <v>291</v>
      </c>
      <c r="G92" s="3" t="s">
        <v>26</v>
      </c>
      <c r="H92" s="3" t="s">
        <v>115</v>
      </c>
    </row>
    <row r="93" spans="1:8" x14ac:dyDescent="0.2">
      <c r="A93" s="3">
        <v>3050203007</v>
      </c>
      <c r="B93" s="4" t="s">
        <v>803</v>
      </c>
      <c r="C93" s="4" t="s">
        <v>804</v>
      </c>
      <c r="D93" s="3">
        <v>2</v>
      </c>
      <c r="E93" s="3" t="s">
        <v>16</v>
      </c>
      <c r="F93" s="3" t="s">
        <v>794</v>
      </c>
      <c r="G93" s="3" t="s">
        <v>795</v>
      </c>
      <c r="H93" s="3" t="s">
        <v>115</v>
      </c>
    </row>
    <row r="94" spans="1:8" x14ac:dyDescent="0.2">
      <c r="A94" s="3">
        <v>3030204008</v>
      </c>
      <c r="B94" s="4" t="s">
        <v>122</v>
      </c>
      <c r="C94" s="4" t="s">
        <v>123</v>
      </c>
      <c r="D94" s="3">
        <v>1</v>
      </c>
      <c r="E94" s="3" t="s">
        <v>16</v>
      </c>
      <c r="F94" s="3" t="s">
        <v>291</v>
      </c>
      <c r="G94" s="3" t="s">
        <v>26</v>
      </c>
      <c r="H94" s="3" t="s">
        <v>115</v>
      </c>
    </row>
    <row r="95" spans="1:8" x14ac:dyDescent="0.2">
      <c r="A95" s="3">
        <v>3070104002</v>
      </c>
      <c r="B95" s="4" t="s">
        <v>128</v>
      </c>
      <c r="C95" s="4" t="s">
        <v>129</v>
      </c>
      <c r="D95" s="3">
        <v>1</v>
      </c>
      <c r="E95" s="3" t="s">
        <v>16</v>
      </c>
      <c r="F95" s="3" t="s">
        <v>317</v>
      </c>
      <c r="G95" s="3" t="s">
        <v>318</v>
      </c>
      <c r="H95" s="3" t="s">
        <v>115</v>
      </c>
    </row>
    <row r="96" spans="1:8" x14ac:dyDescent="0.2">
      <c r="A96" s="3">
        <v>3070104001</v>
      </c>
      <c r="B96" s="4" t="s">
        <v>331</v>
      </c>
      <c r="C96" s="4" t="s">
        <v>332</v>
      </c>
      <c r="D96" s="3">
        <v>1</v>
      </c>
      <c r="E96" s="3" t="s">
        <v>16</v>
      </c>
      <c r="F96" s="3" t="s">
        <v>317</v>
      </c>
      <c r="G96" s="3" t="s">
        <v>318</v>
      </c>
      <c r="H96" s="3" t="s">
        <v>115</v>
      </c>
    </row>
    <row r="97" spans="1:8" x14ac:dyDescent="0.2">
      <c r="A97" s="3">
        <v>3030206001</v>
      </c>
      <c r="B97" s="4" t="s">
        <v>458</v>
      </c>
      <c r="C97" s="4" t="s">
        <v>404</v>
      </c>
      <c r="D97" s="3">
        <v>1</v>
      </c>
      <c r="E97" s="3" t="s">
        <v>16</v>
      </c>
      <c r="F97" s="3" t="s">
        <v>295</v>
      </c>
      <c r="G97" s="3" t="s">
        <v>17</v>
      </c>
      <c r="H97" s="3" t="s">
        <v>132</v>
      </c>
    </row>
    <row r="98" spans="1:8" x14ac:dyDescent="0.2">
      <c r="A98" s="3">
        <v>3080199003</v>
      </c>
      <c r="B98" s="4" t="s">
        <v>805</v>
      </c>
      <c r="C98" s="4" t="s">
        <v>806</v>
      </c>
      <c r="D98" s="3">
        <v>2</v>
      </c>
      <c r="E98" s="3" t="s">
        <v>16</v>
      </c>
      <c r="F98" s="3" t="s">
        <v>794</v>
      </c>
      <c r="G98" s="3" t="s">
        <v>795</v>
      </c>
      <c r="H98" s="3" t="s">
        <v>807</v>
      </c>
    </row>
    <row r="99" spans="1:8" x14ac:dyDescent="0.2">
      <c r="A99" s="3">
        <v>3040502046</v>
      </c>
      <c r="B99" s="4" t="s">
        <v>136</v>
      </c>
      <c r="C99" s="4" t="s">
        <v>778</v>
      </c>
      <c r="D99" s="3">
        <v>1</v>
      </c>
      <c r="E99" s="3" t="s">
        <v>16</v>
      </c>
      <c r="F99" s="3" t="s">
        <v>293</v>
      </c>
      <c r="G99" s="3" t="s">
        <v>29</v>
      </c>
      <c r="H99" s="3" t="s">
        <v>138</v>
      </c>
    </row>
    <row r="100" spans="1:8" x14ac:dyDescent="0.2">
      <c r="A100" s="3">
        <v>3040502048</v>
      </c>
      <c r="B100" s="4" t="s">
        <v>136</v>
      </c>
      <c r="C100" s="4" t="s">
        <v>779</v>
      </c>
      <c r="D100" s="3">
        <v>1</v>
      </c>
      <c r="E100" s="3" t="s">
        <v>16</v>
      </c>
      <c r="F100" s="3" t="s">
        <v>293</v>
      </c>
      <c r="G100" s="3" t="s">
        <v>29</v>
      </c>
      <c r="H100" s="3" t="s">
        <v>138</v>
      </c>
    </row>
    <row r="101" spans="1:8" x14ac:dyDescent="0.2">
      <c r="A101" s="3">
        <v>3990207002</v>
      </c>
      <c r="B101" s="4" t="s">
        <v>140</v>
      </c>
      <c r="C101" s="4" t="s">
        <v>714</v>
      </c>
      <c r="D101" s="3">
        <v>1</v>
      </c>
      <c r="E101" s="3" t="s">
        <v>16</v>
      </c>
      <c r="F101" s="3" t="s">
        <v>285</v>
      </c>
      <c r="G101" s="3" t="s">
        <v>142</v>
      </c>
      <c r="H101" s="3" t="s">
        <v>143</v>
      </c>
    </row>
    <row r="102" spans="1:8" x14ac:dyDescent="0.2">
      <c r="A102" s="3">
        <v>3030301005</v>
      </c>
      <c r="B102" s="4" t="s">
        <v>144</v>
      </c>
      <c r="C102" s="4" t="s">
        <v>145</v>
      </c>
      <c r="D102" s="3">
        <v>2</v>
      </c>
      <c r="E102" s="3" t="s">
        <v>16</v>
      </c>
      <c r="F102" s="3" t="s">
        <v>291</v>
      </c>
      <c r="G102" s="3" t="s">
        <v>26</v>
      </c>
      <c r="H102" s="3" t="s">
        <v>143</v>
      </c>
    </row>
    <row r="103" spans="1:8" x14ac:dyDescent="0.2">
      <c r="A103" s="3">
        <v>3990204002</v>
      </c>
      <c r="B103" s="4" t="s">
        <v>333</v>
      </c>
      <c r="C103" s="4" t="s">
        <v>334</v>
      </c>
      <c r="D103" s="3">
        <v>1</v>
      </c>
      <c r="E103" s="3" t="s">
        <v>16</v>
      </c>
      <c r="F103" s="3" t="s">
        <v>335</v>
      </c>
      <c r="G103" s="3" t="s">
        <v>336</v>
      </c>
      <c r="H103" s="3" t="s">
        <v>143</v>
      </c>
    </row>
    <row r="104" spans="1:8" x14ac:dyDescent="0.2">
      <c r="A104" s="3">
        <v>3990206001</v>
      </c>
      <c r="B104" s="4" t="s">
        <v>715</v>
      </c>
      <c r="C104" s="4" t="s">
        <v>716</v>
      </c>
      <c r="D104" s="3">
        <v>1</v>
      </c>
      <c r="E104" s="3" t="s">
        <v>16</v>
      </c>
      <c r="F104" s="3" t="s">
        <v>717</v>
      </c>
      <c r="G104" s="3" t="s">
        <v>718</v>
      </c>
      <c r="H104" s="3" t="s">
        <v>143</v>
      </c>
    </row>
    <row r="105" spans="1:8" x14ac:dyDescent="0.2">
      <c r="A105" s="3">
        <v>3990205003</v>
      </c>
      <c r="B105" s="4" t="s">
        <v>146</v>
      </c>
      <c r="C105" s="4" t="s">
        <v>460</v>
      </c>
      <c r="D105" s="3">
        <v>1</v>
      </c>
      <c r="E105" s="3" t="s">
        <v>16</v>
      </c>
      <c r="F105" s="3" t="s">
        <v>287</v>
      </c>
      <c r="G105" s="3" t="s">
        <v>148</v>
      </c>
      <c r="H105" s="3" t="s">
        <v>143</v>
      </c>
    </row>
    <row r="106" spans="1:8" x14ac:dyDescent="0.2">
      <c r="A106" s="3">
        <v>408090008</v>
      </c>
      <c r="B106" s="4" t="s">
        <v>461</v>
      </c>
      <c r="C106" s="4" t="s">
        <v>462</v>
      </c>
      <c r="D106" s="3">
        <v>1</v>
      </c>
      <c r="E106" s="3" t="s">
        <v>16</v>
      </c>
      <c r="F106" s="3" t="s">
        <v>293</v>
      </c>
      <c r="G106" s="3" t="s">
        <v>29</v>
      </c>
      <c r="H106" s="3" t="s">
        <v>151</v>
      </c>
    </row>
    <row r="107" spans="1:8" x14ac:dyDescent="0.2">
      <c r="A107" s="3">
        <v>408090007</v>
      </c>
      <c r="B107" s="4" t="s">
        <v>463</v>
      </c>
      <c r="C107" s="4" t="s">
        <v>464</v>
      </c>
      <c r="D107" s="3">
        <v>1</v>
      </c>
      <c r="E107" s="3" t="s">
        <v>16</v>
      </c>
      <c r="F107" s="3" t="s">
        <v>293</v>
      </c>
      <c r="G107" s="3" t="s">
        <v>29</v>
      </c>
      <c r="H107" s="3" t="s">
        <v>151</v>
      </c>
    </row>
    <row r="108" spans="1:8" x14ac:dyDescent="0.2">
      <c r="A108" s="3">
        <v>407010154</v>
      </c>
      <c r="B108" s="4" t="s">
        <v>808</v>
      </c>
      <c r="C108" s="4" t="s">
        <v>809</v>
      </c>
      <c r="D108" s="3">
        <v>1</v>
      </c>
      <c r="E108" s="3" t="s">
        <v>16</v>
      </c>
      <c r="F108" s="3" t="s">
        <v>794</v>
      </c>
      <c r="G108" s="3" t="s">
        <v>795</v>
      </c>
      <c r="H108" s="3" t="s">
        <v>151</v>
      </c>
    </row>
    <row r="109" spans="1:8" x14ac:dyDescent="0.2">
      <c r="A109" s="3">
        <v>408050029</v>
      </c>
      <c r="B109" s="4" t="s">
        <v>810</v>
      </c>
      <c r="C109" s="4" t="s">
        <v>811</v>
      </c>
      <c r="D109" s="3">
        <v>1</v>
      </c>
      <c r="E109" s="3" t="s">
        <v>16</v>
      </c>
      <c r="F109" s="3" t="s">
        <v>794</v>
      </c>
      <c r="G109" s="3" t="s">
        <v>795</v>
      </c>
      <c r="H109" s="3" t="s">
        <v>151</v>
      </c>
    </row>
    <row r="110" spans="1:8" x14ac:dyDescent="0.2">
      <c r="A110" s="3">
        <v>407010094</v>
      </c>
      <c r="B110" s="4" t="s">
        <v>149</v>
      </c>
      <c r="C110" s="4" t="s">
        <v>1103</v>
      </c>
      <c r="D110" s="3">
        <v>1</v>
      </c>
      <c r="E110" s="3" t="s">
        <v>16</v>
      </c>
      <c r="F110" s="3" t="s">
        <v>289</v>
      </c>
      <c r="G110" s="3" t="s">
        <v>23</v>
      </c>
      <c r="H110" s="3" t="s">
        <v>151</v>
      </c>
    </row>
    <row r="111" spans="1:8" x14ac:dyDescent="0.2">
      <c r="A111" s="3">
        <v>3060318001</v>
      </c>
      <c r="B111" s="4" t="s">
        <v>720</v>
      </c>
      <c r="C111" s="4" t="s">
        <v>721</v>
      </c>
      <c r="D111" s="3">
        <v>1</v>
      </c>
      <c r="E111" s="3" t="s">
        <v>16</v>
      </c>
      <c r="F111" s="3" t="s">
        <v>289</v>
      </c>
      <c r="G111" s="3" t="s">
        <v>23</v>
      </c>
      <c r="H111" s="3" t="s">
        <v>154</v>
      </c>
    </row>
    <row r="112" spans="1:8" x14ac:dyDescent="0.2">
      <c r="A112" s="3">
        <v>3060327003</v>
      </c>
      <c r="B112" s="4" t="s">
        <v>722</v>
      </c>
      <c r="C112" s="4" t="s">
        <v>723</v>
      </c>
      <c r="D112" s="3">
        <v>1</v>
      </c>
      <c r="E112" s="3" t="s">
        <v>16</v>
      </c>
      <c r="F112" s="3" t="s">
        <v>289</v>
      </c>
      <c r="G112" s="3" t="s">
        <v>23</v>
      </c>
      <c r="H112" s="3" t="s">
        <v>154</v>
      </c>
    </row>
    <row r="113" spans="1:8" x14ac:dyDescent="0.2">
      <c r="A113" s="3">
        <v>3080507001</v>
      </c>
      <c r="B113" s="4" t="s">
        <v>466</v>
      </c>
      <c r="C113" s="4" t="s">
        <v>467</v>
      </c>
      <c r="D113" s="3">
        <v>4</v>
      </c>
      <c r="E113" s="3" t="s">
        <v>16</v>
      </c>
      <c r="F113" s="3" t="s">
        <v>291</v>
      </c>
      <c r="G113" s="3" t="s">
        <v>26</v>
      </c>
      <c r="H113" s="3" t="s">
        <v>154</v>
      </c>
    </row>
    <row r="114" spans="1:8" x14ac:dyDescent="0.2">
      <c r="A114" s="3">
        <v>3050307049</v>
      </c>
      <c r="B114" s="4" t="s">
        <v>812</v>
      </c>
      <c r="C114" s="4" t="s">
        <v>813</v>
      </c>
      <c r="D114" s="3">
        <v>2</v>
      </c>
      <c r="E114" s="3" t="s">
        <v>16</v>
      </c>
      <c r="F114" s="3" t="s">
        <v>794</v>
      </c>
      <c r="G114" s="3" t="s">
        <v>795</v>
      </c>
      <c r="H114" s="3" t="s">
        <v>154</v>
      </c>
    </row>
    <row r="115" spans="1:8" x14ac:dyDescent="0.2">
      <c r="A115" s="3">
        <v>3030301010</v>
      </c>
      <c r="B115" s="4" t="s">
        <v>468</v>
      </c>
      <c r="C115" s="4" t="s">
        <v>469</v>
      </c>
      <c r="D115" s="3">
        <v>4</v>
      </c>
      <c r="E115" s="3" t="s">
        <v>16</v>
      </c>
      <c r="F115" s="3" t="s">
        <v>295</v>
      </c>
      <c r="G115" s="3" t="s">
        <v>17</v>
      </c>
      <c r="H115" s="3" t="s">
        <v>165</v>
      </c>
    </row>
    <row r="116" spans="1:8" x14ac:dyDescent="0.2">
      <c r="A116" s="3">
        <v>3060347005</v>
      </c>
      <c r="B116" s="4" t="s">
        <v>470</v>
      </c>
      <c r="C116" s="4" t="s">
        <v>471</v>
      </c>
      <c r="D116" s="3">
        <v>1</v>
      </c>
      <c r="E116" s="3" t="s">
        <v>16</v>
      </c>
      <c r="F116" s="3" t="s">
        <v>291</v>
      </c>
      <c r="G116" s="3" t="s">
        <v>26</v>
      </c>
      <c r="H116" s="3" t="s">
        <v>165</v>
      </c>
    </row>
    <row r="117" spans="1:8" x14ac:dyDescent="0.2">
      <c r="A117" s="3">
        <v>3060347006</v>
      </c>
      <c r="B117" s="4" t="s">
        <v>470</v>
      </c>
      <c r="C117" s="4" t="s">
        <v>472</v>
      </c>
      <c r="D117" s="3">
        <v>1</v>
      </c>
      <c r="E117" s="3" t="s">
        <v>16</v>
      </c>
      <c r="F117" s="3" t="s">
        <v>291</v>
      </c>
      <c r="G117" s="3" t="s">
        <v>26</v>
      </c>
      <c r="H117" s="3" t="s">
        <v>165</v>
      </c>
    </row>
    <row r="118" spans="1:8" x14ac:dyDescent="0.2">
      <c r="A118" s="3">
        <v>3060307003</v>
      </c>
      <c r="B118" s="4" t="s">
        <v>1085</v>
      </c>
      <c r="C118" s="4" t="s">
        <v>1086</v>
      </c>
      <c r="D118" s="3">
        <v>1</v>
      </c>
      <c r="E118" s="3" t="s">
        <v>16</v>
      </c>
      <c r="F118" s="3" t="s">
        <v>291</v>
      </c>
      <c r="G118" s="3" t="s">
        <v>26</v>
      </c>
      <c r="H118" s="3" t="s">
        <v>165</v>
      </c>
    </row>
    <row r="119" spans="1:8" x14ac:dyDescent="0.2">
      <c r="A119" s="3">
        <v>3060307004</v>
      </c>
      <c r="B119" s="4" t="s">
        <v>1085</v>
      </c>
      <c r="C119" s="4" t="s">
        <v>1087</v>
      </c>
      <c r="D119" s="3">
        <v>1</v>
      </c>
      <c r="E119" s="3" t="s">
        <v>16</v>
      </c>
      <c r="F119" s="3" t="s">
        <v>291</v>
      </c>
      <c r="G119" s="3" t="s">
        <v>26</v>
      </c>
      <c r="H119" s="3" t="s">
        <v>165</v>
      </c>
    </row>
    <row r="120" spans="1:8" x14ac:dyDescent="0.2">
      <c r="A120" s="3">
        <v>3110103002</v>
      </c>
      <c r="B120" s="4" t="s">
        <v>473</v>
      </c>
      <c r="C120" s="4" t="s">
        <v>474</v>
      </c>
      <c r="D120" s="3">
        <v>1</v>
      </c>
      <c r="E120" s="3" t="s">
        <v>16</v>
      </c>
      <c r="F120" s="3" t="s">
        <v>291</v>
      </c>
      <c r="G120" s="3" t="s">
        <v>26</v>
      </c>
      <c r="H120" s="3" t="s">
        <v>165</v>
      </c>
    </row>
    <row r="121" spans="1:8" x14ac:dyDescent="0.2">
      <c r="A121" s="3">
        <v>3030316006</v>
      </c>
      <c r="B121" s="4" t="s">
        <v>475</v>
      </c>
      <c r="C121" s="4" t="s">
        <v>476</v>
      </c>
      <c r="D121" s="3">
        <v>1</v>
      </c>
      <c r="E121" s="3" t="s">
        <v>16</v>
      </c>
      <c r="F121" s="3" t="s">
        <v>295</v>
      </c>
      <c r="G121" s="3" t="s">
        <v>17</v>
      </c>
      <c r="H121" s="3" t="s">
        <v>165</v>
      </c>
    </row>
    <row r="122" spans="1:8" x14ac:dyDescent="0.2">
      <c r="A122" s="3">
        <v>3050304010</v>
      </c>
      <c r="B122" s="4" t="s">
        <v>814</v>
      </c>
      <c r="C122" s="4" t="s">
        <v>815</v>
      </c>
      <c r="D122" s="3">
        <v>1</v>
      </c>
      <c r="E122" s="3" t="s">
        <v>16</v>
      </c>
      <c r="F122" s="3" t="s">
        <v>794</v>
      </c>
      <c r="G122" s="3" t="s">
        <v>795</v>
      </c>
      <c r="H122" s="3" t="s">
        <v>165</v>
      </c>
    </row>
    <row r="123" spans="1:8" x14ac:dyDescent="0.2">
      <c r="A123" s="3">
        <v>3050310003</v>
      </c>
      <c r="B123" s="4" t="s">
        <v>816</v>
      </c>
      <c r="C123" s="4" t="s">
        <v>817</v>
      </c>
      <c r="D123" s="3">
        <v>1</v>
      </c>
      <c r="E123" s="3" t="s">
        <v>16</v>
      </c>
      <c r="F123" s="3" t="s">
        <v>794</v>
      </c>
      <c r="G123" s="3" t="s">
        <v>795</v>
      </c>
      <c r="H123" s="3" t="s">
        <v>165</v>
      </c>
    </row>
    <row r="124" spans="1:8" x14ac:dyDescent="0.2">
      <c r="A124" s="3">
        <v>3030314007</v>
      </c>
      <c r="B124" s="4" t="s">
        <v>477</v>
      </c>
      <c r="C124" s="4" t="s">
        <v>478</v>
      </c>
      <c r="D124" s="3">
        <v>1</v>
      </c>
      <c r="E124" s="3" t="s">
        <v>16</v>
      </c>
      <c r="F124" s="3" t="s">
        <v>291</v>
      </c>
      <c r="G124" s="3" t="s">
        <v>26</v>
      </c>
      <c r="H124" s="3" t="s">
        <v>165</v>
      </c>
    </row>
    <row r="125" spans="1:8" x14ac:dyDescent="0.2">
      <c r="A125" s="3">
        <v>3030308013</v>
      </c>
      <c r="B125" s="4" t="s">
        <v>479</v>
      </c>
      <c r="C125" s="4" t="s">
        <v>478</v>
      </c>
      <c r="D125" s="3">
        <v>1</v>
      </c>
      <c r="E125" s="3" t="s">
        <v>16</v>
      </c>
      <c r="F125" s="3" t="s">
        <v>291</v>
      </c>
      <c r="G125" s="3" t="s">
        <v>26</v>
      </c>
      <c r="H125" s="3" t="s">
        <v>165</v>
      </c>
    </row>
    <row r="126" spans="1:8" x14ac:dyDescent="0.2">
      <c r="A126" s="3">
        <v>3050310030</v>
      </c>
      <c r="B126" s="4" t="s">
        <v>480</v>
      </c>
      <c r="C126" s="4" t="s">
        <v>469</v>
      </c>
      <c r="D126" s="3">
        <v>2</v>
      </c>
      <c r="E126" s="3" t="s">
        <v>16</v>
      </c>
      <c r="F126" s="3" t="s">
        <v>291</v>
      </c>
      <c r="G126" s="3" t="s">
        <v>26</v>
      </c>
      <c r="H126" s="3" t="s">
        <v>165</v>
      </c>
    </row>
    <row r="127" spans="1:8" x14ac:dyDescent="0.2">
      <c r="A127" s="3">
        <v>3010106010</v>
      </c>
      <c r="B127" s="4" t="s">
        <v>481</v>
      </c>
      <c r="C127" s="4" t="s">
        <v>482</v>
      </c>
      <c r="D127" s="3">
        <v>0.03</v>
      </c>
      <c r="E127" s="3" t="s">
        <v>10</v>
      </c>
      <c r="F127" s="3" t="s">
        <v>284</v>
      </c>
      <c r="G127" s="3" t="s">
        <v>11</v>
      </c>
      <c r="H127" s="3" t="s">
        <v>483</v>
      </c>
    </row>
    <row r="128" spans="1:8" x14ac:dyDescent="0.2">
      <c r="A128" s="3">
        <v>3060333003</v>
      </c>
      <c r="B128" s="4" t="s">
        <v>227</v>
      </c>
      <c r="C128" s="4" t="s">
        <v>724</v>
      </c>
      <c r="D128" s="3">
        <v>1</v>
      </c>
      <c r="E128" s="3" t="s">
        <v>16</v>
      </c>
      <c r="F128" s="3" t="s">
        <v>289</v>
      </c>
      <c r="G128" s="3" t="s">
        <v>23</v>
      </c>
      <c r="H128" s="3" t="s">
        <v>173</v>
      </c>
    </row>
    <row r="129" spans="1:8" x14ac:dyDescent="0.2">
      <c r="A129" s="3">
        <v>3050305013</v>
      </c>
      <c r="B129" s="4" t="s">
        <v>484</v>
      </c>
      <c r="C129" s="4" t="s">
        <v>485</v>
      </c>
      <c r="D129" s="3">
        <v>1</v>
      </c>
      <c r="E129" s="3" t="s">
        <v>16</v>
      </c>
      <c r="F129" s="3" t="s">
        <v>291</v>
      </c>
      <c r="G129" s="3" t="s">
        <v>26</v>
      </c>
      <c r="H129" s="3" t="s">
        <v>173</v>
      </c>
    </row>
    <row r="130" spans="1:8" x14ac:dyDescent="0.2">
      <c r="A130" s="3">
        <v>3040305002</v>
      </c>
      <c r="B130" s="4" t="s">
        <v>486</v>
      </c>
      <c r="C130" s="4" t="s">
        <v>487</v>
      </c>
      <c r="D130" s="3">
        <v>2</v>
      </c>
      <c r="E130" s="3" t="s">
        <v>16</v>
      </c>
      <c r="F130" s="3" t="s">
        <v>293</v>
      </c>
      <c r="G130" s="3" t="s">
        <v>29</v>
      </c>
      <c r="H130" s="3" t="s">
        <v>173</v>
      </c>
    </row>
    <row r="131" spans="1:8" x14ac:dyDescent="0.2">
      <c r="A131" s="3">
        <v>3040313002</v>
      </c>
      <c r="B131" s="4" t="s">
        <v>488</v>
      </c>
      <c r="C131" s="4" t="s">
        <v>489</v>
      </c>
      <c r="D131" s="3">
        <v>8</v>
      </c>
      <c r="E131" s="3" t="s">
        <v>16</v>
      </c>
      <c r="F131" s="3" t="s">
        <v>293</v>
      </c>
      <c r="G131" s="3" t="s">
        <v>29</v>
      </c>
      <c r="H131" s="3" t="s">
        <v>173</v>
      </c>
    </row>
    <row r="132" spans="1:8" x14ac:dyDescent="0.2">
      <c r="A132" s="3">
        <v>3040321001</v>
      </c>
      <c r="B132" s="4" t="s">
        <v>490</v>
      </c>
      <c r="C132" s="4" t="s">
        <v>347</v>
      </c>
      <c r="D132" s="3">
        <v>8</v>
      </c>
      <c r="E132" s="3" t="s">
        <v>16</v>
      </c>
      <c r="F132" s="3" t="s">
        <v>293</v>
      </c>
      <c r="G132" s="3" t="s">
        <v>29</v>
      </c>
      <c r="H132" s="3" t="s">
        <v>173</v>
      </c>
    </row>
    <row r="133" spans="1:8" x14ac:dyDescent="0.2">
      <c r="A133" s="3">
        <v>3040309001</v>
      </c>
      <c r="B133" s="4" t="s">
        <v>346</v>
      </c>
      <c r="C133" s="4" t="s">
        <v>347</v>
      </c>
      <c r="D133" s="3">
        <v>4</v>
      </c>
      <c r="E133" s="3" t="s">
        <v>16</v>
      </c>
      <c r="F133" s="3" t="s">
        <v>293</v>
      </c>
      <c r="G133" s="3" t="s">
        <v>29</v>
      </c>
      <c r="H133" s="3" t="s">
        <v>173</v>
      </c>
    </row>
    <row r="134" spans="1:8" x14ac:dyDescent="0.2">
      <c r="A134" s="3">
        <v>3070201002</v>
      </c>
      <c r="B134" s="4" t="s">
        <v>348</v>
      </c>
      <c r="C134" s="4" t="s">
        <v>349</v>
      </c>
      <c r="D134" s="3">
        <v>1</v>
      </c>
      <c r="E134" s="3" t="s">
        <v>16</v>
      </c>
      <c r="F134" s="3" t="s">
        <v>317</v>
      </c>
      <c r="G134" s="3" t="s">
        <v>318</v>
      </c>
      <c r="H134" s="3" t="s">
        <v>173</v>
      </c>
    </row>
    <row r="135" spans="1:8" x14ac:dyDescent="0.2">
      <c r="A135" s="3">
        <v>3060340001</v>
      </c>
      <c r="B135" s="4" t="s">
        <v>725</v>
      </c>
      <c r="C135" s="4" t="s">
        <v>726</v>
      </c>
      <c r="D135" s="3">
        <v>1</v>
      </c>
      <c r="E135" s="3" t="s">
        <v>16</v>
      </c>
      <c r="F135" s="3" t="s">
        <v>702</v>
      </c>
      <c r="G135" s="3" t="s">
        <v>703</v>
      </c>
      <c r="H135" s="3" t="s">
        <v>173</v>
      </c>
    </row>
    <row r="136" spans="1:8" x14ac:dyDescent="0.2">
      <c r="A136" s="3">
        <v>3050304006</v>
      </c>
      <c r="B136" s="4" t="s">
        <v>181</v>
      </c>
      <c r="C136" s="4" t="s">
        <v>491</v>
      </c>
      <c r="D136" s="3">
        <v>1</v>
      </c>
      <c r="E136" s="3" t="s">
        <v>16</v>
      </c>
      <c r="F136" s="3" t="s">
        <v>291</v>
      </c>
      <c r="G136" s="3" t="s">
        <v>26</v>
      </c>
      <c r="H136" s="3" t="s">
        <v>173</v>
      </c>
    </row>
    <row r="137" spans="1:8" x14ac:dyDescent="0.2">
      <c r="A137" s="3">
        <v>3020501004</v>
      </c>
      <c r="B137" s="4" t="s">
        <v>183</v>
      </c>
      <c r="C137" s="4" t="s">
        <v>761</v>
      </c>
      <c r="D137" s="3">
        <v>1</v>
      </c>
      <c r="E137" s="3" t="s">
        <v>16</v>
      </c>
      <c r="F137" s="3" t="s">
        <v>291</v>
      </c>
      <c r="G137" s="3" t="s">
        <v>26</v>
      </c>
      <c r="H137" s="3" t="s">
        <v>185</v>
      </c>
    </row>
    <row r="138" spans="1:8" x14ac:dyDescent="0.2">
      <c r="A138" s="3">
        <v>3030204003</v>
      </c>
      <c r="B138" s="4" t="s">
        <v>492</v>
      </c>
      <c r="C138" s="4" t="s">
        <v>493</v>
      </c>
      <c r="D138" s="3">
        <v>2</v>
      </c>
      <c r="E138" s="3" t="s">
        <v>16</v>
      </c>
      <c r="F138" s="3" t="s">
        <v>295</v>
      </c>
      <c r="G138" s="3" t="s">
        <v>17</v>
      </c>
      <c r="H138" s="3" t="s">
        <v>494</v>
      </c>
    </row>
    <row r="139" spans="1:8" x14ac:dyDescent="0.2">
      <c r="A139" s="3">
        <v>3990201008</v>
      </c>
      <c r="B139" s="4" t="s">
        <v>186</v>
      </c>
      <c r="C139" s="4" t="s">
        <v>495</v>
      </c>
      <c r="D139" s="3">
        <v>1</v>
      </c>
      <c r="E139" s="3" t="s">
        <v>16</v>
      </c>
      <c r="F139" s="3" t="s">
        <v>295</v>
      </c>
      <c r="G139" s="3" t="s">
        <v>17</v>
      </c>
      <c r="H139" s="3" t="s">
        <v>187</v>
      </c>
    </row>
    <row r="140" spans="1:8" x14ac:dyDescent="0.2">
      <c r="A140" s="3">
        <v>3990202007</v>
      </c>
      <c r="B140" s="4" t="s">
        <v>188</v>
      </c>
      <c r="C140" s="4" t="s">
        <v>495</v>
      </c>
      <c r="D140" s="3">
        <v>1</v>
      </c>
      <c r="E140" s="3" t="s">
        <v>16</v>
      </c>
      <c r="F140" s="3" t="s">
        <v>295</v>
      </c>
      <c r="G140" s="3" t="s">
        <v>17</v>
      </c>
      <c r="H140" s="3" t="s">
        <v>187</v>
      </c>
    </row>
    <row r="141" spans="1:8" x14ac:dyDescent="0.2">
      <c r="A141" s="3">
        <v>3990203002</v>
      </c>
      <c r="B141" s="4" t="s">
        <v>189</v>
      </c>
      <c r="C141" s="4" t="s">
        <v>495</v>
      </c>
      <c r="D141" s="3">
        <v>1</v>
      </c>
      <c r="E141" s="3" t="s">
        <v>16</v>
      </c>
      <c r="F141" s="3" t="s">
        <v>295</v>
      </c>
      <c r="G141" s="3" t="s">
        <v>17</v>
      </c>
      <c r="H141" s="3" t="s">
        <v>187</v>
      </c>
    </row>
    <row r="142" spans="1:8" x14ac:dyDescent="0.2">
      <c r="A142" s="3">
        <v>3050405006</v>
      </c>
      <c r="B142" s="4" t="s">
        <v>1088</v>
      </c>
      <c r="C142" s="4" t="s">
        <v>1089</v>
      </c>
      <c r="D142" s="3">
        <v>1</v>
      </c>
      <c r="E142" s="3" t="s">
        <v>16</v>
      </c>
      <c r="F142" s="3" t="s">
        <v>291</v>
      </c>
      <c r="G142" s="3" t="s">
        <v>26</v>
      </c>
      <c r="H142" s="3" t="s">
        <v>192</v>
      </c>
    </row>
    <row r="143" spans="1:8" x14ac:dyDescent="0.2">
      <c r="A143" s="3">
        <v>3060403035</v>
      </c>
      <c r="B143" s="4" t="s">
        <v>957</v>
      </c>
      <c r="C143" s="4" t="s">
        <v>502</v>
      </c>
      <c r="D143" s="3">
        <v>1</v>
      </c>
      <c r="E143" s="3" t="s">
        <v>16</v>
      </c>
      <c r="F143" s="3" t="s">
        <v>295</v>
      </c>
      <c r="G143" s="3" t="s">
        <v>17</v>
      </c>
      <c r="H143" s="3" t="s">
        <v>192</v>
      </c>
    </row>
    <row r="144" spans="1:8" x14ac:dyDescent="0.2">
      <c r="A144" s="3">
        <v>3060403036</v>
      </c>
      <c r="B144" s="4" t="s">
        <v>957</v>
      </c>
      <c r="C144" s="4" t="s">
        <v>501</v>
      </c>
      <c r="D144" s="3">
        <v>1</v>
      </c>
      <c r="E144" s="3" t="s">
        <v>16</v>
      </c>
      <c r="F144" s="3" t="s">
        <v>295</v>
      </c>
      <c r="G144" s="3" t="s">
        <v>17</v>
      </c>
      <c r="H144" s="3" t="s">
        <v>192</v>
      </c>
    </row>
    <row r="145" spans="1:8" x14ac:dyDescent="0.2">
      <c r="A145" s="3">
        <v>3060401001</v>
      </c>
      <c r="B145" s="4" t="s">
        <v>727</v>
      </c>
      <c r="C145" s="4" t="s">
        <v>728</v>
      </c>
      <c r="D145" s="3">
        <v>2</v>
      </c>
      <c r="E145" s="3" t="s">
        <v>16</v>
      </c>
      <c r="F145" s="3" t="s">
        <v>289</v>
      </c>
      <c r="G145" s="3" t="s">
        <v>23</v>
      </c>
      <c r="H145" s="3" t="s">
        <v>192</v>
      </c>
    </row>
    <row r="146" spans="1:8" x14ac:dyDescent="0.2">
      <c r="A146" s="3">
        <v>3030402001</v>
      </c>
      <c r="B146" s="4" t="s">
        <v>498</v>
      </c>
      <c r="C146" s="4" t="s">
        <v>499</v>
      </c>
      <c r="D146" s="3">
        <v>1</v>
      </c>
      <c r="E146" s="3" t="s">
        <v>16</v>
      </c>
      <c r="F146" s="3" t="s">
        <v>295</v>
      </c>
      <c r="G146" s="3" t="s">
        <v>17</v>
      </c>
      <c r="H146" s="3" t="s">
        <v>192</v>
      </c>
    </row>
    <row r="147" spans="1:8" x14ac:dyDescent="0.2">
      <c r="A147" s="3">
        <v>3040402005</v>
      </c>
      <c r="B147" s="4" t="s">
        <v>500</v>
      </c>
      <c r="C147" s="4" t="s">
        <v>501</v>
      </c>
      <c r="D147" s="3">
        <v>1</v>
      </c>
      <c r="E147" s="3" t="s">
        <v>16</v>
      </c>
      <c r="F147" s="3" t="s">
        <v>293</v>
      </c>
      <c r="G147" s="3" t="s">
        <v>29</v>
      </c>
      <c r="H147" s="3" t="s">
        <v>192</v>
      </c>
    </row>
    <row r="148" spans="1:8" x14ac:dyDescent="0.2">
      <c r="A148" s="3">
        <v>3040402006</v>
      </c>
      <c r="B148" s="4" t="s">
        <v>500</v>
      </c>
      <c r="C148" s="4" t="s">
        <v>502</v>
      </c>
      <c r="D148" s="3">
        <v>1</v>
      </c>
      <c r="E148" s="3" t="s">
        <v>16</v>
      </c>
      <c r="F148" s="3" t="s">
        <v>293</v>
      </c>
      <c r="G148" s="3" t="s">
        <v>29</v>
      </c>
      <c r="H148" s="3" t="s">
        <v>192</v>
      </c>
    </row>
    <row r="149" spans="1:8" x14ac:dyDescent="0.2">
      <c r="A149" s="3">
        <v>3050402030</v>
      </c>
      <c r="B149" s="4" t="s">
        <v>818</v>
      </c>
      <c r="C149" s="4" t="s">
        <v>819</v>
      </c>
      <c r="D149" s="3">
        <v>1</v>
      </c>
      <c r="E149" s="3" t="s">
        <v>16</v>
      </c>
      <c r="F149" s="3" t="s">
        <v>794</v>
      </c>
      <c r="G149" s="3" t="s">
        <v>795</v>
      </c>
      <c r="H149" s="3" t="s">
        <v>192</v>
      </c>
    </row>
    <row r="150" spans="1:8" x14ac:dyDescent="0.2">
      <c r="A150" s="3">
        <v>3050401029</v>
      </c>
      <c r="B150" s="4" t="s">
        <v>820</v>
      </c>
      <c r="C150" s="4" t="s">
        <v>821</v>
      </c>
      <c r="D150" s="3">
        <v>1</v>
      </c>
      <c r="E150" s="3" t="s">
        <v>16</v>
      </c>
      <c r="F150" s="3" t="s">
        <v>794</v>
      </c>
      <c r="G150" s="3" t="s">
        <v>795</v>
      </c>
      <c r="H150" s="3" t="s">
        <v>192</v>
      </c>
    </row>
    <row r="151" spans="1:8" x14ac:dyDescent="0.2">
      <c r="A151" s="3">
        <v>3050401030</v>
      </c>
      <c r="B151" s="4" t="s">
        <v>820</v>
      </c>
      <c r="C151" s="4" t="s">
        <v>822</v>
      </c>
      <c r="D151" s="3">
        <v>1</v>
      </c>
      <c r="E151" s="3" t="s">
        <v>16</v>
      </c>
      <c r="F151" s="3" t="s">
        <v>794</v>
      </c>
      <c r="G151" s="3" t="s">
        <v>795</v>
      </c>
      <c r="H151" s="3" t="s">
        <v>192</v>
      </c>
    </row>
    <row r="152" spans="1:8" x14ac:dyDescent="0.2">
      <c r="A152" s="3">
        <v>3020301004</v>
      </c>
      <c r="B152" s="4" t="s">
        <v>209</v>
      </c>
      <c r="C152" s="4" t="s">
        <v>1090</v>
      </c>
      <c r="D152" s="3">
        <v>1</v>
      </c>
      <c r="E152" s="3" t="s">
        <v>16</v>
      </c>
      <c r="F152" s="3" t="s">
        <v>301</v>
      </c>
      <c r="G152" s="3" t="s">
        <v>32</v>
      </c>
      <c r="H152" s="3" t="s">
        <v>192</v>
      </c>
    </row>
    <row r="153" spans="1:8" x14ac:dyDescent="0.2">
      <c r="A153" s="3">
        <v>404100035</v>
      </c>
      <c r="B153" s="4" t="s">
        <v>196</v>
      </c>
      <c r="C153" s="4" t="s">
        <v>1104</v>
      </c>
      <c r="D153" s="3">
        <v>1</v>
      </c>
      <c r="E153" s="3" t="s">
        <v>16</v>
      </c>
      <c r="F153" s="3" t="s">
        <v>301</v>
      </c>
      <c r="G153" s="3" t="s">
        <v>32</v>
      </c>
      <c r="H153" s="3" t="s">
        <v>198</v>
      </c>
    </row>
    <row r="154" spans="1:8" x14ac:dyDescent="0.2">
      <c r="A154" s="3">
        <v>404110007</v>
      </c>
      <c r="B154" s="4" t="s">
        <v>504</v>
      </c>
      <c r="C154" s="4" t="s">
        <v>790</v>
      </c>
      <c r="D154" s="3">
        <v>1</v>
      </c>
      <c r="E154" s="3" t="s">
        <v>16</v>
      </c>
      <c r="F154" s="3" t="s">
        <v>301</v>
      </c>
      <c r="G154" s="3" t="s">
        <v>32</v>
      </c>
      <c r="H154" s="3" t="s">
        <v>198</v>
      </c>
    </row>
    <row r="155" spans="1:8" x14ac:dyDescent="0.2">
      <c r="A155" s="3">
        <v>404110009</v>
      </c>
      <c r="B155" s="4" t="s">
        <v>504</v>
      </c>
      <c r="C155" s="4" t="s">
        <v>791</v>
      </c>
      <c r="D155" s="3">
        <v>1</v>
      </c>
      <c r="E155" s="3" t="s">
        <v>16</v>
      </c>
      <c r="F155" s="3" t="s">
        <v>301</v>
      </c>
      <c r="G155" s="3" t="s">
        <v>32</v>
      </c>
      <c r="H155" s="3" t="s">
        <v>198</v>
      </c>
    </row>
    <row r="156" spans="1:8" x14ac:dyDescent="0.2">
      <c r="A156" s="3">
        <v>404110008</v>
      </c>
      <c r="B156" s="4" t="s">
        <v>504</v>
      </c>
      <c r="C156" s="4" t="s">
        <v>505</v>
      </c>
      <c r="D156" s="3">
        <v>2</v>
      </c>
      <c r="E156" s="3" t="s">
        <v>16</v>
      </c>
      <c r="F156" s="3" t="s">
        <v>291</v>
      </c>
      <c r="G156" s="3" t="s">
        <v>26</v>
      </c>
      <c r="H156" s="3" t="s">
        <v>198</v>
      </c>
    </row>
    <row r="157" spans="1:8" x14ac:dyDescent="0.2">
      <c r="A157" s="3">
        <v>403030012</v>
      </c>
      <c r="B157" s="4" t="s">
        <v>366</v>
      </c>
      <c r="C157" s="4" t="s">
        <v>507</v>
      </c>
      <c r="D157" s="3">
        <v>2</v>
      </c>
      <c r="E157" s="3" t="s">
        <v>16</v>
      </c>
      <c r="F157" s="3" t="s">
        <v>291</v>
      </c>
      <c r="G157" s="3" t="s">
        <v>26</v>
      </c>
      <c r="H157" s="3" t="s">
        <v>198</v>
      </c>
    </row>
    <row r="158" spans="1:8" x14ac:dyDescent="0.2">
      <c r="A158" s="3">
        <v>401070022</v>
      </c>
      <c r="B158" s="4" t="s">
        <v>35</v>
      </c>
      <c r="C158" s="4" t="s">
        <v>203</v>
      </c>
      <c r="D158" s="3">
        <v>1</v>
      </c>
      <c r="E158" s="3" t="s">
        <v>16</v>
      </c>
      <c r="F158" s="3" t="s">
        <v>297</v>
      </c>
      <c r="G158" s="3" t="s">
        <v>204</v>
      </c>
      <c r="H158" s="3" t="s">
        <v>198</v>
      </c>
    </row>
    <row r="159" spans="1:8" x14ac:dyDescent="0.2">
      <c r="A159" s="3">
        <v>401070018</v>
      </c>
      <c r="B159" s="4" t="s">
        <v>35</v>
      </c>
      <c r="C159" s="4" t="s">
        <v>202</v>
      </c>
      <c r="D159" s="3">
        <v>1</v>
      </c>
      <c r="E159" s="3" t="s">
        <v>16</v>
      </c>
      <c r="F159" s="3" t="s">
        <v>291</v>
      </c>
      <c r="G159" s="3" t="s">
        <v>26</v>
      </c>
      <c r="H159" s="3" t="s">
        <v>198</v>
      </c>
    </row>
    <row r="160" spans="1:8" x14ac:dyDescent="0.2">
      <c r="A160" s="3">
        <v>401040100</v>
      </c>
      <c r="B160" s="4" t="s">
        <v>35</v>
      </c>
      <c r="C160" s="4" t="s">
        <v>508</v>
      </c>
      <c r="D160" s="3">
        <v>1</v>
      </c>
      <c r="E160" s="3" t="s">
        <v>16</v>
      </c>
      <c r="F160" s="3" t="s">
        <v>291</v>
      </c>
      <c r="G160" s="3" t="s">
        <v>26</v>
      </c>
      <c r="H160" s="3" t="s">
        <v>198</v>
      </c>
    </row>
    <row r="161" spans="1:8" x14ac:dyDescent="0.2">
      <c r="A161" s="3">
        <v>404100003</v>
      </c>
      <c r="B161" s="4" t="s">
        <v>205</v>
      </c>
      <c r="C161" s="4" t="s">
        <v>509</v>
      </c>
      <c r="D161" s="3">
        <v>1</v>
      </c>
      <c r="E161" s="3" t="s">
        <v>16</v>
      </c>
      <c r="F161" s="3" t="s">
        <v>291</v>
      </c>
      <c r="G161" s="3" t="s">
        <v>26</v>
      </c>
      <c r="H161" s="3" t="s">
        <v>198</v>
      </c>
    </row>
    <row r="162" spans="1:8" x14ac:dyDescent="0.2">
      <c r="A162" s="3">
        <v>404100004</v>
      </c>
      <c r="B162" s="4" t="s">
        <v>207</v>
      </c>
      <c r="C162" s="4" t="s">
        <v>510</v>
      </c>
      <c r="D162" s="3">
        <v>1</v>
      </c>
      <c r="E162" s="3" t="s">
        <v>16</v>
      </c>
      <c r="F162" s="3" t="s">
        <v>291</v>
      </c>
      <c r="G162" s="3" t="s">
        <v>26</v>
      </c>
      <c r="H162" s="3" t="s">
        <v>198</v>
      </c>
    </row>
    <row r="163" spans="1:8" x14ac:dyDescent="0.2">
      <c r="A163" s="3">
        <v>3030305007</v>
      </c>
      <c r="B163" s="4" t="s">
        <v>511</v>
      </c>
      <c r="C163" s="4" t="s">
        <v>512</v>
      </c>
      <c r="D163" s="3">
        <v>1</v>
      </c>
      <c r="E163" s="3" t="s">
        <v>16</v>
      </c>
      <c r="F163" s="3" t="s">
        <v>295</v>
      </c>
      <c r="G163" s="3" t="s">
        <v>17</v>
      </c>
      <c r="H163" s="3" t="s">
        <v>211</v>
      </c>
    </row>
    <row r="164" spans="1:8" x14ac:dyDescent="0.2">
      <c r="A164" s="3">
        <v>3030305006</v>
      </c>
      <c r="B164" s="4" t="s">
        <v>513</v>
      </c>
      <c r="C164" s="4" t="s">
        <v>512</v>
      </c>
      <c r="D164" s="3">
        <v>1</v>
      </c>
      <c r="E164" s="3" t="s">
        <v>16</v>
      </c>
      <c r="F164" s="3" t="s">
        <v>295</v>
      </c>
      <c r="G164" s="3" t="s">
        <v>17</v>
      </c>
      <c r="H164" s="3" t="s">
        <v>211</v>
      </c>
    </row>
    <row r="165" spans="1:8" x14ac:dyDescent="0.2">
      <c r="A165" s="3">
        <v>3069904001</v>
      </c>
      <c r="B165" s="4" t="s">
        <v>514</v>
      </c>
      <c r="C165" s="4" t="s">
        <v>355</v>
      </c>
      <c r="D165" s="3">
        <v>4</v>
      </c>
      <c r="E165" s="3" t="s">
        <v>16</v>
      </c>
      <c r="F165" s="3" t="s">
        <v>295</v>
      </c>
      <c r="G165" s="3" t="s">
        <v>17</v>
      </c>
      <c r="H165" s="3" t="s">
        <v>214</v>
      </c>
    </row>
    <row r="166" spans="1:8" x14ac:dyDescent="0.2">
      <c r="A166" s="3">
        <v>3030201003</v>
      </c>
      <c r="B166" s="4" t="s">
        <v>515</v>
      </c>
      <c r="C166" s="4" t="s">
        <v>516</v>
      </c>
      <c r="D166" s="3">
        <v>1</v>
      </c>
      <c r="E166" s="3" t="s">
        <v>16</v>
      </c>
      <c r="F166" s="3" t="s">
        <v>295</v>
      </c>
      <c r="G166" s="3" t="s">
        <v>17</v>
      </c>
      <c r="H166" s="3" t="s">
        <v>214</v>
      </c>
    </row>
    <row r="167" spans="1:8" x14ac:dyDescent="0.2">
      <c r="A167" s="3">
        <v>3049903001</v>
      </c>
      <c r="B167" s="4" t="s">
        <v>517</v>
      </c>
      <c r="C167" s="4" t="s">
        <v>355</v>
      </c>
      <c r="D167" s="3">
        <v>2</v>
      </c>
      <c r="E167" s="3" t="s">
        <v>16</v>
      </c>
      <c r="F167" s="3" t="s">
        <v>293</v>
      </c>
      <c r="G167" s="3" t="s">
        <v>29</v>
      </c>
      <c r="H167" s="3" t="s">
        <v>214</v>
      </c>
    </row>
    <row r="168" spans="1:8" x14ac:dyDescent="0.2">
      <c r="A168" s="3">
        <v>3049904001</v>
      </c>
      <c r="B168" s="4" t="s">
        <v>354</v>
      </c>
      <c r="C168" s="4" t="s">
        <v>355</v>
      </c>
      <c r="D168" s="3">
        <v>4</v>
      </c>
      <c r="E168" s="3" t="s">
        <v>16</v>
      </c>
      <c r="F168" s="3" t="s">
        <v>293</v>
      </c>
      <c r="G168" s="3" t="s">
        <v>29</v>
      </c>
      <c r="H168" s="3" t="s">
        <v>214</v>
      </c>
    </row>
    <row r="169" spans="1:8" x14ac:dyDescent="0.2">
      <c r="A169" s="3">
        <v>3049902001</v>
      </c>
      <c r="B169" s="4" t="s">
        <v>518</v>
      </c>
      <c r="C169" s="4" t="s">
        <v>355</v>
      </c>
      <c r="D169" s="3">
        <v>2</v>
      </c>
      <c r="E169" s="3" t="s">
        <v>16</v>
      </c>
      <c r="F169" s="3" t="s">
        <v>293</v>
      </c>
      <c r="G169" s="3" t="s">
        <v>29</v>
      </c>
      <c r="H169" s="3" t="s">
        <v>214</v>
      </c>
    </row>
    <row r="170" spans="1:8" x14ac:dyDescent="0.2">
      <c r="A170" s="3">
        <v>3050206010</v>
      </c>
      <c r="B170" s="4" t="s">
        <v>823</v>
      </c>
      <c r="C170" s="4" t="s">
        <v>824</v>
      </c>
      <c r="D170" s="3">
        <v>2</v>
      </c>
      <c r="E170" s="3" t="s">
        <v>16</v>
      </c>
      <c r="F170" s="3" t="s">
        <v>794</v>
      </c>
      <c r="G170" s="3" t="s">
        <v>795</v>
      </c>
      <c r="H170" s="3" t="s">
        <v>214</v>
      </c>
    </row>
    <row r="171" spans="1:8" x14ac:dyDescent="0.2">
      <c r="A171" s="3">
        <v>3050206012</v>
      </c>
      <c r="B171" s="4" t="s">
        <v>825</v>
      </c>
      <c r="C171" s="4" t="s">
        <v>826</v>
      </c>
      <c r="D171" s="3">
        <v>2</v>
      </c>
      <c r="E171" s="3" t="s">
        <v>16</v>
      </c>
      <c r="F171" s="3" t="s">
        <v>794</v>
      </c>
      <c r="G171" s="3" t="s">
        <v>795</v>
      </c>
      <c r="H171" s="3" t="s">
        <v>214</v>
      </c>
    </row>
    <row r="172" spans="1:8" x14ac:dyDescent="0.2">
      <c r="A172" s="3">
        <v>3070105007</v>
      </c>
      <c r="B172" s="4" t="s">
        <v>360</v>
      </c>
      <c r="C172" s="4" t="s">
        <v>361</v>
      </c>
      <c r="D172" s="3">
        <v>1</v>
      </c>
      <c r="E172" s="3" t="s">
        <v>16</v>
      </c>
      <c r="F172" s="3" t="s">
        <v>317</v>
      </c>
      <c r="G172" s="3" t="s">
        <v>318</v>
      </c>
      <c r="H172" s="3" t="s">
        <v>214</v>
      </c>
    </row>
    <row r="173" spans="1:8" x14ac:dyDescent="0.2">
      <c r="A173" s="3">
        <v>3070105008</v>
      </c>
      <c r="B173" s="4" t="s">
        <v>362</v>
      </c>
      <c r="C173" s="4" t="s">
        <v>361</v>
      </c>
      <c r="D173" s="3">
        <v>1</v>
      </c>
      <c r="E173" s="3" t="s">
        <v>16</v>
      </c>
      <c r="F173" s="3" t="s">
        <v>317</v>
      </c>
      <c r="G173" s="3" t="s">
        <v>318</v>
      </c>
      <c r="H173" s="3" t="s">
        <v>214</v>
      </c>
    </row>
    <row r="174" spans="1:8" x14ac:dyDescent="0.2">
      <c r="A174" s="3">
        <v>3050204001</v>
      </c>
      <c r="B174" s="4" t="s">
        <v>519</v>
      </c>
      <c r="C174" s="4" t="s">
        <v>355</v>
      </c>
      <c r="D174" s="3">
        <v>2</v>
      </c>
      <c r="E174" s="3" t="s">
        <v>16</v>
      </c>
      <c r="F174" s="3" t="s">
        <v>291</v>
      </c>
      <c r="G174" s="3" t="s">
        <v>26</v>
      </c>
      <c r="H174" s="3" t="s">
        <v>214</v>
      </c>
    </row>
    <row r="175" spans="1:8" x14ac:dyDescent="0.2">
      <c r="A175" s="3">
        <v>3050204002</v>
      </c>
      <c r="B175" s="4" t="s">
        <v>520</v>
      </c>
      <c r="C175" s="4" t="s">
        <v>355</v>
      </c>
      <c r="D175" s="3">
        <v>2</v>
      </c>
      <c r="E175" s="3" t="s">
        <v>16</v>
      </c>
      <c r="F175" s="3" t="s">
        <v>291</v>
      </c>
      <c r="G175" s="3" t="s">
        <v>26</v>
      </c>
      <c r="H175" s="3" t="s">
        <v>214</v>
      </c>
    </row>
    <row r="176" spans="1:8" x14ac:dyDescent="0.2">
      <c r="A176" s="3">
        <v>403030051</v>
      </c>
      <c r="B176" s="4" t="s">
        <v>366</v>
      </c>
      <c r="C176" s="4" t="s">
        <v>367</v>
      </c>
      <c r="D176" s="3">
        <v>3</v>
      </c>
      <c r="E176" s="3" t="s">
        <v>16</v>
      </c>
      <c r="F176" s="3" t="s">
        <v>301</v>
      </c>
      <c r="G176" s="3" t="s">
        <v>32</v>
      </c>
      <c r="H176" s="3" t="s">
        <v>221</v>
      </c>
    </row>
    <row r="177" spans="1:8" x14ac:dyDescent="0.2">
      <c r="A177" s="3">
        <v>403030005</v>
      </c>
      <c r="B177" s="4" t="s">
        <v>366</v>
      </c>
      <c r="C177" s="4" t="s">
        <v>368</v>
      </c>
      <c r="D177" s="3">
        <v>2</v>
      </c>
      <c r="E177" s="3" t="s">
        <v>16</v>
      </c>
      <c r="F177" s="3" t="s">
        <v>301</v>
      </c>
      <c r="G177" s="3" t="s">
        <v>32</v>
      </c>
      <c r="H177" s="3" t="s">
        <v>221</v>
      </c>
    </row>
    <row r="178" spans="1:8" x14ac:dyDescent="0.2">
      <c r="A178" s="3">
        <v>402050001</v>
      </c>
      <c r="B178" s="4" t="s">
        <v>522</v>
      </c>
      <c r="C178" s="4" t="s">
        <v>523</v>
      </c>
      <c r="D178" s="3">
        <v>1</v>
      </c>
      <c r="E178" s="3" t="s">
        <v>16</v>
      </c>
      <c r="F178" s="3" t="s">
        <v>289</v>
      </c>
      <c r="G178" s="3" t="s">
        <v>23</v>
      </c>
      <c r="H178" s="3" t="s">
        <v>524</v>
      </c>
    </row>
    <row r="179" spans="1:8" x14ac:dyDescent="0.2">
      <c r="A179" s="3">
        <v>402050001</v>
      </c>
      <c r="B179" s="4" t="s">
        <v>522</v>
      </c>
      <c r="C179" s="4" t="s">
        <v>523</v>
      </c>
      <c r="D179" s="3">
        <v>1</v>
      </c>
      <c r="E179" s="3" t="s">
        <v>16</v>
      </c>
      <c r="F179" s="3" t="s">
        <v>794</v>
      </c>
      <c r="G179" s="3" t="s">
        <v>795</v>
      </c>
      <c r="H179" s="3" t="s">
        <v>524</v>
      </c>
    </row>
    <row r="180" spans="1:8" x14ac:dyDescent="0.2">
      <c r="A180" s="3">
        <v>408120036</v>
      </c>
      <c r="B180" s="4" t="s">
        <v>525</v>
      </c>
      <c r="C180" s="4" t="s">
        <v>526</v>
      </c>
      <c r="D180" s="3">
        <v>2</v>
      </c>
      <c r="E180" s="3" t="s">
        <v>16</v>
      </c>
      <c r="F180" s="3" t="s">
        <v>291</v>
      </c>
      <c r="G180" s="3" t="s">
        <v>26</v>
      </c>
      <c r="H180" s="3" t="s">
        <v>524</v>
      </c>
    </row>
    <row r="181" spans="1:8" x14ac:dyDescent="0.2">
      <c r="A181" s="3">
        <v>3050305016</v>
      </c>
      <c r="B181" s="4" t="s">
        <v>527</v>
      </c>
      <c r="C181" s="4" t="s">
        <v>528</v>
      </c>
      <c r="D181" s="3">
        <v>1</v>
      </c>
      <c r="E181" s="3" t="s">
        <v>16</v>
      </c>
      <c r="F181" s="3" t="s">
        <v>291</v>
      </c>
      <c r="G181" s="3" t="s">
        <v>26</v>
      </c>
      <c r="H181" s="3" t="s">
        <v>226</v>
      </c>
    </row>
    <row r="182" spans="1:8" x14ac:dyDescent="0.2">
      <c r="A182" s="3">
        <v>3050305015</v>
      </c>
      <c r="B182" s="4" t="s">
        <v>529</v>
      </c>
      <c r="C182" s="4" t="s">
        <v>530</v>
      </c>
      <c r="D182" s="3">
        <v>1</v>
      </c>
      <c r="E182" s="3" t="s">
        <v>16</v>
      </c>
      <c r="F182" s="3" t="s">
        <v>291</v>
      </c>
      <c r="G182" s="3" t="s">
        <v>26</v>
      </c>
      <c r="H182" s="3" t="s">
        <v>226</v>
      </c>
    </row>
    <row r="183" spans="1:8" x14ac:dyDescent="0.2">
      <c r="A183" s="3">
        <v>3030309020</v>
      </c>
      <c r="B183" s="4" t="s">
        <v>531</v>
      </c>
      <c r="C183" s="4" t="s">
        <v>532</v>
      </c>
      <c r="D183" s="3">
        <v>1</v>
      </c>
      <c r="E183" s="3" t="s">
        <v>16</v>
      </c>
      <c r="F183" s="3" t="s">
        <v>291</v>
      </c>
      <c r="G183" s="3" t="s">
        <v>26</v>
      </c>
      <c r="H183" s="3" t="s">
        <v>226</v>
      </c>
    </row>
    <row r="184" spans="1:8" x14ac:dyDescent="0.2">
      <c r="A184" s="3">
        <v>3030302002</v>
      </c>
      <c r="B184" s="4" t="s">
        <v>533</v>
      </c>
      <c r="C184" s="4" t="s">
        <v>534</v>
      </c>
      <c r="D184" s="3">
        <v>1</v>
      </c>
      <c r="E184" s="3" t="s">
        <v>16</v>
      </c>
      <c r="F184" s="3" t="s">
        <v>295</v>
      </c>
      <c r="G184" s="3" t="s">
        <v>17</v>
      </c>
      <c r="H184" s="3" t="s">
        <v>226</v>
      </c>
    </row>
    <row r="185" spans="1:8" x14ac:dyDescent="0.2">
      <c r="A185" s="3">
        <v>3030306012</v>
      </c>
      <c r="B185" s="4" t="s">
        <v>535</v>
      </c>
      <c r="C185" s="4" t="s">
        <v>536</v>
      </c>
      <c r="D185" s="3">
        <v>1</v>
      </c>
      <c r="E185" s="3" t="s">
        <v>16</v>
      </c>
      <c r="F185" s="3" t="s">
        <v>295</v>
      </c>
      <c r="G185" s="3" t="s">
        <v>17</v>
      </c>
      <c r="H185" s="3" t="s">
        <v>226</v>
      </c>
    </row>
    <row r="186" spans="1:8" x14ac:dyDescent="0.2">
      <c r="A186" s="3">
        <v>3030306011</v>
      </c>
      <c r="B186" s="4" t="s">
        <v>537</v>
      </c>
      <c r="C186" s="4" t="s">
        <v>536</v>
      </c>
      <c r="D186" s="3">
        <v>1</v>
      </c>
      <c r="E186" s="3" t="s">
        <v>16</v>
      </c>
      <c r="F186" s="3" t="s">
        <v>295</v>
      </c>
      <c r="G186" s="3" t="s">
        <v>17</v>
      </c>
      <c r="H186" s="3" t="s">
        <v>226</v>
      </c>
    </row>
    <row r="187" spans="1:8" x14ac:dyDescent="0.2">
      <c r="A187" s="3">
        <v>3030303002</v>
      </c>
      <c r="B187" s="4" t="s">
        <v>175</v>
      </c>
      <c r="C187" s="4" t="s">
        <v>538</v>
      </c>
      <c r="D187" s="3">
        <v>1</v>
      </c>
      <c r="E187" s="3" t="s">
        <v>16</v>
      </c>
      <c r="F187" s="3" t="s">
        <v>295</v>
      </c>
      <c r="G187" s="3" t="s">
        <v>17</v>
      </c>
      <c r="H187" s="3" t="s">
        <v>226</v>
      </c>
    </row>
    <row r="188" spans="1:8" x14ac:dyDescent="0.2">
      <c r="A188" s="3">
        <v>3030303017</v>
      </c>
      <c r="B188" s="4" t="s">
        <v>539</v>
      </c>
      <c r="C188" s="4" t="s">
        <v>540</v>
      </c>
      <c r="D188" s="3">
        <v>1</v>
      </c>
      <c r="E188" s="3" t="s">
        <v>16</v>
      </c>
      <c r="F188" s="3" t="s">
        <v>295</v>
      </c>
      <c r="G188" s="3" t="s">
        <v>17</v>
      </c>
      <c r="H188" s="3" t="s">
        <v>226</v>
      </c>
    </row>
    <row r="189" spans="1:8" x14ac:dyDescent="0.2">
      <c r="A189" s="3">
        <v>3040312012</v>
      </c>
      <c r="B189" s="4" t="s">
        <v>263</v>
      </c>
      <c r="C189" s="4" t="s">
        <v>541</v>
      </c>
      <c r="D189" s="3">
        <v>2</v>
      </c>
      <c r="E189" s="3" t="s">
        <v>16</v>
      </c>
      <c r="F189" s="3" t="s">
        <v>293</v>
      </c>
      <c r="G189" s="3" t="s">
        <v>29</v>
      </c>
      <c r="H189" s="3" t="s">
        <v>226</v>
      </c>
    </row>
    <row r="190" spans="1:8" x14ac:dyDescent="0.2">
      <c r="A190" s="3">
        <v>3040320010</v>
      </c>
      <c r="B190" s="4" t="s">
        <v>269</v>
      </c>
      <c r="C190" s="4" t="s">
        <v>542</v>
      </c>
      <c r="D190" s="3">
        <v>1</v>
      </c>
      <c r="E190" s="3" t="s">
        <v>16</v>
      </c>
      <c r="F190" s="3" t="s">
        <v>293</v>
      </c>
      <c r="G190" s="3" t="s">
        <v>29</v>
      </c>
      <c r="H190" s="3" t="s">
        <v>226</v>
      </c>
    </row>
    <row r="191" spans="1:8" x14ac:dyDescent="0.2">
      <c r="A191" s="3">
        <v>3040320011</v>
      </c>
      <c r="B191" s="4" t="s">
        <v>269</v>
      </c>
      <c r="C191" s="4" t="s">
        <v>543</v>
      </c>
      <c r="D191" s="3">
        <v>1</v>
      </c>
      <c r="E191" s="3" t="s">
        <v>16</v>
      </c>
      <c r="F191" s="3" t="s">
        <v>293</v>
      </c>
      <c r="G191" s="3" t="s">
        <v>29</v>
      </c>
      <c r="H191" s="3" t="s">
        <v>226</v>
      </c>
    </row>
    <row r="192" spans="1:8" x14ac:dyDescent="0.2">
      <c r="A192" s="3">
        <v>3030313003</v>
      </c>
      <c r="B192" s="4" t="s">
        <v>217</v>
      </c>
      <c r="C192" s="4" t="s">
        <v>544</v>
      </c>
      <c r="D192" s="3">
        <v>8</v>
      </c>
      <c r="E192" s="3" t="s">
        <v>16</v>
      </c>
      <c r="F192" s="3" t="s">
        <v>291</v>
      </c>
      <c r="G192" s="3" t="s">
        <v>26</v>
      </c>
      <c r="H192" s="3" t="s">
        <v>226</v>
      </c>
    </row>
    <row r="193" spans="1:8" x14ac:dyDescent="0.2">
      <c r="A193" s="3">
        <v>3020101004</v>
      </c>
      <c r="B193" s="4" t="s">
        <v>239</v>
      </c>
      <c r="C193" s="4" t="s">
        <v>1098</v>
      </c>
      <c r="D193" s="3">
        <v>5</v>
      </c>
      <c r="E193" s="3" t="s">
        <v>16</v>
      </c>
      <c r="F193" s="3" t="s">
        <v>297</v>
      </c>
      <c r="G193" s="3" t="s">
        <v>204</v>
      </c>
      <c r="H193" s="3" t="s">
        <v>226</v>
      </c>
    </row>
    <row r="194" spans="1:8" x14ac:dyDescent="0.2">
      <c r="A194" s="3">
        <v>3050304011</v>
      </c>
      <c r="B194" s="4" t="s">
        <v>827</v>
      </c>
      <c r="C194" s="4" t="s">
        <v>815</v>
      </c>
      <c r="D194" s="3">
        <v>1</v>
      </c>
      <c r="E194" s="3" t="s">
        <v>16</v>
      </c>
      <c r="F194" s="3" t="s">
        <v>794</v>
      </c>
      <c r="G194" s="3" t="s">
        <v>795</v>
      </c>
      <c r="H194" s="3" t="s">
        <v>226</v>
      </c>
    </row>
    <row r="195" spans="1:8" x14ac:dyDescent="0.2">
      <c r="A195" s="3">
        <v>3050303012</v>
      </c>
      <c r="B195" s="4" t="s">
        <v>828</v>
      </c>
      <c r="C195" s="4" t="s">
        <v>829</v>
      </c>
      <c r="D195" s="3">
        <v>1</v>
      </c>
      <c r="E195" s="3" t="s">
        <v>16</v>
      </c>
      <c r="F195" s="3" t="s">
        <v>794</v>
      </c>
      <c r="G195" s="3" t="s">
        <v>795</v>
      </c>
      <c r="H195" s="3" t="s">
        <v>226</v>
      </c>
    </row>
    <row r="196" spans="1:8" x14ac:dyDescent="0.2">
      <c r="A196" s="3">
        <v>3050403014</v>
      </c>
      <c r="B196" s="4" t="s">
        <v>830</v>
      </c>
      <c r="C196" s="4" t="s">
        <v>831</v>
      </c>
      <c r="D196" s="3">
        <v>1</v>
      </c>
      <c r="E196" s="3" t="s">
        <v>16</v>
      </c>
      <c r="F196" s="3" t="s">
        <v>794</v>
      </c>
      <c r="G196" s="3" t="s">
        <v>795</v>
      </c>
      <c r="H196" s="3" t="s">
        <v>226</v>
      </c>
    </row>
    <row r="197" spans="1:8" x14ac:dyDescent="0.2">
      <c r="A197" s="3">
        <v>3050403015</v>
      </c>
      <c r="B197" s="4" t="s">
        <v>830</v>
      </c>
      <c r="C197" s="4" t="s">
        <v>832</v>
      </c>
      <c r="D197" s="3">
        <v>1</v>
      </c>
      <c r="E197" s="3" t="s">
        <v>16</v>
      </c>
      <c r="F197" s="3" t="s">
        <v>794</v>
      </c>
      <c r="G197" s="3" t="s">
        <v>795</v>
      </c>
      <c r="H197" s="3" t="s">
        <v>226</v>
      </c>
    </row>
    <row r="198" spans="1:8" x14ac:dyDescent="0.2">
      <c r="A198" s="3">
        <v>3050310001</v>
      </c>
      <c r="B198" s="4" t="s">
        <v>833</v>
      </c>
      <c r="C198" s="4" t="s">
        <v>834</v>
      </c>
      <c r="D198" s="3">
        <v>1</v>
      </c>
      <c r="E198" s="3" t="s">
        <v>16</v>
      </c>
      <c r="F198" s="3" t="s">
        <v>794</v>
      </c>
      <c r="G198" s="3" t="s">
        <v>795</v>
      </c>
      <c r="H198" s="3" t="s">
        <v>226</v>
      </c>
    </row>
    <row r="199" spans="1:8" x14ac:dyDescent="0.2">
      <c r="A199" s="3">
        <v>3050310002</v>
      </c>
      <c r="B199" s="4" t="s">
        <v>833</v>
      </c>
      <c r="C199" s="4" t="s">
        <v>835</v>
      </c>
      <c r="D199" s="3">
        <v>1</v>
      </c>
      <c r="E199" s="3" t="s">
        <v>16</v>
      </c>
      <c r="F199" s="3" t="s">
        <v>794</v>
      </c>
      <c r="G199" s="3" t="s">
        <v>795</v>
      </c>
      <c r="H199" s="3" t="s">
        <v>226</v>
      </c>
    </row>
    <row r="200" spans="1:8" x14ac:dyDescent="0.2">
      <c r="A200" s="3">
        <v>3070212001</v>
      </c>
      <c r="B200" s="4" t="s">
        <v>377</v>
      </c>
      <c r="C200" s="4" t="s">
        <v>378</v>
      </c>
      <c r="D200" s="3">
        <v>1</v>
      </c>
      <c r="E200" s="3" t="s">
        <v>16</v>
      </c>
      <c r="F200" s="3" t="s">
        <v>317</v>
      </c>
      <c r="G200" s="3" t="s">
        <v>318</v>
      </c>
      <c r="H200" s="3" t="s">
        <v>226</v>
      </c>
    </row>
    <row r="201" spans="1:8" x14ac:dyDescent="0.2">
      <c r="A201" s="3">
        <v>3070210001</v>
      </c>
      <c r="B201" s="4" t="s">
        <v>379</v>
      </c>
      <c r="C201" s="4" t="s">
        <v>280</v>
      </c>
      <c r="D201" s="3">
        <v>1</v>
      </c>
      <c r="E201" s="3" t="s">
        <v>16</v>
      </c>
      <c r="F201" s="3" t="s">
        <v>317</v>
      </c>
      <c r="G201" s="3" t="s">
        <v>318</v>
      </c>
      <c r="H201" s="3" t="s">
        <v>226</v>
      </c>
    </row>
    <row r="202" spans="1:8" x14ac:dyDescent="0.2">
      <c r="A202" s="3">
        <v>3050305019</v>
      </c>
      <c r="B202" s="4" t="s">
        <v>549</v>
      </c>
      <c r="C202" s="4" t="s">
        <v>530</v>
      </c>
      <c r="D202" s="3">
        <v>1</v>
      </c>
      <c r="E202" s="3" t="s">
        <v>16</v>
      </c>
      <c r="F202" s="3" t="s">
        <v>291</v>
      </c>
      <c r="G202" s="3" t="s">
        <v>26</v>
      </c>
      <c r="H202" s="3" t="s">
        <v>226</v>
      </c>
    </row>
    <row r="203" spans="1:8" x14ac:dyDescent="0.2">
      <c r="A203" s="3">
        <v>3050401014</v>
      </c>
      <c r="B203" s="4" t="s">
        <v>222</v>
      </c>
      <c r="C203" s="4" t="s">
        <v>550</v>
      </c>
      <c r="D203" s="3">
        <v>1</v>
      </c>
      <c r="E203" s="3" t="s">
        <v>16</v>
      </c>
      <c r="F203" s="3" t="s">
        <v>291</v>
      </c>
      <c r="G203" s="3" t="s">
        <v>26</v>
      </c>
      <c r="H203" s="3" t="s">
        <v>226</v>
      </c>
    </row>
    <row r="204" spans="1:8" x14ac:dyDescent="0.2">
      <c r="A204" s="3">
        <v>3080401031</v>
      </c>
      <c r="B204" s="4" t="s">
        <v>41</v>
      </c>
      <c r="C204" s="4" t="s">
        <v>551</v>
      </c>
      <c r="D204" s="3">
        <v>1</v>
      </c>
      <c r="E204" s="3" t="s">
        <v>16</v>
      </c>
      <c r="F204" s="3" t="s">
        <v>291</v>
      </c>
      <c r="G204" s="3" t="s">
        <v>26</v>
      </c>
      <c r="H204" s="3" t="s">
        <v>249</v>
      </c>
    </row>
    <row r="205" spans="1:8" x14ac:dyDescent="0.2">
      <c r="A205" s="3">
        <v>3030211001</v>
      </c>
      <c r="B205" s="4" t="s">
        <v>552</v>
      </c>
      <c r="C205" s="4" t="s">
        <v>553</v>
      </c>
      <c r="D205" s="3">
        <v>1</v>
      </c>
      <c r="E205" s="3" t="s">
        <v>16</v>
      </c>
      <c r="F205" s="3" t="s">
        <v>295</v>
      </c>
      <c r="G205" s="3" t="s">
        <v>17</v>
      </c>
      <c r="H205" s="3" t="s">
        <v>249</v>
      </c>
    </row>
    <row r="206" spans="1:8" x14ac:dyDescent="0.2">
      <c r="A206" s="3">
        <v>3080309001</v>
      </c>
      <c r="B206" s="4" t="s">
        <v>554</v>
      </c>
      <c r="C206" s="4" t="s">
        <v>555</v>
      </c>
      <c r="D206" s="3">
        <v>1</v>
      </c>
      <c r="E206" s="3" t="s">
        <v>16</v>
      </c>
      <c r="F206" s="3" t="s">
        <v>295</v>
      </c>
      <c r="G206" s="3" t="s">
        <v>17</v>
      </c>
      <c r="H206" s="3" t="s">
        <v>249</v>
      </c>
    </row>
    <row r="207" spans="1:8" x14ac:dyDescent="0.2">
      <c r="A207" s="3">
        <v>3080107268</v>
      </c>
      <c r="B207" s="4" t="s">
        <v>69</v>
      </c>
      <c r="C207" s="4" t="s">
        <v>556</v>
      </c>
      <c r="D207" s="3">
        <v>2</v>
      </c>
      <c r="E207" s="3" t="s">
        <v>16</v>
      </c>
      <c r="F207" s="3" t="s">
        <v>291</v>
      </c>
      <c r="G207" s="3" t="s">
        <v>26</v>
      </c>
      <c r="H207" s="3" t="s">
        <v>249</v>
      </c>
    </row>
    <row r="208" spans="1:8" x14ac:dyDescent="0.2">
      <c r="A208" s="3">
        <v>3080107269</v>
      </c>
      <c r="B208" s="4" t="s">
        <v>69</v>
      </c>
      <c r="C208" s="4" t="s">
        <v>557</v>
      </c>
      <c r="D208" s="3">
        <v>2</v>
      </c>
      <c r="E208" s="3" t="s">
        <v>16</v>
      </c>
      <c r="F208" s="3" t="s">
        <v>291</v>
      </c>
      <c r="G208" s="3" t="s">
        <v>26</v>
      </c>
      <c r="H208" s="3" t="s">
        <v>249</v>
      </c>
    </row>
    <row r="209" spans="1:8" x14ac:dyDescent="0.2">
      <c r="A209" s="3">
        <v>3060335005</v>
      </c>
      <c r="B209" s="4" t="s">
        <v>233</v>
      </c>
      <c r="C209" s="4" t="s">
        <v>734</v>
      </c>
      <c r="D209" s="3">
        <v>1</v>
      </c>
      <c r="E209" s="3" t="s">
        <v>16</v>
      </c>
      <c r="F209" s="3" t="s">
        <v>289</v>
      </c>
      <c r="G209" s="3" t="s">
        <v>23</v>
      </c>
      <c r="H209" s="3" t="s">
        <v>254</v>
      </c>
    </row>
    <row r="210" spans="1:8" x14ac:dyDescent="0.2">
      <c r="A210" s="3">
        <v>3060324001</v>
      </c>
      <c r="B210" s="4" t="s">
        <v>735</v>
      </c>
      <c r="C210" s="4" t="s">
        <v>736</v>
      </c>
      <c r="D210" s="3">
        <v>1</v>
      </c>
      <c r="E210" s="3" t="s">
        <v>16</v>
      </c>
      <c r="F210" s="3" t="s">
        <v>289</v>
      </c>
      <c r="G210" s="3" t="s">
        <v>23</v>
      </c>
      <c r="H210" s="3" t="s">
        <v>254</v>
      </c>
    </row>
    <row r="211" spans="1:8" x14ac:dyDescent="0.2">
      <c r="A211" s="3">
        <v>3030302001</v>
      </c>
      <c r="B211" s="4" t="s">
        <v>558</v>
      </c>
      <c r="C211" s="4" t="s">
        <v>534</v>
      </c>
      <c r="D211" s="3">
        <v>1</v>
      </c>
      <c r="E211" s="3" t="s">
        <v>16</v>
      </c>
      <c r="F211" s="3" t="s">
        <v>295</v>
      </c>
      <c r="G211" s="3" t="s">
        <v>17</v>
      </c>
      <c r="H211" s="3" t="s">
        <v>254</v>
      </c>
    </row>
    <row r="212" spans="1:8" x14ac:dyDescent="0.2">
      <c r="A212" s="3">
        <v>3030306031</v>
      </c>
      <c r="B212" s="4" t="s">
        <v>559</v>
      </c>
      <c r="C212" s="4" t="s">
        <v>560</v>
      </c>
      <c r="D212" s="3">
        <v>1</v>
      </c>
      <c r="E212" s="3" t="s">
        <v>16</v>
      </c>
      <c r="F212" s="3" t="s">
        <v>295</v>
      </c>
      <c r="G212" s="3" t="s">
        <v>17</v>
      </c>
      <c r="H212" s="3" t="s">
        <v>254</v>
      </c>
    </row>
    <row r="213" spans="1:8" x14ac:dyDescent="0.2">
      <c r="A213" s="3">
        <v>3080311002</v>
      </c>
      <c r="B213" s="4" t="s">
        <v>561</v>
      </c>
      <c r="C213" s="4" t="s">
        <v>536</v>
      </c>
      <c r="D213" s="3">
        <v>1</v>
      </c>
      <c r="E213" s="3" t="s">
        <v>16</v>
      </c>
      <c r="F213" s="3" t="s">
        <v>295</v>
      </c>
      <c r="G213" s="3" t="s">
        <v>17</v>
      </c>
      <c r="H213" s="3" t="s">
        <v>254</v>
      </c>
    </row>
    <row r="214" spans="1:8" x14ac:dyDescent="0.2">
      <c r="A214" s="3">
        <v>3030303016</v>
      </c>
      <c r="B214" s="4" t="s">
        <v>562</v>
      </c>
      <c r="C214" s="4" t="s">
        <v>563</v>
      </c>
      <c r="D214" s="3">
        <v>1</v>
      </c>
      <c r="E214" s="3" t="s">
        <v>16</v>
      </c>
      <c r="F214" s="3" t="s">
        <v>295</v>
      </c>
      <c r="G214" s="3" t="s">
        <v>17</v>
      </c>
      <c r="H214" s="3" t="s">
        <v>254</v>
      </c>
    </row>
    <row r="215" spans="1:8" x14ac:dyDescent="0.2">
      <c r="A215" s="3">
        <v>3030303015</v>
      </c>
      <c r="B215" s="4" t="s">
        <v>564</v>
      </c>
      <c r="C215" s="4" t="s">
        <v>563</v>
      </c>
      <c r="D215" s="3">
        <v>1</v>
      </c>
      <c r="E215" s="3" t="s">
        <v>16</v>
      </c>
      <c r="F215" s="3" t="s">
        <v>295</v>
      </c>
      <c r="G215" s="3" t="s">
        <v>17</v>
      </c>
      <c r="H215" s="3" t="s">
        <v>254</v>
      </c>
    </row>
    <row r="216" spans="1:8" x14ac:dyDescent="0.2">
      <c r="A216" s="3">
        <v>3040323001</v>
      </c>
      <c r="B216" s="4" t="s">
        <v>565</v>
      </c>
      <c r="C216" s="4" t="s">
        <v>566</v>
      </c>
      <c r="D216" s="3">
        <v>2</v>
      </c>
      <c r="E216" s="3" t="s">
        <v>16</v>
      </c>
      <c r="F216" s="3" t="s">
        <v>293</v>
      </c>
      <c r="G216" s="3" t="s">
        <v>29</v>
      </c>
      <c r="H216" s="3" t="s">
        <v>254</v>
      </c>
    </row>
    <row r="217" spans="1:8" x14ac:dyDescent="0.2">
      <c r="A217" s="3">
        <v>3040302001</v>
      </c>
      <c r="B217" s="4" t="s">
        <v>567</v>
      </c>
      <c r="C217" s="4" t="s">
        <v>568</v>
      </c>
      <c r="D217" s="3">
        <v>1</v>
      </c>
      <c r="E217" s="3" t="s">
        <v>16</v>
      </c>
      <c r="F217" s="3" t="s">
        <v>293</v>
      </c>
      <c r="G217" s="3" t="s">
        <v>29</v>
      </c>
      <c r="H217" s="3" t="s">
        <v>254</v>
      </c>
    </row>
    <row r="218" spans="1:8" x14ac:dyDescent="0.2">
      <c r="A218" s="3">
        <v>3040302002</v>
      </c>
      <c r="B218" s="4" t="s">
        <v>567</v>
      </c>
      <c r="C218" s="4" t="s">
        <v>569</v>
      </c>
      <c r="D218" s="3">
        <v>1</v>
      </c>
      <c r="E218" s="3" t="s">
        <v>16</v>
      </c>
      <c r="F218" s="3" t="s">
        <v>293</v>
      </c>
      <c r="G218" s="3" t="s">
        <v>29</v>
      </c>
      <c r="H218" s="3" t="s">
        <v>254</v>
      </c>
    </row>
    <row r="219" spans="1:8" x14ac:dyDescent="0.2">
      <c r="A219" s="3">
        <v>3040324004</v>
      </c>
      <c r="B219" s="4" t="s">
        <v>570</v>
      </c>
      <c r="C219" s="4" t="s">
        <v>536</v>
      </c>
      <c r="D219" s="3">
        <v>2</v>
      </c>
      <c r="E219" s="3" t="s">
        <v>16</v>
      </c>
      <c r="F219" s="3" t="s">
        <v>293</v>
      </c>
      <c r="G219" s="3" t="s">
        <v>29</v>
      </c>
      <c r="H219" s="3" t="s">
        <v>254</v>
      </c>
    </row>
    <row r="220" spans="1:8" x14ac:dyDescent="0.2">
      <c r="A220" s="3">
        <v>3030302008</v>
      </c>
      <c r="B220" s="4" t="s">
        <v>571</v>
      </c>
      <c r="C220" s="4" t="s">
        <v>572</v>
      </c>
      <c r="D220" s="3">
        <v>1</v>
      </c>
      <c r="E220" s="3" t="s">
        <v>16</v>
      </c>
      <c r="F220" s="3" t="s">
        <v>295</v>
      </c>
      <c r="G220" s="3" t="s">
        <v>17</v>
      </c>
      <c r="H220" s="3" t="s">
        <v>254</v>
      </c>
    </row>
    <row r="221" spans="1:8" x14ac:dyDescent="0.2">
      <c r="A221" s="3">
        <v>3030302009</v>
      </c>
      <c r="B221" s="4" t="s">
        <v>571</v>
      </c>
      <c r="C221" s="4" t="s">
        <v>573</v>
      </c>
      <c r="D221" s="3">
        <v>1</v>
      </c>
      <c r="E221" s="3" t="s">
        <v>16</v>
      </c>
      <c r="F221" s="3" t="s">
        <v>295</v>
      </c>
      <c r="G221" s="3" t="s">
        <v>17</v>
      </c>
      <c r="H221" s="3" t="s">
        <v>254</v>
      </c>
    </row>
    <row r="222" spans="1:8" x14ac:dyDescent="0.2">
      <c r="A222" s="3">
        <v>3030302004</v>
      </c>
      <c r="B222" s="4" t="s">
        <v>574</v>
      </c>
      <c r="C222" s="4" t="s">
        <v>575</v>
      </c>
      <c r="D222" s="3">
        <v>1</v>
      </c>
      <c r="E222" s="3" t="s">
        <v>16</v>
      </c>
      <c r="F222" s="3" t="s">
        <v>295</v>
      </c>
      <c r="G222" s="3" t="s">
        <v>17</v>
      </c>
      <c r="H222" s="3" t="s">
        <v>254</v>
      </c>
    </row>
    <row r="223" spans="1:8" x14ac:dyDescent="0.2">
      <c r="A223" s="3">
        <v>3030302006</v>
      </c>
      <c r="B223" s="4" t="s">
        <v>576</v>
      </c>
      <c r="C223" s="4" t="s">
        <v>575</v>
      </c>
      <c r="D223" s="3">
        <v>1</v>
      </c>
      <c r="E223" s="3" t="s">
        <v>16</v>
      </c>
      <c r="F223" s="3" t="s">
        <v>295</v>
      </c>
      <c r="G223" s="3" t="s">
        <v>17</v>
      </c>
      <c r="H223" s="3" t="s">
        <v>254</v>
      </c>
    </row>
    <row r="224" spans="1:8" x14ac:dyDescent="0.2">
      <c r="A224" s="3">
        <v>3030314004</v>
      </c>
      <c r="B224" s="4" t="s">
        <v>577</v>
      </c>
      <c r="C224" s="4" t="s">
        <v>575</v>
      </c>
      <c r="D224" s="3">
        <v>1</v>
      </c>
      <c r="E224" s="3" t="s">
        <v>16</v>
      </c>
      <c r="F224" s="3" t="s">
        <v>295</v>
      </c>
      <c r="G224" s="3" t="s">
        <v>17</v>
      </c>
      <c r="H224" s="3" t="s">
        <v>254</v>
      </c>
    </row>
    <row r="225" spans="1:8" x14ac:dyDescent="0.2">
      <c r="A225" s="3">
        <v>3030308001</v>
      </c>
      <c r="B225" s="4" t="s">
        <v>578</v>
      </c>
      <c r="C225" s="4" t="s">
        <v>575</v>
      </c>
      <c r="D225" s="3">
        <v>1</v>
      </c>
      <c r="E225" s="3" t="s">
        <v>16</v>
      </c>
      <c r="F225" s="3" t="s">
        <v>295</v>
      </c>
      <c r="G225" s="3" t="s">
        <v>17</v>
      </c>
      <c r="H225" s="3" t="s">
        <v>254</v>
      </c>
    </row>
    <row r="226" spans="1:8" x14ac:dyDescent="0.2">
      <c r="A226" s="3">
        <v>3030314003</v>
      </c>
      <c r="B226" s="4" t="s">
        <v>579</v>
      </c>
      <c r="C226" s="4" t="s">
        <v>575</v>
      </c>
      <c r="D226" s="3">
        <v>1</v>
      </c>
      <c r="E226" s="3" t="s">
        <v>16</v>
      </c>
      <c r="F226" s="3" t="s">
        <v>295</v>
      </c>
      <c r="G226" s="3" t="s">
        <v>17</v>
      </c>
      <c r="H226" s="3" t="s">
        <v>254</v>
      </c>
    </row>
    <row r="227" spans="1:8" x14ac:dyDescent="0.2">
      <c r="A227" s="3">
        <v>3030308003</v>
      </c>
      <c r="B227" s="4" t="s">
        <v>580</v>
      </c>
      <c r="C227" s="4" t="s">
        <v>581</v>
      </c>
      <c r="D227" s="3">
        <v>1</v>
      </c>
      <c r="E227" s="3" t="s">
        <v>16</v>
      </c>
      <c r="F227" s="3" t="s">
        <v>295</v>
      </c>
      <c r="G227" s="3" t="s">
        <v>17</v>
      </c>
      <c r="H227" s="3" t="s">
        <v>254</v>
      </c>
    </row>
    <row r="228" spans="1:8" x14ac:dyDescent="0.2">
      <c r="A228" s="3">
        <v>3040325007</v>
      </c>
      <c r="B228" s="4" t="s">
        <v>582</v>
      </c>
      <c r="C228" s="4" t="s">
        <v>543</v>
      </c>
      <c r="D228" s="3">
        <v>1</v>
      </c>
      <c r="E228" s="3" t="s">
        <v>16</v>
      </c>
      <c r="F228" s="3" t="s">
        <v>293</v>
      </c>
      <c r="G228" s="3" t="s">
        <v>29</v>
      </c>
      <c r="H228" s="3" t="s">
        <v>254</v>
      </c>
    </row>
    <row r="229" spans="1:8" x14ac:dyDescent="0.2">
      <c r="A229" s="3">
        <v>3040325008</v>
      </c>
      <c r="B229" s="4" t="s">
        <v>582</v>
      </c>
      <c r="C229" s="4" t="s">
        <v>542</v>
      </c>
      <c r="D229" s="3">
        <v>1</v>
      </c>
      <c r="E229" s="3" t="s">
        <v>16</v>
      </c>
      <c r="F229" s="3" t="s">
        <v>293</v>
      </c>
      <c r="G229" s="3" t="s">
        <v>29</v>
      </c>
      <c r="H229" s="3" t="s">
        <v>254</v>
      </c>
    </row>
    <row r="230" spans="1:8" x14ac:dyDescent="0.2">
      <c r="A230" s="3">
        <v>3040326013</v>
      </c>
      <c r="B230" s="4" t="s">
        <v>546</v>
      </c>
      <c r="C230" s="4" t="s">
        <v>781</v>
      </c>
      <c r="D230" s="3">
        <v>1</v>
      </c>
      <c r="E230" s="3" t="s">
        <v>16</v>
      </c>
      <c r="F230" s="3" t="s">
        <v>293</v>
      </c>
      <c r="G230" s="3" t="s">
        <v>29</v>
      </c>
      <c r="H230" s="3" t="s">
        <v>254</v>
      </c>
    </row>
    <row r="231" spans="1:8" x14ac:dyDescent="0.2">
      <c r="A231" s="3">
        <v>3040326011</v>
      </c>
      <c r="B231" s="4" t="s">
        <v>546</v>
      </c>
      <c r="C231" s="4" t="s">
        <v>782</v>
      </c>
      <c r="D231" s="3">
        <v>1</v>
      </c>
      <c r="E231" s="3" t="s">
        <v>16</v>
      </c>
      <c r="F231" s="3" t="s">
        <v>293</v>
      </c>
      <c r="G231" s="3" t="s">
        <v>29</v>
      </c>
      <c r="H231" s="3" t="s">
        <v>254</v>
      </c>
    </row>
    <row r="232" spans="1:8" x14ac:dyDescent="0.2">
      <c r="A232" s="3">
        <v>3040308003</v>
      </c>
      <c r="B232" s="4" t="s">
        <v>583</v>
      </c>
      <c r="C232" s="4" t="s">
        <v>536</v>
      </c>
      <c r="D232" s="3">
        <v>2</v>
      </c>
      <c r="E232" s="3" t="s">
        <v>16</v>
      </c>
      <c r="F232" s="3" t="s">
        <v>293</v>
      </c>
      <c r="G232" s="3" t="s">
        <v>29</v>
      </c>
      <c r="H232" s="3" t="s">
        <v>254</v>
      </c>
    </row>
    <row r="233" spans="1:8" x14ac:dyDescent="0.2">
      <c r="A233" s="3">
        <v>3030302007</v>
      </c>
      <c r="B233" s="4" t="s">
        <v>584</v>
      </c>
      <c r="C233" s="4" t="s">
        <v>575</v>
      </c>
      <c r="D233" s="3">
        <v>1</v>
      </c>
      <c r="E233" s="3" t="s">
        <v>16</v>
      </c>
      <c r="F233" s="3" t="s">
        <v>295</v>
      </c>
      <c r="G233" s="3" t="s">
        <v>17</v>
      </c>
      <c r="H233" s="3" t="s">
        <v>254</v>
      </c>
    </row>
    <row r="234" spans="1:8" x14ac:dyDescent="0.2">
      <c r="A234" s="3">
        <v>3070205003</v>
      </c>
      <c r="B234" s="4" t="s">
        <v>372</v>
      </c>
      <c r="C234" s="4" t="s">
        <v>747</v>
      </c>
      <c r="D234" s="3">
        <v>1</v>
      </c>
      <c r="E234" s="3" t="s">
        <v>16</v>
      </c>
      <c r="F234" s="3" t="s">
        <v>317</v>
      </c>
      <c r="G234" s="3" t="s">
        <v>318</v>
      </c>
      <c r="H234" s="3" t="s">
        <v>254</v>
      </c>
    </row>
    <row r="235" spans="1:8" x14ac:dyDescent="0.2">
      <c r="A235" s="3">
        <v>3070202019</v>
      </c>
      <c r="B235" s="4" t="s">
        <v>388</v>
      </c>
      <c r="C235" s="4" t="s">
        <v>389</v>
      </c>
      <c r="D235" s="3">
        <v>1</v>
      </c>
      <c r="E235" s="3" t="s">
        <v>16</v>
      </c>
      <c r="F235" s="3" t="s">
        <v>317</v>
      </c>
      <c r="G235" s="3" t="s">
        <v>318</v>
      </c>
      <c r="H235" s="3" t="s">
        <v>254</v>
      </c>
    </row>
    <row r="236" spans="1:8" x14ac:dyDescent="0.2">
      <c r="A236" s="3">
        <v>3070209001</v>
      </c>
      <c r="B236" s="4" t="s">
        <v>748</v>
      </c>
      <c r="C236" s="4" t="s">
        <v>246</v>
      </c>
      <c r="D236" s="3">
        <v>1</v>
      </c>
      <c r="E236" s="3" t="s">
        <v>16</v>
      </c>
      <c r="F236" s="3" t="s">
        <v>317</v>
      </c>
      <c r="G236" s="3" t="s">
        <v>318</v>
      </c>
      <c r="H236" s="3" t="s">
        <v>254</v>
      </c>
    </row>
    <row r="237" spans="1:8" x14ac:dyDescent="0.2">
      <c r="A237" s="3">
        <v>3111601003</v>
      </c>
      <c r="B237" s="4" t="s">
        <v>585</v>
      </c>
      <c r="C237" s="4" t="s">
        <v>586</v>
      </c>
      <c r="D237" s="3">
        <v>2</v>
      </c>
      <c r="E237" s="3" t="s">
        <v>16</v>
      </c>
      <c r="F237" s="3" t="s">
        <v>291</v>
      </c>
      <c r="G237" s="3" t="s">
        <v>26</v>
      </c>
      <c r="H237" s="3" t="s">
        <v>254</v>
      </c>
    </row>
    <row r="238" spans="1:8" x14ac:dyDescent="0.2">
      <c r="A238" s="3">
        <v>3060339002</v>
      </c>
      <c r="B238" s="4" t="s">
        <v>737</v>
      </c>
      <c r="C238" s="4" t="s">
        <v>738</v>
      </c>
      <c r="D238" s="3">
        <v>1</v>
      </c>
      <c r="E238" s="3" t="s">
        <v>16</v>
      </c>
      <c r="F238" s="3" t="s">
        <v>702</v>
      </c>
      <c r="G238" s="3" t="s">
        <v>703</v>
      </c>
      <c r="H238" s="3" t="s">
        <v>254</v>
      </c>
    </row>
    <row r="239" spans="1:8" x14ac:dyDescent="0.2">
      <c r="A239" s="3">
        <v>3060325001</v>
      </c>
      <c r="B239" s="4" t="s">
        <v>739</v>
      </c>
      <c r="C239" s="4" t="s">
        <v>740</v>
      </c>
      <c r="D239" s="3">
        <v>1</v>
      </c>
      <c r="E239" s="3" t="s">
        <v>16</v>
      </c>
      <c r="F239" s="3" t="s">
        <v>289</v>
      </c>
      <c r="G239" s="3" t="s">
        <v>23</v>
      </c>
      <c r="H239" s="3" t="s">
        <v>254</v>
      </c>
    </row>
    <row r="240" spans="1:8" x14ac:dyDescent="0.2">
      <c r="A240" s="3">
        <v>3050303006</v>
      </c>
      <c r="B240" s="4" t="s">
        <v>245</v>
      </c>
      <c r="C240" s="4" t="s">
        <v>587</v>
      </c>
      <c r="D240" s="3">
        <v>1</v>
      </c>
      <c r="E240" s="3" t="s">
        <v>16</v>
      </c>
      <c r="F240" s="3" t="s">
        <v>291</v>
      </c>
      <c r="G240" s="3" t="s">
        <v>26</v>
      </c>
      <c r="H240" s="3" t="s">
        <v>254</v>
      </c>
    </row>
    <row r="241" spans="1:8" x14ac:dyDescent="0.2">
      <c r="A241" s="3">
        <v>3080310002</v>
      </c>
      <c r="B241" s="4" t="s">
        <v>588</v>
      </c>
      <c r="C241" s="4" t="s">
        <v>589</v>
      </c>
      <c r="D241" s="3">
        <v>1</v>
      </c>
      <c r="E241" s="3" t="s">
        <v>16</v>
      </c>
      <c r="F241" s="3" t="s">
        <v>295</v>
      </c>
      <c r="G241" s="3" t="s">
        <v>17</v>
      </c>
      <c r="H241" s="3" t="s">
        <v>590</v>
      </c>
    </row>
    <row r="242" spans="1:8" x14ac:dyDescent="0.2">
      <c r="A242" s="3">
        <v>3060404006</v>
      </c>
      <c r="B242" s="4" t="s">
        <v>729</v>
      </c>
      <c r="C242" s="4" t="s">
        <v>1099</v>
      </c>
      <c r="D242" s="3">
        <v>1</v>
      </c>
      <c r="E242" s="3" t="s">
        <v>16</v>
      </c>
      <c r="F242" s="3" t="s">
        <v>289</v>
      </c>
      <c r="G242" s="3" t="s">
        <v>23</v>
      </c>
      <c r="H242" s="3" t="s">
        <v>769</v>
      </c>
    </row>
  </sheetData>
  <phoneticPr fontId="2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28648-BA0B-4B9A-A786-808E5CE5D517}">
  <dimension ref="A1:H229"/>
  <sheetViews>
    <sheetView workbookViewId="0">
      <selection activeCell="L15" sqref="L15"/>
    </sheetView>
  </sheetViews>
  <sheetFormatPr defaultRowHeight="14.25" x14ac:dyDescent="0.2"/>
  <cols>
    <col min="1" max="1" width="15.25" customWidth="1"/>
    <col min="2" max="3" width="17.375" customWidth="1"/>
  </cols>
  <sheetData>
    <row r="1" spans="1:8" x14ac:dyDescent="0.2">
      <c r="A1" s="3" t="s">
        <v>1136</v>
      </c>
      <c r="B1" s="4"/>
      <c r="C1" s="4"/>
      <c r="D1" s="3"/>
      <c r="E1" s="3"/>
      <c r="F1" s="3"/>
      <c r="G1" s="3"/>
      <c r="H1" s="3"/>
    </row>
    <row r="2" spans="1:8" ht="28.5" x14ac:dyDescent="0.2">
      <c r="A2" s="1" t="s">
        <v>0</v>
      </c>
      <c r="B2" s="2" t="s">
        <v>1</v>
      </c>
      <c r="C2" s="2" t="s">
        <v>2</v>
      </c>
      <c r="D2" s="1" t="s">
        <v>4</v>
      </c>
      <c r="E2" s="1" t="s">
        <v>3</v>
      </c>
      <c r="F2" s="1" t="s">
        <v>5</v>
      </c>
      <c r="G2" s="1" t="s">
        <v>6</v>
      </c>
      <c r="H2" s="1" t="s">
        <v>7</v>
      </c>
    </row>
    <row r="3" spans="1:8" s="10" customFormat="1" x14ac:dyDescent="0.2">
      <c r="A3" s="8" t="s">
        <v>390</v>
      </c>
      <c r="B3" s="9" t="s">
        <v>8</v>
      </c>
      <c r="C3" s="9" t="s">
        <v>9</v>
      </c>
      <c r="D3" s="13">
        <f>0.3555/0.94</f>
        <v>0.3781914893617021</v>
      </c>
      <c r="E3" s="8" t="s">
        <v>596</v>
      </c>
      <c r="F3" s="8" t="s">
        <v>283</v>
      </c>
      <c r="G3" s="8" t="s">
        <v>13</v>
      </c>
      <c r="H3" s="8" t="s">
        <v>12</v>
      </c>
    </row>
    <row r="4" spans="1:8" x14ac:dyDescent="0.2">
      <c r="A4" s="3">
        <v>402030028</v>
      </c>
      <c r="B4" s="4" t="s">
        <v>107</v>
      </c>
      <c r="C4" s="4" t="s">
        <v>305</v>
      </c>
      <c r="D4" s="3">
        <v>1</v>
      </c>
      <c r="E4" s="3" t="s">
        <v>16</v>
      </c>
      <c r="F4" s="3" t="s">
        <v>289</v>
      </c>
      <c r="G4" s="3" t="s">
        <v>23</v>
      </c>
      <c r="H4" s="3" t="s">
        <v>306</v>
      </c>
    </row>
    <row r="5" spans="1:8" x14ac:dyDescent="0.2">
      <c r="A5" s="3">
        <v>3099980014</v>
      </c>
      <c r="B5" s="4" t="s">
        <v>391</v>
      </c>
      <c r="C5" s="4" t="s">
        <v>392</v>
      </c>
      <c r="D5" s="3">
        <v>1</v>
      </c>
      <c r="E5" s="3" t="s">
        <v>16</v>
      </c>
      <c r="F5" s="3" t="s">
        <v>291</v>
      </c>
      <c r="G5" s="3" t="s">
        <v>26</v>
      </c>
      <c r="H5" s="3" t="s">
        <v>393</v>
      </c>
    </row>
    <row r="6" spans="1:8" x14ac:dyDescent="0.2">
      <c r="A6" s="3">
        <v>3080503011</v>
      </c>
      <c r="B6" s="4" t="s">
        <v>14</v>
      </c>
      <c r="C6" s="4" t="s">
        <v>1107</v>
      </c>
      <c r="D6" s="3">
        <v>2</v>
      </c>
      <c r="E6" s="3" t="s">
        <v>16</v>
      </c>
      <c r="F6" s="3" t="s">
        <v>317</v>
      </c>
      <c r="G6" s="3" t="s">
        <v>318</v>
      </c>
      <c r="H6" s="3" t="s">
        <v>18</v>
      </c>
    </row>
    <row r="7" spans="1:8" x14ac:dyDescent="0.2">
      <c r="A7" s="3">
        <v>3030314005</v>
      </c>
      <c r="B7" s="4" t="s">
        <v>394</v>
      </c>
      <c r="C7" s="4" t="s">
        <v>395</v>
      </c>
      <c r="D7" s="3">
        <v>1</v>
      </c>
      <c r="E7" s="3" t="s">
        <v>16</v>
      </c>
      <c r="F7" s="3" t="s">
        <v>291</v>
      </c>
      <c r="G7" s="3" t="s">
        <v>26</v>
      </c>
      <c r="H7" s="3" t="s">
        <v>18</v>
      </c>
    </row>
    <row r="8" spans="1:8" x14ac:dyDescent="0.2">
      <c r="A8" s="3">
        <v>3030210001</v>
      </c>
      <c r="B8" s="4" t="s">
        <v>396</v>
      </c>
      <c r="C8" s="4" t="s">
        <v>397</v>
      </c>
      <c r="D8" s="3">
        <v>1</v>
      </c>
      <c r="E8" s="3" t="s">
        <v>16</v>
      </c>
      <c r="F8" s="3" t="s">
        <v>295</v>
      </c>
      <c r="G8" s="3" t="s">
        <v>17</v>
      </c>
      <c r="H8" s="3" t="s">
        <v>18</v>
      </c>
    </row>
    <row r="9" spans="1:8" x14ac:dyDescent="0.2">
      <c r="A9" s="3">
        <v>3080301001</v>
      </c>
      <c r="B9" s="4" t="s">
        <v>247</v>
      </c>
      <c r="C9" s="4" t="s">
        <v>398</v>
      </c>
      <c r="D9" s="3">
        <v>1</v>
      </c>
      <c r="E9" s="3" t="s">
        <v>16</v>
      </c>
      <c r="F9" s="3" t="s">
        <v>295</v>
      </c>
      <c r="G9" s="3" t="s">
        <v>17</v>
      </c>
      <c r="H9" s="3" t="s">
        <v>18</v>
      </c>
    </row>
    <row r="10" spans="1:8" x14ac:dyDescent="0.2">
      <c r="A10" s="3">
        <v>3040201001</v>
      </c>
      <c r="B10" s="4" t="s">
        <v>399</v>
      </c>
      <c r="C10" s="4" t="s">
        <v>400</v>
      </c>
      <c r="D10" s="3">
        <v>2</v>
      </c>
      <c r="E10" s="3" t="s">
        <v>16</v>
      </c>
      <c r="F10" s="3" t="s">
        <v>293</v>
      </c>
      <c r="G10" s="3" t="s">
        <v>29</v>
      </c>
      <c r="H10" s="3" t="s">
        <v>18</v>
      </c>
    </row>
    <row r="11" spans="1:8" x14ac:dyDescent="0.2">
      <c r="A11" s="3">
        <v>3030202002</v>
      </c>
      <c r="B11" s="4" t="s">
        <v>401</v>
      </c>
      <c r="C11" s="4" t="s">
        <v>402</v>
      </c>
      <c r="D11" s="3">
        <v>1</v>
      </c>
      <c r="E11" s="3" t="s">
        <v>16</v>
      </c>
      <c r="F11" s="3" t="s">
        <v>295</v>
      </c>
      <c r="G11" s="3" t="s">
        <v>17</v>
      </c>
      <c r="H11" s="3" t="s">
        <v>18</v>
      </c>
    </row>
    <row r="12" spans="1:8" x14ac:dyDescent="0.2">
      <c r="A12" s="3">
        <v>3030202003</v>
      </c>
      <c r="B12" s="4" t="s">
        <v>403</v>
      </c>
      <c r="C12" s="4" t="s">
        <v>404</v>
      </c>
      <c r="D12" s="3">
        <v>1</v>
      </c>
      <c r="E12" s="3" t="s">
        <v>16</v>
      </c>
      <c r="F12" s="3" t="s">
        <v>295</v>
      </c>
      <c r="G12" s="3" t="s">
        <v>17</v>
      </c>
      <c r="H12" s="3" t="s">
        <v>18</v>
      </c>
    </row>
    <row r="13" spans="1:8" x14ac:dyDescent="0.2">
      <c r="A13" s="3">
        <v>3030212001</v>
      </c>
      <c r="B13" s="4" t="s">
        <v>405</v>
      </c>
      <c r="C13" s="4" t="s">
        <v>406</v>
      </c>
      <c r="D13" s="3">
        <v>1</v>
      </c>
      <c r="E13" s="3" t="s">
        <v>16</v>
      </c>
      <c r="F13" s="3" t="s">
        <v>295</v>
      </c>
      <c r="G13" s="3" t="s">
        <v>17</v>
      </c>
      <c r="H13" s="3" t="s">
        <v>18</v>
      </c>
    </row>
    <row r="14" spans="1:8" x14ac:dyDescent="0.2">
      <c r="A14" s="3">
        <v>3030206003</v>
      </c>
      <c r="B14" s="4" t="s">
        <v>407</v>
      </c>
      <c r="C14" s="4" t="s">
        <v>408</v>
      </c>
      <c r="D14" s="3">
        <v>1</v>
      </c>
      <c r="E14" s="3" t="s">
        <v>16</v>
      </c>
      <c r="F14" s="3" t="s">
        <v>295</v>
      </c>
      <c r="G14" s="3" t="s">
        <v>17</v>
      </c>
      <c r="H14" s="3" t="s">
        <v>18</v>
      </c>
    </row>
    <row r="15" spans="1:8" x14ac:dyDescent="0.2">
      <c r="A15" s="3">
        <v>3050207003</v>
      </c>
      <c r="B15" s="4" t="s">
        <v>1108</v>
      </c>
      <c r="C15" s="4" t="s">
        <v>1109</v>
      </c>
      <c r="D15" s="3">
        <v>1</v>
      </c>
      <c r="E15" s="3" t="s">
        <v>16</v>
      </c>
      <c r="F15" s="3" t="s">
        <v>291</v>
      </c>
      <c r="G15" s="3" t="s">
        <v>26</v>
      </c>
      <c r="H15" s="3" t="s">
        <v>18</v>
      </c>
    </row>
    <row r="16" spans="1:8" x14ac:dyDescent="0.2">
      <c r="A16" s="3">
        <v>3080312001</v>
      </c>
      <c r="B16" s="4" t="s">
        <v>1110</v>
      </c>
      <c r="C16" s="4" t="s">
        <v>1111</v>
      </c>
      <c r="D16" s="3">
        <v>1</v>
      </c>
      <c r="E16" s="3" t="s">
        <v>16</v>
      </c>
      <c r="F16" s="3" t="s">
        <v>291</v>
      </c>
      <c r="G16" s="3" t="s">
        <v>26</v>
      </c>
      <c r="H16" s="3" t="s">
        <v>18</v>
      </c>
    </row>
    <row r="17" spans="1:8" x14ac:dyDescent="0.2">
      <c r="A17" s="3">
        <v>404090136</v>
      </c>
      <c r="B17" s="4" t="s">
        <v>30</v>
      </c>
      <c r="C17" s="4" t="s">
        <v>784</v>
      </c>
      <c r="D17" s="3">
        <v>1</v>
      </c>
      <c r="E17" s="3" t="s">
        <v>16</v>
      </c>
      <c r="F17" s="3" t="s">
        <v>301</v>
      </c>
      <c r="G17" s="3" t="s">
        <v>32</v>
      </c>
      <c r="H17" s="3" t="s">
        <v>33</v>
      </c>
    </row>
    <row r="18" spans="1:8" x14ac:dyDescent="0.2">
      <c r="A18" s="3">
        <v>404090141</v>
      </c>
      <c r="B18" s="4" t="s">
        <v>30</v>
      </c>
      <c r="C18" s="4" t="s">
        <v>1101</v>
      </c>
      <c r="D18" s="3">
        <v>1</v>
      </c>
      <c r="E18" s="3" t="s">
        <v>16</v>
      </c>
      <c r="F18" s="3" t="s">
        <v>301</v>
      </c>
      <c r="G18" s="3" t="s">
        <v>32</v>
      </c>
      <c r="H18" s="3" t="s">
        <v>33</v>
      </c>
    </row>
    <row r="19" spans="1:8" x14ac:dyDescent="0.2">
      <c r="A19" s="3">
        <v>404020072</v>
      </c>
      <c r="B19" s="4" t="s">
        <v>30</v>
      </c>
      <c r="C19" s="4" t="s">
        <v>308</v>
      </c>
      <c r="D19" s="3">
        <v>1</v>
      </c>
      <c r="E19" s="3" t="s">
        <v>16</v>
      </c>
      <c r="F19" s="3" t="s">
        <v>291</v>
      </c>
      <c r="G19" s="3" t="s">
        <v>26</v>
      </c>
      <c r="H19" s="3" t="s">
        <v>33</v>
      </c>
    </row>
    <row r="20" spans="1:8" x14ac:dyDescent="0.2">
      <c r="A20" s="3">
        <v>401020086</v>
      </c>
      <c r="B20" s="4" t="s">
        <v>35</v>
      </c>
      <c r="C20" s="4" t="s">
        <v>1102</v>
      </c>
      <c r="D20" s="3">
        <v>1</v>
      </c>
      <c r="E20" s="3" t="s">
        <v>16</v>
      </c>
      <c r="F20" s="3" t="s">
        <v>301</v>
      </c>
      <c r="G20" s="3" t="s">
        <v>32</v>
      </c>
      <c r="H20" s="3" t="s">
        <v>33</v>
      </c>
    </row>
    <row r="21" spans="1:8" x14ac:dyDescent="0.2">
      <c r="A21" s="3">
        <v>401040087</v>
      </c>
      <c r="B21" s="4" t="s">
        <v>35</v>
      </c>
      <c r="C21" s="4" t="s">
        <v>410</v>
      </c>
      <c r="D21" s="3">
        <v>1</v>
      </c>
      <c r="E21" s="3" t="s">
        <v>16</v>
      </c>
      <c r="F21" s="3" t="s">
        <v>293</v>
      </c>
      <c r="G21" s="3" t="s">
        <v>29</v>
      </c>
      <c r="H21" s="3" t="s">
        <v>33</v>
      </c>
    </row>
    <row r="22" spans="1:8" x14ac:dyDescent="0.2">
      <c r="A22" s="3">
        <v>3080101015</v>
      </c>
      <c r="B22" s="4" t="s">
        <v>411</v>
      </c>
      <c r="C22" s="4" t="s">
        <v>412</v>
      </c>
      <c r="D22" s="3">
        <v>2</v>
      </c>
      <c r="E22" s="3" t="s">
        <v>16</v>
      </c>
      <c r="F22" s="3" t="s">
        <v>293</v>
      </c>
      <c r="G22" s="3" t="s">
        <v>29</v>
      </c>
      <c r="H22" s="3" t="s">
        <v>40</v>
      </c>
    </row>
    <row r="23" spans="1:8" x14ac:dyDescent="0.2">
      <c r="A23" s="3">
        <v>3080101002</v>
      </c>
      <c r="B23" s="4" t="s">
        <v>411</v>
      </c>
      <c r="C23" s="4" t="s">
        <v>413</v>
      </c>
      <c r="D23" s="3">
        <v>2</v>
      </c>
      <c r="E23" s="3" t="s">
        <v>16</v>
      </c>
      <c r="F23" s="3" t="s">
        <v>291</v>
      </c>
      <c r="G23" s="3" t="s">
        <v>26</v>
      </c>
      <c r="H23" s="3" t="s">
        <v>40</v>
      </c>
    </row>
    <row r="24" spans="1:8" x14ac:dyDescent="0.2">
      <c r="A24" s="3">
        <v>3080108032</v>
      </c>
      <c r="B24" s="4" t="s">
        <v>411</v>
      </c>
      <c r="C24" s="4" t="s">
        <v>1112</v>
      </c>
      <c r="D24" s="3">
        <v>1</v>
      </c>
      <c r="E24" s="3" t="s">
        <v>16</v>
      </c>
      <c r="F24" s="3" t="s">
        <v>291</v>
      </c>
      <c r="G24" s="3" t="s">
        <v>26</v>
      </c>
      <c r="H24" s="3" t="s">
        <v>40</v>
      </c>
    </row>
    <row r="25" spans="1:8" x14ac:dyDescent="0.2">
      <c r="A25" s="3">
        <v>3080401023</v>
      </c>
      <c r="B25" s="4" t="s">
        <v>41</v>
      </c>
      <c r="C25" s="4" t="s">
        <v>699</v>
      </c>
      <c r="D25" s="3">
        <v>2</v>
      </c>
      <c r="E25" s="3" t="s">
        <v>16</v>
      </c>
      <c r="F25" s="3" t="s">
        <v>289</v>
      </c>
      <c r="G25" s="3" t="s">
        <v>23</v>
      </c>
      <c r="H25" s="3" t="s">
        <v>40</v>
      </c>
    </row>
    <row r="26" spans="1:8" x14ac:dyDescent="0.2">
      <c r="A26" s="3">
        <v>3080401064</v>
      </c>
      <c r="B26" s="4" t="s">
        <v>41</v>
      </c>
      <c r="C26" s="4" t="s">
        <v>414</v>
      </c>
      <c r="D26" s="3">
        <v>1</v>
      </c>
      <c r="E26" s="3" t="s">
        <v>16</v>
      </c>
      <c r="F26" s="3" t="s">
        <v>295</v>
      </c>
      <c r="G26" s="3" t="s">
        <v>17</v>
      </c>
      <c r="H26" s="3" t="s">
        <v>40</v>
      </c>
    </row>
    <row r="27" spans="1:8" x14ac:dyDescent="0.2">
      <c r="A27" s="3">
        <v>3080401016</v>
      </c>
      <c r="B27" s="4" t="s">
        <v>41</v>
      </c>
      <c r="C27" s="4" t="s">
        <v>415</v>
      </c>
      <c r="D27" s="3">
        <v>1</v>
      </c>
      <c r="E27" s="3" t="s">
        <v>16</v>
      </c>
      <c r="F27" s="3" t="s">
        <v>295</v>
      </c>
      <c r="G27" s="3" t="s">
        <v>17</v>
      </c>
      <c r="H27" s="3" t="s">
        <v>40</v>
      </c>
    </row>
    <row r="28" spans="1:8" x14ac:dyDescent="0.2">
      <c r="A28" s="3">
        <v>3080401007</v>
      </c>
      <c r="B28" s="4" t="s">
        <v>41</v>
      </c>
      <c r="C28" s="4" t="s">
        <v>416</v>
      </c>
      <c r="D28" s="3">
        <v>2</v>
      </c>
      <c r="E28" s="3" t="s">
        <v>16</v>
      </c>
      <c r="F28" s="3" t="s">
        <v>293</v>
      </c>
      <c r="G28" s="3" t="s">
        <v>29</v>
      </c>
      <c r="H28" s="3" t="s">
        <v>40</v>
      </c>
    </row>
    <row r="29" spans="1:8" x14ac:dyDescent="0.2">
      <c r="A29" s="3">
        <v>3080401058</v>
      </c>
      <c r="B29" s="4" t="s">
        <v>41</v>
      </c>
      <c r="C29" s="4" t="s">
        <v>1113</v>
      </c>
      <c r="D29" s="3">
        <v>2</v>
      </c>
      <c r="E29" s="3" t="s">
        <v>16</v>
      </c>
      <c r="F29" s="3" t="s">
        <v>317</v>
      </c>
      <c r="G29" s="3" t="s">
        <v>318</v>
      </c>
      <c r="H29" s="3" t="s">
        <v>40</v>
      </c>
    </row>
    <row r="30" spans="1:8" x14ac:dyDescent="0.2">
      <c r="A30" s="3">
        <v>3080401008</v>
      </c>
      <c r="B30" s="4" t="s">
        <v>41</v>
      </c>
      <c r="C30" s="4" t="s">
        <v>700</v>
      </c>
      <c r="D30" s="3">
        <v>2</v>
      </c>
      <c r="E30" s="3" t="s">
        <v>16</v>
      </c>
      <c r="F30" s="3" t="s">
        <v>317</v>
      </c>
      <c r="G30" s="3" t="s">
        <v>318</v>
      </c>
      <c r="H30" s="3" t="s">
        <v>40</v>
      </c>
    </row>
    <row r="31" spans="1:8" x14ac:dyDescent="0.2">
      <c r="A31" s="3">
        <v>3080401014</v>
      </c>
      <c r="B31" s="4" t="s">
        <v>41</v>
      </c>
      <c r="C31" s="4" t="s">
        <v>417</v>
      </c>
      <c r="D31" s="3">
        <v>4</v>
      </c>
      <c r="E31" s="3" t="s">
        <v>16</v>
      </c>
      <c r="F31" s="3" t="s">
        <v>291</v>
      </c>
      <c r="G31" s="3" t="s">
        <v>26</v>
      </c>
      <c r="H31" s="3" t="s">
        <v>40</v>
      </c>
    </row>
    <row r="32" spans="1:8" x14ac:dyDescent="0.2">
      <c r="A32" s="3">
        <v>3080104081</v>
      </c>
      <c r="B32" s="4" t="s">
        <v>45</v>
      </c>
      <c r="C32" s="4" t="s">
        <v>701</v>
      </c>
      <c r="D32" s="3">
        <v>4</v>
      </c>
      <c r="E32" s="3" t="s">
        <v>16</v>
      </c>
      <c r="F32" s="3" t="s">
        <v>289</v>
      </c>
      <c r="G32" s="3" t="s">
        <v>23</v>
      </c>
      <c r="H32" s="3" t="s">
        <v>40</v>
      </c>
    </row>
    <row r="33" spans="1:8" x14ac:dyDescent="0.2">
      <c r="A33" s="3">
        <v>3080104018</v>
      </c>
      <c r="B33" s="4" t="s">
        <v>45</v>
      </c>
      <c r="C33" s="4" t="s">
        <v>418</v>
      </c>
      <c r="D33" s="3">
        <v>2</v>
      </c>
      <c r="E33" s="3" t="s">
        <v>16</v>
      </c>
      <c r="F33" s="3" t="s">
        <v>293</v>
      </c>
      <c r="G33" s="3" t="s">
        <v>29</v>
      </c>
      <c r="H33" s="3" t="s">
        <v>40</v>
      </c>
    </row>
    <row r="34" spans="1:8" x14ac:dyDescent="0.2">
      <c r="A34" s="3">
        <v>3080104111</v>
      </c>
      <c r="B34" s="4" t="s">
        <v>45</v>
      </c>
      <c r="C34" s="4" t="s">
        <v>1114</v>
      </c>
      <c r="D34" s="3">
        <v>1</v>
      </c>
      <c r="E34" s="3" t="s">
        <v>16</v>
      </c>
      <c r="F34" s="3" t="s">
        <v>317</v>
      </c>
      <c r="G34" s="3" t="s">
        <v>318</v>
      </c>
      <c r="H34" s="3" t="s">
        <v>40</v>
      </c>
    </row>
    <row r="35" spans="1:8" x14ac:dyDescent="0.2">
      <c r="A35" s="3">
        <v>3080104099</v>
      </c>
      <c r="B35" s="4" t="s">
        <v>45</v>
      </c>
      <c r="C35" s="4" t="s">
        <v>419</v>
      </c>
      <c r="D35" s="3">
        <v>2</v>
      </c>
      <c r="E35" s="3" t="s">
        <v>16</v>
      </c>
      <c r="F35" s="3" t="s">
        <v>291</v>
      </c>
      <c r="G35" s="3" t="s">
        <v>26</v>
      </c>
      <c r="H35" s="3" t="s">
        <v>40</v>
      </c>
    </row>
    <row r="36" spans="1:8" x14ac:dyDescent="0.2">
      <c r="A36" s="3">
        <v>3080104034</v>
      </c>
      <c r="B36" s="4" t="s">
        <v>45</v>
      </c>
      <c r="C36" s="4" t="s">
        <v>1115</v>
      </c>
      <c r="D36" s="3">
        <v>2</v>
      </c>
      <c r="E36" s="3" t="s">
        <v>16</v>
      </c>
      <c r="F36" s="3" t="s">
        <v>291</v>
      </c>
      <c r="G36" s="3" t="s">
        <v>26</v>
      </c>
      <c r="H36" s="3" t="s">
        <v>40</v>
      </c>
    </row>
    <row r="37" spans="1:8" x14ac:dyDescent="0.2">
      <c r="A37" s="3">
        <v>3080105004</v>
      </c>
      <c r="B37" s="4" t="s">
        <v>50</v>
      </c>
      <c r="C37" s="4" t="s">
        <v>54</v>
      </c>
      <c r="D37" s="3">
        <v>6</v>
      </c>
      <c r="E37" s="3" t="s">
        <v>16</v>
      </c>
      <c r="F37" s="3" t="s">
        <v>289</v>
      </c>
      <c r="G37" s="3" t="s">
        <v>23</v>
      </c>
      <c r="H37" s="3" t="s">
        <v>40</v>
      </c>
    </row>
    <row r="38" spans="1:8" x14ac:dyDescent="0.2">
      <c r="A38" s="3">
        <v>3080105114</v>
      </c>
      <c r="B38" s="4" t="s">
        <v>50</v>
      </c>
      <c r="C38" s="4" t="s">
        <v>53</v>
      </c>
      <c r="D38" s="3">
        <v>5</v>
      </c>
      <c r="E38" s="3" t="s">
        <v>16</v>
      </c>
      <c r="F38" s="3" t="s">
        <v>289</v>
      </c>
      <c r="G38" s="3" t="s">
        <v>23</v>
      </c>
      <c r="H38" s="3" t="s">
        <v>40</v>
      </c>
    </row>
    <row r="39" spans="1:8" x14ac:dyDescent="0.2">
      <c r="A39" s="3">
        <v>3080105114</v>
      </c>
      <c r="B39" s="4" t="s">
        <v>50</v>
      </c>
      <c r="C39" s="4" t="s">
        <v>53</v>
      </c>
      <c r="D39" s="3">
        <v>4</v>
      </c>
      <c r="E39" s="3" t="s">
        <v>16</v>
      </c>
      <c r="F39" s="3" t="s">
        <v>289</v>
      </c>
      <c r="G39" s="3" t="s">
        <v>23</v>
      </c>
      <c r="H39" s="3" t="s">
        <v>40</v>
      </c>
    </row>
    <row r="40" spans="1:8" x14ac:dyDescent="0.2">
      <c r="A40" s="3">
        <v>3080105088</v>
      </c>
      <c r="B40" s="4" t="s">
        <v>50</v>
      </c>
      <c r="C40" s="4" t="s">
        <v>423</v>
      </c>
      <c r="D40" s="3">
        <v>2</v>
      </c>
      <c r="E40" s="3" t="s">
        <v>16</v>
      </c>
      <c r="F40" s="3" t="s">
        <v>293</v>
      </c>
      <c r="G40" s="3" t="s">
        <v>29</v>
      </c>
      <c r="H40" s="3" t="s">
        <v>40</v>
      </c>
    </row>
    <row r="41" spans="1:8" x14ac:dyDescent="0.2">
      <c r="A41" s="3">
        <v>3080105008</v>
      </c>
      <c r="B41" s="4" t="s">
        <v>50</v>
      </c>
      <c r="C41" s="4" t="s">
        <v>424</v>
      </c>
      <c r="D41" s="3">
        <v>8</v>
      </c>
      <c r="E41" s="3" t="s">
        <v>16</v>
      </c>
      <c r="F41" s="3" t="s">
        <v>293</v>
      </c>
      <c r="G41" s="3" t="s">
        <v>29</v>
      </c>
      <c r="H41" s="3" t="s">
        <v>40</v>
      </c>
    </row>
    <row r="42" spans="1:8" x14ac:dyDescent="0.2">
      <c r="A42" s="3">
        <v>3080105015</v>
      </c>
      <c r="B42" s="4" t="s">
        <v>50</v>
      </c>
      <c r="C42" s="4" t="s">
        <v>422</v>
      </c>
      <c r="D42" s="3">
        <v>8</v>
      </c>
      <c r="E42" s="3" t="s">
        <v>16</v>
      </c>
      <c r="F42" s="3" t="s">
        <v>293</v>
      </c>
      <c r="G42" s="3" t="s">
        <v>29</v>
      </c>
      <c r="H42" s="3" t="s">
        <v>40</v>
      </c>
    </row>
    <row r="43" spans="1:8" x14ac:dyDescent="0.2">
      <c r="A43" s="3">
        <v>3080105040</v>
      </c>
      <c r="B43" s="4" t="s">
        <v>50</v>
      </c>
      <c r="C43" s="4" t="s">
        <v>421</v>
      </c>
      <c r="D43" s="3">
        <v>14</v>
      </c>
      <c r="E43" s="3" t="s">
        <v>16</v>
      </c>
      <c r="F43" s="3" t="s">
        <v>293</v>
      </c>
      <c r="G43" s="3" t="s">
        <v>29</v>
      </c>
      <c r="H43" s="3" t="s">
        <v>40</v>
      </c>
    </row>
    <row r="44" spans="1:8" x14ac:dyDescent="0.2">
      <c r="A44" s="3">
        <v>3080105121</v>
      </c>
      <c r="B44" s="4" t="s">
        <v>50</v>
      </c>
      <c r="C44" s="4" t="s">
        <v>316</v>
      </c>
      <c r="D44" s="3">
        <v>2</v>
      </c>
      <c r="E44" s="3" t="s">
        <v>16</v>
      </c>
      <c r="F44" s="3" t="s">
        <v>317</v>
      </c>
      <c r="G44" s="3" t="s">
        <v>318</v>
      </c>
      <c r="H44" s="3" t="s">
        <v>40</v>
      </c>
    </row>
    <row r="45" spans="1:8" x14ac:dyDescent="0.2">
      <c r="A45" s="3">
        <v>3080105021</v>
      </c>
      <c r="B45" s="4" t="s">
        <v>50</v>
      </c>
      <c r="C45" s="4" t="s">
        <v>319</v>
      </c>
      <c r="D45" s="3">
        <v>8</v>
      </c>
      <c r="E45" s="3" t="s">
        <v>16</v>
      </c>
      <c r="F45" s="3" t="s">
        <v>317</v>
      </c>
      <c r="G45" s="3" t="s">
        <v>318</v>
      </c>
      <c r="H45" s="3" t="s">
        <v>40</v>
      </c>
    </row>
    <row r="46" spans="1:8" x14ac:dyDescent="0.2">
      <c r="A46" s="3">
        <v>3080105114</v>
      </c>
      <c r="B46" s="4" t="s">
        <v>50</v>
      </c>
      <c r="C46" s="4" t="s">
        <v>53</v>
      </c>
      <c r="D46" s="3">
        <v>6</v>
      </c>
      <c r="E46" s="3" t="s">
        <v>16</v>
      </c>
      <c r="F46" s="3" t="s">
        <v>702</v>
      </c>
      <c r="G46" s="3" t="s">
        <v>703</v>
      </c>
      <c r="H46" s="3" t="s">
        <v>40</v>
      </c>
    </row>
    <row r="47" spans="1:8" x14ac:dyDescent="0.2">
      <c r="A47" s="3">
        <v>3080105114</v>
      </c>
      <c r="B47" s="4" t="s">
        <v>50</v>
      </c>
      <c r="C47" s="4" t="s">
        <v>53</v>
      </c>
      <c r="D47" s="3">
        <v>3</v>
      </c>
      <c r="E47" s="3" t="s">
        <v>16</v>
      </c>
      <c r="F47" s="3" t="s">
        <v>702</v>
      </c>
      <c r="G47" s="3" t="s">
        <v>703</v>
      </c>
      <c r="H47" s="3" t="s">
        <v>40</v>
      </c>
    </row>
    <row r="48" spans="1:8" x14ac:dyDescent="0.2">
      <c r="A48" s="3">
        <v>3080104055</v>
      </c>
      <c r="B48" s="4" t="s">
        <v>50</v>
      </c>
      <c r="C48" s="4" t="s">
        <v>425</v>
      </c>
      <c r="D48" s="3">
        <v>2</v>
      </c>
      <c r="E48" s="3" t="s">
        <v>16</v>
      </c>
      <c r="F48" s="3" t="s">
        <v>291</v>
      </c>
      <c r="G48" s="3" t="s">
        <v>26</v>
      </c>
      <c r="H48" s="3" t="s">
        <v>40</v>
      </c>
    </row>
    <row r="49" spans="1:8" x14ac:dyDescent="0.2">
      <c r="A49" s="3">
        <v>3080105046</v>
      </c>
      <c r="B49" s="4" t="s">
        <v>50</v>
      </c>
      <c r="C49" s="4" t="s">
        <v>863</v>
      </c>
      <c r="D49" s="3">
        <v>2</v>
      </c>
      <c r="E49" s="3" t="s">
        <v>16</v>
      </c>
      <c r="F49" s="3" t="s">
        <v>291</v>
      </c>
      <c r="G49" s="3" t="s">
        <v>26</v>
      </c>
      <c r="H49" s="3" t="s">
        <v>40</v>
      </c>
    </row>
    <row r="50" spans="1:8" x14ac:dyDescent="0.2">
      <c r="A50" s="3">
        <v>3080502002</v>
      </c>
      <c r="B50" s="4" t="s">
        <v>55</v>
      </c>
      <c r="C50" s="4" t="s">
        <v>56</v>
      </c>
      <c r="D50" s="3">
        <v>1</v>
      </c>
      <c r="E50" s="3" t="s">
        <v>16</v>
      </c>
      <c r="F50" s="3" t="s">
        <v>317</v>
      </c>
      <c r="G50" s="3" t="s">
        <v>318</v>
      </c>
      <c r="H50" s="3" t="s">
        <v>40</v>
      </c>
    </row>
    <row r="51" spans="1:8" x14ac:dyDescent="0.2">
      <c r="A51" s="3">
        <v>3080502003</v>
      </c>
      <c r="B51" s="4" t="s">
        <v>55</v>
      </c>
      <c r="C51" s="4" t="s">
        <v>426</v>
      </c>
      <c r="D51" s="3">
        <v>2</v>
      </c>
      <c r="E51" s="3" t="s">
        <v>16</v>
      </c>
      <c r="F51" s="3" t="s">
        <v>291</v>
      </c>
      <c r="G51" s="3" t="s">
        <v>26</v>
      </c>
      <c r="H51" s="3" t="s">
        <v>40</v>
      </c>
    </row>
    <row r="52" spans="1:8" x14ac:dyDescent="0.2">
      <c r="A52" s="3">
        <v>3080501030</v>
      </c>
      <c r="B52" s="4" t="s">
        <v>57</v>
      </c>
      <c r="C52" s="4" t="s">
        <v>868</v>
      </c>
      <c r="D52" s="3">
        <v>1</v>
      </c>
      <c r="E52" s="3" t="s">
        <v>16</v>
      </c>
      <c r="F52" s="3" t="s">
        <v>291</v>
      </c>
      <c r="G52" s="3" t="s">
        <v>26</v>
      </c>
      <c r="H52" s="3" t="s">
        <v>40</v>
      </c>
    </row>
    <row r="53" spans="1:8" x14ac:dyDescent="0.2">
      <c r="A53" s="3">
        <v>3080201012</v>
      </c>
      <c r="B53" s="4" t="s">
        <v>60</v>
      </c>
      <c r="C53" s="4" t="s">
        <v>320</v>
      </c>
      <c r="D53" s="3">
        <v>2</v>
      </c>
      <c r="E53" s="3" t="s">
        <v>16</v>
      </c>
      <c r="F53" s="3" t="s">
        <v>289</v>
      </c>
      <c r="G53" s="3" t="s">
        <v>23</v>
      </c>
      <c r="H53" s="3" t="s">
        <v>40</v>
      </c>
    </row>
    <row r="54" spans="1:8" x14ac:dyDescent="0.2">
      <c r="A54" s="3">
        <v>3080201012</v>
      </c>
      <c r="B54" s="4" t="s">
        <v>60</v>
      </c>
      <c r="C54" s="4" t="s">
        <v>320</v>
      </c>
      <c r="D54" s="3">
        <v>1</v>
      </c>
      <c r="E54" s="3" t="s">
        <v>16</v>
      </c>
      <c r="F54" s="3" t="s">
        <v>317</v>
      </c>
      <c r="G54" s="3" t="s">
        <v>318</v>
      </c>
      <c r="H54" s="3" t="s">
        <v>40</v>
      </c>
    </row>
    <row r="55" spans="1:8" x14ac:dyDescent="0.2">
      <c r="A55" s="3">
        <v>3080201005</v>
      </c>
      <c r="B55" s="4" t="s">
        <v>60</v>
      </c>
      <c r="C55" s="4" t="s">
        <v>427</v>
      </c>
      <c r="D55" s="3">
        <v>1</v>
      </c>
      <c r="E55" s="3" t="s">
        <v>16</v>
      </c>
      <c r="F55" s="3" t="s">
        <v>291</v>
      </c>
      <c r="G55" s="3" t="s">
        <v>26</v>
      </c>
      <c r="H55" s="3" t="s">
        <v>40</v>
      </c>
    </row>
    <row r="56" spans="1:8" x14ac:dyDescent="0.2">
      <c r="A56" s="3">
        <v>3080201006</v>
      </c>
      <c r="B56" s="4" t="s">
        <v>60</v>
      </c>
      <c r="C56" s="4" t="s">
        <v>428</v>
      </c>
      <c r="D56" s="3">
        <v>1</v>
      </c>
      <c r="E56" s="3" t="s">
        <v>16</v>
      </c>
      <c r="F56" s="3" t="s">
        <v>291</v>
      </c>
      <c r="G56" s="3" t="s">
        <v>26</v>
      </c>
      <c r="H56" s="3" t="s">
        <v>40</v>
      </c>
    </row>
    <row r="57" spans="1:8" x14ac:dyDescent="0.2">
      <c r="A57" s="3">
        <v>3080107284</v>
      </c>
      <c r="B57" s="4" t="s">
        <v>69</v>
      </c>
      <c r="C57" s="4" t="s">
        <v>706</v>
      </c>
      <c r="D57" s="3">
        <v>1</v>
      </c>
      <c r="E57" s="3" t="s">
        <v>16</v>
      </c>
      <c r="F57" s="3" t="s">
        <v>289</v>
      </c>
      <c r="G57" s="3" t="s">
        <v>23</v>
      </c>
      <c r="H57" s="3" t="s">
        <v>40</v>
      </c>
    </row>
    <row r="58" spans="1:8" x14ac:dyDescent="0.2">
      <c r="A58" s="3">
        <v>3080107111</v>
      </c>
      <c r="B58" s="4" t="s">
        <v>69</v>
      </c>
      <c r="C58" s="4" t="s">
        <v>787</v>
      </c>
      <c r="D58" s="3">
        <v>1</v>
      </c>
      <c r="E58" s="3" t="s">
        <v>16</v>
      </c>
      <c r="F58" s="3" t="s">
        <v>289</v>
      </c>
      <c r="G58" s="3" t="s">
        <v>23</v>
      </c>
      <c r="H58" s="3" t="s">
        <v>40</v>
      </c>
    </row>
    <row r="59" spans="1:8" x14ac:dyDescent="0.2">
      <c r="A59" s="3">
        <v>3080107112</v>
      </c>
      <c r="B59" s="4" t="s">
        <v>69</v>
      </c>
      <c r="C59" s="4" t="s">
        <v>705</v>
      </c>
      <c r="D59" s="3">
        <v>2</v>
      </c>
      <c r="E59" s="3" t="s">
        <v>16</v>
      </c>
      <c r="F59" s="3" t="s">
        <v>289</v>
      </c>
      <c r="G59" s="3" t="s">
        <v>23</v>
      </c>
      <c r="H59" s="3" t="s">
        <v>40</v>
      </c>
    </row>
    <row r="60" spans="1:8" x14ac:dyDescent="0.2">
      <c r="A60" s="3">
        <v>3080107034</v>
      </c>
      <c r="B60" s="4" t="s">
        <v>69</v>
      </c>
      <c r="C60" s="4" t="s">
        <v>429</v>
      </c>
      <c r="D60" s="3">
        <v>2</v>
      </c>
      <c r="E60" s="3" t="s">
        <v>16</v>
      </c>
      <c r="F60" s="3" t="s">
        <v>295</v>
      </c>
      <c r="G60" s="3" t="s">
        <v>17</v>
      </c>
      <c r="H60" s="3" t="s">
        <v>40</v>
      </c>
    </row>
    <row r="61" spans="1:8" x14ac:dyDescent="0.2">
      <c r="A61" s="3">
        <v>3080107052</v>
      </c>
      <c r="B61" s="4" t="s">
        <v>69</v>
      </c>
      <c r="C61" s="4" t="s">
        <v>431</v>
      </c>
      <c r="D61" s="3">
        <v>1</v>
      </c>
      <c r="E61" s="3" t="s">
        <v>16</v>
      </c>
      <c r="F61" s="3" t="s">
        <v>295</v>
      </c>
      <c r="G61" s="3" t="s">
        <v>17</v>
      </c>
      <c r="H61" s="3" t="s">
        <v>40</v>
      </c>
    </row>
    <row r="62" spans="1:8" x14ac:dyDescent="0.2">
      <c r="A62" s="3">
        <v>3080107034</v>
      </c>
      <c r="B62" s="4" t="s">
        <v>69</v>
      </c>
      <c r="C62" s="4" t="s">
        <v>429</v>
      </c>
      <c r="D62" s="3">
        <v>6</v>
      </c>
      <c r="E62" s="3" t="s">
        <v>16</v>
      </c>
      <c r="F62" s="3" t="s">
        <v>295</v>
      </c>
      <c r="G62" s="3" t="s">
        <v>17</v>
      </c>
      <c r="H62" s="3" t="s">
        <v>40</v>
      </c>
    </row>
    <row r="63" spans="1:8" x14ac:dyDescent="0.2">
      <c r="A63" s="3">
        <v>3080107002</v>
      </c>
      <c r="B63" s="4" t="s">
        <v>69</v>
      </c>
      <c r="C63" s="4" t="s">
        <v>430</v>
      </c>
      <c r="D63" s="3">
        <v>4</v>
      </c>
      <c r="E63" s="3" t="s">
        <v>16</v>
      </c>
      <c r="F63" s="3" t="s">
        <v>295</v>
      </c>
      <c r="G63" s="3" t="s">
        <v>17</v>
      </c>
      <c r="H63" s="3" t="s">
        <v>40</v>
      </c>
    </row>
    <row r="64" spans="1:8" x14ac:dyDescent="0.2">
      <c r="A64" s="3">
        <v>3080107160</v>
      </c>
      <c r="B64" s="4" t="s">
        <v>69</v>
      </c>
      <c r="C64" s="4" t="s">
        <v>432</v>
      </c>
      <c r="D64" s="3">
        <v>4</v>
      </c>
      <c r="E64" s="3" t="s">
        <v>16</v>
      </c>
      <c r="F64" s="3" t="s">
        <v>293</v>
      </c>
      <c r="G64" s="3" t="s">
        <v>29</v>
      </c>
      <c r="H64" s="3" t="s">
        <v>40</v>
      </c>
    </row>
    <row r="65" spans="1:8" x14ac:dyDescent="0.2">
      <c r="A65" s="3">
        <v>3080107284</v>
      </c>
      <c r="B65" s="4" t="s">
        <v>69</v>
      </c>
      <c r="C65" s="4" t="s">
        <v>706</v>
      </c>
      <c r="D65" s="3">
        <v>1</v>
      </c>
      <c r="E65" s="3" t="s">
        <v>16</v>
      </c>
      <c r="F65" s="3" t="s">
        <v>317</v>
      </c>
      <c r="G65" s="3" t="s">
        <v>318</v>
      </c>
      <c r="H65" s="3" t="s">
        <v>40</v>
      </c>
    </row>
    <row r="66" spans="1:8" x14ac:dyDescent="0.2">
      <c r="A66" s="3">
        <v>3080107305</v>
      </c>
      <c r="B66" s="4" t="s">
        <v>69</v>
      </c>
      <c r="C66" s="4" t="s">
        <v>434</v>
      </c>
      <c r="D66" s="3">
        <v>2</v>
      </c>
      <c r="E66" s="3" t="s">
        <v>16</v>
      </c>
      <c r="F66" s="3" t="s">
        <v>291</v>
      </c>
      <c r="G66" s="3" t="s">
        <v>26</v>
      </c>
      <c r="H66" s="3" t="s">
        <v>40</v>
      </c>
    </row>
    <row r="67" spans="1:8" x14ac:dyDescent="0.2">
      <c r="A67" s="3">
        <v>3080107308</v>
      </c>
      <c r="B67" s="4" t="s">
        <v>69</v>
      </c>
      <c r="C67" s="4" t="s">
        <v>433</v>
      </c>
      <c r="D67" s="3">
        <v>2</v>
      </c>
      <c r="E67" s="3" t="s">
        <v>16</v>
      </c>
      <c r="F67" s="3" t="s">
        <v>291</v>
      </c>
      <c r="G67" s="3" t="s">
        <v>26</v>
      </c>
      <c r="H67" s="3" t="s">
        <v>40</v>
      </c>
    </row>
    <row r="68" spans="1:8" x14ac:dyDescent="0.2">
      <c r="A68" s="3">
        <v>3080107072</v>
      </c>
      <c r="B68" s="4" t="s">
        <v>69</v>
      </c>
      <c r="C68" s="4" t="s">
        <v>435</v>
      </c>
      <c r="D68" s="3">
        <v>4</v>
      </c>
      <c r="E68" s="3" t="s">
        <v>16</v>
      </c>
      <c r="F68" s="3" t="s">
        <v>291</v>
      </c>
      <c r="G68" s="3" t="s">
        <v>26</v>
      </c>
      <c r="H68" s="3" t="s">
        <v>40</v>
      </c>
    </row>
    <row r="69" spans="1:8" x14ac:dyDescent="0.2">
      <c r="A69" s="3">
        <v>3080107094</v>
      </c>
      <c r="B69" s="4" t="s">
        <v>69</v>
      </c>
      <c r="C69" s="4" t="s">
        <v>436</v>
      </c>
      <c r="D69" s="3">
        <v>2</v>
      </c>
      <c r="E69" s="3" t="s">
        <v>16</v>
      </c>
      <c r="F69" s="3" t="s">
        <v>291</v>
      </c>
      <c r="G69" s="3" t="s">
        <v>26</v>
      </c>
      <c r="H69" s="3" t="s">
        <v>40</v>
      </c>
    </row>
    <row r="70" spans="1:8" x14ac:dyDescent="0.2">
      <c r="A70" s="3">
        <v>3080108025</v>
      </c>
      <c r="B70" s="4" t="s">
        <v>77</v>
      </c>
      <c r="C70" s="4" t="s">
        <v>437</v>
      </c>
      <c r="D70" s="3">
        <v>7</v>
      </c>
      <c r="E70" s="3" t="s">
        <v>16</v>
      </c>
      <c r="F70" s="3" t="s">
        <v>295</v>
      </c>
      <c r="G70" s="3" t="s">
        <v>17</v>
      </c>
      <c r="H70" s="3" t="s">
        <v>40</v>
      </c>
    </row>
    <row r="71" spans="1:8" x14ac:dyDescent="0.2">
      <c r="A71" s="3">
        <v>3080108025</v>
      </c>
      <c r="B71" s="4" t="s">
        <v>77</v>
      </c>
      <c r="C71" s="4" t="s">
        <v>437</v>
      </c>
      <c r="D71" s="3">
        <v>1</v>
      </c>
      <c r="E71" s="3" t="s">
        <v>16</v>
      </c>
      <c r="F71" s="3" t="s">
        <v>291</v>
      </c>
      <c r="G71" s="3" t="s">
        <v>26</v>
      </c>
      <c r="H71" s="3" t="s">
        <v>40</v>
      </c>
    </row>
    <row r="72" spans="1:8" x14ac:dyDescent="0.2">
      <c r="A72" s="3">
        <v>3080108033</v>
      </c>
      <c r="B72" s="4" t="s">
        <v>77</v>
      </c>
      <c r="C72" s="4" t="s">
        <v>438</v>
      </c>
      <c r="D72" s="3">
        <v>4</v>
      </c>
      <c r="E72" s="3" t="s">
        <v>16</v>
      </c>
      <c r="F72" s="3" t="s">
        <v>291</v>
      </c>
      <c r="G72" s="3" t="s">
        <v>26</v>
      </c>
      <c r="H72" s="3" t="s">
        <v>40</v>
      </c>
    </row>
    <row r="73" spans="1:8" x14ac:dyDescent="0.2">
      <c r="A73" s="3">
        <v>3080108029</v>
      </c>
      <c r="B73" s="4" t="s">
        <v>77</v>
      </c>
      <c r="C73" s="4" t="s">
        <v>1116</v>
      </c>
      <c r="D73" s="3">
        <v>2</v>
      </c>
      <c r="E73" s="3" t="s">
        <v>16</v>
      </c>
      <c r="F73" s="3" t="s">
        <v>291</v>
      </c>
      <c r="G73" s="3" t="s">
        <v>26</v>
      </c>
      <c r="H73" s="3" t="s">
        <v>40</v>
      </c>
    </row>
    <row r="74" spans="1:8" x14ac:dyDescent="0.2">
      <c r="A74" s="3">
        <v>3080403001</v>
      </c>
      <c r="B74" s="4" t="s">
        <v>439</v>
      </c>
      <c r="C74" s="4" t="s">
        <v>440</v>
      </c>
      <c r="D74" s="3">
        <v>1</v>
      </c>
      <c r="E74" s="3" t="s">
        <v>16</v>
      </c>
      <c r="F74" s="3" t="s">
        <v>295</v>
      </c>
      <c r="G74" s="3" t="s">
        <v>17</v>
      </c>
      <c r="H74" s="3" t="s">
        <v>40</v>
      </c>
    </row>
    <row r="75" spans="1:8" x14ac:dyDescent="0.2">
      <c r="A75" s="3">
        <v>3080109002</v>
      </c>
      <c r="B75" s="4" t="s">
        <v>441</v>
      </c>
      <c r="C75" s="4" t="s">
        <v>442</v>
      </c>
      <c r="D75" s="3">
        <v>2</v>
      </c>
      <c r="E75" s="3" t="s">
        <v>16</v>
      </c>
      <c r="F75" s="3" t="s">
        <v>295</v>
      </c>
      <c r="G75" s="3" t="s">
        <v>17</v>
      </c>
      <c r="H75" s="3" t="s">
        <v>40</v>
      </c>
    </row>
    <row r="76" spans="1:8" x14ac:dyDescent="0.2">
      <c r="A76" s="3">
        <v>3080111012</v>
      </c>
      <c r="B76" s="4" t="s">
        <v>79</v>
      </c>
      <c r="C76" s="4" t="s">
        <v>443</v>
      </c>
      <c r="D76" s="3">
        <v>2</v>
      </c>
      <c r="E76" s="3" t="s">
        <v>16</v>
      </c>
      <c r="F76" s="3" t="s">
        <v>295</v>
      </c>
      <c r="G76" s="3" t="s">
        <v>17</v>
      </c>
      <c r="H76" s="3" t="s">
        <v>40</v>
      </c>
    </row>
    <row r="77" spans="1:8" x14ac:dyDescent="0.2">
      <c r="A77" s="3">
        <v>3080111006</v>
      </c>
      <c r="B77" s="4" t="s">
        <v>79</v>
      </c>
      <c r="C77" s="4" t="s">
        <v>444</v>
      </c>
      <c r="D77" s="3">
        <v>1</v>
      </c>
      <c r="E77" s="3" t="s">
        <v>16</v>
      </c>
      <c r="F77" s="3" t="s">
        <v>295</v>
      </c>
      <c r="G77" s="3" t="s">
        <v>17</v>
      </c>
      <c r="H77" s="3" t="s">
        <v>40</v>
      </c>
    </row>
    <row r="78" spans="1:8" x14ac:dyDescent="0.2">
      <c r="A78" s="3">
        <v>3080111004</v>
      </c>
      <c r="B78" s="4" t="s">
        <v>79</v>
      </c>
      <c r="C78" s="4" t="s">
        <v>445</v>
      </c>
      <c r="D78" s="3">
        <v>2</v>
      </c>
      <c r="E78" s="3" t="s">
        <v>16</v>
      </c>
      <c r="F78" s="3" t="s">
        <v>293</v>
      </c>
      <c r="G78" s="3" t="s">
        <v>29</v>
      </c>
      <c r="H78" s="3" t="s">
        <v>40</v>
      </c>
    </row>
    <row r="79" spans="1:8" x14ac:dyDescent="0.2">
      <c r="A79" s="3">
        <v>3080111087</v>
      </c>
      <c r="B79" s="4" t="s">
        <v>79</v>
      </c>
      <c r="C79" s="4" t="s">
        <v>80</v>
      </c>
      <c r="D79" s="3">
        <v>7</v>
      </c>
      <c r="E79" s="3" t="s">
        <v>16</v>
      </c>
      <c r="F79" s="3" t="s">
        <v>291</v>
      </c>
      <c r="G79" s="3" t="s">
        <v>26</v>
      </c>
      <c r="H79" s="3" t="s">
        <v>40</v>
      </c>
    </row>
    <row r="80" spans="1:8" x14ac:dyDescent="0.2">
      <c r="A80" s="3">
        <v>3080111087</v>
      </c>
      <c r="B80" s="4" t="s">
        <v>79</v>
      </c>
      <c r="C80" s="4" t="s">
        <v>80</v>
      </c>
      <c r="D80" s="3">
        <v>9</v>
      </c>
      <c r="E80" s="3" t="s">
        <v>16</v>
      </c>
      <c r="F80" s="3" t="s">
        <v>291</v>
      </c>
      <c r="G80" s="3" t="s">
        <v>26</v>
      </c>
      <c r="H80" s="3" t="s">
        <v>40</v>
      </c>
    </row>
    <row r="81" spans="1:8" x14ac:dyDescent="0.2">
      <c r="A81" s="3">
        <v>3080111087</v>
      </c>
      <c r="B81" s="4" t="s">
        <v>79</v>
      </c>
      <c r="C81" s="4" t="s">
        <v>80</v>
      </c>
      <c r="D81" s="3">
        <v>4</v>
      </c>
      <c r="E81" s="3" t="s">
        <v>16</v>
      </c>
      <c r="F81" s="3" t="s">
        <v>291</v>
      </c>
      <c r="G81" s="3" t="s">
        <v>26</v>
      </c>
      <c r="H81" s="3" t="s">
        <v>40</v>
      </c>
    </row>
    <row r="82" spans="1:8" x14ac:dyDescent="0.2">
      <c r="A82" s="3">
        <v>3080111015</v>
      </c>
      <c r="B82" s="4" t="s">
        <v>79</v>
      </c>
      <c r="C82" s="4" t="s">
        <v>446</v>
      </c>
      <c r="D82" s="3">
        <v>2</v>
      </c>
      <c r="E82" s="3" t="s">
        <v>16</v>
      </c>
      <c r="F82" s="3" t="s">
        <v>291</v>
      </c>
      <c r="G82" s="3" t="s">
        <v>26</v>
      </c>
      <c r="H82" s="3" t="s">
        <v>40</v>
      </c>
    </row>
    <row r="83" spans="1:8" x14ac:dyDescent="0.2">
      <c r="A83" s="3">
        <v>407030133</v>
      </c>
      <c r="B83" s="4" t="s">
        <v>81</v>
      </c>
      <c r="C83" s="4" t="s">
        <v>1083</v>
      </c>
      <c r="D83" s="3">
        <v>1</v>
      </c>
      <c r="E83" s="3" t="s">
        <v>16</v>
      </c>
      <c r="F83" s="3" t="s">
        <v>301</v>
      </c>
      <c r="G83" s="3" t="s">
        <v>32</v>
      </c>
      <c r="H83" s="3" t="s">
        <v>40</v>
      </c>
    </row>
    <row r="84" spans="1:8" x14ac:dyDescent="0.2">
      <c r="A84" s="3">
        <v>3099990501</v>
      </c>
      <c r="B84" s="4" t="s">
        <v>708</v>
      </c>
      <c r="C84" s="4" t="s">
        <v>105</v>
      </c>
      <c r="D84" s="3">
        <v>1</v>
      </c>
      <c r="E84" s="3" t="s">
        <v>16</v>
      </c>
      <c r="F84" s="3" t="s">
        <v>709</v>
      </c>
      <c r="G84" s="3" t="s">
        <v>710</v>
      </c>
      <c r="H84" s="3" t="s">
        <v>103</v>
      </c>
    </row>
    <row r="85" spans="1:8" x14ac:dyDescent="0.2">
      <c r="A85" s="3">
        <v>3099990104</v>
      </c>
      <c r="B85" s="4" t="s">
        <v>104</v>
      </c>
      <c r="C85" s="4" t="s">
        <v>448</v>
      </c>
      <c r="D85" s="3">
        <v>1</v>
      </c>
      <c r="E85" s="3" t="s">
        <v>16</v>
      </c>
      <c r="F85" s="3" t="s">
        <v>299</v>
      </c>
      <c r="G85" s="3" t="s">
        <v>106</v>
      </c>
      <c r="H85" s="3" t="s">
        <v>103</v>
      </c>
    </row>
    <row r="86" spans="1:8" x14ac:dyDescent="0.2">
      <c r="A86" s="3">
        <v>3099990704</v>
      </c>
      <c r="B86" s="4" t="s">
        <v>449</v>
      </c>
      <c r="C86" s="4" t="s">
        <v>450</v>
      </c>
      <c r="D86" s="3">
        <v>1</v>
      </c>
      <c r="E86" s="3" t="s">
        <v>16</v>
      </c>
      <c r="F86" s="3" t="s">
        <v>299</v>
      </c>
      <c r="G86" s="3" t="s">
        <v>106</v>
      </c>
      <c r="H86" s="3" t="s">
        <v>103</v>
      </c>
    </row>
    <row r="87" spans="1:8" x14ac:dyDescent="0.2">
      <c r="A87" s="3">
        <v>3099990604</v>
      </c>
      <c r="B87" s="4" t="s">
        <v>451</v>
      </c>
      <c r="C87" s="4" t="s">
        <v>450</v>
      </c>
      <c r="D87" s="3">
        <v>1</v>
      </c>
      <c r="E87" s="3" t="s">
        <v>16</v>
      </c>
      <c r="F87" s="3" t="s">
        <v>299</v>
      </c>
      <c r="G87" s="3" t="s">
        <v>106</v>
      </c>
      <c r="H87" s="3" t="s">
        <v>103</v>
      </c>
    </row>
    <row r="88" spans="1:8" x14ac:dyDescent="0.2">
      <c r="A88" s="3">
        <v>402030027</v>
      </c>
      <c r="B88" s="4" t="s">
        <v>107</v>
      </c>
      <c r="C88" s="4" t="s">
        <v>110</v>
      </c>
      <c r="D88" s="3">
        <v>1</v>
      </c>
      <c r="E88" s="3" t="s">
        <v>16</v>
      </c>
      <c r="F88" s="3" t="s">
        <v>291</v>
      </c>
      <c r="G88" s="3" t="s">
        <v>26</v>
      </c>
      <c r="H88" s="3" t="s">
        <v>109</v>
      </c>
    </row>
    <row r="89" spans="1:8" x14ac:dyDescent="0.2">
      <c r="A89" s="3">
        <v>402020002</v>
      </c>
      <c r="B89" s="4" t="s">
        <v>111</v>
      </c>
      <c r="C89" s="4" t="s">
        <v>452</v>
      </c>
      <c r="D89" s="3">
        <v>2</v>
      </c>
      <c r="E89" s="3" t="s">
        <v>16</v>
      </c>
      <c r="F89" s="3" t="s">
        <v>293</v>
      </c>
      <c r="G89" s="3" t="s">
        <v>29</v>
      </c>
      <c r="H89" s="3" t="s">
        <v>109</v>
      </c>
    </row>
    <row r="90" spans="1:8" x14ac:dyDescent="0.2">
      <c r="A90" s="3">
        <v>3060210001</v>
      </c>
      <c r="B90" s="4" t="s">
        <v>711</v>
      </c>
      <c r="C90" s="4" t="s">
        <v>712</v>
      </c>
      <c r="D90" s="3">
        <v>2</v>
      </c>
      <c r="E90" s="3" t="s">
        <v>16</v>
      </c>
      <c r="F90" s="3" t="s">
        <v>289</v>
      </c>
      <c r="G90" s="3" t="s">
        <v>23</v>
      </c>
      <c r="H90" s="3" t="s">
        <v>115</v>
      </c>
    </row>
    <row r="91" spans="1:8" x14ac:dyDescent="0.2">
      <c r="A91" s="3">
        <v>3040216001</v>
      </c>
      <c r="B91" s="4" t="s">
        <v>328</v>
      </c>
      <c r="C91" s="4" t="s">
        <v>329</v>
      </c>
      <c r="D91" s="3">
        <v>4</v>
      </c>
      <c r="E91" s="3" t="s">
        <v>16</v>
      </c>
      <c r="F91" s="3" t="s">
        <v>293</v>
      </c>
      <c r="G91" s="3" t="s">
        <v>29</v>
      </c>
      <c r="H91" s="3" t="s">
        <v>115</v>
      </c>
    </row>
    <row r="92" spans="1:8" x14ac:dyDescent="0.2">
      <c r="A92" s="3">
        <v>3030204017</v>
      </c>
      <c r="B92" s="4" t="s">
        <v>453</v>
      </c>
      <c r="C92" s="4" t="s">
        <v>454</v>
      </c>
      <c r="D92" s="3">
        <v>1</v>
      </c>
      <c r="E92" s="3" t="s">
        <v>16</v>
      </c>
      <c r="F92" s="3" t="s">
        <v>295</v>
      </c>
      <c r="G92" s="3" t="s">
        <v>17</v>
      </c>
      <c r="H92" s="3" t="s">
        <v>115</v>
      </c>
    </row>
    <row r="93" spans="1:8" x14ac:dyDescent="0.2">
      <c r="A93" s="3">
        <v>3030204005</v>
      </c>
      <c r="B93" s="4" t="s">
        <v>455</v>
      </c>
      <c r="C93" s="4" t="s">
        <v>456</v>
      </c>
      <c r="D93" s="3">
        <v>1</v>
      </c>
      <c r="E93" s="3" t="s">
        <v>16</v>
      </c>
      <c r="F93" s="3" t="s">
        <v>295</v>
      </c>
      <c r="G93" s="3" t="s">
        <v>17</v>
      </c>
      <c r="H93" s="3" t="s">
        <v>115</v>
      </c>
    </row>
    <row r="94" spans="1:8" x14ac:dyDescent="0.2">
      <c r="A94" s="3">
        <v>3050203003</v>
      </c>
      <c r="B94" s="4" t="s">
        <v>120</v>
      </c>
      <c r="C94" s="4" t="s">
        <v>457</v>
      </c>
      <c r="D94" s="3">
        <v>2</v>
      </c>
      <c r="E94" s="3" t="s">
        <v>16</v>
      </c>
      <c r="F94" s="3" t="s">
        <v>291</v>
      </c>
      <c r="G94" s="3" t="s">
        <v>26</v>
      </c>
      <c r="H94" s="3" t="s">
        <v>115</v>
      </c>
    </row>
    <row r="95" spans="1:8" x14ac:dyDescent="0.2">
      <c r="A95" s="3">
        <v>3030204008</v>
      </c>
      <c r="B95" s="4" t="s">
        <v>122</v>
      </c>
      <c r="C95" s="4" t="s">
        <v>123</v>
      </c>
      <c r="D95" s="3">
        <v>1</v>
      </c>
      <c r="E95" s="3" t="s">
        <v>16</v>
      </c>
      <c r="F95" s="3" t="s">
        <v>291</v>
      </c>
      <c r="G95" s="3" t="s">
        <v>26</v>
      </c>
      <c r="H95" s="3" t="s">
        <v>115</v>
      </c>
    </row>
    <row r="96" spans="1:8" x14ac:dyDescent="0.2">
      <c r="A96" s="3">
        <v>3070104002</v>
      </c>
      <c r="B96" s="4" t="s">
        <v>128</v>
      </c>
      <c r="C96" s="4" t="s">
        <v>129</v>
      </c>
      <c r="D96" s="3">
        <v>1</v>
      </c>
      <c r="E96" s="3" t="s">
        <v>16</v>
      </c>
      <c r="F96" s="3" t="s">
        <v>317</v>
      </c>
      <c r="G96" s="3" t="s">
        <v>318</v>
      </c>
      <c r="H96" s="3" t="s">
        <v>115</v>
      </c>
    </row>
    <row r="97" spans="1:8" x14ac:dyDescent="0.2">
      <c r="A97" s="3">
        <v>3070104001</v>
      </c>
      <c r="B97" s="4" t="s">
        <v>331</v>
      </c>
      <c r="C97" s="4" t="s">
        <v>332</v>
      </c>
      <c r="D97" s="3">
        <v>1</v>
      </c>
      <c r="E97" s="3" t="s">
        <v>16</v>
      </c>
      <c r="F97" s="3" t="s">
        <v>317</v>
      </c>
      <c r="G97" s="3" t="s">
        <v>318</v>
      </c>
      <c r="H97" s="3" t="s">
        <v>115</v>
      </c>
    </row>
    <row r="98" spans="1:8" x14ac:dyDescent="0.2">
      <c r="A98" s="3">
        <v>3030206001</v>
      </c>
      <c r="B98" s="4" t="s">
        <v>458</v>
      </c>
      <c r="C98" s="4" t="s">
        <v>404</v>
      </c>
      <c r="D98" s="3">
        <v>1</v>
      </c>
      <c r="E98" s="3" t="s">
        <v>16</v>
      </c>
      <c r="F98" s="3" t="s">
        <v>295</v>
      </c>
      <c r="G98" s="3" t="s">
        <v>17</v>
      </c>
      <c r="H98" s="3" t="s">
        <v>132</v>
      </c>
    </row>
    <row r="99" spans="1:8" x14ac:dyDescent="0.2">
      <c r="A99" s="3">
        <v>3040502053</v>
      </c>
      <c r="B99" s="4" t="s">
        <v>136</v>
      </c>
      <c r="C99" s="4" t="s">
        <v>1117</v>
      </c>
      <c r="D99" s="3">
        <v>1</v>
      </c>
      <c r="E99" s="3" t="s">
        <v>16</v>
      </c>
      <c r="F99" s="3" t="s">
        <v>293</v>
      </c>
      <c r="G99" s="3" t="s">
        <v>29</v>
      </c>
      <c r="H99" s="3" t="s">
        <v>138</v>
      </c>
    </row>
    <row r="100" spans="1:8" x14ac:dyDescent="0.2">
      <c r="A100" s="3">
        <v>3040502052</v>
      </c>
      <c r="B100" s="4" t="s">
        <v>136</v>
      </c>
      <c r="C100" s="4" t="s">
        <v>1118</v>
      </c>
      <c r="D100" s="3">
        <v>1</v>
      </c>
      <c r="E100" s="3" t="s">
        <v>16</v>
      </c>
      <c r="F100" s="3" t="s">
        <v>293</v>
      </c>
      <c r="G100" s="3" t="s">
        <v>29</v>
      </c>
      <c r="H100" s="3" t="s">
        <v>138</v>
      </c>
    </row>
    <row r="101" spans="1:8" x14ac:dyDescent="0.2">
      <c r="A101" s="3">
        <v>3990207002</v>
      </c>
      <c r="B101" s="4" t="s">
        <v>140</v>
      </c>
      <c r="C101" s="4" t="s">
        <v>714</v>
      </c>
      <c r="D101" s="3">
        <v>1</v>
      </c>
      <c r="E101" s="3" t="s">
        <v>16</v>
      </c>
      <c r="F101" s="3" t="s">
        <v>285</v>
      </c>
      <c r="G101" s="3" t="s">
        <v>142</v>
      </c>
      <c r="H101" s="3" t="s">
        <v>143</v>
      </c>
    </row>
    <row r="102" spans="1:8" x14ac:dyDescent="0.2">
      <c r="A102" s="3">
        <v>3030301005</v>
      </c>
      <c r="B102" s="4" t="s">
        <v>144</v>
      </c>
      <c r="C102" s="4" t="s">
        <v>145</v>
      </c>
      <c r="D102" s="3">
        <v>2</v>
      </c>
      <c r="E102" s="3" t="s">
        <v>16</v>
      </c>
      <c r="F102" s="3" t="s">
        <v>291</v>
      </c>
      <c r="G102" s="3" t="s">
        <v>26</v>
      </c>
      <c r="H102" s="3" t="s">
        <v>143</v>
      </c>
    </row>
    <row r="103" spans="1:8" x14ac:dyDescent="0.2">
      <c r="A103" s="3">
        <v>3990204002</v>
      </c>
      <c r="B103" s="4" t="s">
        <v>333</v>
      </c>
      <c r="C103" s="4" t="s">
        <v>334</v>
      </c>
      <c r="D103" s="3">
        <v>1</v>
      </c>
      <c r="E103" s="3" t="s">
        <v>16</v>
      </c>
      <c r="F103" s="3" t="s">
        <v>335</v>
      </c>
      <c r="G103" s="3" t="s">
        <v>336</v>
      </c>
      <c r="H103" s="3" t="s">
        <v>143</v>
      </c>
    </row>
    <row r="104" spans="1:8" x14ac:dyDescent="0.2">
      <c r="A104" s="3">
        <v>3990206001</v>
      </c>
      <c r="B104" s="4" t="s">
        <v>715</v>
      </c>
      <c r="C104" s="4" t="s">
        <v>716</v>
      </c>
      <c r="D104" s="3">
        <v>1</v>
      </c>
      <c r="E104" s="3" t="s">
        <v>16</v>
      </c>
      <c r="F104" s="3" t="s">
        <v>717</v>
      </c>
      <c r="G104" s="3" t="s">
        <v>718</v>
      </c>
      <c r="H104" s="3" t="s">
        <v>143</v>
      </c>
    </row>
    <row r="105" spans="1:8" x14ac:dyDescent="0.2">
      <c r="A105" s="3">
        <v>3990205003</v>
      </c>
      <c r="B105" s="4" t="s">
        <v>146</v>
      </c>
      <c r="C105" s="4" t="s">
        <v>460</v>
      </c>
      <c r="D105" s="3">
        <v>1</v>
      </c>
      <c r="E105" s="3" t="s">
        <v>16</v>
      </c>
      <c r="F105" s="3" t="s">
        <v>287</v>
      </c>
      <c r="G105" s="3" t="s">
        <v>148</v>
      </c>
      <c r="H105" s="3" t="s">
        <v>143</v>
      </c>
    </row>
    <row r="106" spans="1:8" x14ac:dyDescent="0.2">
      <c r="A106" s="3">
        <v>408090008</v>
      </c>
      <c r="B106" s="4" t="s">
        <v>461</v>
      </c>
      <c r="C106" s="4" t="s">
        <v>462</v>
      </c>
      <c r="D106" s="3">
        <v>1</v>
      </c>
      <c r="E106" s="3" t="s">
        <v>16</v>
      </c>
      <c r="F106" s="3" t="s">
        <v>293</v>
      </c>
      <c r="G106" s="3" t="s">
        <v>29</v>
      </c>
      <c r="H106" s="3" t="s">
        <v>151</v>
      </c>
    </row>
    <row r="107" spans="1:8" x14ac:dyDescent="0.2">
      <c r="A107" s="3">
        <v>408090007</v>
      </c>
      <c r="B107" s="4" t="s">
        <v>463</v>
      </c>
      <c r="C107" s="4" t="s">
        <v>464</v>
      </c>
      <c r="D107" s="3">
        <v>1</v>
      </c>
      <c r="E107" s="3" t="s">
        <v>16</v>
      </c>
      <c r="F107" s="3" t="s">
        <v>293</v>
      </c>
      <c r="G107" s="3" t="s">
        <v>29</v>
      </c>
      <c r="H107" s="3" t="s">
        <v>151</v>
      </c>
    </row>
    <row r="108" spans="1:8" x14ac:dyDescent="0.2">
      <c r="A108" s="3">
        <v>3060318001</v>
      </c>
      <c r="B108" s="4" t="s">
        <v>720</v>
      </c>
      <c r="C108" s="4" t="s">
        <v>721</v>
      </c>
      <c r="D108" s="3">
        <v>1</v>
      </c>
      <c r="E108" s="3" t="s">
        <v>16</v>
      </c>
      <c r="F108" s="3" t="s">
        <v>289</v>
      </c>
      <c r="G108" s="3" t="s">
        <v>23</v>
      </c>
      <c r="H108" s="3" t="s">
        <v>154</v>
      </c>
    </row>
    <row r="109" spans="1:8" x14ac:dyDescent="0.2">
      <c r="A109" s="3">
        <v>3060327003</v>
      </c>
      <c r="B109" s="4" t="s">
        <v>722</v>
      </c>
      <c r="C109" s="4" t="s">
        <v>723</v>
      </c>
      <c r="D109" s="3">
        <v>1</v>
      </c>
      <c r="E109" s="3" t="s">
        <v>16</v>
      </c>
      <c r="F109" s="3" t="s">
        <v>289</v>
      </c>
      <c r="G109" s="3" t="s">
        <v>23</v>
      </c>
      <c r="H109" s="3" t="s">
        <v>154</v>
      </c>
    </row>
    <row r="110" spans="1:8" x14ac:dyDescent="0.2">
      <c r="A110" s="3">
        <v>3080507001</v>
      </c>
      <c r="B110" s="4" t="s">
        <v>466</v>
      </c>
      <c r="C110" s="4" t="s">
        <v>467</v>
      </c>
      <c r="D110" s="3">
        <v>4</v>
      </c>
      <c r="E110" s="3" t="s">
        <v>16</v>
      </c>
      <c r="F110" s="3" t="s">
        <v>291</v>
      </c>
      <c r="G110" s="3" t="s">
        <v>26</v>
      </c>
      <c r="H110" s="3" t="s">
        <v>154</v>
      </c>
    </row>
    <row r="111" spans="1:8" x14ac:dyDescent="0.2">
      <c r="A111" s="3">
        <v>3080505003</v>
      </c>
      <c r="B111" s="4" t="s">
        <v>1119</v>
      </c>
      <c r="C111" s="4" t="s">
        <v>1120</v>
      </c>
      <c r="D111" s="3">
        <v>1</v>
      </c>
      <c r="E111" s="3" t="s">
        <v>16</v>
      </c>
      <c r="F111" s="3" t="s">
        <v>317</v>
      </c>
      <c r="G111" s="3" t="s">
        <v>318</v>
      </c>
      <c r="H111" s="3" t="s">
        <v>154</v>
      </c>
    </row>
    <row r="112" spans="1:8" x14ac:dyDescent="0.2">
      <c r="A112" s="3">
        <v>3030301010</v>
      </c>
      <c r="B112" s="4" t="s">
        <v>468</v>
      </c>
      <c r="C112" s="4" t="s">
        <v>469</v>
      </c>
      <c r="D112" s="3">
        <v>4</v>
      </c>
      <c r="E112" s="3" t="s">
        <v>16</v>
      </c>
      <c r="F112" s="3" t="s">
        <v>295</v>
      </c>
      <c r="G112" s="3" t="s">
        <v>17</v>
      </c>
      <c r="H112" s="3" t="s">
        <v>165</v>
      </c>
    </row>
    <row r="113" spans="1:8" x14ac:dyDescent="0.2">
      <c r="A113" s="3">
        <v>3060347005</v>
      </c>
      <c r="B113" s="4" t="s">
        <v>470</v>
      </c>
      <c r="C113" s="4" t="s">
        <v>471</v>
      </c>
      <c r="D113" s="3">
        <v>1</v>
      </c>
      <c r="E113" s="3" t="s">
        <v>16</v>
      </c>
      <c r="F113" s="3" t="s">
        <v>291</v>
      </c>
      <c r="G113" s="3" t="s">
        <v>26</v>
      </c>
      <c r="H113" s="3" t="s">
        <v>165</v>
      </c>
    </row>
    <row r="114" spans="1:8" x14ac:dyDescent="0.2">
      <c r="A114" s="3">
        <v>3060347006</v>
      </c>
      <c r="B114" s="4" t="s">
        <v>470</v>
      </c>
      <c r="C114" s="4" t="s">
        <v>472</v>
      </c>
      <c r="D114" s="3">
        <v>1</v>
      </c>
      <c r="E114" s="3" t="s">
        <v>16</v>
      </c>
      <c r="F114" s="3" t="s">
        <v>291</v>
      </c>
      <c r="G114" s="3" t="s">
        <v>26</v>
      </c>
      <c r="H114" s="3" t="s">
        <v>165</v>
      </c>
    </row>
    <row r="115" spans="1:8" x14ac:dyDescent="0.2">
      <c r="A115" s="3">
        <v>3060307003</v>
      </c>
      <c r="B115" s="4" t="s">
        <v>1085</v>
      </c>
      <c r="C115" s="4" t="s">
        <v>1086</v>
      </c>
      <c r="D115" s="3">
        <v>1</v>
      </c>
      <c r="E115" s="3" t="s">
        <v>16</v>
      </c>
      <c r="F115" s="3" t="s">
        <v>291</v>
      </c>
      <c r="G115" s="3" t="s">
        <v>26</v>
      </c>
      <c r="H115" s="3" t="s">
        <v>165</v>
      </c>
    </row>
    <row r="116" spans="1:8" x14ac:dyDescent="0.2">
      <c r="A116" s="3">
        <v>3060307004</v>
      </c>
      <c r="B116" s="4" t="s">
        <v>1085</v>
      </c>
      <c r="C116" s="4" t="s">
        <v>1087</v>
      </c>
      <c r="D116" s="3">
        <v>1</v>
      </c>
      <c r="E116" s="3" t="s">
        <v>16</v>
      </c>
      <c r="F116" s="3" t="s">
        <v>291</v>
      </c>
      <c r="G116" s="3" t="s">
        <v>26</v>
      </c>
      <c r="H116" s="3" t="s">
        <v>165</v>
      </c>
    </row>
    <row r="117" spans="1:8" x14ac:dyDescent="0.2">
      <c r="A117" s="3">
        <v>3110103002</v>
      </c>
      <c r="B117" s="4" t="s">
        <v>473</v>
      </c>
      <c r="C117" s="4" t="s">
        <v>474</v>
      </c>
      <c r="D117" s="3">
        <v>1</v>
      </c>
      <c r="E117" s="3" t="s">
        <v>16</v>
      </c>
      <c r="F117" s="3" t="s">
        <v>291</v>
      </c>
      <c r="G117" s="3" t="s">
        <v>26</v>
      </c>
      <c r="H117" s="3" t="s">
        <v>165</v>
      </c>
    </row>
    <row r="118" spans="1:8" x14ac:dyDescent="0.2">
      <c r="A118" s="3">
        <v>3030316006</v>
      </c>
      <c r="B118" s="4" t="s">
        <v>475</v>
      </c>
      <c r="C118" s="4" t="s">
        <v>476</v>
      </c>
      <c r="D118" s="3">
        <v>1</v>
      </c>
      <c r="E118" s="3" t="s">
        <v>16</v>
      </c>
      <c r="F118" s="3" t="s">
        <v>295</v>
      </c>
      <c r="G118" s="3" t="s">
        <v>17</v>
      </c>
      <c r="H118" s="3" t="s">
        <v>165</v>
      </c>
    </row>
    <row r="119" spans="1:8" x14ac:dyDescent="0.2">
      <c r="A119" s="3">
        <v>3040326008</v>
      </c>
      <c r="B119" s="4" t="s">
        <v>546</v>
      </c>
      <c r="C119" s="4" t="s">
        <v>1121</v>
      </c>
      <c r="D119" s="3">
        <v>1</v>
      </c>
      <c r="E119" s="3" t="s">
        <v>16</v>
      </c>
      <c r="F119" s="3" t="s">
        <v>293</v>
      </c>
      <c r="G119" s="3" t="s">
        <v>29</v>
      </c>
      <c r="H119" s="3" t="s">
        <v>165</v>
      </c>
    </row>
    <row r="120" spans="1:8" x14ac:dyDescent="0.2">
      <c r="A120" s="3">
        <v>3040326007</v>
      </c>
      <c r="B120" s="4" t="s">
        <v>546</v>
      </c>
      <c r="C120" s="4" t="s">
        <v>1122</v>
      </c>
      <c r="D120" s="3">
        <v>1</v>
      </c>
      <c r="E120" s="3" t="s">
        <v>16</v>
      </c>
      <c r="F120" s="3" t="s">
        <v>293</v>
      </c>
      <c r="G120" s="3" t="s">
        <v>29</v>
      </c>
      <c r="H120" s="3" t="s">
        <v>165</v>
      </c>
    </row>
    <row r="121" spans="1:8" x14ac:dyDescent="0.2">
      <c r="A121" s="3">
        <v>3050306005</v>
      </c>
      <c r="B121" s="4" t="s">
        <v>1123</v>
      </c>
      <c r="C121" s="4" t="s">
        <v>536</v>
      </c>
      <c r="D121" s="3">
        <v>1</v>
      </c>
      <c r="E121" s="3" t="s">
        <v>16</v>
      </c>
      <c r="F121" s="3" t="s">
        <v>291</v>
      </c>
      <c r="G121" s="3" t="s">
        <v>26</v>
      </c>
      <c r="H121" s="3" t="s">
        <v>165</v>
      </c>
    </row>
    <row r="122" spans="1:8" x14ac:dyDescent="0.2">
      <c r="A122" s="3">
        <v>3030314007</v>
      </c>
      <c r="B122" s="4" t="s">
        <v>477</v>
      </c>
      <c r="C122" s="4" t="s">
        <v>478</v>
      </c>
      <c r="D122" s="3">
        <v>1</v>
      </c>
      <c r="E122" s="3" t="s">
        <v>16</v>
      </c>
      <c r="F122" s="3" t="s">
        <v>291</v>
      </c>
      <c r="G122" s="3" t="s">
        <v>26</v>
      </c>
      <c r="H122" s="3" t="s">
        <v>165</v>
      </c>
    </row>
    <row r="123" spans="1:8" x14ac:dyDescent="0.2">
      <c r="A123" s="3">
        <v>3030308013</v>
      </c>
      <c r="B123" s="4" t="s">
        <v>479</v>
      </c>
      <c r="C123" s="4" t="s">
        <v>478</v>
      </c>
      <c r="D123" s="3">
        <v>1</v>
      </c>
      <c r="E123" s="3" t="s">
        <v>16</v>
      </c>
      <c r="F123" s="3" t="s">
        <v>291</v>
      </c>
      <c r="G123" s="3" t="s">
        <v>26</v>
      </c>
      <c r="H123" s="3" t="s">
        <v>165</v>
      </c>
    </row>
    <row r="124" spans="1:8" x14ac:dyDescent="0.2">
      <c r="A124" s="3">
        <v>3050310030</v>
      </c>
      <c r="B124" s="4" t="s">
        <v>480</v>
      </c>
      <c r="C124" s="4" t="s">
        <v>469</v>
      </c>
      <c r="D124" s="3">
        <v>2</v>
      </c>
      <c r="E124" s="3" t="s">
        <v>16</v>
      </c>
      <c r="F124" s="3" t="s">
        <v>291</v>
      </c>
      <c r="G124" s="3" t="s">
        <v>26</v>
      </c>
      <c r="H124" s="3" t="s">
        <v>165</v>
      </c>
    </row>
    <row r="125" spans="1:8" x14ac:dyDescent="0.2">
      <c r="A125" s="3">
        <v>3010106010</v>
      </c>
      <c r="B125" s="4" t="s">
        <v>481</v>
      </c>
      <c r="C125" s="4" t="s">
        <v>482</v>
      </c>
      <c r="D125" s="3">
        <v>0.03</v>
      </c>
      <c r="E125" s="3" t="s">
        <v>10</v>
      </c>
      <c r="F125" s="3" t="s">
        <v>284</v>
      </c>
      <c r="G125" s="3" t="s">
        <v>11</v>
      </c>
      <c r="H125" s="3" t="s">
        <v>483</v>
      </c>
    </row>
    <row r="126" spans="1:8" x14ac:dyDescent="0.2">
      <c r="A126" s="3">
        <v>3060333003</v>
      </c>
      <c r="B126" s="4" t="s">
        <v>227</v>
      </c>
      <c r="C126" s="4" t="s">
        <v>724</v>
      </c>
      <c r="D126" s="3">
        <v>1</v>
      </c>
      <c r="E126" s="3" t="s">
        <v>16</v>
      </c>
      <c r="F126" s="3" t="s">
        <v>289</v>
      </c>
      <c r="G126" s="3" t="s">
        <v>23</v>
      </c>
      <c r="H126" s="3" t="s">
        <v>173</v>
      </c>
    </row>
    <row r="127" spans="1:8" x14ac:dyDescent="0.2">
      <c r="A127" s="3">
        <v>3050305013</v>
      </c>
      <c r="B127" s="4" t="s">
        <v>484</v>
      </c>
      <c r="C127" s="4" t="s">
        <v>485</v>
      </c>
      <c r="D127" s="3">
        <v>1</v>
      </c>
      <c r="E127" s="3" t="s">
        <v>16</v>
      </c>
      <c r="F127" s="3" t="s">
        <v>291</v>
      </c>
      <c r="G127" s="3" t="s">
        <v>26</v>
      </c>
      <c r="H127" s="3" t="s">
        <v>173</v>
      </c>
    </row>
    <row r="128" spans="1:8" x14ac:dyDescent="0.2">
      <c r="A128" s="3">
        <v>3040305002</v>
      </c>
      <c r="B128" s="4" t="s">
        <v>486</v>
      </c>
      <c r="C128" s="4" t="s">
        <v>487</v>
      </c>
      <c r="D128" s="3">
        <v>2</v>
      </c>
      <c r="E128" s="3" t="s">
        <v>16</v>
      </c>
      <c r="F128" s="3" t="s">
        <v>293</v>
      </c>
      <c r="G128" s="3" t="s">
        <v>29</v>
      </c>
      <c r="H128" s="3" t="s">
        <v>173</v>
      </c>
    </row>
    <row r="129" spans="1:8" x14ac:dyDescent="0.2">
      <c r="A129" s="3">
        <v>3040313002</v>
      </c>
      <c r="B129" s="4" t="s">
        <v>488</v>
      </c>
      <c r="C129" s="4" t="s">
        <v>489</v>
      </c>
      <c r="D129" s="3">
        <v>8</v>
      </c>
      <c r="E129" s="3" t="s">
        <v>16</v>
      </c>
      <c r="F129" s="3" t="s">
        <v>293</v>
      </c>
      <c r="G129" s="3" t="s">
        <v>29</v>
      </c>
      <c r="H129" s="3" t="s">
        <v>173</v>
      </c>
    </row>
    <row r="130" spans="1:8" x14ac:dyDescent="0.2">
      <c r="A130" s="3">
        <v>3040321001</v>
      </c>
      <c r="B130" s="4" t="s">
        <v>490</v>
      </c>
      <c r="C130" s="4" t="s">
        <v>347</v>
      </c>
      <c r="D130" s="3">
        <v>8</v>
      </c>
      <c r="E130" s="3" t="s">
        <v>16</v>
      </c>
      <c r="F130" s="3" t="s">
        <v>293</v>
      </c>
      <c r="G130" s="3" t="s">
        <v>29</v>
      </c>
      <c r="H130" s="3" t="s">
        <v>173</v>
      </c>
    </row>
    <row r="131" spans="1:8" x14ac:dyDescent="0.2">
      <c r="A131" s="3">
        <v>3040309001</v>
      </c>
      <c r="B131" s="4" t="s">
        <v>346</v>
      </c>
      <c r="C131" s="4" t="s">
        <v>347</v>
      </c>
      <c r="D131" s="3">
        <v>4</v>
      </c>
      <c r="E131" s="3" t="s">
        <v>16</v>
      </c>
      <c r="F131" s="3" t="s">
        <v>293</v>
      </c>
      <c r="G131" s="3" t="s">
        <v>29</v>
      </c>
      <c r="H131" s="3" t="s">
        <v>173</v>
      </c>
    </row>
    <row r="132" spans="1:8" x14ac:dyDescent="0.2">
      <c r="A132" s="3">
        <v>3070201002</v>
      </c>
      <c r="B132" s="4" t="s">
        <v>348</v>
      </c>
      <c r="C132" s="4" t="s">
        <v>349</v>
      </c>
      <c r="D132" s="3">
        <v>1</v>
      </c>
      <c r="E132" s="3" t="s">
        <v>16</v>
      </c>
      <c r="F132" s="3" t="s">
        <v>317</v>
      </c>
      <c r="G132" s="3" t="s">
        <v>318</v>
      </c>
      <c r="H132" s="3" t="s">
        <v>173</v>
      </c>
    </row>
    <row r="133" spans="1:8" x14ac:dyDescent="0.2">
      <c r="A133" s="3">
        <v>3060340001</v>
      </c>
      <c r="B133" s="4" t="s">
        <v>725</v>
      </c>
      <c r="C133" s="4" t="s">
        <v>726</v>
      </c>
      <c r="D133" s="3">
        <v>1</v>
      </c>
      <c r="E133" s="3" t="s">
        <v>16</v>
      </c>
      <c r="F133" s="3" t="s">
        <v>702</v>
      </c>
      <c r="G133" s="3" t="s">
        <v>703</v>
      </c>
      <c r="H133" s="3" t="s">
        <v>173</v>
      </c>
    </row>
    <row r="134" spans="1:8" x14ac:dyDescent="0.2">
      <c r="A134" s="3">
        <v>3050304006</v>
      </c>
      <c r="B134" s="4" t="s">
        <v>181</v>
      </c>
      <c r="C134" s="4" t="s">
        <v>491</v>
      </c>
      <c r="D134" s="3">
        <v>1</v>
      </c>
      <c r="E134" s="3" t="s">
        <v>16</v>
      </c>
      <c r="F134" s="3" t="s">
        <v>291</v>
      </c>
      <c r="G134" s="3" t="s">
        <v>26</v>
      </c>
      <c r="H134" s="3" t="s">
        <v>173</v>
      </c>
    </row>
    <row r="135" spans="1:8" x14ac:dyDescent="0.2">
      <c r="A135" s="3">
        <v>3020501004</v>
      </c>
      <c r="B135" s="4" t="s">
        <v>183</v>
      </c>
      <c r="C135" s="4" t="s">
        <v>761</v>
      </c>
      <c r="D135" s="3">
        <v>1</v>
      </c>
      <c r="E135" s="3" t="s">
        <v>16</v>
      </c>
      <c r="F135" s="3" t="s">
        <v>291</v>
      </c>
      <c r="G135" s="3" t="s">
        <v>26</v>
      </c>
      <c r="H135" s="3" t="s">
        <v>185</v>
      </c>
    </row>
    <row r="136" spans="1:8" x14ac:dyDescent="0.2">
      <c r="A136" s="3">
        <v>3030204003</v>
      </c>
      <c r="B136" s="4" t="s">
        <v>492</v>
      </c>
      <c r="C136" s="4" t="s">
        <v>493</v>
      </c>
      <c r="D136" s="3">
        <v>2</v>
      </c>
      <c r="E136" s="3" t="s">
        <v>16</v>
      </c>
      <c r="F136" s="3" t="s">
        <v>295</v>
      </c>
      <c r="G136" s="3" t="s">
        <v>17</v>
      </c>
      <c r="H136" s="3" t="s">
        <v>494</v>
      </c>
    </row>
    <row r="137" spans="1:8" x14ac:dyDescent="0.2">
      <c r="A137" s="3">
        <v>3990201008</v>
      </c>
      <c r="B137" s="4" t="s">
        <v>186</v>
      </c>
      <c r="C137" s="4" t="s">
        <v>495</v>
      </c>
      <c r="D137" s="3">
        <v>1</v>
      </c>
      <c r="E137" s="3" t="s">
        <v>16</v>
      </c>
      <c r="F137" s="3" t="s">
        <v>295</v>
      </c>
      <c r="G137" s="3" t="s">
        <v>17</v>
      </c>
      <c r="H137" s="3" t="s">
        <v>187</v>
      </c>
    </row>
    <row r="138" spans="1:8" x14ac:dyDescent="0.2">
      <c r="A138" s="3">
        <v>3990202007</v>
      </c>
      <c r="B138" s="4" t="s">
        <v>188</v>
      </c>
      <c r="C138" s="4" t="s">
        <v>495</v>
      </c>
      <c r="D138" s="3">
        <v>1</v>
      </c>
      <c r="E138" s="3" t="s">
        <v>16</v>
      </c>
      <c r="F138" s="3" t="s">
        <v>295</v>
      </c>
      <c r="G138" s="3" t="s">
        <v>17</v>
      </c>
      <c r="H138" s="3" t="s">
        <v>187</v>
      </c>
    </row>
    <row r="139" spans="1:8" x14ac:dyDescent="0.2">
      <c r="A139" s="3">
        <v>3990203002</v>
      </c>
      <c r="B139" s="4" t="s">
        <v>189</v>
      </c>
      <c r="C139" s="4" t="s">
        <v>495</v>
      </c>
      <c r="D139" s="3">
        <v>1</v>
      </c>
      <c r="E139" s="3" t="s">
        <v>16</v>
      </c>
      <c r="F139" s="3" t="s">
        <v>295</v>
      </c>
      <c r="G139" s="3" t="s">
        <v>17</v>
      </c>
      <c r="H139" s="3" t="s">
        <v>187</v>
      </c>
    </row>
    <row r="140" spans="1:8" x14ac:dyDescent="0.2">
      <c r="A140" s="3">
        <v>3060403035</v>
      </c>
      <c r="B140" s="4" t="s">
        <v>957</v>
      </c>
      <c r="C140" s="4" t="s">
        <v>502</v>
      </c>
      <c r="D140" s="3">
        <v>1</v>
      </c>
      <c r="E140" s="3" t="s">
        <v>16</v>
      </c>
      <c r="F140" s="3" t="s">
        <v>295</v>
      </c>
      <c r="G140" s="3" t="s">
        <v>17</v>
      </c>
      <c r="H140" s="3" t="s">
        <v>192</v>
      </c>
    </row>
    <row r="141" spans="1:8" x14ac:dyDescent="0.2">
      <c r="A141" s="3">
        <v>3060403036</v>
      </c>
      <c r="B141" s="4" t="s">
        <v>957</v>
      </c>
      <c r="C141" s="4" t="s">
        <v>501</v>
      </c>
      <c r="D141" s="3">
        <v>1</v>
      </c>
      <c r="E141" s="3" t="s">
        <v>16</v>
      </c>
      <c r="F141" s="3" t="s">
        <v>295</v>
      </c>
      <c r="G141" s="3" t="s">
        <v>17</v>
      </c>
      <c r="H141" s="3" t="s">
        <v>192</v>
      </c>
    </row>
    <row r="142" spans="1:8" x14ac:dyDescent="0.2">
      <c r="A142" s="3">
        <v>3060401001</v>
      </c>
      <c r="B142" s="4" t="s">
        <v>727</v>
      </c>
      <c r="C142" s="4" t="s">
        <v>728</v>
      </c>
      <c r="D142" s="3">
        <v>2</v>
      </c>
      <c r="E142" s="3" t="s">
        <v>16</v>
      </c>
      <c r="F142" s="3" t="s">
        <v>289</v>
      </c>
      <c r="G142" s="3" t="s">
        <v>23</v>
      </c>
      <c r="H142" s="3" t="s">
        <v>192</v>
      </c>
    </row>
    <row r="143" spans="1:8" x14ac:dyDescent="0.2">
      <c r="A143" s="3">
        <v>3030402006</v>
      </c>
      <c r="B143" s="4" t="s">
        <v>498</v>
      </c>
      <c r="C143" s="4" t="s">
        <v>1124</v>
      </c>
      <c r="D143" s="3">
        <v>1</v>
      </c>
      <c r="E143" s="3" t="s">
        <v>16</v>
      </c>
      <c r="F143" s="3" t="s">
        <v>295</v>
      </c>
      <c r="G143" s="3" t="s">
        <v>17</v>
      </c>
      <c r="H143" s="3" t="s">
        <v>192</v>
      </c>
    </row>
    <row r="144" spans="1:8" x14ac:dyDescent="0.2">
      <c r="A144" s="3">
        <v>3040312014</v>
      </c>
      <c r="B144" s="4" t="s">
        <v>263</v>
      </c>
      <c r="C144" s="4" t="s">
        <v>1125</v>
      </c>
      <c r="D144" s="3">
        <v>2</v>
      </c>
      <c r="E144" s="3" t="s">
        <v>16</v>
      </c>
      <c r="F144" s="3" t="s">
        <v>293</v>
      </c>
      <c r="G144" s="3" t="s">
        <v>29</v>
      </c>
      <c r="H144" s="3" t="s">
        <v>192</v>
      </c>
    </row>
    <row r="145" spans="1:8" x14ac:dyDescent="0.2">
      <c r="A145" s="3">
        <v>3040402005</v>
      </c>
      <c r="B145" s="4" t="s">
        <v>500</v>
      </c>
      <c r="C145" s="4" t="s">
        <v>501</v>
      </c>
      <c r="D145" s="3">
        <v>1</v>
      </c>
      <c r="E145" s="3" t="s">
        <v>16</v>
      </c>
      <c r="F145" s="3" t="s">
        <v>293</v>
      </c>
      <c r="G145" s="3" t="s">
        <v>29</v>
      </c>
      <c r="H145" s="3" t="s">
        <v>192</v>
      </c>
    </row>
    <row r="146" spans="1:8" x14ac:dyDescent="0.2">
      <c r="A146" s="3">
        <v>3040402006</v>
      </c>
      <c r="B146" s="4" t="s">
        <v>500</v>
      </c>
      <c r="C146" s="4" t="s">
        <v>502</v>
      </c>
      <c r="D146" s="3">
        <v>1</v>
      </c>
      <c r="E146" s="3" t="s">
        <v>16</v>
      </c>
      <c r="F146" s="3" t="s">
        <v>293</v>
      </c>
      <c r="G146" s="3" t="s">
        <v>29</v>
      </c>
      <c r="H146" s="3" t="s">
        <v>192</v>
      </c>
    </row>
    <row r="147" spans="1:8" x14ac:dyDescent="0.2">
      <c r="A147" s="3">
        <v>3070205007</v>
      </c>
      <c r="B147" s="4" t="s">
        <v>372</v>
      </c>
      <c r="C147" s="4" t="s">
        <v>1126</v>
      </c>
      <c r="D147" s="3">
        <v>1</v>
      </c>
      <c r="E147" s="3" t="s">
        <v>16</v>
      </c>
      <c r="F147" s="3" t="s">
        <v>317</v>
      </c>
      <c r="G147" s="3" t="s">
        <v>318</v>
      </c>
      <c r="H147" s="3" t="s">
        <v>192</v>
      </c>
    </row>
    <row r="148" spans="1:8" x14ac:dyDescent="0.2">
      <c r="A148" s="3">
        <v>3020301004</v>
      </c>
      <c r="B148" s="4" t="s">
        <v>209</v>
      </c>
      <c r="C148" s="4" t="s">
        <v>1090</v>
      </c>
      <c r="D148" s="3">
        <v>1</v>
      </c>
      <c r="E148" s="3" t="s">
        <v>16</v>
      </c>
      <c r="F148" s="3" t="s">
        <v>301</v>
      </c>
      <c r="G148" s="3" t="s">
        <v>32</v>
      </c>
      <c r="H148" s="3" t="s">
        <v>192</v>
      </c>
    </row>
    <row r="149" spans="1:8" x14ac:dyDescent="0.2">
      <c r="A149" s="3">
        <v>3050402002</v>
      </c>
      <c r="B149" s="4" t="s">
        <v>1127</v>
      </c>
      <c r="C149" s="4" t="s">
        <v>1128</v>
      </c>
      <c r="D149" s="3">
        <v>1</v>
      </c>
      <c r="E149" s="3" t="s">
        <v>16</v>
      </c>
      <c r="F149" s="3" t="s">
        <v>295</v>
      </c>
      <c r="G149" s="3" t="s">
        <v>17</v>
      </c>
      <c r="H149" s="3" t="s">
        <v>192</v>
      </c>
    </row>
    <row r="150" spans="1:8" x14ac:dyDescent="0.2">
      <c r="A150" s="3">
        <v>3050401008</v>
      </c>
      <c r="B150" s="4" t="s">
        <v>222</v>
      </c>
      <c r="C150" s="4" t="s">
        <v>1128</v>
      </c>
      <c r="D150" s="3">
        <v>1</v>
      </c>
      <c r="E150" s="3" t="s">
        <v>16</v>
      </c>
      <c r="F150" s="3" t="s">
        <v>291</v>
      </c>
      <c r="G150" s="3" t="s">
        <v>26</v>
      </c>
      <c r="H150" s="3" t="s">
        <v>192</v>
      </c>
    </row>
    <row r="151" spans="1:8" x14ac:dyDescent="0.2">
      <c r="A151" s="3">
        <v>404100035</v>
      </c>
      <c r="B151" s="4" t="s">
        <v>196</v>
      </c>
      <c r="C151" s="4" t="s">
        <v>1104</v>
      </c>
      <c r="D151" s="3">
        <v>1</v>
      </c>
      <c r="E151" s="3" t="s">
        <v>16</v>
      </c>
      <c r="F151" s="3" t="s">
        <v>301</v>
      </c>
      <c r="G151" s="3" t="s">
        <v>32</v>
      </c>
      <c r="H151" s="3" t="s">
        <v>198</v>
      </c>
    </row>
    <row r="152" spans="1:8" x14ac:dyDescent="0.2">
      <c r="A152" s="3">
        <v>404110007</v>
      </c>
      <c r="B152" s="4" t="s">
        <v>504</v>
      </c>
      <c r="C152" s="4" t="s">
        <v>790</v>
      </c>
      <c r="D152" s="3">
        <v>1</v>
      </c>
      <c r="E152" s="3" t="s">
        <v>16</v>
      </c>
      <c r="F152" s="3" t="s">
        <v>301</v>
      </c>
      <c r="G152" s="3" t="s">
        <v>32</v>
      </c>
      <c r="H152" s="3" t="s">
        <v>198</v>
      </c>
    </row>
    <row r="153" spans="1:8" x14ac:dyDescent="0.2">
      <c r="A153" s="3">
        <v>404110009</v>
      </c>
      <c r="B153" s="4" t="s">
        <v>504</v>
      </c>
      <c r="C153" s="4" t="s">
        <v>791</v>
      </c>
      <c r="D153" s="3">
        <v>1</v>
      </c>
      <c r="E153" s="3" t="s">
        <v>16</v>
      </c>
      <c r="F153" s="3" t="s">
        <v>301</v>
      </c>
      <c r="G153" s="3" t="s">
        <v>32</v>
      </c>
      <c r="H153" s="3" t="s">
        <v>198</v>
      </c>
    </row>
    <row r="154" spans="1:8" x14ac:dyDescent="0.2">
      <c r="A154" s="3">
        <v>404110008</v>
      </c>
      <c r="B154" s="4" t="s">
        <v>504</v>
      </c>
      <c r="C154" s="4" t="s">
        <v>505</v>
      </c>
      <c r="D154" s="3">
        <v>2</v>
      </c>
      <c r="E154" s="3" t="s">
        <v>16</v>
      </c>
      <c r="F154" s="3" t="s">
        <v>291</v>
      </c>
      <c r="G154" s="3" t="s">
        <v>26</v>
      </c>
      <c r="H154" s="3" t="s">
        <v>198</v>
      </c>
    </row>
    <row r="155" spans="1:8" x14ac:dyDescent="0.2">
      <c r="A155" s="3">
        <v>403030012</v>
      </c>
      <c r="B155" s="4" t="s">
        <v>366</v>
      </c>
      <c r="C155" s="4" t="s">
        <v>507</v>
      </c>
      <c r="D155" s="3">
        <v>2</v>
      </c>
      <c r="E155" s="3" t="s">
        <v>16</v>
      </c>
      <c r="F155" s="3" t="s">
        <v>291</v>
      </c>
      <c r="G155" s="3" t="s">
        <v>26</v>
      </c>
      <c r="H155" s="3" t="s">
        <v>198</v>
      </c>
    </row>
    <row r="156" spans="1:8" x14ac:dyDescent="0.2">
      <c r="A156" s="3">
        <v>401070022</v>
      </c>
      <c r="B156" s="4" t="s">
        <v>35</v>
      </c>
      <c r="C156" s="4" t="s">
        <v>203</v>
      </c>
      <c r="D156" s="3">
        <v>1</v>
      </c>
      <c r="E156" s="3" t="s">
        <v>16</v>
      </c>
      <c r="F156" s="3" t="s">
        <v>297</v>
      </c>
      <c r="G156" s="3" t="s">
        <v>204</v>
      </c>
      <c r="H156" s="3" t="s">
        <v>198</v>
      </c>
    </row>
    <row r="157" spans="1:8" x14ac:dyDescent="0.2">
      <c r="A157" s="3">
        <v>401070018</v>
      </c>
      <c r="B157" s="4" t="s">
        <v>35</v>
      </c>
      <c r="C157" s="4" t="s">
        <v>202</v>
      </c>
      <c r="D157" s="3">
        <v>1</v>
      </c>
      <c r="E157" s="3" t="s">
        <v>16</v>
      </c>
      <c r="F157" s="3" t="s">
        <v>291</v>
      </c>
      <c r="G157" s="3" t="s">
        <v>26</v>
      </c>
      <c r="H157" s="3" t="s">
        <v>198</v>
      </c>
    </row>
    <row r="158" spans="1:8" x14ac:dyDescent="0.2">
      <c r="A158" s="3">
        <v>401040100</v>
      </c>
      <c r="B158" s="4" t="s">
        <v>35</v>
      </c>
      <c r="C158" s="4" t="s">
        <v>508</v>
      </c>
      <c r="D158" s="3">
        <v>1</v>
      </c>
      <c r="E158" s="3" t="s">
        <v>16</v>
      </c>
      <c r="F158" s="3" t="s">
        <v>291</v>
      </c>
      <c r="G158" s="3" t="s">
        <v>26</v>
      </c>
      <c r="H158" s="3" t="s">
        <v>198</v>
      </c>
    </row>
    <row r="159" spans="1:8" x14ac:dyDescent="0.2">
      <c r="A159" s="3">
        <v>404100003</v>
      </c>
      <c r="B159" s="4" t="s">
        <v>205</v>
      </c>
      <c r="C159" s="4" t="s">
        <v>509</v>
      </c>
      <c r="D159" s="3">
        <v>1</v>
      </c>
      <c r="E159" s="3" t="s">
        <v>16</v>
      </c>
      <c r="F159" s="3" t="s">
        <v>291</v>
      </c>
      <c r="G159" s="3" t="s">
        <v>26</v>
      </c>
      <c r="H159" s="3" t="s">
        <v>198</v>
      </c>
    </row>
    <row r="160" spans="1:8" x14ac:dyDescent="0.2">
      <c r="A160" s="3">
        <v>404100004</v>
      </c>
      <c r="B160" s="4" t="s">
        <v>207</v>
      </c>
      <c r="C160" s="4" t="s">
        <v>510</v>
      </c>
      <c r="D160" s="3">
        <v>1</v>
      </c>
      <c r="E160" s="3" t="s">
        <v>16</v>
      </c>
      <c r="F160" s="3" t="s">
        <v>291</v>
      </c>
      <c r="G160" s="3" t="s">
        <v>26</v>
      </c>
      <c r="H160" s="3" t="s">
        <v>198</v>
      </c>
    </row>
    <row r="161" spans="1:8" x14ac:dyDescent="0.2">
      <c r="A161" s="3">
        <v>3030305007</v>
      </c>
      <c r="B161" s="4" t="s">
        <v>511</v>
      </c>
      <c r="C161" s="4" t="s">
        <v>512</v>
      </c>
      <c r="D161" s="3">
        <v>1</v>
      </c>
      <c r="E161" s="3" t="s">
        <v>16</v>
      </c>
      <c r="F161" s="3" t="s">
        <v>295</v>
      </c>
      <c r="G161" s="3" t="s">
        <v>17</v>
      </c>
      <c r="H161" s="3" t="s">
        <v>211</v>
      </c>
    </row>
    <row r="162" spans="1:8" x14ac:dyDescent="0.2">
      <c r="A162" s="3">
        <v>3030305006</v>
      </c>
      <c r="B162" s="4" t="s">
        <v>513</v>
      </c>
      <c r="C162" s="4" t="s">
        <v>512</v>
      </c>
      <c r="D162" s="3">
        <v>1</v>
      </c>
      <c r="E162" s="3" t="s">
        <v>16</v>
      </c>
      <c r="F162" s="3" t="s">
        <v>295</v>
      </c>
      <c r="G162" s="3" t="s">
        <v>17</v>
      </c>
      <c r="H162" s="3" t="s">
        <v>211</v>
      </c>
    </row>
    <row r="163" spans="1:8" x14ac:dyDescent="0.2">
      <c r="A163" s="3">
        <v>3069904001</v>
      </c>
      <c r="B163" s="4" t="s">
        <v>514</v>
      </c>
      <c r="C163" s="4" t="s">
        <v>355</v>
      </c>
      <c r="D163" s="3">
        <v>4</v>
      </c>
      <c r="E163" s="3" t="s">
        <v>16</v>
      </c>
      <c r="F163" s="3" t="s">
        <v>295</v>
      </c>
      <c r="G163" s="3" t="s">
        <v>17</v>
      </c>
      <c r="H163" s="3" t="s">
        <v>214</v>
      </c>
    </row>
    <row r="164" spans="1:8" x14ac:dyDescent="0.2">
      <c r="A164" s="3">
        <v>3030201003</v>
      </c>
      <c r="B164" s="4" t="s">
        <v>515</v>
      </c>
      <c r="C164" s="4" t="s">
        <v>516</v>
      </c>
      <c r="D164" s="3">
        <v>1</v>
      </c>
      <c r="E164" s="3" t="s">
        <v>16</v>
      </c>
      <c r="F164" s="3" t="s">
        <v>295</v>
      </c>
      <c r="G164" s="3" t="s">
        <v>17</v>
      </c>
      <c r="H164" s="3" t="s">
        <v>214</v>
      </c>
    </row>
    <row r="165" spans="1:8" x14ac:dyDescent="0.2">
      <c r="A165" s="3">
        <v>3049903001</v>
      </c>
      <c r="B165" s="4" t="s">
        <v>517</v>
      </c>
      <c r="C165" s="4" t="s">
        <v>355</v>
      </c>
      <c r="D165" s="3">
        <v>2</v>
      </c>
      <c r="E165" s="3" t="s">
        <v>16</v>
      </c>
      <c r="F165" s="3" t="s">
        <v>293</v>
      </c>
      <c r="G165" s="3" t="s">
        <v>29</v>
      </c>
      <c r="H165" s="3" t="s">
        <v>214</v>
      </c>
    </row>
    <row r="166" spans="1:8" x14ac:dyDescent="0.2">
      <c r="A166" s="3">
        <v>3049904001</v>
      </c>
      <c r="B166" s="4" t="s">
        <v>354</v>
      </c>
      <c r="C166" s="4" t="s">
        <v>355</v>
      </c>
      <c r="D166" s="3">
        <v>4</v>
      </c>
      <c r="E166" s="3" t="s">
        <v>16</v>
      </c>
      <c r="F166" s="3" t="s">
        <v>293</v>
      </c>
      <c r="G166" s="3" t="s">
        <v>29</v>
      </c>
      <c r="H166" s="3" t="s">
        <v>214</v>
      </c>
    </row>
    <row r="167" spans="1:8" x14ac:dyDescent="0.2">
      <c r="A167" s="3">
        <v>3049902001</v>
      </c>
      <c r="B167" s="4" t="s">
        <v>518</v>
      </c>
      <c r="C167" s="4" t="s">
        <v>355</v>
      </c>
      <c r="D167" s="3">
        <v>2</v>
      </c>
      <c r="E167" s="3" t="s">
        <v>16</v>
      </c>
      <c r="F167" s="3" t="s">
        <v>293</v>
      </c>
      <c r="G167" s="3" t="s">
        <v>29</v>
      </c>
      <c r="H167" s="3" t="s">
        <v>214</v>
      </c>
    </row>
    <row r="168" spans="1:8" x14ac:dyDescent="0.2">
      <c r="A168" s="3">
        <v>3070105007</v>
      </c>
      <c r="B168" s="4" t="s">
        <v>360</v>
      </c>
      <c r="C168" s="4" t="s">
        <v>361</v>
      </c>
      <c r="D168" s="3">
        <v>1</v>
      </c>
      <c r="E168" s="3" t="s">
        <v>16</v>
      </c>
      <c r="F168" s="3" t="s">
        <v>317</v>
      </c>
      <c r="G168" s="3" t="s">
        <v>318</v>
      </c>
      <c r="H168" s="3" t="s">
        <v>214</v>
      </c>
    </row>
    <row r="169" spans="1:8" x14ac:dyDescent="0.2">
      <c r="A169" s="3">
        <v>3070105008</v>
      </c>
      <c r="B169" s="4" t="s">
        <v>362</v>
      </c>
      <c r="C169" s="4" t="s">
        <v>361</v>
      </c>
      <c r="D169" s="3">
        <v>1</v>
      </c>
      <c r="E169" s="3" t="s">
        <v>16</v>
      </c>
      <c r="F169" s="3" t="s">
        <v>317</v>
      </c>
      <c r="G169" s="3" t="s">
        <v>318</v>
      </c>
      <c r="H169" s="3" t="s">
        <v>214</v>
      </c>
    </row>
    <row r="170" spans="1:8" x14ac:dyDescent="0.2">
      <c r="A170" s="3">
        <v>3050204001</v>
      </c>
      <c r="B170" s="4" t="s">
        <v>519</v>
      </c>
      <c r="C170" s="4" t="s">
        <v>355</v>
      </c>
      <c r="D170" s="3">
        <v>2</v>
      </c>
      <c r="E170" s="3" t="s">
        <v>16</v>
      </c>
      <c r="F170" s="3" t="s">
        <v>291</v>
      </c>
      <c r="G170" s="3" t="s">
        <v>26</v>
      </c>
      <c r="H170" s="3" t="s">
        <v>214</v>
      </c>
    </row>
    <row r="171" spans="1:8" x14ac:dyDescent="0.2">
      <c r="A171" s="3">
        <v>3050204002</v>
      </c>
      <c r="B171" s="4" t="s">
        <v>520</v>
      </c>
      <c r="C171" s="4" t="s">
        <v>355</v>
      </c>
      <c r="D171" s="3">
        <v>2</v>
      </c>
      <c r="E171" s="3" t="s">
        <v>16</v>
      </c>
      <c r="F171" s="3" t="s">
        <v>291</v>
      </c>
      <c r="G171" s="3" t="s">
        <v>26</v>
      </c>
      <c r="H171" s="3" t="s">
        <v>214</v>
      </c>
    </row>
    <row r="172" spans="1:8" x14ac:dyDescent="0.2">
      <c r="A172" s="3">
        <v>3040324003</v>
      </c>
      <c r="B172" s="4" t="s">
        <v>570</v>
      </c>
      <c r="C172" s="4" t="s">
        <v>1128</v>
      </c>
      <c r="D172" s="3">
        <v>2</v>
      </c>
      <c r="E172" s="3" t="s">
        <v>16</v>
      </c>
      <c r="F172" s="3" t="s">
        <v>293</v>
      </c>
      <c r="G172" s="3" t="s">
        <v>29</v>
      </c>
      <c r="H172" s="3" t="s">
        <v>221</v>
      </c>
    </row>
    <row r="173" spans="1:8" x14ac:dyDescent="0.2">
      <c r="A173" s="3">
        <v>3070209003</v>
      </c>
      <c r="B173" s="4" t="s">
        <v>1129</v>
      </c>
      <c r="C173" s="4" t="s">
        <v>1130</v>
      </c>
      <c r="D173" s="3">
        <v>1</v>
      </c>
      <c r="E173" s="3" t="s">
        <v>16</v>
      </c>
      <c r="F173" s="3" t="s">
        <v>317</v>
      </c>
      <c r="G173" s="3" t="s">
        <v>318</v>
      </c>
      <c r="H173" s="3" t="s">
        <v>221</v>
      </c>
    </row>
    <row r="174" spans="1:8" x14ac:dyDescent="0.2">
      <c r="A174" s="3">
        <v>403030005</v>
      </c>
      <c r="B174" s="4" t="s">
        <v>366</v>
      </c>
      <c r="C174" s="4" t="s">
        <v>368</v>
      </c>
      <c r="D174" s="3">
        <v>2</v>
      </c>
      <c r="E174" s="3" t="s">
        <v>16</v>
      </c>
      <c r="F174" s="3" t="s">
        <v>301</v>
      </c>
      <c r="G174" s="3" t="s">
        <v>32</v>
      </c>
      <c r="H174" s="3" t="s">
        <v>221</v>
      </c>
    </row>
    <row r="175" spans="1:8" x14ac:dyDescent="0.2">
      <c r="A175" s="3">
        <v>403030051</v>
      </c>
      <c r="B175" s="4" t="s">
        <v>366</v>
      </c>
      <c r="C175" s="4" t="s">
        <v>367</v>
      </c>
      <c r="D175" s="3">
        <v>3</v>
      </c>
      <c r="E175" s="3" t="s">
        <v>16</v>
      </c>
      <c r="F175" s="3" t="s">
        <v>301</v>
      </c>
      <c r="G175" s="3" t="s">
        <v>32</v>
      </c>
      <c r="H175" s="3" t="s">
        <v>221</v>
      </c>
    </row>
    <row r="176" spans="1:8" x14ac:dyDescent="0.2">
      <c r="A176" s="3">
        <v>402050001</v>
      </c>
      <c r="B176" s="4" t="s">
        <v>522</v>
      </c>
      <c r="C176" s="4" t="s">
        <v>523</v>
      </c>
      <c r="D176" s="3">
        <v>1</v>
      </c>
      <c r="E176" s="3" t="s">
        <v>16</v>
      </c>
      <c r="F176" s="3" t="s">
        <v>289</v>
      </c>
      <c r="G176" s="3" t="s">
        <v>23</v>
      </c>
      <c r="H176" s="3" t="s">
        <v>524</v>
      </c>
    </row>
    <row r="177" spans="1:8" x14ac:dyDescent="0.2">
      <c r="A177" s="3">
        <v>408990055</v>
      </c>
      <c r="B177" s="4" t="s">
        <v>1131</v>
      </c>
      <c r="C177" s="4" t="s">
        <v>1132</v>
      </c>
      <c r="D177" s="3">
        <v>1</v>
      </c>
      <c r="E177" s="3" t="s">
        <v>16</v>
      </c>
      <c r="F177" s="3" t="s">
        <v>291</v>
      </c>
      <c r="G177" s="3" t="s">
        <v>26</v>
      </c>
      <c r="H177" s="3" t="s">
        <v>524</v>
      </c>
    </row>
    <row r="178" spans="1:8" x14ac:dyDescent="0.2">
      <c r="A178" s="3">
        <v>407010062</v>
      </c>
      <c r="B178" s="4" t="s">
        <v>149</v>
      </c>
      <c r="C178" s="4" t="s">
        <v>1133</v>
      </c>
      <c r="D178" s="3">
        <v>1</v>
      </c>
      <c r="E178" s="3" t="s">
        <v>16</v>
      </c>
      <c r="F178" s="3" t="s">
        <v>289</v>
      </c>
      <c r="G178" s="3" t="s">
        <v>23</v>
      </c>
      <c r="H178" s="3" t="s">
        <v>524</v>
      </c>
    </row>
    <row r="179" spans="1:8" x14ac:dyDescent="0.2">
      <c r="A179" s="3">
        <v>3050305016</v>
      </c>
      <c r="B179" s="4" t="s">
        <v>527</v>
      </c>
      <c r="C179" s="4" t="s">
        <v>528</v>
      </c>
      <c r="D179" s="3">
        <v>1</v>
      </c>
      <c r="E179" s="3" t="s">
        <v>16</v>
      </c>
      <c r="F179" s="3" t="s">
        <v>291</v>
      </c>
      <c r="G179" s="3" t="s">
        <v>26</v>
      </c>
      <c r="H179" s="3" t="s">
        <v>226</v>
      </c>
    </row>
    <row r="180" spans="1:8" x14ac:dyDescent="0.2">
      <c r="A180" s="3">
        <v>3050305015</v>
      </c>
      <c r="B180" s="4" t="s">
        <v>529</v>
      </c>
      <c r="C180" s="4" t="s">
        <v>530</v>
      </c>
      <c r="D180" s="3">
        <v>1</v>
      </c>
      <c r="E180" s="3" t="s">
        <v>16</v>
      </c>
      <c r="F180" s="3" t="s">
        <v>291</v>
      </c>
      <c r="G180" s="3" t="s">
        <v>26</v>
      </c>
      <c r="H180" s="3" t="s">
        <v>226</v>
      </c>
    </row>
    <row r="181" spans="1:8" x14ac:dyDescent="0.2">
      <c r="A181" s="3">
        <v>3030309020</v>
      </c>
      <c r="B181" s="4" t="s">
        <v>531</v>
      </c>
      <c r="C181" s="4" t="s">
        <v>532</v>
      </c>
      <c r="D181" s="3">
        <v>1</v>
      </c>
      <c r="E181" s="3" t="s">
        <v>16</v>
      </c>
      <c r="F181" s="3" t="s">
        <v>291</v>
      </c>
      <c r="G181" s="3" t="s">
        <v>26</v>
      </c>
      <c r="H181" s="3" t="s">
        <v>226</v>
      </c>
    </row>
    <row r="182" spans="1:8" x14ac:dyDescent="0.2">
      <c r="A182" s="3">
        <v>3030302002</v>
      </c>
      <c r="B182" s="4" t="s">
        <v>533</v>
      </c>
      <c r="C182" s="4" t="s">
        <v>534</v>
      </c>
      <c r="D182" s="3">
        <v>1</v>
      </c>
      <c r="E182" s="3" t="s">
        <v>16</v>
      </c>
      <c r="F182" s="3" t="s">
        <v>295</v>
      </c>
      <c r="G182" s="3" t="s">
        <v>17</v>
      </c>
      <c r="H182" s="3" t="s">
        <v>226</v>
      </c>
    </row>
    <row r="183" spans="1:8" x14ac:dyDescent="0.2">
      <c r="A183" s="3">
        <v>3030306012</v>
      </c>
      <c r="B183" s="4" t="s">
        <v>535</v>
      </c>
      <c r="C183" s="4" t="s">
        <v>536</v>
      </c>
      <c r="D183" s="3">
        <v>1</v>
      </c>
      <c r="E183" s="3" t="s">
        <v>16</v>
      </c>
      <c r="F183" s="3" t="s">
        <v>295</v>
      </c>
      <c r="G183" s="3" t="s">
        <v>17</v>
      </c>
      <c r="H183" s="3" t="s">
        <v>226</v>
      </c>
    </row>
    <row r="184" spans="1:8" x14ac:dyDescent="0.2">
      <c r="A184" s="3">
        <v>3030306011</v>
      </c>
      <c r="B184" s="4" t="s">
        <v>537</v>
      </c>
      <c r="C184" s="4" t="s">
        <v>536</v>
      </c>
      <c r="D184" s="3">
        <v>1</v>
      </c>
      <c r="E184" s="3" t="s">
        <v>16</v>
      </c>
      <c r="F184" s="3" t="s">
        <v>295</v>
      </c>
      <c r="G184" s="3" t="s">
        <v>17</v>
      </c>
      <c r="H184" s="3" t="s">
        <v>226</v>
      </c>
    </row>
    <row r="185" spans="1:8" x14ac:dyDescent="0.2">
      <c r="A185" s="3">
        <v>3030303002</v>
      </c>
      <c r="B185" s="4" t="s">
        <v>175</v>
      </c>
      <c r="C185" s="4" t="s">
        <v>538</v>
      </c>
      <c r="D185" s="3">
        <v>1</v>
      </c>
      <c r="E185" s="3" t="s">
        <v>16</v>
      </c>
      <c r="F185" s="3" t="s">
        <v>295</v>
      </c>
      <c r="G185" s="3" t="s">
        <v>17</v>
      </c>
      <c r="H185" s="3" t="s">
        <v>226</v>
      </c>
    </row>
    <row r="186" spans="1:8" x14ac:dyDescent="0.2">
      <c r="A186" s="3">
        <v>3030303017</v>
      </c>
      <c r="B186" s="4" t="s">
        <v>539</v>
      </c>
      <c r="C186" s="4" t="s">
        <v>540</v>
      </c>
      <c r="D186" s="3">
        <v>1</v>
      </c>
      <c r="E186" s="3" t="s">
        <v>16</v>
      </c>
      <c r="F186" s="3" t="s">
        <v>295</v>
      </c>
      <c r="G186" s="3" t="s">
        <v>17</v>
      </c>
      <c r="H186" s="3" t="s">
        <v>226</v>
      </c>
    </row>
    <row r="187" spans="1:8" x14ac:dyDescent="0.2">
      <c r="A187" s="3">
        <v>3040320010</v>
      </c>
      <c r="B187" s="4" t="s">
        <v>269</v>
      </c>
      <c r="C187" s="4" t="s">
        <v>542</v>
      </c>
      <c r="D187" s="3">
        <v>1</v>
      </c>
      <c r="E187" s="3" t="s">
        <v>16</v>
      </c>
      <c r="F187" s="3" t="s">
        <v>293</v>
      </c>
      <c r="G187" s="3" t="s">
        <v>29</v>
      </c>
      <c r="H187" s="3" t="s">
        <v>226</v>
      </c>
    </row>
    <row r="188" spans="1:8" x14ac:dyDescent="0.2">
      <c r="A188" s="3">
        <v>3040320011</v>
      </c>
      <c r="B188" s="4" t="s">
        <v>269</v>
      </c>
      <c r="C188" s="4" t="s">
        <v>543</v>
      </c>
      <c r="D188" s="3">
        <v>1</v>
      </c>
      <c r="E188" s="3" t="s">
        <v>16</v>
      </c>
      <c r="F188" s="3" t="s">
        <v>293</v>
      </c>
      <c r="G188" s="3" t="s">
        <v>29</v>
      </c>
      <c r="H188" s="3" t="s">
        <v>226</v>
      </c>
    </row>
    <row r="189" spans="1:8" x14ac:dyDescent="0.2">
      <c r="A189" s="3">
        <v>3030313003</v>
      </c>
      <c r="B189" s="4" t="s">
        <v>217</v>
      </c>
      <c r="C189" s="4" t="s">
        <v>544</v>
      </c>
      <c r="D189" s="3">
        <v>8</v>
      </c>
      <c r="E189" s="3" t="s">
        <v>16</v>
      </c>
      <c r="F189" s="3" t="s">
        <v>291</v>
      </c>
      <c r="G189" s="3" t="s">
        <v>26</v>
      </c>
      <c r="H189" s="3" t="s">
        <v>226</v>
      </c>
    </row>
    <row r="190" spans="1:8" x14ac:dyDescent="0.2">
      <c r="A190" s="3">
        <v>3020101004</v>
      </c>
      <c r="B190" s="4" t="s">
        <v>239</v>
      </c>
      <c r="C190" s="4" t="s">
        <v>1098</v>
      </c>
      <c r="D190" s="3">
        <v>5</v>
      </c>
      <c r="E190" s="3" t="s">
        <v>16</v>
      </c>
      <c r="F190" s="3" t="s">
        <v>297</v>
      </c>
      <c r="G190" s="3" t="s">
        <v>204</v>
      </c>
      <c r="H190" s="3" t="s">
        <v>226</v>
      </c>
    </row>
    <row r="191" spans="1:8" x14ac:dyDescent="0.2">
      <c r="A191" s="3">
        <v>3070212001</v>
      </c>
      <c r="B191" s="4" t="s">
        <v>377</v>
      </c>
      <c r="C191" s="4" t="s">
        <v>378</v>
      </c>
      <c r="D191" s="3">
        <v>1</v>
      </c>
      <c r="E191" s="3" t="s">
        <v>16</v>
      </c>
      <c r="F191" s="3" t="s">
        <v>317</v>
      </c>
      <c r="G191" s="3" t="s">
        <v>318</v>
      </c>
      <c r="H191" s="3" t="s">
        <v>226</v>
      </c>
    </row>
    <row r="192" spans="1:8" x14ac:dyDescent="0.2">
      <c r="A192" s="3">
        <v>3070210001</v>
      </c>
      <c r="B192" s="4" t="s">
        <v>379</v>
      </c>
      <c r="C192" s="4" t="s">
        <v>280</v>
      </c>
      <c r="D192" s="3">
        <v>1</v>
      </c>
      <c r="E192" s="3" t="s">
        <v>16</v>
      </c>
      <c r="F192" s="3" t="s">
        <v>317</v>
      </c>
      <c r="G192" s="3" t="s">
        <v>318</v>
      </c>
      <c r="H192" s="3" t="s">
        <v>226</v>
      </c>
    </row>
    <row r="193" spans="1:8" x14ac:dyDescent="0.2">
      <c r="A193" s="3">
        <v>3050305019</v>
      </c>
      <c r="B193" s="4" t="s">
        <v>549</v>
      </c>
      <c r="C193" s="4" t="s">
        <v>530</v>
      </c>
      <c r="D193" s="3">
        <v>1</v>
      </c>
      <c r="E193" s="3" t="s">
        <v>16</v>
      </c>
      <c r="F193" s="3" t="s">
        <v>291</v>
      </c>
      <c r="G193" s="3" t="s">
        <v>26</v>
      </c>
      <c r="H193" s="3" t="s">
        <v>226</v>
      </c>
    </row>
    <row r="194" spans="1:8" x14ac:dyDescent="0.2">
      <c r="A194" s="3">
        <v>3080401031</v>
      </c>
      <c r="B194" s="4" t="s">
        <v>41</v>
      </c>
      <c r="C194" s="4" t="s">
        <v>551</v>
      </c>
      <c r="D194" s="3">
        <v>1</v>
      </c>
      <c r="E194" s="3" t="s">
        <v>16</v>
      </c>
      <c r="F194" s="3" t="s">
        <v>291</v>
      </c>
      <c r="G194" s="3" t="s">
        <v>26</v>
      </c>
      <c r="H194" s="3" t="s">
        <v>249</v>
      </c>
    </row>
    <row r="195" spans="1:8" x14ac:dyDescent="0.2">
      <c r="A195" s="3">
        <v>3030211001</v>
      </c>
      <c r="B195" s="4" t="s">
        <v>552</v>
      </c>
      <c r="C195" s="4" t="s">
        <v>553</v>
      </c>
      <c r="D195" s="3">
        <v>1</v>
      </c>
      <c r="E195" s="3" t="s">
        <v>16</v>
      </c>
      <c r="F195" s="3" t="s">
        <v>295</v>
      </c>
      <c r="G195" s="3" t="s">
        <v>17</v>
      </c>
      <c r="H195" s="3" t="s">
        <v>249</v>
      </c>
    </row>
    <row r="196" spans="1:8" x14ac:dyDescent="0.2">
      <c r="A196" s="3">
        <v>3030211001</v>
      </c>
      <c r="B196" s="4" t="s">
        <v>552</v>
      </c>
      <c r="C196" s="4" t="s">
        <v>553</v>
      </c>
      <c r="D196" s="3">
        <v>1</v>
      </c>
      <c r="E196" s="3" t="s">
        <v>16</v>
      </c>
      <c r="F196" s="3" t="s">
        <v>291</v>
      </c>
      <c r="G196" s="3" t="s">
        <v>26</v>
      </c>
      <c r="H196" s="3" t="s">
        <v>249</v>
      </c>
    </row>
    <row r="197" spans="1:8" x14ac:dyDescent="0.2">
      <c r="A197" s="3">
        <v>3080309001</v>
      </c>
      <c r="B197" s="4" t="s">
        <v>554</v>
      </c>
      <c r="C197" s="4" t="s">
        <v>555</v>
      </c>
      <c r="D197" s="3">
        <v>1</v>
      </c>
      <c r="E197" s="3" t="s">
        <v>16</v>
      </c>
      <c r="F197" s="3" t="s">
        <v>295</v>
      </c>
      <c r="G197" s="3" t="s">
        <v>17</v>
      </c>
      <c r="H197" s="3" t="s">
        <v>249</v>
      </c>
    </row>
    <row r="198" spans="1:8" x14ac:dyDescent="0.2">
      <c r="A198" s="3">
        <v>3080107268</v>
      </c>
      <c r="B198" s="4" t="s">
        <v>69</v>
      </c>
      <c r="C198" s="4" t="s">
        <v>556</v>
      </c>
      <c r="D198" s="3">
        <v>2</v>
      </c>
      <c r="E198" s="3" t="s">
        <v>16</v>
      </c>
      <c r="F198" s="3" t="s">
        <v>291</v>
      </c>
      <c r="G198" s="3" t="s">
        <v>26</v>
      </c>
      <c r="H198" s="3" t="s">
        <v>249</v>
      </c>
    </row>
    <row r="199" spans="1:8" x14ac:dyDescent="0.2">
      <c r="A199" s="3">
        <v>3080107269</v>
      </c>
      <c r="B199" s="4" t="s">
        <v>69</v>
      </c>
      <c r="C199" s="4" t="s">
        <v>557</v>
      </c>
      <c r="D199" s="3">
        <v>2</v>
      </c>
      <c r="E199" s="3" t="s">
        <v>16</v>
      </c>
      <c r="F199" s="3" t="s">
        <v>291</v>
      </c>
      <c r="G199" s="3" t="s">
        <v>26</v>
      </c>
      <c r="H199" s="3" t="s">
        <v>249</v>
      </c>
    </row>
    <row r="200" spans="1:8" x14ac:dyDescent="0.2">
      <c r="A200" s="3">
        <v>3060335005</v>
      </c>
      <c r="B200" s="4" t="s">
        <v>233</v>
      </c>
      <c r="C200" s="4" t="s">
        <v>734</v>
      </c>
      <c r="D200" s="3">
        <v>1</v>
      </c>
      <c r="E200" s="3" t="s">
        <v>16</v>
      </c>
      <c r="F200" s="3" t="s">
        <v>289</v>
      </c>
      <c r="G200" s="3" t="s">
        <v>23</v>
      </c>
      <c r="H200" s="3" t="s">
        <v>254</v>
      </c>
    </row>
    <row r="201" spans="1:8" x14ac:dyDescent="0.2">
      <c r="A201" s="3">
        <v>3060324001</v>
      </c>
      <c r="B201" s="4" t="s">
        <v>735</v>
      </c>
      <c r="C201" s="4" t="s">
        <v>736</v>
      </c>
      <c r="D201" s="3">
        <v>1</v>
      </c>
      <c r="E201" s="3" t="s">
        <v>16</v>
      </c>
      <c r="F201" s="3" t="s">
        <v>289</v>
      </c>
      <c r="G201" s="3" t="s">
        <v>23</v>
      </c>
      <c r="H201" s="3" t="s">
        <v>254</v>
      </c>
    </row>
    <row r="202" spans="1:8" x14ac:dyDescent="0.2">
      <c r="A202" s="3">
        <v>3030302001</v>
      </c>
      <c r="B202" s="4" t="s">
        <v>558</v>
      </c>
      <c r="C202" s="4" t="s">
        <v>534</v>
      </c>
      <c r="D202" s="3">
        <v>1</v>
      </c>
      <c r="E202" s="3" t="s">
        <v>16</v>
      </c>
      <c r="F202" s="3" t="s">
        <v>295</v>
      </c>
      <c r="G202" s="3" t="s">
        <v>17</v>
      </c>
      <c r="H202" s="3" t="s">
        <v>254</v>
      </c>
    </row>
    <row r="203" spans="1:8" x14ac:dyDescent="0.2">
      <c r="A203" s="3">
        <v>3030306031</v>
      </c>
      <c r="B203" s="4" t="s">
        <v>559</v>
      </c>
      <c r="C203" s="4" t="s">
        <v>560</v>
      </c>
      <c r="D203" s="3">
        <v>1</v>
      </c>
      <c r="E203" s="3" t="s">
        <v>16</v>
      </c>
      <c r="F203" s="3" t="s">
        <v>295</v>
      </c>
      <c r="G203" s="3" t="s">
        <v>17</v>
      </c>
      <c r="H203" s="3" t="s">
        <v>254</v>
      </c>
    </row>
    <row r="204" spans="1:8" x14ac:dyDescent="0.2">
      <c r="A204" s="3">
        <v>3080311002</v>
      </c>
      <c r="B204" s="4" t="s">
        <v>561</v>
      </c>
      <c r="C204" s="4" t="s">
        <v>536</v>
      </c>
      <c r="D204" s="3">
        <v>1</v>
      </c>
      <c r="E204" s="3" t="s">
        <v>16</v>
      </c>
      <c r="F204" s="3" t="s">
        <v>295</v>
      </c>
      <c r="G204" s="3" t="s">
        <v>17</v>
      </c>
      <c r="H204" s="3" t="s">
        <v>254</v>
      </c>
    </row>
    <row r="205" spans="1:8" x14ac:dyDescent="0.2">
      <c r="A205" s="3">
        <v>3030303016</v>
      </c>
      <c r="B205" s="4" t="s">
        <v>562</v>
      </c>
      <c r="C205" s="4" t="s">
        <v>563</v>
      </c>
      <c r="D205" s="3">
        <v>1</v>
      </c>
      <c r="E205" s="3" t="s">
        <v>16</v>
      </c>
      <c r="F205" s="3" t="s">
        <v>295</v>
      </c>
      <c r="G205" s="3" t="s">
        <v>17</v>
      </c>
      <c r="H205" s="3" t="s">
        <v>254</v>
      </c>
    </row>
    <row r="206" spans="1:8" x14ac:dyDescent="0.2">
      <c r="A206" s="3">
        <v>3030303015</v>
      </c>
      <c r="B206" s="4" t="s">
        <v>564</v>
      </c>
      <c r="C206" s="4" t="s">
        <v>563</v>
      </c>
      <c r="D206" s="3">
        <v>1</v>
      </c>
      <c r="E206" s="3" t="s">
        <v>16</v>
      </c>
      <c r="F206" s="3" t="s">
        <v>295</v>
      </c>
      <c r="G206" s="3" t="s">
        <v>17</v>
      </c>
      <c r="H206" s="3" t="s">
        <v>254</v>
      </c>
    </row>
    <row r="207" spans="1:8" x14ac:dyDescent="0.2">
      <c r="A207" s="3">
        <v>3040323001</v>
      </c>
      <c r="B207" s="4" t="s">
        <v>565</v>
      </c>
      <c r="C207" s="4" t="s">
        <v>566</v>
      </c>
      <c r="D207" s="3">
        <v>2</v>
      </c>
      <c r="E207" s="3" t="s">
        <v>16</v>
      </c>
      <c r="F207" s="3" t="s">
        <v>293</v>
      </c>
      <c r="G207" s="3" t="s">
        <v>29</v>
      </c>
      <c r="H207" s="3" t="s">
        <v>254</v>
      </c>
    </row>
    <row r="208" spans="1:8" x14ac:dyDescent="0.2">
      <c r="A208" s="3">
        <v>3040302001</v>
      </c>
      <c r="B208" s="4" t="s">
        <v>567</v>
      </c>
      <c r="C208" s="4" t="s">
        <v>568</v>
      </c>
      <c r="D208" s="3">
        <v>1</v>
      </c>
      <c r="E208" s="3" t="s">
        <v>16</v>
      </c>
      <c r="F208" s="3" t="s">
        <v>293</v>
      </c>
      <c r="G208" s="3" t="s">
        <v>29</v>
      </c>
      <c r="H208" s="3" t="s">
        <v>254</v>
      </c>
    </row>
    <row r="209" spans="1:8" x14ac:dyDescent="0.2">
      <c r="A209" s="3">
        <v>3040302002</v>
      </c>
      <c r="B209" s="4" t="s">
        <v>567</v>
      </c>
      <c r="C209" s="4" t="s">
        <v>569</v>
      </c>
      <c r="D209" s="3">
        <v>1</v>
      </c>
      <c r="E209" s="3" t="s">
        <v>16</v>
      </c>
      <c r="F209" s="3" t="s">
        <v>293</v>
      </c>
      <c r="G209" s="3" t="s">
        <v>29</v>
      </c>
      <c r="H209" s="3" t="s">
        <v>254</v>
      </c>
    </row>
    <row r="210" spans="1:8" x14ac:dyDescent="0.2">
      <c r="A210" s="3">
        <v>3030302008</v>
      </c>
      <c r="B210" s="4" t="s">
        <v>571</v>
      </c>
      <c r="C210" s="4" t="s">
        <v>572</v>
      </c>
      <c r="D210" s="3">
        <v>1</v>
      </c>
      <c r="E210" s="3" t="s">
        <v>16</v>
      </c>
      <c r="F210" s="3" t="s">
        <v>295</v>
      </c>
      <c r="G210" s="3" t="s">
        <v>17</v>
      </c>
      <c r="H210" s="3" t="s">
        <v>254</v>
      </c>
    </row>
    <row r="211" spans="1:8" x14ac:dyDescent="0.2">
      <c r="A211" s="3">
        <v>3030302009</v>
      </c>
      <c r="B211" s="4" t="s">
        <v>571</v>
      </c>
      <c r="C211" s="4" t="s">
        <v>573</v>
      </c>
      <c r="D211" s="3">
        <v>1</v>
      </c>
      <c r="E211" s="3" t="s">
        <v>16</v>
      </c>
      <c r="F211" s="3" t="s">
        <v>295</v>
      </c>
      <c r="G211" s="3" t="s">
        <v>17</v>
      </c>
      <c r="H211" s="3" t="s">
        <v>254</v>
      </c>
    </row>
    <row r="212" spans="1:8" x14ac:dyDescent="0.2">
      <c r="A212" s="3">
        <v>3030302004</v>
      </c>
      <c r="B212" s="4" t="s">
        <v>574</v>
      </c>
      <c r="C212" s="4" t="s">
        <v>575</v>
      </c>
      <c r="D212" s="3">
        <v>1</v>
      </c>
      <c r="E212" s="3" t="s">
        <v>16</v>
      </c>
      <c r="F212" s="3" t="s">
        <v>295</v>
      </c>
      <c r="G212" s="3" t="s">
        <v>17</v>
      </c>
      <c r="H212" s="3" t="s">
        <v>254</v>
      </c>
    </row>
    <row r="213" spans="1:8" x14ac:dyDescent="0.2">
      <c r="A213" s="3">
        <v>3030302006</v>
      </c>
      <c r="B213" s="4" t="s">
        <v>576</v>
      </c>
      <c r="C213" s="4" t="s">
        <v>575</v>
      </c>
      <c r="D213" s="3">
        <v>1</v>
      </c>
      <c r="E213" s="3" t="s">
        <v>16</v>
      </c>
      <c r="F213" s="3" t="s">
        <v>295</v>
      </c>
      <c r="G213" s="3" t="s">
        <v>17</v>
      </c>
      <c r="H213" s="3" t="s">
        <v>254</v>
      </c>
    </row>
    <row r="214" spans="1:8" x14ac:dyDescent="0.2">
      <c r="A214" s="3">
        <v>3030314004</v>
      </c>
      <c r="B214" s="4" t="s">
        <v>577</v>
      </c>
      <c r="C214" s="4" t="s">
        <v>575</v>
      </c>
      <c r="D214" s="3">
        <v>1</v>
      </c>
      <c r="E214" s="3" t="s">
        <v>16</v>
      </c>
      <c r="F214" s="3" t="s">
        <v>295</v>
      </c>
      <c r="G214" s="3" t="s">
        <v>17</v>
      </c>
      <c r="H214" s="3" t="s">
        <v>254</v>
      </c>
    </row>
    <row r="215" spans="1:8" x14ac:dyDescent="0.2">
      <c r="A215" s="3">
        <v>3030308001</v>
      </c>
      <c r="B215" s="4" t="s">
        <v>578</v>
      </c>
      <c r="C215" s="4" t="s">
        <v>575</v>
      </c>
      <c r="D215" s="3">
        <v>1</v>
      </c>
      <c r="E215" s="3" t="s">
        <v>16</v>
      </c>
      <c r="F215" s="3" t="s">
        <v>295</v>
      </c>
      <c r="G215" s="3" t="s">
        <v>17</v>
      </c>
      <c r="H215" s="3" t="s">
        <v>254</v>
      </c>
    </row>
    <row r="216" spans="1:8" x14ac:dyDescent="0.2">
      <c r="A216" s="3">
        <v>3030314003</v>
      </c>
      <c r="B216" s="4" t="s">
        <v>579</v>
      </c>
      <c r="C216" s="4" t="s">
        <v>575</v>
      </c>
      <c r="D216" s="3">
        <v>1</v>
      </c>
      <c r="E216" s="3" t="s">
        <v>16</v>
      </c>
      <c r="F216" s="3" t="s">
        <v>295</v>
      </c>
      <c r="G216" s="3" t="s">
        <v>17</v>
      </c>
      <c r="H216" s="3" t="s">
        <v>254</v>
      </c>
    </row>
    <row r="217" spans="1:8" x14ac:dyDescent="0.2">
      <c r="A217" s="3">
        <v>3030308003</v>
      </c>
      <c r="B217" s="4" t="s">
        <v>580</v>
      </c>
      <c r="C217" s="4" t="s">
        <v>581</v>
      </c>
      <c r="D217" s="3">
        <v>1</v>
      </c>
      <c r="E217" s="3" t="s">
        <v>16</v>
      </c>
      <c r="F217" s="3" t="s">
        <v>295</v>
      </c>
      <c r="G217" s="3" t="s">
        <v>17</v>
      </c>
      <c r="H217" s="3" t="s">
        <v>254</v>
      </c>
    </row>
    <row r="218" spans="1:8" x14ac:dyDescent="0.2">
      <c r="A218" s="3">
        <v>3040325007</v>
      </c>
      <c r="B218" s="4" t="s">
        <v>582</v>
      </c>
      <c r="C218" s="4" t="s">
        <v>543</v>
      </c>
      <c r="D218" s="3">
        <v>1</v>
      </c>
      <c r="E218" s="3" t="s">
        <v>16</v>
      </c>
      <c r="F218" s="3" t="s">
        <v>293</v>
      </c>
      <c r="G218" s="3" t="s">
        <v>29</v>
      </c>
      <c r="H218" s="3" t="s">
        <v>254</v>
      </c>
    </row>
    <row r="219" spans="1:8" x14ac:dyDescent="0.2">
      <c r="A219" s="3">
        <v>3040325008</v>
      </c>
      <c r="B219" s="4" t="s">
        <v>582</v>
      </c>
      <c r="C219" s="4" t="s">
        <v>542</v>
      </c>
      <c r="D219" s="3">
        <v>1</v>
      </c>
      <c r="E219" s="3" t="s">
        <v>16</v>
      </c>
      <c r="F219" s="3" t="s">
        <v>293</v>
      </c>
      <c r="G219" s="3" t="s">
        <v>29</v>
      </c>
      <c r="H219" s="3" t="s">
        <v>254</v>
      </c>
    </row>
    <row r="220" spans="1:8" x14ac:dyDescent="0.2">
      <c r="A220" s="3">
        <v>3040308003</v>
      </c>
      <c r="B220" s="4" t="s">
        <v>583</v>
      </c>
      <c r="C220" s="4" t="s">
        <v>536</v>
      </c>
      <c r="D220" s="3">
        <v>2</v>
      </c>
      <c r="E220" s="3" t="s">
        <v>16</v>
      </c>
      <c r="F220" s="3" t="s">
        <v>293</v>
      </c>
      <c r="G220" s="3" t="s">
        <v>29</v>
      </c>
      <c r="H220" s="3" t="s">
        <v>254</v>
      </c>
    </row>
    <row r="221" spans="1:8" x14ac:dyDescent="0.2">
      <c r="A221" s="3">
        <v>3030302007</v>
      </c>
      <c r="B221" s="4" t="s">
        <v>584</v>
      </c>
      <c r="C221" s="4" t="s">
        <v>575</v>
      </c>
      <c r="D221" s="3">
        <v>1</v>
      </c>
      <c r="E221" s="3" t="s">
        <v>16</v>
      </c>
      <c r="F221" s="3" t="s">
        <v>295</v>
      </c>
      <c r="G221" s="3" t="s">
        <v>17</v>
      </c>
      <c r="H221" s="3" t="s">
        <v>254</v>
      </c>
    </row>
    <row r="222" spans="1:8" x14ac:dyDescent="0.2">
      <c r="A222" s="3">
        <v>3070202019</v>
      </c>
      <c r="B222" s="4" t="s">
        <v>388</v>
      </c>
      <c r="C222" s="4" t="s">
        <v>389</v>
      </c>
      <c r="D222" s="3">
        <v>1</v>
      </c>
      <c r="E222" s="3" t="s">
        <v>16</v>
      </c>
      <c r="F222" s="3" t="s">
        <v>317</v>
      </c>
      <c r="G222" s="3" t="s">
        <v>318</v>
      </c>
      <c r="H222" s="3" t="s">
        <v>254</v>
      </c>
    </row>
    <row r="223" spans="1:8" x14ac:dyDescent="0.2">
      <c r="A223" s="3">
        <v>3992005002</v>
      </c>
      <c r="B223" s="4" t="s">
        <v>1134</v>
      </c>
      <c r="C223" s="4" t="s">
        <v>1135</v>
      </c>
      <c r="D223" s="3">
        <v>1</v>
      </c>
      <c r="E223" s="3" t="s">
        <v>16</v>
      </c>
      <c r="F223" s="3" t="s">
        <v>317</v>
      </c>
      <c r="G223" s="3" t="s">
        <v>318</v>
      </c>
      <c r="H223" s="3" t="s">
        <v>254</v>
      </c>
    </row>
    <row r="224" spans="1:8" x14ac:dyDescent="0.2">
      <c r="A224" s="3">
        <v>3111601003</v>
      </c>
      <c r="B224" s="4" t="s">
        <v>585</v>
      </c>
      <c r="C224" s="4" t="s">
        <v>586</v>
      </c>
      <c r="D224" s="3">
        <v>2</v>
      </c>
      <c r="E224" s="3" t="s">
        <v>16</v>
      </c>
      <c r="F224" s="3" t="s">
        <v>291</v>
      </c>
      <c r="G224" s="3" t="s">
        <v>26</v>
      </c>
      <c r="H224" s="3" t="s">
        <v>254</v>
      </c>
    </row>
    <row r="225" spans="1:8" x14ac:dyDescent="0.2">
      <c r="A225" s="3">
        <v>3060339002</v>
      </c>
      <c r="B225" s="4" t="s">
        <v>737</v>
      </c>
      <c r="C225" s="4" t="s">
        <v>738</v>
      </c>
      <c r="D225" s="3">
        <v>1</v>
      </c>
      <c r="E225" s="3" t="s">
        <v>16</v>
      </c>
      <c r="F225" s="3" t="s">
        <v>702</v>
      </c>
      <c r="G225" s="3" t="s">
        <v>703</v>
      </c>
      <c r="H225" s="3" t="s">
        <v>254</v>
      </c>
    </row>
    <row r="226" spans="1:8" x14ac:dyDescent="0.2">
      <c r="A226" s="3">
        <v>3060325001</v>
      </c>
      <c r="B226" s="4" t="s">
        <v>739</v>
      </c>
      <c r="C226" s="4" t="s">
        <v>740</v>
      </c>
      <c r="D226" s="3">
        <v>1</v>
      </c>
      <c r="E226" s="3" t="s">
        <v>16</v>
      </c>
      <c r="F226" s="3" t="s">
        <v>289</v>
      </c>
      <c r="G226" s="3" t="s">
        <v>23</v>
      </c>
      <c r="H226" s="3" t="s">
        <v>254</v>
      </c>
    </row>
    <row r="227" spans="1:8" x14ac:dyDescent="0.2">
      <c r="A227" s="3">
        <v>3050303006</v>
      </c>
      <c r="B227" s="4" t="s">
        <v>245</v>
      </c>
      <c r="C227" s="4" t="s">
        <v>587</v>
      </c>
      <c r="D227" s="3">
        <v>1</v>
      </c>
      <c r="E227" s="3" t="s">
        <v>16</v>
      </c>
      <c r="F227" s="3" t="s">
        <v>291</v>
      </c>
      <c r="G227" s="3" t="s">
        <v>26</v>
      </c>
      <c r="H227" s="3" t="s">
        <v>254</v>
      </c>
    </row>
    <row r="228" spans="1:8" x14ac:dyDescent="0.2">
      <c r="A228" s="3">
        <v>3080310002</v>
      </c>
      <c r="B228" s="4" t="s">
        <v>588</v>
      </c>
      <c r="C228" s="4" t="s">
        <v>589</v>
      </c>
      <c r="D228" s="3">
        <v>1</v>
      </c>
      <c r="E228" s="3" t="s">
        <v>16</v>
      </c>
      <c r="F228" s="3" t="s">
        <v>295</v>
      </c>
      <c r="G228" s="3" t="s">
        <v>17</v>
      </c>
      <c r="H228" s="3" t="s">
        <v>590</v>
      </c>
    </row>
    <row r="229" spans="1:8" x14ac:dyDescent="0.2">
      <c r="A229" s="3">
        <v>3060404006</v>
      </c>
      <c r="B229" s="4" t="s">
        <v>729</v>
      </c>
      <c r="C229" s="4" t="s">
        <v>1099</v>
      </c>
      <c r="D229" s="3">
        <v>1</v>
      </c>
      <c r="E229" s="3" t="s">
        <v>16</v>
      </c>
      <c r="F229" s="3" t="s">
        <v>289</v>
      </c>
      <c r="G229" s="3" t="s">
        <v>23</v>
      </c>
      <c r="H229" s="3" t="s">
        <v>769</v>
      </c>
    </row>
  </sheetData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36DC3-B2ED-459C-8D62-656215F2C29E}">
  <dimension ref="A1:H254"/>
  <sheetViews>
    <sheetView workbookViewId="0">
      <selection activeCell="K15" sqref="K15"/>
    </sheetView>
  </sheetViews>
  <sheetFormatPr defaultRowHeight="14.25" x14ac:dyDescent="0.2"/>
  <cols>
    <col min="1" max="1" width="11.25" customWidth="1"/>
    <col min="2" max="3" width="13.375" customWidth="1"/>
  </cols>
  <sheetData>
    <row r="1" spans="1:8" x14ac:dyDescent="0.2">
      <c r="A1" s="3" t="s">
        <v>1139</v>
      </c>
      <c r="B1" s="4"/>
      <c r="C1" s="4"/>
      <c r="D1" s="3"/>
      <c r="E1" s="3"/>
      <c r="F1" s="3"/>
      <c r="G1" s="3"/>
      <c r="H1" s="3"/>
    </row>
    <row r="2" spans="1:8" ht="28.5" x14ac:dyDescent="0.2">
      <c r="A2" s="1" t="s">
        <v>0</v>
      </c>
      <c r="B2" s="2" t="s">
        <v>1</v>
      </c>
      <c r="C2" s="2" t="s">
        <v>2</v>
      </c>
      <c r="D2" s="1" t="s">
        <v>4</v>
      </c>
      <c r="E2" s="1" t="s">
        <v>3</v>
      </c>
      <c r="F2" s="1" t="s">
        <v>5</v>
      </c>
      <c r="G2" s="1" t="s">
        <v>6</v>
      </c>
      <c r="H2" s="1" t="s">
        <v>7</v>
      </c>
    </row>
    <row r="3" spans="1:8" s="10" customFormat="1" x14ac:dyDescent="0.2">
      <c r="A3" s="8" t="s">
        <v>390</v>
      </c>
      <c r="B3" s="9" t="s">
        <v>8</v>
      </c>
      <c r="C3" s="9" t="s">
        <v>9</v>
      </c>
      <c r="D3" s="13">
        <f>0.4021/0.94</f>
        <v>0.42776595744680856</v>
      </c>
      <c r="E3" s="8" t="s">
        <v>596</v>
      </c>
      <c r="F3" s="8" t="s">
        <v>283</v>
      </c>
      <c r="G3" s="8" t="s">
        <v>13</v>
      </c>
      <c r="H3" s="8" t="s">
        <v>12</v>
      </c>
    </row>
    <row r="4" spans="1:8" x14ac:dyDescent="0.2">
      <c r="A4" s="3">
        <v>402030028</v>
      </c>
      <c r="B4" s="4" t="s">
        <v>107</v>
      </c>
      <c r="C4" s="4" t="s">
        <v>305</v>
      </c>
      <c r="D4" s="3">
        <v>1</v>
      </c>
      <c r="E4" s="3" t="s">
        <v>16</v>
      </c>
      <c r="F4" s="3" t="s">
        <v>289</v>
      </c>
      <c r="G4" s="3" t="s">
        <v>23</v>
      </c>
      <c r="H4" s="3" t="s">
        <v>306</v>
      </c>
    </row>
    <row r="5" spans="1:8" x14ac:dyDescent="0.2">
      <c r="A5" s="3">
        <v>3099980014</v>
      </c>
      <c r="B5" s="4" t="s">
        <v>391</v>
      </c>
      <c r="C5" s="4" t="s">
        <v>392</v>
      </c>
      <c r="D5" s="3">
        <v>1</v>
      </c>
      <c r="E5" s="3" t="s">
        <v>16</v>
      </c>
      <c r="F5" s="3" t="s">
        <v>291</v>
      </c>
      <c r="G5" s="3" t="s">
        <v>26</v>
      </c>
      <c r="H5" s="3" t="s">
        <v>393</v>
      </c>
    </row>
    <row r="6" spans="1:8" x14ac:dyDescent="0.2">
      <c r="A6" s="3">
        <v>3080503011</v>
      </c>
      <c r="B6" s="4" t="s">
        <v>14</v>
      </c>
      <c r="C6" s="4" t="s">
        <v>1107</v>
      </c>
      <c r="D6" s="3">
        <v>2</v>
      </c>
      <c r="E6" s="3" t="s">
        <v>16</v>
      </c>
      <c r="F6" s="3" t="s">
        <v>317</v>
      </c>
      <c r="G6" s="3" t="s">
        <v>318</v>
      </c>
      <c r="H6" s="3" t="s">
        <v>18</v>
      </c>
    </row>
    <row r="7" spans="1:8" x14ac:dyDescent="0.2">
      <c r="A7" s="3">
        <v>3030314005</v>
      </c>
      <c r="B7" s="4" t="s">
        <v>394</v>
      </c>
      <c r="C7" s="4" t="s">
        <v>395</v>
      </c>
      <c r="D7" s="3">
        <v>1</v>
      </c>
      <c r="E7" s="3" t="s">
        <v>16</v>
      </c>
      <c r="F7" s="3" t="s">
        <v>291</v>
      </c>
      <c r="G7" s="3" t="s">
        <v>26</v>
      </c>
      <c r="H7" s="3" t="s">
        <v>18</v>
      </c>
    </row>
    <row r="8" spans="1:8" x14ac:dyDescent="0.2">
      <c r="A8" s="3">
        <v>3030210001</v>
      </c>
      <c r="B8" s="4" t="s">
        <v>396</v>
      </c>
      <c r="C8" s="4" t="s">
        <v>397</v>
      </c>
      <c r="D8" s="3">
        <v>1</v>
      </c>
      <c r="E8" s="3" t="s">
        <v>16</v>
      </c>
      <c r="F8" s="3" t="s">
        <v>295</v>
      </c>
      <c r="G8" s="3" t="s">
        <v>17</v>
      </c>
      <c r="H8" s="3" t="s">
        <v>18</v>
      </c>
    </row>
    <row r="9" spans="1:8" x14ac:dyDescent="0.2">
      <c r="A9" s="3">
        <v>3080301001</v>
      </c>
      <c r="B9" s="4" t="s">
        <v>247</v>
      </c>
      <c r="C9" s="4" t="s">
        <v>398</v>
      </c>
      <c r="D9" s="3">
        <v>1</v>
      </c>
      <c r="E9" s="3" t="s">
        <v>16</v>
      </c>
      <c r="F9" s="3" t="s">
        <v>295</v>
      </c>
      <c r="G9" s="3" t="s">
        <v>17</v>
      </c>
      <c r="H9" s="3" t="s">
        <v>18</v>
      </c>
    </row>
    <row r="10" spans="1:8" x14ac:dyDescent="0.2">
      <c r="A10" s="3">
        <v>3040201001</v>
      </c>
      <c r="B10" s="4" t="s">
        <v>399</v>
      </c>
      <c r="C10" s="4" t="s">
        <v>400</v>
      </c>
      <c r="D10" s="3">
        <v>2</v>
      </c>
      <c r="E10" s="3" t="s">
        <v>16</v>
      </c>
      <c r="F10" s="3" t="s">
        <v>293</v>
      </c>
      <c r="G10" s="3" t="s">
        <v>29</v>
      </c>
      <c r="H10" s="3" t="s">
        <v>18</v>
      </c>
    </row>
    <row r="11" spans="1:8" x14ac:dyDescent="0.2">
      <c r="A11" s="3">
        <v>3030202002</v>
      </c>
      <c r="B11" s="4" t="s">
        <v>401</v>
      </c>
      <c r="C11" s="4" t="s">
        <v>402</v>
      </c>
      <c r="D11" s="3">
        <v>1</v>
      </c>
      <c r="E11" s="3" t="s">
        <v>16</v>
      </c>
      <c r="F11" s="3" t="s">
        <v>295</v>
      </c>
      <c r="G11" s="3" t="s">
        <v>17</v>
      </c>
      <c r="H11" s="3" t="s">
        <v>18</v>
      </c>
    </row>
    <row r="12" spans="1:8" x14ac:dyDescent="0.2">
      <c r="A12" s="3">
        <v>3030202003</v>
      </c>
      <c r="B12" s="4" t="s">
        <v>403</v>
      </c>
      <c r="C12" s="4" t="s">
        <v>404</v>
      </c>
      <c r="D12" s="3">
        <v>1</v>
      </c>
      <c r="E12" s="3" t="s">
        <v>16</v>
      </c>
      <c r="F12" s="3" t="s">
        <v>295</v>
      </c>
      <c r="G12" s="3" t="s">
        <v>17</v>
      </c>
      <c r="H12" s="3" t="s">
        <v>18</v>
      </c>
    </row>
    <row r="13" spans="1:8" x14ac:dyDescent="0.2">
      <c r="A13" s="3">
        <v>3030212001</v>
      </c>
      <c r="B13" s="4" t="s">
        <v>405</v>
      </c>
      <c r="C13" s="4" t="s">
        <v>406</v>
      </c>
      <c r="D13" s="3">
        <v>1</v>
      </c>
      <c r="E13" s="3" t="s">
        <v>16</v>
      </c>
      <c r="F13" s="3" t="s">
        <v>295</v>
      </c>
      <c r="G13" s="3" t="s">
        <v>17</v>
      </c>
      <c r="H13" s="3" t="s">
        <v>18</v>
      </c>
    </row>
    <row r="14" spans="1:8" x14ac:dyDescent="0.2">
      <c r="A14" s="3">
        <v>3030206003</v>
      </c>
      <c r="B14" s="4" t="s">
        <v>407</v>
      </c>
      <c r="C14" s="4" t="s">
        <v>408</v>
      </c>
      <c r="D14" s="3">
        <v>1</v>
      </c>
      <c r="E14" s="3" t="s">
        <v>16</v>
      </c>
      <c r="F14" s="3" t="s">
        <v>295</v>
      </c>
      <c r="G14" s="3" t="s">
        <v>17</v>
      </c>
      <c r="H14" s="3" t="s">
        <v>18</v>
      </c>
    </row>
    <row r="15" spans="1:8" x14ac:dyDescent="0.2">
      <c r="A15" s="3">
        <v>3050207003</v>
      </c>
      <c r="B15" s="4" t="s">
        <v>1108</v>
      </c>
      <c r="C15" s="4" t="s">
        <v>1109</v>
      </c>
      <c r="D15" s="3">
        <v>1</v>
      </c>
      <c r="E15" s="3" t="s">
        <v>16</v>
      </c>
      <c r="F15" s="3" t="s">
        <v>291</v>
      </c>
      <c r="G15" s="3" t="s">
        <v>26</v>
      </c>
      <c r="H15" s="3" t="s">
        <v>18</v>
      </c>
    </row>
    <row r="16" spans="1:8" x14ac:dyDescent="0.2">
      <c r="A16" s="3">
        <v>3080312001</v>
      </c>
      <c r="B16" s="4" t="s">
        <v>1110</v>
      </c>
      <c r="C16" s="4" t="s">
        <v>1111</v>
      </c>
      <c r="D16" s="3">
        <v>1</v>
      </c>
      <c r="E16" s="3" t="s">
        <v>16</v>
      </c>
      <c r="F16" s="3" t="s">
        <v>291</v>
      </c>
      <c r="G16" s="3" t="s">
        <v>26</v>
      </c>
      <c r="H16" s="3" t="s">
        <v>18</v>
      </c>
    </row>
    <row r="17" spans="1:8" x14ac:dyDescent="0.2">
      <c r="A17" s="3">
        <v>404090136</v>
      </c>
      <c r="B17" s="4" t="s">
        <v>30</v>
      </c>
      <c r="C17" s="4" t="s">
        <v>784</v>
      </c>
      <c r="D17" s="3">
        <v>1</v>
      </c>
      <c r="E17" s="3" t="s">
        <v>16</v>
      </c>
      <c r="F17" s="3" t="s">
        <v>301</v>
      </c>
      <c r="G17" s="3" t="s">
        <v>32</v>
      </c>
      <c r="H17" s="3" t="s">
        <v>33</v>
      </c>
    </row>
    <row r="18" spans="1:8" x14ac:dyDescent="0.2">
      <c r="A18" s="3">
        <v>404090141</v>
      </c>
      <c r="B18" s="4" t="s">
        <v>30</v>
      </c>
      <c r="C18" s="4" t="s">
        <v>1101</v>
      </c>
      <c r="D18" s="3">
        <v>1</v>
      </c>
      <c r="E18" s="3" t="s">
        <v>16</v>
      </c>
      <c r="F18" s="3" t="s">
        <v>301</v>
      </c>
      <c r="G18" s="3" t="s">
        <v>32</v>
      </c>
      <c r="H18" s="3" t="s">
        <v>33</v>
      </c>
    </row>
    <row r="19" spans="1:8" x14ac:dyDescent="0.2">
      <c r="A19" s="3">
        <v>404020072</v>
      </c>
      <c r="B19" s="4" t="s">
        <v>30</v>
      </c>
      <c r="C19" s="4" t="s">
        <v>308</v>
      </c>
      <c r="D19" s="3">
        <v>1</v>
      </c>
      <c r="E19" s="3" t="s">
        <v>16</v>
      </c>
      <c r="F19" s="3" t="s">
        <v>291</v>
      </c>
      <c r="G19" s="3" t="s">
        <v>26</v>
      </c>
      <c r="H19" s="3" t="s">
        <v>33</v>
      </c>
    </row>
    <row r="20" spans="1:8" x14ac:dyDescent="0.2">
      <c r="A20" s="3">
        <v>401020086</v>
      </c>
      <c r="B20" s="4" t="s">
        <v>35</v>
      </c>
      <c r="C20" s="4" t="s">
        <v>1102</v>
      </c>
      <c r="D20" s="3">
        <v>1</v>
      </c>
      <c r="E20" s="3" t="s">
        <v>16</v>
      </c>
      <c r="F20" s="3" t="s">
        <v>301</v>
      </c>
      <c r="G20" s="3" t="s">
        <v>32</v>
      </c>
      <c r="H20" s="3" t="s">
        <v>33</v>
      </c>
    </row>
    <row r="21" spans="1:8" x14ac:dyDescent="0.2">
      <c r="A21" s="3">
        <v>401040087</v>
      </c>
      <c r="B21" s="4" t="s">
        <v>35</v>
      </c>
      <c r="C21" s="4" t="s">
        <v>410</v>
      </c>
      <c r="D21" s="3">
        <v>1</v>
      </c>
      <c r="E21" s="3" t="s">
        <v>16</v>
      </c>
      <c r="F21" s="3" t="s">
        <v>293</v>
      </c>
      <c r="G21" s="3" t="s">
        <v>29</v>
      </c>
      <c r="H21" s="3" t="s">
        <v>33</v>
      </c>
    </row>
    <row r="22" spans="1:8" x14ac:dyDescent="0.2">
      <c r="A22" s="3">
        <v>3080101015</v>
      </c>
      <c r="B22" s="4" t="s">
        <v>411</v>
      </c>
      <c r="C22" s="4" t="s">
        <v>412</v>
      </c>
      <c r="D22" s="3">
        <v>2</v>
      </c>
      <c r="E22" s="3" t="s">
        <v>16</v>
      </c>
      <c r="F22" s="3" t="s">
        <v>293</v>
      </c>
      <c r="G22" s="3" t="s">
        <v>29</v>
      </c>
      <c r="H22" s="3" t="s">
        <v>40</v>
      </c>
    </row>
    <row r="23" spans="1:8" x14ac:dyDescent="0.2">
      <c r="A23" s="3">
        <v>3080101002</v>
      </c>
      <c r="B23" s="4" t="s">
        <v>411</v>
      </c>
      <c r="C23" s="4" t="s">
        <v>413</v>
      </c>
      <c r="D23" s="3">
        <v>2</v>
      </c>
      <c r="E23" s="3" t="s">
        <v>16</v>
      </c>
      <c r="F23" s="3" t="s">
        <v>291</v>
      </c>
      <c r="G23" s="3" t="s">
        <v>26</v>
      </c>
      <c r="H23" s="3" t="s">
        <v>40</v>
      </c>
    </row>
    <row r="24" spans="1:8" x14ac:dyDescent="0.2">
      <c r="A24" s="3">
        <v>3080108032</v>
      </c>
      <c r="B24" s="4" t="s">
        <v>411</v>
      </c>
      <c r="C24" s="4" t="s">
        <v>1112</v>
      </c>
      <c r="D24" s="3">
        <v>1</v>
      </c>
      <c r="E24" s="3" t="s">
        <v>16</v>
      </c>
      <c r="F24" s="3" t="s">
        <v>291</v>
      </c>
      <c r="G24" s="3" t="s">
        <v>26</v>
      </c>
      <c r="H24" s="3" t="s">
        <v>40</v>
      </c>
    </row>
    <row r="25" spans="1:8" x14ac:dyDescent="0.2">
      <c r="A25" s="3">
        <v>3080401023</v>
      </c>
      <c r="B25" s="4" t="s">
        <v>41</v>
      </c>
      <c r="C25" s="4" t="s">
        <v>699</v>
      </c>
      <c r="D25" s="3">
        <v>2</v>
      </c>
      <c r="E25" s="3" t="s">
        <v>16</v>
      </c>
      <c r="F25" s="3" t="s">
        <v>289</v>
      </c>
      <c r="G25" s="3" t="s">
        <v>23</v>
      </c>
      <c r="H25" s="3" t="s">
        <v>40</v>
      </c>
    </row>
    <row r="26" spans="1:8" x14ac:dyDescent="0.2">
      <c r="A26" s="3">
        <v>3080401064</v>
      </c>
      <c r="B26" s="4" t="s">
        <v>41</v>
      </c>
      <c r="C26" s="4" t="s">
        <v>414</v>
      </c>
      <c r="D26" s="3">
        <v>1</v>
      </c>
      <c r="E26" s="3" t="s">
        <v>16</v>
      </c>
      <c r="F26" s="3" t="s">
        <v>295</v>
      </c>
      <c r="G26" s="3" t="s">
        <v>17</v>
      </c>
      <c r="H26" s="3" t="s">
        <v>40</v>
      </c>
    </row>
    <row r="27" spans="1:8" x14ac:dyDescent="0.2">
      <c r="A27" s="3">
        <v>3080401016</v>
      </c>
      <c r="B27" s="4" t="s">
        <v>41</v>
      </c>
      <c r="C27" s="4" t="s">
        <v>415</v>
      </c>
      <c r="D27" s="3">
        <v>1</v>
      </c>
      <c r="E27" s="3" t="s">
        <v>16</v>
      </c>
      <c r="F27" s="3" t="s">
        <v>295</v>
      </c>
      <c r="G27" s="3" t="s">
        <v>17</v>
      </c>
      <c r="H27" s="3" t="s">
        <v>40</v>
      </c>
    </row>
    <row r="28" spans="1:8" x14ac:dyDescent="0.2">
      <c r="A28" s="3">
        <v>3080401007</v>
      </c>
      <c r="B28" s="4" t="s">
        <v>41</v>
      </c>
      <c r="C28" s="4" t="s">
        <v>416</v>
      </c>
      <c r="D28" s="3">
        <v>2</v>
      </c>
      <c r="E28" s="3" t="s">
        <v>16</v>
      </c>
      <c r="F28" s="3" t="s">
        <v>293</v>
      </c>
      <c r="G28" s="3" t="s">
        <v>29</v>
      </c>
      <c r="H28" s="3" t="s">
        <v>40</v>
      </c>
    </row>
    <row r="29" spans="1:8" x14ac:dyDescent="0.2">
      <c r="A29" s="3">
        <v>3080401048</v>
      </c>
      <c r="B29" s="4" t="s">
        <v>41</v>
      </c>
      <c r="C29" s="4" t="s">
        <v>793</v>
      </c>
      <c r="D29" s="3">
        <v>2</v>
      </c>
      <c r="E29" s="3" t="s">
        <v>16</v>
      </c>
      <c r="F29" s="3" t="s">
        <v>794</v>
      </c>
      <c r="G29" s="3" t="s">
        <v>795</v>
      </c>
      <c r="H29" s="3" t="s">
        <v>40</v>
      </c>
    </row>
    <row r="30" spans="1:8" x14ac:dyDescent="0.2">
      <c r="A30" s="3">
        <v>3080401047</v>
      </c>
      <c r="B30" s="4" t="s">
        <v>41</v>
      </c>
      <c r="C30" s="4" t="s">
        <v>796</v>
      </c>
      <c r="D30" s="3">
        <v>1</v>
      </c>
      <c r="E30" s="3" t="s">
        <v>16</v>
      </c>
      <c r="F30" s="3" t="s">
        <v>794</v>
      </c>
      <c r="G30" s="3" t="s">
        <v>795</v>
      </c>
      <c r="H30" s="3" t="s">
        <v>40</v>
      </c>
    </row>
    <row r="31" spans="1:8" x14ac:dyDescent="0.2">
      <c r="A31" s="3">
        <v>3080401058</v>
      </c>
      <c r="B31" s="4" t="s">
        <v>41</v>
      </c>
      <c r="C31" s="4" t="s">
        <v>1113</v>
      </c>
      <c r="D31" s="3">
        <v>2</v>
      </c>
      <c r="E31" s="3" t="s">
        <v>16</v>
      </c>
      <c r="F31" s="3" t="s">
        <v>317</v>
      </c>
      <c r="G31" s="3" t="s">
        <v>318</v>
      </c>
      <c r="H31" s="3" t="s">
        <v>40</v>
      </c>
    </row>
    <row r="32" spans="1:8" x14ac:dyDescent="0.2">
      <c r="A32" s="3">
        <v>3080401008</v>
      </c>
      <c r="B32" s="4" t="s">
        <v>41</v>
      </c>
      <c r="C32" s="4" t="s">
        <v>700</v>
      </c>
      <c r="D32" s="3">
        <v>2</v>
      </c>
      <c r="E32" s="3" t="s">
        <v>16</v>
      </c>
      <c r="F32" s="3" t="s">
        <v>317</v>
      </c>
      <c r="G32" s="3" t="s">
        <v>318</v>
      </c>
      <c r="H32" s="3" t="s">
        <v>40</v>
      </c>
    </row>
    <row r="33" spans="1:8" x14ac:dyDescent="0.2">
      <c r="A33" s="3">
        <v>3080401014</v>
      </c>
      <c r="B33" s="4" t="s">
        <v>41</v>
      </c>
      <c r="C33" s="4" t="s">
        <v>417</v>
      </c>
      <c r="D33" s="3">
        <v>4</v>
      </c>
      <c r="E33" s="3" t="s">
        <v>16</v>
      </c>
      <c r="F33" s="3" t="s">
        <v>291</v>
      </c>
      <c r="G33" s="3" t="s">
        <v>26</v>
      </c>
      <c r="H33" s="3" t="s">
        <v>40</v>
      </c>
    </row>
    <row r="34" spans="1:8" x14ac:dyDescent="0.2">
      <c r="A34" s="3">
        <v>3080104081</v>
      </c>
      <c r="B34" s="4" t="s">
        <v>45</v>
      </c>
      <c r="C34" s="4" t="s">
        <v>701</v>
      </c>
      <c r="D34" s="3">
        <v>4</v>
      </c>
      <c r="E34" s="3" t="s">
        <v>16</v>
      </c>
      <c r="F34" s="3" t="s">
        <v>289</v>
      </c>
      <c r="G34" s="3" t="s">
        <v>23</v>
      </c>
      <c r="H34" s="3" t="s">
        <v>40</v>
      </c>
    </row>
    <row r="35" spans="1:8" x14ac:dyDescent="0.2">
      <c r="A35" s="3">
        <v>3080104018</v>
      </c>
      <c r="B35" s="4" t="s">
        <v>45</v>
      </c>
      <c r="C35" s="4" t="s">
        <v>418</v>
      </c>
      <c r="D35" s="3">
        <v>2</v>
      </c>
      <c r="E35" s="3" t="s">
        <v>16</v>
      </c>
      <c r="F35" s="3" t="s">
        <v>293</v>
      </c>
      <c r="G35" s="3" t="s">
        <v>29</v>
      </c>
      <c r="H35" s="3" t="s">
        <v>40</v>
      </c>
    </row>
    <row r="36" spans="1:8" x14ac:dyDescent="0.2">
      <c r="A36" s="3">
        <v>3080104111</v>
      </c>
      <c r="B36" s="4" t="s">
        <v>45</v>
      </c>
      <c r="C36" s="4" t="s">
        <v>1114</v>
      </c>
      <c r="D36" s="3">
        <v>1</v>
      </c>
      <c r="E36" s="3" t="s">
        <v>16</v>
      </c>
      <c r="F36" s="3" t="s">
        <v>317</v>
      </c>
      <c r="G36" s="3" t="s">
        <v>318</v>
      </c>
      <c r="H36" s="3" t="s">
        <v>40</v>
      </c>
    </row>
    <row r="37" spans="1:8" x14ac:dyDescent="0.2">
      <c r="A37" s="3">
        <v>3080104099</v>
      </c>
      <c r="B37" s="4" t="s">
        <v>45</v>
      </c>
      <c r="C37" s="4" t="s">
        <v>419</v>
      </c>
      <c r="D37" s="3">
        <v>2</v>
      </c>
      <c r="E37" s="3" t="s">
        <v>16</v>
      </c>
      <c r="F37" s="3" t="s">
        <v>291</v>
      </c>
      <c r="G37" s="3" t="s">
        <v>26</v>
      </c>
      <c r="H37" s="3" t="s">
        <v>40</v>
      </c>
    </row>
    <row r="38" spans="1:8" x14ac:dyDescent="0.2">
      <c r="A38" s="3">
        <v>3080104034</v>
      </c>
      <c r="B38" s="4" t="s">
        <v>45</v>
      </c>
      <c r="C38" s="4" t="s">
        <v>1115</v>
      </c>
      <c r="D38" s="3">
        <v>2</v>
      </c>
      <c r="E38" s="3" t="s">
        <v>16</v>
      </c>
      <c r="F38" s="3" t="s">
        <v>291</v>
      </c>
      <c r="G38" s="3" t="s">
        <v>26</v>
      </c>
      <c r="H38" s="3" t="s">
        <v>40</v>
      </c>
    </row>
    <row r="39" spans="1:8" x14ac:dyDescent="0.2">
      <c r="A39" s="3">
        <v>3080105004</v>
      </c>
      <c r="B39" s="4" t="s">
        <v>50</v>
      </c>
      <c r="C39" s="4" t="s">
        <v>54</v>
      </c>
      <c r="D39" s="3">
        <v>6</v>
      </c>
      <c r="E39" s="3" t="s">
        <v>16</v>
      </c>
      <c r="F39" s="3" t="s">
        <v>289</v>
      </c>
      <c r="G39" s="3" t="s">
        <v>23</v>
      </c>
      <c r="H39" s="3" t="s">
        <v>40</v>
      </c>
    </row>
    <row r="40" spans="1:8" x14ac:dyDescent="0.2">
      <c r="A40" s="3">
        <v>3080105114</v>
      </c>
      <c r="B40" s="4" t="s">
        <v>50</v>
      </c>
      <c r="C40" s="4" t="s">
        <v>53</v>
      </c>
      <c r="D40" s="3">
        <v>5</v>
      </c>
      <c r="E40" s="3" t="s">
        <v>16</v>
      </c>
      <c r="F40" s="3" t="s">
        <v>289</v>
      </c>
      <c r="G40" s="3" t="s">
        <v>23</v>
      </c>
      <c r="H40" s="3" t="s">
        <v>40</v>
      </c>
    </row>
    <row r="41" spans="1:8" x14ac:dyDescent="0.2">
      <c r="A41" s="3">
        <v>3080105114</v>
      </c>
      <c r="B41" s="4" t="s">
        <v>50</v>
      </c>
      <c r="C41" s="4" t="s">
        <v>53</v>
      </c>
      <c r="D41" s="3">
        <v>4</v>
      </c>
      <c r="E41" s="3" t="s">
        <v>16</v>
      </c>
      <c r="F41" s="3" t="s">
        <v>289</v>
      </c>
      <c r="G41" s="3" t="s">
        <v>23</v>
      </c>
      <c r="H41" s="3" t="s">
        <v>40</v>
      </c>
    </row>
    <row r="42" spans="1:8" x14ac:dyDescent="0.2">
      <c r="A42" s="3">
        <v>3080105088</v>
      </c>
      <c r="B42" s="4" t="s">
        <v>50</v>
      </c>
      <c r="C42" s="4" t="s">
        <v>423</v>
      </c>
      <c r="D42" s="3">
        <v>2</v>
      </c>
      <c r="E42" s="3" t="s">
        <v>16</v>
      </c>
      <c r="F42" s="3" t="s">
        <v>293</v>
      </c>
      <c r="G42" s="3" t="s">
        <v>29</v>
      </c>
      <c r="H42" s="3" t="s">
        <v>40</v>
      </c>
    </row>
    <row r="43" spans="1:8" x14ac:dyDescent="0.2">
      <c r="A43" s="3">
        <v>3080105008</v>
      </c>
      <c r="B43" s="4" t="s">
        <v>50</v>
      </c>
      <c r="C43" s="4" t="s">
        <v>424</v>
      </c>
      <c r="D43" s="3">
        <v>8</v>
      </c>
      <c r="E43" s="3" t="s">
        <v>16</v>
      </c>
      <c r="F43" s="3" t="s">
        <v>293</v>
      </c>
      <c r="G43" s="3" t="s">
        <v>29</v>
      </c>
      <c r="H43" s="3" t="s">
        <v>40</v>
      </c>
    </row>
    <row r="44" spans="1:8" x14ac:dyDescent="0.2">
      <c r="A44" s="3">
        <v>3080105015</v>
      </c>
      <c r="B44" s="4" t="s">
        <v>50</v>
      </c>
      <c r="C44" s="4" t="s">
        <v>422</v>
      </c>
      <c r="D44" s="3">
        <v>8</v>
      </c>
      <c r="E44" s="3" t="s">
        <v>16</v>
      </c>
      <c r="F44" s="3" t="s">
        <v>293</v>
      </c>
      <c r="G44" s="3" t="s">
        <v>29</v>
      </c>
      <c r="H44" s="3" t="s">
        <v>40</v>
      </c>
    </row>
    <row r="45" spans="1:8" x14ac:dyDescent="0.2">
      <c r="A45" s="3">
        <v>3080105040</v>
      </c>
      <c r="B45" s="4" t="s">
        <v>50</v>
      </c>
      <c r="C45" s="4" t="s">
        <v>421</v>
      </c>
      <c r="D45" s="3">
        <v>14</v>
      </c>
      <c r="E45" s="3" t="s">
        <v>16</v>
      </c>
      <c r="F45" s="3" t="s">
        <v>293</v>
      </c>
      <c r="G45" s="3" t="s">
        <v>29</v>
      </c>
      <c r="H45" s="3" t="s">
        <v>40</v>
      </c>
    </row>
    <row r="46" spans="1:8" x14ac:dyDescent="0.2">
      <c r="A46" s="3">
        <v>3080105093</v>
      </c>
      <c r="B46" s="4" t="s">
        <v>50</v>
      </c>
      <c r="C46" s="4" t="s">
        <v>797</v>
      </c>
      <c r="D46" s="3">
        <v>6</v>
      </c>
      <c r="E46" s="3" t="s">
        <v>16</v>
      </c>
      <c r="F46" s="3" t="s">
        <v>794</v>
      </c>
      <c r="G46" s="3" t="s">
        <v>795</v>
      </c>
      <c r="H46" s="3" t="s">
        <v>40</v>
      </c>
    </row>
    <row r="47" spans="1:8" x14ac:dyDescent="0.2">
      <c r="A47" s="3">
        <v>3080105026</v>
      </c>
      <c r="B47" s="4" t="s">
        <v>50</v>
      </c>
      <c r="C47" s="4" t="s">
        <v>798</v>
      </c>
      <c r="D47" s="3">
        <v>8</v>
      </c>
      <c r="E47" s="3" t="s">
        <v>16</v>
      </c>
      <c r="F47" s="3" t="s">
        <v>794</v>
      </c>
      <c r="G47" s="3" t="s">
        <v>795</v>
      </c>
      <c r="H47" s="3" t="s">
        <v>40</v>
      </c>
    </row>
    <row r="48" spans="1:8" x14ac:dyDescent="0.2">
      <c r="A48" s="3">
        <v>3080105121</v>
      </c>
      <c r="B48" s="4" t="s">
        <v>50</v>
      </c>
      <c r="C48" s="4" t="s">
        <v>316</v>
      </c>
      <c r="D48" s="3">
        <v>2</v>
      </c>
      <c r="E48" s="3" t="s">
        <v>16</v>
      </c>
      <c r="F48" s="3" t="s">
        <v>317</v>
      </c>
      <c r="G48" s="3" t="s">
        <v>318</v>
      </c>
      <c r="H48" s="3" t="s">
        <v>40</v>
      </c>
    </row>
    <row r="49" spans="1:8" x14ac:dyDescent="0.2">
      <c r="A49" s="3">
        <v>3080105021</v>
      </c>
      <c r="B49" s="4" t="s">
        <v>50</v>
      </c>
      <c r="C49" s="4" t="s">
        <v>319</v>
      </c>
      <c r="D49" s="3">
        <v>8</v>
      </c>
      <c r="E49" s="3" t="s">
        <v>16</v>
      </c>
      <c r="F49" s="3" t="s">
        <v>317</v>
      </c>
      <c r="G49" s="3" t="s">
        <v>318</v>
      </c>
      <c r="H49" s="3" t="s">
        <v>40</v>
      </c>
    </row>
    <row r="50" spans="1:8" x14ac:dyDescent="0.2">
      <c r="A50" s="3">
        <v>3080105114</v>
      </c>
      <c r="B50" s="4" t="s">
        <v>50</v>
      </c>
      <c r="C50" s="4" t="s">
        <v>53</v>
      </c>
      <c r="D50" s="3">
        <v>6</v>
      </c>
      <c r="E50" s="3" t="s">
        <v>16</v>
      </c>
      <c r="F50" s="3" t="s">
        <v>702</v>
      </c>
      <c r="G50" s="3" t="s">
        <v>703</v>
      </c>
      <c r="H50" s="3" t="s">
        <v>40</v>
      </c>
    </row>
    <row r="51" spans="1:8" x14ac:dyDescent="0.2">
      <c r="A51" s="3">
        <v>3080105114</v>
      </c>
      <c r="B51" s="4" t="s">
        <v>50</v>
      </c>
      <c r="C51" s="4" t="s">
        <v>53</v>
      </c>
      <c r="D51" s="3">
        <v>3</v>
      </c>
      <c r="E51" s="3" t="s">
        <v>16</v>
      </c>
      <c r="F51" s="3" t="s">
        <v>702</v>
      </c>
      <c r="G51" s="3" t="s">
        <v>703</v>
      </c>
      <c r="H51" s="3" t="s">
        <v>40</v>
      </c>
    </row>
    <row r="52" spans="1:8" x14ac:dyDescent="0.2">
      <c r="A52" s="3">
        <v>3080104055</v>
      </c>
      <c r="B52" s="4" t="s">
        <v>50</v>
      </c>
      <c r="C52" s="4" t="s">
        <v>425</v>
      </c>
      <c r="D52" s="3">
        <v>2</v>
      </c>
      <c r="E52" s="3" t="s">
        <v>16</v>
      </c>
      <c r="F52" s="3" t="s">
        <v>291</v>
      </c>
      <c r="G52" s="3" t="s">
        <v>26</v>
      </c>
      <c r="H52" s="3" t="s">
        <v>40</v>
      </c>
    </row>
    <row r="53" spans="1:8" x14ac:dyDescent="0.2">
      <c r="A53" s="3">
        <v>3080105046</v>
      </c>
      <c r="B53" s="4" t="s">
        <v>50</v>
      </c>
      <c r="C53" s="4" t="s">
        <v>863</v>
      </c>
      <c r="D53" s="3">
        <v>2</v>
      </c>
      <c r="E53" s="3" t="s">
        <v>16</v>
      </c>
      <c r="F53" s="3" t="s">
        <v>291</v>
      </c>
      <c r="G53" s="3" t="s">
        <v>26</v>
      </c>
      <c r="H53" s="3" t="s">
        <v>40</v>
      </c>
    </row>
    <row r="54" spans="1:8" x14ac:dyDescent="0.2">
      <c r="A54" s="3">
        <v>3080502002</v>
      </c>
      <c r="B54" s="4" t="s">
        <v>55</v>
      </c>
      <c r="C54" s="4" t="s">
        <v>56</v>
      </c>
      <c r="D54" s="3">
        <v>1</v>
      </c>
      <c r="E54" s="3" t="s">
        <v>16</v>
      </c>
      <c r="F54" s="3" t="s">
        <v>317</v>
      </c>
      <c r="G54" s="3" t="s">
        <v>318</v>
      </c>
      <c r="H54" s="3" t="s">
        <v>40</v>
      </c>
    </row>
    <row r="55" spans="1:8" x14ac:dyDescent="0.2">
      <c r="A55" s="3">
        <v>3080502003</v>
      </c>
      <c r="B55" s="4" t="s">
        <v>55</v>
      </c>
      <c r="C55" s="4" t="s">
        <v>426</v>
      </c>
      <c r="D55" s="3">
        <v>2</v>
      </c>
      <c r="E55" s="3" t="s">
        <v>16</v>
      </c>
      <c r="F55" s="3" t="s">
        <v>291</v>
      </c>
      <c r="G55" s="3" t="s">
        <v>26</v>
      </c>
      <c r="H55" s="3" t="s">
        <v>40</v>
      </c>
    </row>
    <row r="56" spans="1:8" x14ac:dyDescent="0.2">
      <c r="A56" s="3">
        <v>3080501030</v>
      </c>
      <c r="B56" s="4" t="s">
        <v>57</v>
      </c>
      <c r="C56" s="4" t="s">
        <v>868</v>
      </c>
      <c r="D56" s="3">
        <v>1</v>
      </c>
      <c r="E56" s="3" t="s">
        <v>16</v>
      </c>
      <c r="F56" s="3" t="s">
        <v>291</v>
      </c>
      <c r="G56" s="3" t="s">
        <v>26</v>
      </c>
      <c r="H56" s="3" t="s">
        <v>40</v>
      </c>
    </row>
    <row r="57" spans="1:8" x14ac:dyDescent="0.2">
      <c r="A57" s="3">
        <v>3080201012</v>
      </c>
      <c r="B57" s="4" t="s">
        <v>60</v>
      </c>
      <c r="C57" s="4" t="s">
        <v>320</v>
      </c>
      <c r="D57" s="3">
        <v>2</v>
      </c>
      <c r="E57" s="3" t="s">
        <v>16</v>
      </c>
      <c r="F57" s="3" t="s">
        <v>289</v>
      </c>
      <c r="G57" s="3" t="s">
        <v>23</v>
      </c>
      <c r="H57" s="3" t="s">
        <v>40</v>
      </c>
    </row>
    <row r="58" spans="1:8" x14ac:dyDescent="0.2">
      <c r="A58" s="3">
        <v>3080201012</v>
      </c>
      <c r="B58" s="4" t="s">
        <v>60</v>
      </c>
      <c r="C58" s="4" t="s">
        <v>320</v>
      </c>
      <c r="D58" s="3">
        <v>1</v>
      </c>
      <c r="E58" s="3" t="s">
        <v>16</v>
      </c>
      <c r="F58" s="3" t="s">
        <v>317</v>
      </c>
      <c r="G58" s="3" t="s">
        <v>318</v>
      </c>
      <c r="H58" s="3" t="s">
        <v>40</v>
      </c>
    </row>
    <row r="59" spans="1:8" x14ac:dyDescent="0.2">
      <c r="A59" s="3">
        <v>3080201005</v>
      </c>
      <c r="B59" s="4" t="s">
        <v>60</v>
      </c>
      <c r="C59" s="4" t="s">
        <v>427</v>
      </c>
      <c r="D59" s="3">
        <v>1</v>
      </c>
      <c r="E59" s="3" t="s">
        <v>16</v>
      </c>
      <c r="F59" s="3" t="s">
        <v>291</v>
      </c>
      <c r="G59" s="3" t="s">
        <v>26</v>
      </c>
      <c r="H59" s="3" t="s">
        <v>40</v>
      </c>
    </row>
    <row r="60" spans="1:8" x14ac:dyDescent="0.2">
      <c r="A60" s="3">
        <v>3080201006</v>
      </c>
      <c r="B60" s="4" t="s">
        <v>60</v>
      </c>
      <c r="C60" s="4" t="s">
        <v>428</v>
      </c>
      <c r="D60" s="3">
        <v>1</v>
      </c>
      <c r="E60" s="3" t="s">
        <v>16</v>
      </c>
      <c r="F60" s="3" t="s">
        <v>291</v>
      </c>
      <c r="G60" s="3" t="s">
        <v>26</v>
      </c>
      <c r="H60" s="3" t="s">
        <v>40</v>
      </c>
    </row>
    <row r="61" spans="1:8" x14ac:dyDescent="0.2">
      <c r="A61" s="3">
        <v>3080107284</v>
      </c>
      <c r="B61" s="4" t="s">
        <v>69</v>
      </c>
      <c r="C61" s="4" t="s">
        <v>706</v>
      </c>
      <c r="D61" s="3">
        <v>1</v>
      </c>
      <c r="E61" s="3" t="s">
        <v>16</v>
      </c>
      <c r="F61" s="3" t="s">
        <v>289</v>
      </c>
      <c r="G61" s="3" t="s">
        <v>23</v>
      </c>
      <c r="H61" s="3" t="s">
        <v>40</v>
      </c>
    </row>
    <row r="62" spans="1:8" x14ac:dyDescent="0.2">
      <c r="A62" s="3">
        <v>3080107111</v>
      </c>
      <c r="B62" s="4" t="s">
        <v>69</v>
      </c>
      <c r="C62" s="4" t="s">
        <v>787</v>
      </c>
      <c r="D62" s="3">
        <v>1</v>
      </c>
      <c r="E62" s="3" t="s">
        <v>16</v>
      </c>
      <c r="F62" s="3" t="s">
        <v>289</v>
      </c>
      <c r="G62" s="3" t="s">
        <v>23</v>
      </c>
      <c r="H62" s="3" t="s">
        <v>40</v>
      </c>
    </row>
    <row r="63" spans="1:8" x14ac:dyDescent="0.2">
      <c r="A63" s="3">
        <v>3080107112</v>
      </c>
      <c r="B63" s="4" t="s">
        <v>69</v>
      </c>
      <c r="C63" s="4" t="s">
        <v>705</v>
      </c>
      <c r="D63" s="3">
        <v>2</v>
      </c>
      <c r="E63" s="3" t="s">
        <v>16</v>
      </c>
      <c r="F63" s="3" t="s">
        <v>289</v>
      </c>
      <c r="G63" s="3" t="s">
        <v>23</v>
      </c>
      <c r="H63" s="3" t="s">
        <v>40</v>
      </c>
    </row>
    <row r="64" spans="1:8" x14ac:dyDescent="0.2">
      <c r="A64" s="3">
        <v>3080107034</v>
      </c>
      <c r="B64" s="4" t="s">
        <v>69</v>
      </c>
      <c r="C64" s="4" t="s">
        <v>429</v>
      </c>
      <c r="D64" s="3">
        <v>2</v>
      </c>
      <c r="E64" s="3" t="s">
        <v>16</v>
      </c>
      <c r="F64" s="3" t="s">
        <v>295</v>
      </c>
      <c r="G64" s="3" t="s">
        <v>17</v>
      </c>
      <c r="H64" s="3" t="s">
        <v>40</v>
      </c>
    </row>
    <row r="65" spans="1:8" x14ac:dyDescent="0.2">
      <c r="A65" s="3">
        <v>3080107052</v>
      </c>
      <c r="B65" s="4" t="s">
        <v>69</v>
      </c>
      <c r="C65" s="4" t="s">
        <v>431</v>
      </c>
      <c r="D65" s="3">
        <v>1</v>
      </c>
      <c r="E65" s="3" t="s">
        <v>16</v>
      </c>
      <c r="F65" s="3" t="s">
        <v>295</v>
      </c>
      <c r="G65" s="3" t="s">
        <v>17</v>
      </c>
      <c r="H65" s="3" t="s">
        <v>40</v>
      </c>
    </row>
    <row r="66" spans="1:8" x14ac:dyDescent="0.2">
      <c r="A66" s="3">
        <v>3080107034</v>
      </c>
      <c r="B66" s="4" t="s">
        <v>69</v>
      </c>
      <c r="C66" s="4" t="s">
        <v>429</v>
      </c>
      <c r="D66" s="3">
        <v>6</v>
      </c>
      <c r="E66" s="3" t="s">
        <v>16</v>
      </c>
      <c r="F66" s="3" t="s">
        <v>295</v>
      </c>
      <c r="G66" s="3" t="s">
        <v>17</v>
      </c>
      <c r="H66" s="3" t="s">
        <v>40</v>
      </c>
    </row>
    <row r="67" spans="1:8" x14ac:dyDescent="0.2">
      <c r="A67" s="3">
        <v>3080107002</v>
      </c>
      <c r="B67" s="4" t="s">
        <v>69</v>
      </c>
      <c r="C67" s="4" t="s">
        <v>430</v>
      </c>
      <c r="D67" s="3">
        <v>4</v>
      </c>
      <c r="E67" s="3" t="s">
        <v>16</v>
      </c>
      <c r="F67" s="3" t="s">
        <v>295</v>
      </c>
      <c r="G67" s="3" t="s">
        <v>17</v>
      </c>
      <c r="H67" s="3" t="s">
        <v>40</v>
      </c>
    </row>
    <row r="68" spans="1:8" x14ac:dyDescent="0.2">
      <c r="A68" s="3">
        <v>3080107160</v>
      </c>
      <c r="B68" s="4" t="s">
        <v>69</v>
      </c>
      <c r="C68" s="4" t="s">
        <v>432</v>
      </c>
      <c r="D68" s="3">
        <v>4</v>
      </c>
      <c r="E68" s="3" t="s">
        <v>16</v>
      </c>
      <c r="F68" s="3" t="s">
        <v>293</v>
      </c>
      <c r="G68" s="3" t="s">
        <v>29</v>
      </c>
      <c r="H68" s="3" t="s">
        <v>40</v>
      </c>
    </row>
    <row r="69" spans="1:8" x14ac:dyDescent="0.2">
      <c r="A69" s="3">
        <v>3080107149</v>
      </c>
      <c r="B69" s="4" t="s">
        <v>69</v>
      </c>
      <c r="C69" s="4" t="s">
        <v>799</v>
      </c>
      <c r="D69" s="3">
        <v>2</v>
      </c>
      <c r="E69" s="3" t="s">
        <v>16</v>
      </c>
      <c r="F69" s="3" t="s">
        <v>794</v>
      </c>
      <c r="G69" s="3" t="s">
        <v>795</v>
      </c>
      <c r="H69" s="3" t="s">
        <v>40</v>
      </c>
    </row>
    <row r="70" spans="1:8" x14ac:dyDescent="0.2">
      <c r="A70" s="3">
        <v>3080107284</v>
      </c>
      <c r="B70" s="4" t="s">
        <v>69</v>
      </c>
      <c r="C70" s="4" t="s">
        <v>706</v>
      </c>
      <c r="D70" s="3">
        <v>1</v>
      </c>
      <c r="E70" s="3" t="s">
        <v>16</v>
      </c>
      <c r="F70" s="3" t="s">
        <v>317</v>
      </c>
      <c r="G70" s="3" t="s">
        <v>318</v>
      </c>
      <c r="H70" s="3" t="s">
        <v>40</v>
      </c>
    </row>
    <row r="71" spans="1:8" x14ac:dyDescent="0.2">
      <c r="A71" s="3">
        <v>3080107305</v>
      </c>
      <c r="B71" s="4" t="s">
        <v>69</v>
      </c>
      <c r="C71" s="4" t="s">
        <v>434</v>
      </c>
      <c r="D71" s="3">
        <v>2</v>
      </c>
      <c r="E71" s="3" t="s">
        <v>16</v>
      </c>
      <c r="F71" s="3" t="s">
        <v>291</v>
      </c>
      <c r="G71" s="3" t="s">
        <v>26</v>
      </c>
      <c r="H71" s="3" t="s">
        <v>40</v>
      </c>
    </row>
    <row r="72" spans="1:8" x14ac:dyDescent="0.2">
      <c r="A72" s="3">
        <v>3080107308</v>
      </c>
      <c r="B72" s="4" t="s">
        <v>69</v>
      </c>
      <c r="C72" s="4" t="s">
        <v>433</v>
      </c>
      <c r="D72" s="3">
        <v>2</v>
      </c>
      <c r="E72" s="3" t="s">
        <v>16</v>
      </c>
      <c r="F72" s="3" t="s">
        <v>291</v>
      </c>
      <c r="G72" s="3" t="s">
        <v>26</v>
      </c>
      <c r="H72" s="3" t="s">
        <v>40</v>
      </c>
    </row>
    <row r="73" spans="1:8" x14ac:dyDescent="0.2">
      <c r="A73" s="3">
        <v>3080107072</v>
      </c>
      <c r="B73" s="4" t="s">
        <v>69</v>
      </c>
      <c r="C73" s="4" t="s">
        <v>435</v>
      </c>
      <c r="D73" s="3">
        <v>4</v>
      </c>
      <c r="E73" s="3" t="s">
        <v>16</v>
      </c>
      <c r="F73" s="3" t="s">
        <v>291</v>
      </c>
      <c r="G73" s="3" t="s">
        <v>26</v>
      </c>
      <c r="H73" s="3" t="s">
        <v>40</v>
      </c>
    </row>
    <row r="74" spans="1:8" x14ac:dyDescent="0.2">
      <c r="A74" s="3">
        <v>3080107094</v>
      </c>
      <c r="B74" s="4" t="s">
        <v>69</v>
      </c>
      <c r="C74" s="4" t="s">
        <v>436</v>
      </c>
      <c r="D74" s="3">
        <v>2</v>
      </c>
      <c r="E74" s="3" t="s">
        <v>16</v>
      </c>
      <c r="F74" s="3" t="s">
        <v>291</v>
      </c>
      <c r="G74" s="3" t="s">
        <v>26</v>
      </c>
      <c r="H74" s="3" t="s">
        <v>40</v>
      </c>
    </row>
    <row r="75" spans="1:8" x14ac:dyDescent="0.2">
      <c r="A75" s="3">
        <v>3080108025</v>
      </c>
      <c r="B75" s="4" t="s">
        <v>77</v>
      </c>
      <c r="C75" s="4" t="s">
        <v>437</v>
      </c>
      <c r="D75" s="3">
        <v>7</v>
      </c>
      <c r="E75" s="3" t="s">
        <v>16</v>
      </c>
      <c r="F75" s="3" t="s">
        <v>295</v>
      </c>
      <c r="G75" s="3" t="s">
        <v>17</v>
      </c>
      <c r="H75" s="3" t="s">
        <v>40</v>
      </c>
    </row>
    <row r="76" spans="1:8" x14ac:dyDescent="0.2">
      <c r="A76" s="3">
        <v>3080108025</v>
      </c>
      <c r="B76" s="4" t="s">
        <v>77</v>
      </c>
      <c r="C76" s="4" t="s">
        <v>437</v>
      </c>
      <c r="D76" s="3">
        <v>1</v>
      </c>
      <c r="E76" s="3" t="s">
        <v>16</v>
      </c>
      <c r="F76" s="3" t="s">
        <v>291</v>
      </c>
      <c r="G76" s="3" t="s">
        <v>26</v>
      </c>
      <c r="H76" s="3" t="s">
        <v>40</v>
      </c>
    </row>
    <row r="77" spans="1:8" x14ac:dyDescent="0.2">
      <c r="A77" s="3">
        <v>3080108033</v>
      </c>
      <c r="B77" s="4" t="s">
        <v>77</v>
      </c>
      <c r="C77" s="4" t="s">
        <v>438</v>
      </c>
      <c r="D77" s="3">
        <v>4</v>
      </c>
      <c r="E77" s="3" t="s">
        <v>16</v>
      </c>
      <c r="F77" s="3" t="s">
        <v>291</v>
      </c>
      <c r="G77" s="3" t="s">
        <v>26</v>
      </c>
      <c r="H77" s="3" t="s">
        <v>40</v>
      </c>
    </row>
    <row r="78" spans="1:8" x14ac:dyDescent="0.2">
      <c r="A78" s="3">
        <v>3080108029</v>
      </c>
      <c r="B78" s="4" t="s">
        <v>77</v>
      </c>
      <c r="C78" s="4" t="s">
        <v>1116</v>
      </c>
      <c r="D78" s="3">
        <v>2</v>
      </c>
      <c r="E78" s="3" t="s">
        <v>16</v>
      </c>
      <c r="F78" s="3" t="s">
        <v>291</v>
      </c>
      <c r="G78" s="3" t="s">
        <v>26</v>
      </c>
      <c r="H78" s="3" t="s">
        <v>40</v>
      </c>
    </row>
    <row r="79" spans="1:8" x14ac:dyDescent="0.2">
      <c r="A79" s="3">
        <v>3080403001</v>
      </c>
      <c r="B79" s="4" t="s">
        <v>439</v>
      </c>
      <c r="C79" s="4" t="s">
        <v>440</v>
      </c>
      <c r="D79" s="3">
        <v>1</v>
      </c>
      <c r="E79" s="3" t="s">
        <v>16</v>
      </c>
      <c r="F79" s="3" t="s">
        <v>295</v>
      </c>
      <c r="G79" s="3" t="s">
        <v>17</v>
      </c>
      <c r="H79" s="3" t="s">
        <v>40</v>
      </c>
    </row>
    <row r="80" spans="1:8" x14ac:dyDescent="0.2">
      <c r="A80" s="3">
        <v>3080109002</v>
      </c>
      <c r="B80" s="4" t="s">
        <v>441</v>
      </c>
      <c r="C80" s="4" t="s">
        <v>442</v>
      </c>
      <c r="D80" s="3">
        <v>2</v>
      </c>
      <c r="E80" s="3" t="s">
        <v>16</v>
      </c>
      <c r="F80" s="3" t="s">
        <v>295</v>
      </c>
      <c r="G80" s="3" t="s">
        <v>17</v>
      </c>
      <c r="H80" s="3" t="s">
        <v>40</v>
      </c>
    </row>
    <row r="81" spans="1:8" x14ac:dyDescent="0.2">
      <c r="A81" s="3">
        <v>3080111012</v>
      </c>
      <c r="B81" s="4" t="s">
        <v>79</v>
      </c>
      <c r="C81" s="4" t="s">
        <v>443</v>
      </c>
      <c r="D81" s="3">
        <v>2</v>
      </c>
      <c r="E81" s="3" t="s">
        <v>16</v>
      </c>
      <c r="F81" s="3" t="s">
        <v>295</v>
      </c>
      <c r="G81" s="3" t="s">
        <v>17</v>
      </c>
      <c r="H81" s="3" t="s">
        <v>40</v>
      </c>
    </row>
    <row r="82" spans="1:8" x14ac:dyDescent="0.2">
      <c r="A82" s="3">
        <v>3080111006</v>
      </c>
      <c r="B82" s="4" t="s">
        <v>79</v>
      </c>
      <c r="C82" s="4" t="s">
        <v>444</v>
      </c>
      <c r="D82" s="3">
        <v>1</v>
      </c>
      <c r="E82" s="3" t="s">
        <v>16</v>
      </c>
      <c r="F82" s="3" t="s">
        <v>295</v>
      </c>
      <c r="G82" s="3" t="s">
        <v>17</v>
      </c>
      <c r="H82" s="3" t="s">
        <v>40</v>
      </c>
    </row>
    <row r="83" spans="1:8" x14ac:dyDescent="0.2">
      <c r="A83" s="3">
        <v>3080111004</v>
      </c>
      <c r="B83" s="4" t="s">
        <v>79</v>
      </c>
      <c r="C83" s="4" t="s">
        <v>445</v>
      </c>
      <c r="D83" s="3">
        <v>2</v>
      </c>
      <c r="E83" s="3" t="s">
        <v>16</v>
      </c>
      <c r="F83" s="3" t="s">
        <v>293</v>
      </c>
      <c r="G83" s="3" t="s">
        <v>29</v>
      </c>
      <c r="H83" s="3" t="s">
        <v>40</v>
      </c>
    </row>
    <row r="84" spans="1:8" x14ac:dyDescent="0.2">
      <c r="A84" s="3">
        <v>3080111062</v>
      </c>
      <c r="B84" s="4" t="s">
        <v>79</v>
      </c>
      <c r="C84" s="4" t="s">
        <v>800</v>
      </c>
      <c r="D84" s="3">
        <v>4</v>
      </c>
      <c r="E84" s="3" t="s">
        <v>16</v>
      </c>
      <c r="F84" s="3" t="s">
        <v>794</v>
      </c>
      <c r="G84" s="3" t="s">
        <v>795</v>
      </c>
      <c r="H84" s="3" t="s">
        <v>40</v>
      </c>
    </row>
    <row r="85" spans="1:8" x14ac:dyDescent="0.2">
      <c r="A85" s="3">
        <v>3080111087</v>
      </c>
      <c r="B85" s="4" t="s">
        <v>79</v>
      </c>
      <c r="C85" s="4" t="s">
        <v>80</v>
      </c>
      <c r="D85" s="3">
        <v>7</v>
      </c>
      <c r="E85" s="3" t="s">
        <v>16</v>
      </c>
      <c r="F85" s="3" t="s">
        <v>291</v>
      </c>
      <c r="G85" s="3" t="s">
        <v>26</v>
      </c>
      <c r="H85" s="3" t="s">
        <v>40</v>
      </c>
    </row>
    <row r="86" spans="1:8" x14ac:dyDescent="0.2">
      <c r="A86" s="3">
        <v>3080111087</v>
      </c>
      <c r="B86" s="4" t="s">
        <v>79</v>
      </c>
      <c r="C86" s="4" t="s">
        <v>80</v>
      </c>
      <c r="D86" s="3">
        <v>9</v>
      </c>
      <c r="E86" s="3" t="s">
        <v>16</v>
      </c>
      <c r="F86" s="3" t="s">
        <v>291</v>
      </c>
      <c r="G86" s="3" t="s">
        <v>26</v>
      </c>
      <c r="H86" s="3" t="s">
        <v>40</v>
      </c>
    </row>
    <row r="87" spans="1:8" x14ac:dyDescent="0.2">
      <c r="A87" s="3">
        <v>3080111087</v>
      </c>
      <c r="B87" s="4" t="s">
        <v>79</v>
      </c>
      <c r="C87" s="4" t="s">
        <v>80</v>
      </c>
      <c r="D87" s="3">
        <v>4</v>
      </c>
      <c r="E87" s="3" t="s">
        <v>16</v>
      </c>
      <c r="F87" s="3" t="s">
        <v>291</v>
      </c>
      <c r="G87" s="3" t="s">
        <v>26</v>
      </c>
      <c r="H87" s="3" t="s">
        <v>40</v>
      </c>
    </row>
    <row r="88" spans="1:8" x14ac:dyDescent="0.2">
      <c r="A88" s="3">
        <v>3080111015</v>
      </c>
      <c r="B88" s="4" t="s">
        <v>79</v>
      </c>
      <c r="C88" s="4" t="s">
        <v>446</v>
      </c>
      <c r="D88" s="3">
        <v>2</v>
      </c>
      <c r="E88" s="3" t="s">
        <v>16</v>
      </c>
      <c r="F88" s="3" t="s">
        <v>291</v>
      </c>
      <c r="G88" s="3" t="s">
        <v>26</v>
      </c>
      <c r="H88" s="3" t="s">
        <v>40</v>
      </c>
    </row>
    <row r="89" spans="1:8" x14ac:dyDescent="0.2">
      <c r="A89" s="3">
        <v>407030133</v>
      </c>
      <c r="B89" s="4" t="s">
        <v>81</v>
      </c>
      <c r="C89" s="4" t="s">
        <v>1083</v>
      </c>
      <c r="D89" s="3">
        <v>1</v>
      </c>
      <c r="E89" s="3" t="s">
        <v>16</v>
      </c>
      <c r="F89" s="3" t="s">
        <v>301</v>
      </c>
      <c r="G89" s="3" t="s">
        <v>32</v>
      </c>
      <c r="H89" s="3" t="s">
        <v>40</v>
      </c>
    </row>
    <row r="90" spans="1:8" x14ac:dyDescent="0.2">
      <c r="A90" s="3">
        <v>3099990501</v>
      </c>
      <c r="B90" s="4" t="s">
        <v>708</v>
      </c>
      <c r="C90" s="4" t="s">
        <v>105</v>
      </c>
      <c r="D90" s="3">
        <v>1</v>
      </c>
      <c r="E90" s="3" t="s">
        <v>16</v>
      </c>
      <c r="F90" s="3" t="s">
        <v>709</v>
      </c>
      <c r="G90" s="3" t="s">
        <v>710</v>
      </c>
      <c r="H90" s="3" t="s">
        <v>103</v>
      </c>
    </row>
    <row r="91" spans="1:8" x14ac:dyDescent="0.2">
      <c r="A91" s="3">
        <v>3099990104</v>
      </c>
      <c r="B91" s="4" t="s">
        <v>104</v>
      </c>
      <c r="C91" s="4" t="s">
        <v>448</v>
      </c>
      <c r="D91" s="3">
        <v>1</v>
      </c>
      <c r="E91" s="3" t="s">
        <v>16</v>
      </c>
      <c r="F91" s="3" t="s">
        <v>299</v>
      </c>
      <c r="G91" s="3" t="s">
        <v>106</v>
      </c>
      <c r="H91" s="3" t="s">
        <v>103</v>
      </c>
    </row>
    <row r="92" spans="1:8" x14ac:dyDescent="0.2">
      <c r="A92" s="3">
        <v>3099990704</v>
      </c>
      <c r="B92" s="4" t="s">
        <v>449</v>
      </c>
      <c r="C92" s="4" t="s">
        <v>450</v>
      </c>
      <c r="D92" s="3">
        <v>1</v>
      </c>
      <c r="E92" s="3" t="s">
        <v>16</v>
      </c>
      <c r="F92" s="3" t="s">
        <v>299</v>
      </c>
      <c r="G92" s="3" t="s">
        <v>106</v>
      </c>
      <c r="H92" s="3" t="s">
        <v>103</v>
      </c>
    </row>
    <row r="93" spans="1:8" x14ac:dyDescent="0.2">
      <c r="A93" s="3">
        <v>3099990604</v>
      </c>
      <c r="B93" s="4" t="s">
        <v>451</v>
      </c>
      <c r="C93" s="4" t="s">
        <v>450</v>
      </c>
      <c r="D93" s="3">
        <v>1</v>
      </c>
      <c r="E93" s="3" t="s">
        <v>16</v>
      </c>
      <c r="F93" s="3" t="s">
        <v>299</v>
      </c>
      <c r="G93" s="3" t="s">
        <v>106</v>
      </c>
      <c r="H93" s="3" t="s">
        <v>103</v>
      </c>
    </row>
    <row r="94" spans="1:8" x14ac:dyDescent="0.2">
      <c r="A94" s="3">
        <v>402030027</v>
      </c>
      <c r="B94" s="4" t="s">
        <v>107</v>
      </c>
      <c r="C94" s="4" t="s">
        <v>110</v>
      </c>
      <c r="D94" s="3">
        <v>1</v>
      </c>
      <c r="E94" s="3" t="s">
        <v>16</v>
      </c>
      <c r="F94" s="3" t="s">
        <v>291</v>
      </c>
      <c r="G94" s="3" t="s">
        <v>26</v>
      </c>
      <c r="H94" s="3" t="s">
        <v>109</v>
      </c>
    </row>
    <row r="95" spans="1:8" x14ac:dyDescent="0.2">
      <c r="A95" s="3">
        <v>402020002</v>
      </c>
      <c r="B95" s="4" t="s">
        <v>111</v>
      </c>
      <c r="C95" s="4" t="s">
        <v>452</v>
      </c>
      <c r="D95" s="3">
        <v>2</v>
      </c>
      <c r="E95" s="3" t="s">
        <v>16</v>
      </c>
      <c r="F95" s="3" t="s">
        <v>293</v>
      </c>
      <c r="G95" s="3" t="s">
        <v>29</v>
      </c>
      <c r="H95" s="3" t="s">
        <v>109</v>
      </c>
    </row>
    <row r="96" spans="1:8" x14ac:dyDescent="0.2">
      <c r="A96" s="3">
        <v>3060210001</v>
      </c>
      <c r="B96" s="4" t="s">
        <v>711</v>
      </c>
      <c r="C96" s="4" t="s">
        <v>712</v>
      </c>
      <c r="D96" s="3">
        <v>2</v>
      </c>
      <c r="E96" s="3" t="s">
        <v>16</v>
      </c>
      <c r="F96" s="3" t="s">
        <v>289</v>
      </c>
      <c r="G96" s="3" t="s">
        <v>23</v>
      </c>
      <c r="H96" s="3" t="s">
        <v>115</v>
      </c>
    </row>
    <row r="97" spans="1:8" x14ac:dyDescent="0.2">
      <c r="A97" s="3">
        <v>3040216001</v>
      </c>
      <c r="B97" s="4" t="s">
        <v>328</v>
      </c>
      <c r="C97" s="4" t="s">
        <v>329</v>
      </c>
      <c r="D97" s="3">
        <v>4</v>
      </c>
      <c r="E97" s="3" t="s">
        <v>16</v>
      </c>
      <c r="F97" s="3" t="s">
        <v>293</v>
      </c>
      <c r="G97" s="3" t="s">
        <v>29</v>
      </c>
      <c r="H97" s="3" t="s">
        <v>115</v>
      </c>
    </row>
    <row r="98" spans="1:8" x14ac:dyDescent="0.2">
      <c r="A98" s="3">
        <v>3030204017</v>
      </c>
      <c r="B98" s="4" t="s">
        <v>453</v>
      </c>
      <c r="C98" s="4" t="s">
        <v>454</v>
      </c>
      <c r="D98" s="3">
        <v>1</v>
      </c>
      <c r="E98" s="3" t="s">
        <v>16</v>
      </c>
      <c r="F98" s="3" t="s">
        <v>295</v>
      </c>
      <c r="G98" s="3" t="s">
        <v>17</v>
      </c>
      <c r="H98" s="3" t="s">
        <v>115</v>
      </c>
    </row>
    <row r="99" spans="1:8" x14ac:dyDescent="0.2">
      <c r="A99" s="3">
        <v>3030204005</v>
      </c>
      <c r="B99" s="4" t="s">
        <v>455</v>
      </c>
      <c r="C99" s="4" t="s">
        <v>456</v>
      </c>
      <c r="D99" s="3">
        <v>1</v>
      </c>
      <c r="E99" s="3" t="s">
        <v>16</v>
      </c>
      <c r="F99" s="3" t="s">
        <v>295</v>
      </c>
      <c r="G99" s="3" t="s">
        <v>17</v>
      </c>
      <c r="H99" s="3" t="s">
        <v>115</v>
      </c>
    </row>
    <row r="100" spans="1:8" x14ac:dyDescent="0.2">
      <c r="A100" s="3">
        <v>3050203003</v>
      </c>
      <c r="B100" s="4" t="s">
        <v>120</v>
      </c>
      <c r="C100" s="4" t="s">
        <v>457</v>
      </c>
      <c r="D100" s="3">
        <v>2</v>
      </c>
      <c r="E100" s="3" t="s">
        <v>16</v>
      </c>
      <c r="F100" s="3" t="s">
        <v>291</v>
      </c>
      <c r="G100" s="3" t="s">
        <v>26</v>
      </c>
      <c r="H100" s="3" t="s">
        <v>115</v>
      </c>
    </row>
    <row r="101" spans="1:8" x14ac:dyDescent="0.2">
      <c r="A101" s="3">
        <v>3050203007</v>
      </c>
      <c r="B101" s="4" t="s">
        <v>803</v>
      </c>
      <c r="C101" s="4" t="s">
        <v>804</v>
      </c>
      <c r="D101" s="3">
        <v>2</v>
      </c>
      <c r="E101" s="3" t="s">
        <v>16</v>
      </c>
      <c r="F101" s="3" t="s">
        <v>794</v>
      </c>
      <c r="G101" s="3" t="s">
        <v>795</v>
      </c>
      <c r="H101" s="3" t="s">
        <v>115</v>
      </c>
    </row>
    <row r="102" spans="1:8" x14ac:dyDescent="0.2">
      <c r="A102" s="3">
        <v>3030204008</v>
      </c>
      <c r="B102" s="4" t="s">
        <v>122</v>
      </c>
      <c r="C102" s="4" t="s">
        <v>123</v>
      </c>
      <c r="D102" s="3">
        <v>1</v>
      </c>
      <c r="E102" s="3" t="s">
        <v>16</v>
      </c>
      <c r="F102" s="3" t="s">
        <v>291</v>
      </c>
      <c r="G102" s="3" t="s">
        <v>26</v>
      </c>
      <c r="H102" s="3" t="s">
        <v>115</v>
      </c>
    </row>
    <row r="103" spans="1:8" x14ac:dyDescent="0.2">
      <c r="A103" s="3">
        <v>3070104002</v>
      </c>
      <c r="B103" s="4" t="s">
        <v>128</v>
      </c>
      <c r="C103" s="4" t="s">
        <v>129</v>
      </c>
      <c r="D103" s="3">
        <v>1</v>
      </c>
      <c r="E103" s="3" t="s">
        <v>16</v>
      </c>
      <c r="F103" s="3" t="s">
        <v>317</v>
      </c>
      <c r="G103" s="3" t="s">
        <v>318</v>
      </c>
      <c r="H103" s="3" t="s">
        <v>115</v>
      </c>
    </row>
    <row r="104" spans="1:8" x14ac:dyDescent="0.2">
      <c r="A104" s="3">
        <v>3070104001</v>
      </c>
      <c r="B104" s="4" t="s">
        <v>331</v>
      </c>
      <c r="C104" s="4" t="s">
        <v>332</v>
      </c>
      <c r="D104" s="3">
        <v>1</v>
      </c>
      <c r="E104" s="3" t="s">
        <v>16</v>
      </c>
      <c r="F104" s="3" t="s">
        <v>317</v>
      </c>
      <c r="G104" s="3" t="s">
        <v>318</v>
      </c>
      <c r="H104" s="3" t="s">
        <v>115</v>
      </c>
    </row>
    <row r="105" spans="1:8" x14ac:dyDescent="0.2">
      <c r="A105" s="3">
        <v>3030206001</v>
      </c>
      <c r="B105" s="4" t="s">
        <v>458</v>
      </c>
      <c r="C105" s="4" t="s">
        <v>404</v>
      </c>
      <c r="D105" s="3">
        <v>1</v>
      </c>
      <c r="E105" s="3" t="s">
        <v>16</v>
      </c>
      <c r="F105" s="3" t="s">
        <v>295</v>
      </c>
      <c r="G105" s="3" t="s">
        <v>17</v>
      </c>
      <c r="H105" s="3" t="s">
        <v>132</v>
      </c>
    </row>
    <row r="106" spans="1:8" x14ac:dyDescent="0.2">
      <c r="A106" s="3">
        <v>3080199003</v>
      </c>
      <c r="B106" s="4" t="s">
        <v>805</v>
      </c>
      <c r="C106" s="4" t="s">
        <v>806</v>
      </c>
      <c r="D106" s="3">
        <v>2</v>
      </c>
      <c r="E106" s="3" t="s">
        <v>16</v>
      </c>
      <c r="F106" s="3" t="s">
        <v>794</v>
      </c>
      <c r="G106" s="3" t="s">
        <v>795</v>
      </c>
      <c r="H106" s="3" t="s">
        <v>807</v>
      </c>
    </row>
    <row r="107" spans="1:8" x14ac:dyDescent="0.2">
      <c r="A107" s="3">
        <v>3040502053</v>
      </c>
      <c r="B107" s="4" t="s">
        <v>136</v>
      </c>
      <c r="C107" s="4" t="s">
        <v>1117</v>
      </c>
      <c r="D107" s="3">
        <v>1</v>
      </c>
      <c r="E107" s="3" t="s">
        <v>16</v>
      </c>
      <c r="F107" s="3" t="s">
        <v>293</v>
      </c>
      <c r="G107" s="3" t="s">
        <v>29</v>
      </c>
      <c r="H107" s="3" t="s">
        <v>138</v>
      </c>
    </row>
    <row r="108" spans="1:8" x14ac:dyDescent="0.2">
      <c r="A108" s="3">
        <v>3040502052</v>
      </c>
      <c r="B108" s="4" t="s">
        <v>136</v>
      </c>
      <c r="C108" s="4" t="s">
        <v>1118</v>
      </c>
      <c r="D108" s="3">
        <v>1</v>
      </c>
      <c r="E108" s="3" t="s">
        <v>16</v>
      </c>
      <c r="F108" s="3" t="s">
        <v>293</v>
      </c>
      <c r="G108" s="3" t="s">
        <v>29</v>
      </c>
      <c r="H108" s="3" t="s">
        <v>138</v>
      </c>
    </row>
    <row r="109" spans="1:8" x14ac:dyDescent="0.2">
      <c r="A109" s="3">
        <v>3990207002</v>
      </c>
      <c r="B109" s="4" t="s">
        <v>140</v>
      </c>
      <c r="C109" s="4" t="s">
        <v>714</v>
      </c>
      <c r="D109" s="3">
        <v>1</v>
      </c>
      <c r="E109" s="3" t="s">
        <v>16</v>
      </c>
      <c r="F109" s="3" t="s">
        <v>285</v>
      </c>
      <c r="G109" s="3" t="s">
        <v>142</v>
      </c>
      <c r="H109" s="3" t="s">
        <v>143</v>
      </c>
    </row>
    <row r="110" spans="1:8" x14ac:dyDescent="0.2">
      <c r="A110" s="3">
        <v>3030301005</v>
      </c>
      <c r="B110" s="4" t="s">
        <v>144</v>
      </c>
      <c r="C110" s="4" t="s">
        <v>145</v>
      </c>
      <c r="D110" s="3">
        <v>2</v>
      </c>
      <c r="E110" s="3" t="s">
        <v>16</v>
      </c>
      <c r="F110" s="3" t="s">
        <v>291</v>
      </c>
      <c r="G110" s="3" t="s">
        <v>26</v>
      </c>
      <c r="H110" s="3" t="s">
        <v>143</v>
      </c>
    </row>
    <row r="111" spans="1:8" x14ac:dyDescent="0.2">
      <c r="A111" s="3">
        <v>3990204002</v>
      </c>
      <c r="B111" s="4" t="s">
        <v>333</v>
      </c>
      <c r="C111" s="4" t="s">
        <v>334</v>
      </c>
      <c r="D111" s="3">
        <v>1</v>
      </c>
      <c r="E111" s="3" t="s">
        <v>16</v>
      </c>
      <c r="F111" s="3" t="s">
        <v>335</v>
      </c>
      <c r="G111" s="3" t="s">
        <v>336</v>
      </c>
      <c r="H111" s="3" t="s">
        <v>143</v>
      </c>
    </row>
    <row r="112" spans="1:8" x14ac:dyDescent="0.2">
      <c r="A112" s="3">
        <v>3990206001</v>
      </c>
      <c r="B112" s="4" t="s">
        <v>715</v>
      </c>
      <c r="C112" s="4" t="s">
        <v>716</v>
      </c>
      <c r="D112" s="3">
        <v>1</v>
      </c>
      <c r="E112" s="3" t="s">
        <v>16</v>
      </c>
      <c r="F112" s="3" t="s">
        <v>717</v>
      </c>
      <c r="G112" s="3" t="s">
        <v>718</v>
      </c>
      <c r="H112" s="3" t="s">
        <v>143</v>
      </c>
    </row>
    <row r="113" spans="1:8" x14ac:dyDescent="0.2">
      <c r="A113" s="3">
        <v>3990205003</v>
      </c>
      <c r="B113" s="4" t="s">
        <v>146</v>
      </c>
      <c r="C113" s="4" t="s">
        <v>460</v>
      </c>
      <c r="D113" s="3">
        <v>1</v>
      </c>
      <c r="E113" s="3" t="s">
        <v>16</v>
      </c>
      <c r="F113" s="3" t="s">
        <v>287</v>
      </c>
      <c r="G113" s="3" t="s">
        <v>148</v>
      </c>
      <c r="H113" s="3" t="s">
        <v>143</v>
      </c>
    </row>
    <row r="114" spans="1:8" x14ac:dyDescent="0.2">
      <c r="A114" s="3">
        <v>408090008</v>
      </c>
      <c r="B114" s="4" t="s">
        <v>461</v>
      </c>
      <c r="C114" s="4" t="s">
        <v>462</v>
      </c>
      <c r="D114" s="3">
        <v>1</v>
      </c>
      <c r="E114" s="3" t="s">
        <v>16</v>
      </c>
      <c r="F114" s="3" t="s">
        <v>293</v>
      </c>
      <c r="G114" s="3" t="s">
        <v>29</v>
      </c>
      <c r="H114" s="3" t="s">
        <v>151</v>
      </c>
    </row>
    <row r="115" spans="1:8" x14ac:dyDescent="0.2">
      <c r="A115" s="3">
        <v>408090007</v>
      </c>
      <c r="B115" s="4" t="s">
        <v>463</v>
      </c>
      <c r="C115" s="4" t="s">
        <v>464</v>
      </c>
      <c r="D115" s="3">
        <v>1</v>
      </c>
      <c r="E115" s="3" t="s">
        <v>16</v>
      </c>
      <c r="F115" s="3" t="s">
        <v>293</v>
      </c>
      <c r="G115" s="3" t="s">
        <v>29</v>
      </c>
      <c r="H115" s="3" t="s">
        <v>151</v>
      </c>
    </row>
    <row r="116" spans="1:8" x14ac:dyDescent="0.2">
      <c r="A116" s="3">
        <v>407010154</v>
      </c>
      <c r="B116" s="4" t="s">
        <v>808</v>
      </c>
      <c r="C116" s="4" t="s">
        <v>809</v>
      </c>
      <c r="D116" s="3">
        <v>1</v>
      </c>
      <c r="E116" s="3" t="s">
        <v>16</v>
      </c>
      <c r="F116" s="3" t="s">
        <v>794</v>
      </c>
      <c r="G116" s="3" t="s">
        <v>795</v>
      </c>
      <c r="H116" s="3" t="s">
        <v>151</v>
      </c>
    </row>
    <row r="117" spans="1:8" x14ac:dyDescent="0.2">
      <c r="A117" s="3">
        <v>408050029</v>
      </c>
      <c r="B117" s="4" t="s">
        <v>810</v>
      </c>
      <c r="C117" s="4" t="s">
        <v>811</v>
      </c>
      <c r="D117" s="3">
        <v>1</v>
      </c>
      <c r="E117" s="3" t="s">
        <v>16</v>
      </c>
      <c r="F117" s="3" t="s">
        <v>794</v>
      </c>
      <c r="G117" s="3" t="s">
        <v>795</v>
      </c>
      <c r="H117" s="3" t="s">
        <v>151</v>
      </c>
    </row>
    <row r="118" spans="1:8" x14ac:dyDescent="0.2">
      <c r="A118" s="3">
        <v>3060318001</v>
      </c>
      <c r="B118" s="4" t="s">
        <v>720</v>
      </c>
      <c r="C118" s="4" t="s">
        <v>721</v>
      </c>
      <c r="D118" s="3">
        <v>1</v>
      </c>
      <c r="E118" s="3" t="s">
        <v>16</v>
      </c>
      <c r="F118" s="3" t="s">
        <v>289</v>
      </c>
      <c r="G118" s="3" t="s">
        <v>23</v>
      </c>
      <c r="H118" s="3" t="s">
        <v>154</v>
      </c>
    </row>
    <row r="119" spans="1:8" x14ac:dyDescent="0.2">
      <c r="A119" s="3">
        <v>3060327003</v>
      </c>
      <c r="B119" s="4" t="s">
        <v>722</v>
      </c>
      <c r="C119" s="4" t="s">
        <v>723</v>
      </c>
      <c r="D119" s="3">
        <v>1</v>
      </c>
      <c r="E119" s="3" t="s">
        <v>16</v>
      </c>
      <c r="F119" s="3" t="s">
        <v>289</v>
      </c>
      <c r="G119" s="3" t="s">
        <v>23</v>
      </c>
      <c r="H119" s="3" t="s">
        <v>154</v>
      </c>
    </row>
    <row r="120" spans="1:8" x14ac:dyDescent="0.2">
      <c r="A120" s="3">
        <v>3080507001</v>
      </c>
      <c r="B120" s="4" t="s">
        <v>466</v>
      </c>
      <c r="C120" s="4" t="s">
        <v>467</v>
      </c>
      <c r="D120" s="3">
        <v>4</v>
      </c>
      <c r="E120" s="3" t="s">
        <v>16</v>
      </c>
      <c r="F120" s="3" t="s">
        <v>291</v>
      </c>
      <c r="G120" s="3" t="s">
        <v>26</v>
      </c>
      <c r="H120" s="3" t="s">
        <v>154</v>
      </c>
    </row>
    <row r="121" spans="1:8" x14ac:dyDescent="0.2">
      <c r="A121" s="3">
        <v>3050307049</v>
      </c>
      <c r="B121" s="4" t="s">
        <v>812</v>
      </c>
      <c r="C121" s="4" t="s">
        <v>813</v>
      </c>
      <c r="D121" s="3">
        <v>2</v>
      </c>
      <c r="E121" s="3" t="s">
        <v>16</v>
      </c>
      <c r="F121" s="3" t="s">
        <v>794</v>
      </c>
      <c r="G121" s="3" t="s">
        <v>795</v>
      </c>
      <c r="H121" s="3" t="s">
        <v>154</v>
      </c>
    </row>
    <row r="122" spans="1:8" x14ac:dyDescent="0.2">
      <c r="A122" s="3">
        <v>3080505003</v>
      </c>
      <c r="B122" s="4" t="s">
        <v>1119</v>
      </c>
      <c r="C122" s="4" t="s">
        <v>1120</v>
      </c>
      <c r="D122" s="3">
        <v>1</v>
      </c>
      <c r="E122" s="3" t="s">
        <v>16</v>
      </c>
      <c r="F122" s="3" t="s">
        <v>317</v>
      </c>
      <c r="G122" s="3" t="s">
        <v>318</v>
      </c>
      <c r="H122" s="3" t="s">
        <v>154</v>
      </c>
    </row>
    <row r="123" spans="1:8" x14ac:dyDescent="0.2">
      <c r="A123" s="3">
        <v>3030301010</v>
      </c>
      <c r="B123" s="4" t="s">
        <v>468</v>
      </c>
      <c r="C123" s="4" t="s">
        <v>469</v>
      </c>
      <c r="D123" s="3">
        <v>4</v>
      </c>
      <c r="E123" s="3" t="s">
        <v>16</v>
      </c>
      <c r="F123" s="3" t="s">
        <v>295</v>
      </c>
      <c r="G123" s="3" t="s">
        <v>17</v>
      </c>
      <c r="H123" s="3" t="s">
        <v>165</v>
      </c>
    </row>
    <row r="124" spans="1:8" x14ac:dyDescent="0.2">
      <c r="A124" s="3">
        <v>3060347005</v>
      </c>
      <c r="B124" s="4" t="s">
        <v>470</v>
      </c>
      <c r="C124" s="4" t="s">
        <v>471</v>
      </c>
      <c r="D124" s="3">
        <v>1</v>
      </c>
      <c r="E124" s="3" t="s">
        <v>16</v>
      </c>
      <c r="F124" s="3" t="s">
        <v>291</v>
      </c>
      <c r="G124" s="3" t="s">
        <v>26</v>
      </c>
      <c r="H124" s="3" t="s">
        <v>165</v>
      </c>
    </row>
    <row r="125" spans="1:8" x14ac:dyDescent="0.2">
      <c r="A125" s="3">
        <v>3060347006</v>
      </c>
      <c r="B125" s="4" t="s">
        <v>470</v>
      </c>
      <c r="C125" s="4" t="s">
        <v>472</v>
      </c>
      <c r="D125" s="3">
        <v>1</v>
      </c>
      <c r="E125" s="3" t="s">
        <v>16</v>
      </c>
      <c r="F125" s="3" t="s">
        <v>291</v>
      </c>
      <c r="G125" s="3" t="s">
        <v>26</v>
      </c>
      <c r="H125" s="3" t="s">
        <v>165</v>
      </c>
    </row>
    <row r="126" spans="1:8" x14ac:dyDescent="0.2">
      <c r="A126" s="3">
        <v>3060307003</v>
      </c>
      <c r="B126" s="4" t="s">
        <v>1085</v>
      </c>
      <c r="C126" s="4" t="s">
        <v>1086</v>
      </c>
      <c r="D126" s="3">
        <v>1</v>
      </c>
      <c r="E126" s="3" t="s">
        <v>16</v>
      </c>
      <c r="F126" s="3" t="s">
        <v>291</v>
      </c>
      <c r="G126" s="3" t="s">
        <v>26</v>
      </c>
      <c r="H126" s="3" t="s">
        <v>165</v>
      </c>
    </row>
    <row r="127" spans="1:8" x14ac:dyDescent="0.2">
      <c r="A127" s="3">
        <v>3060307004</v>
      </c>
      <c r="B127" s="4" t="s">
        <v>1085</v>
      </c>
      <c r="C127" s="4" t="s">
        <v>1087</v>
      </c>
      <c r="D127" s="3">
        <v>1</v>
      </c>
      <c r="E127" s="3" t="s">
        <v>16</v>
      </c>
      <c r="F127" s="3" t="s">
        <v>291</v>
      </c>
      <c r="G127" s="3" t="s">
        <v>26</v>
      </c>
      <c r="H127" s="3" t="s">
        <v>165</v>
      </c>
    </row>
    <row r="128" spans="1:8" x14ac:dyDescent="0.2">
      <c r="A128" s="3">
        <v>3110103002</v>
      </c>
      <c r="B128" s="4" t="s">
        <v>473</v>
      </c>
      <c r="C128" s="4" t="s">
        <v>474</v>
      </c>
      <c r="D128" s="3">
        <v>1</v>
      </c>
      <c r="E128" s="3" t="s">
        <v>16</v>
      </c>
      <c r="F128" s="3" t="s">
        <v>291</v>
      </c>
      <c r="G128" s="3" t="s">
        <v>26</v>
      </c>
      <c r="H128" s="3" t="s">
        <v>165</v>
      </c>
    </row>
    <row r="129" spans="1:8" x14ac:dyDescent="0.2">
      <c r="A129" s="3">
        <v>3030316006</v>
      </c>
      <c r="B129" s="4" t="s">
        <v>475</v>
      </c>
      <c r="C129" s="4" t="s">
        <v>476</v>
      </c>
      <c r="D129" s="3">
        <v>1</v>
      </c>
      <c r="E129" s="3" t="s">
        <v>16</v>
      </c>
      <c r="F129" s="3" t="s">
        <v>295</v>
      </c>
      <c r="G129" s="3" t="s">
        <v>17</v>
      </c>
      <c r="H129" s="3" t="s">
        <v>165</v>
      </c>
    </row>
    <row r="130" spans="1:8" x14ac:dyDescent="0.2">
      <c r="A130" s="3">
        <v>3050304010</v>
      </c>
      <c r="B130" s="4" t="s">
        <v>814</v>
      </c>
      <c r="C130" s="4" t="s">
        <v>815</v>
      </c>
      <c r="D130" s="3">
        <v>1</v>
      </c>
      <c r="E130" s="3" t="s">
        <v>16</v>
      </c>
      <c r="F130" s="3" t="s">
        <v>794</v>
      </c>
      <c r="G130" s="3" t="s">
        <v>795</v>
      </c>
      <c r="H130" s="3" t="s">
        <v>165</v>
      </c>
    </row>
    <row r="131" spans="1:8" x14ac:dyDescent="0.2">
      <c r="A131" s="3">
        <v>3050310003</v>
      </c>
      <c r="B131" s="4" t="s">
        <v>816</v>
      </c>
      <c r="C131" s="4" t="s">
        <v>817</v>
      </c>
      <c r="D131" s="3">
        <v>1</v>
      </c>
      <c r="E131" s="3" t="s">
        <v>16</v>
      </c>
      <c r="F131" s="3" t="s">
        <v>794</v>
      </c>
      <c r="G131" s="3" t="s">
        <v>795</v>
      </c>
      <c r="H131" s="3" t="s">
        <v>165</v>
      </c>
    </row>
    <row r="132" spans="1:8" x14ac:dyDescent="0.2">
      <c r="A132" s="3">
        <v>3040326008</v>
      </c>
      <c r="B132" s="4" t="s">
        <v>546</v>
      </c>
      <c r="C132" s="4" t="s">
        <v>1121</v>
      </c>
      <c r="D132" s="3">
        <v>1</v>
      </c>
      <c r="E132" s="3" t="s">
        <v>16</v>
      </c>
      <c r="F132" s="3" t="s">
        <v>293</v>
      </c>
      <c r="G132" s="3" t="s">
        <v>29</v>
      </c>
      <c r="H132" s="3" t="s">
        <v>165</v>
      </c>
    </row>
    <row r="133" spans="1:8" x14ac:dyDescent="0.2">
      <c r="A133" s="3">
        <v>3040326007</v>
      </c>
      <c r="B133" s="4" t="s">
        <v>546</v>
      </c>
      <c r="C133" s="4" t="s">
        <v>1122</v>
      </c>
      <c r="D133" s="3">
        <v>1</v>
      </c>
      <c r="E133" s="3" t="s">
        <v>16</v>
      </c>
      <c r="F133" s="3" t="s">
        <v>293</v>
      </c>
      <c r="G133" s="3" t="s">
        <v>29</v>
      </c>
      <c r="H133" s="3" t="s">
        <v>165</v>
      </c>
    </row>
    <row r="134" spans="1:8" x14ac:dyDescent="0.2">
      <c r="A134" s="3">
        <v>3050306005</v>
      </c>
      <c r="B134" s="4" t="s">
        <v>1123</v>
      </c>
      <c r="C134" s="4" t="s">
        <v>536</v>
      </c>
      <c r="D134" s="3">
        <v>1</v>
      </c>
      <c r="E134" s="3" t="s">
        <v>16</v>
      </c>
      <c r="F134" s="3" t="s">
        <v>291</v>
      </c>
      <c r="G134" s="3" t="s">
        <v>26</v>
      </c>
      <c r="H134" s="3" t="s">
        <v>165</v>
      </c>
    </row>
    <row r="135" spans="1:8" x14ac:dyDescent="0.2">
      <c r="A135" s="3">
        <v>3030314007</v>
      </c>
      <c r="B135" s="4" t="s">
        <v>477</v>
      </c>
      <c r="C135" s="4" t="s">
        <v>478</v>
      </c>
      <c r="D135" s="3">
        <v>1</v>
      </c>
      <c r="E135" s="3" t="s">
        <v>16</v>
      </c>
      <c r="F135" s="3" t="s">
        <v>291</v>
      </c>
      <c r="G135" s="3" t="s">
        <v>26</v>
      </c>
      <c r="H135" s="3" t="s">
        <v>165</v>
      </c>
    </row>
    <row r="136" spans="1:8" x14ac:dyDescent="0.2">
      <c r="A136" s="3">
        <v>3030308013</v>
      </c>
      <c r="B136" s="4" t="s">
        <v>479</v>
      </c>
      <c r="C136" s="4" t="s">
        <v>478</v>
      </c>
      <c r="D136" s="3">
        <v>1</v>
      </c>
      <c r="E136" s="3" t="s">
        <v>16</v>
      </c>
      <c r="F136" s="3" t="s">
        <v>291</v>
      </c>
      <c r="G136" s="3" t="s">
        <v>26</v>
      </c>
      <c r="H136" s="3" t="s">
        <v>165</v>
      </c>
    </row>
    <row r="137" spans="1:8" x14ac:dyDescent="0.2">
      <c r="A137" s="3">
        <v>3050310030</v>
      </c>
      <c r="B137" s="4" t="s">
        <v>480</v>
      </c>
      <c r="C137" s="4" t="s">
        <v>469</v>
      </c>
      <c r="D137" s="3">
        <v>2</v>
      </c>
      <c r="E137" s="3" t="s">
        <v>16</v>
      </c>
      <c r="F137" s="3" t="s">
        <v>291</v>
      </c>
      <c r="G137" s="3" t="s">
        <v>26</v>
      </c>
      <c r="H137" s="3" t="s">
        <v>165</v>
      </c>
    </row>
    <row r="138" spans="1:8" x14ac:dyDescent="0.2">
      <c r="A138" s="3">
        <v>3010106010</v>
      </c>
      <c r="B138" s="4" t="s">
        <v>481</v>
      </c>
      <c r="C138" s="4" t="s">
        <v>482</v>
      </c>
      <c r="D138" s="3">
        <v>0.03</v>
      </c>
      <c r="E138" s="3" t="s">
        <v>10</v>
      </c>
      <c r="F138" s="3" t="s">
        <v>284</v>
      </c>
      <c r="G138" s="3" t="s">
        <v>11</v>
      </c>
      <c r="H138" s="3" t="s">
        <v>483</v>
      </c>
    </row>
    <row r="139" spans="1:8" x14ac:dyDescent="0.2">
      <c r="A139" s="3">
        <v>3060333003</v>
      </c>
      <c r="B139" s="4" t="s">
        <v>227</v>
      </c>
      <c r="C139" s="4" t="s">
        <v>724</v>
      </c>
      <c r="D139" s="3">
        <v>1</v>
      </c>
      <c r="E139" s="3" t="s">
        <v>16</v>
      </c>
      <c r="F139" s="3" t="s">
        <v>289</v>
      </c>
      <c r="G139" s="3" t="s">
        <v>23</v>
      </c>
      <c r="H139" s="3" t="s">
        <v>173</v>
      </c>
    </row>
    <row r="140" spans="1:8" x14ac:dyDescent="0.2">
      <c r="A140" s="3">
        <v>3050305013</v>
      </c>
      <c r="B140" s="4" t="s">
        <v>484</v>
      </c>
      <c r="C140" s="4" t="s">
        <v>485</v>
      </c>
      <c r="D140" s="3">
        <v>1</v>
      </c>
      <c r="E140" s="3" t="s">
        <v>16</v>
      </c>
      <c r="F140" s="3" t="s">
        <v>291</v>
      </c>
      <c r="G140" s="3" t="s">
        <v>26</v>
      </c>
      <c r="H140" s="3" t="s">
        <v>173</v>
      </c>
    </row>
    <row r="141" spans="1:8" x14ac:dyDescent="0.2">
      <c r="A141" s="3">
        <v>3040305002</v>
      </c>
      <c r="B141" s="4" t="s">
        <v>486</v>
      </c>
      <c r="C141" s="4" t="s">
        <v>487</v>
      </c>
      <c r="D141" s="3">
        <v>2</v>
      </c>
      <c r="E141" s="3" t="s">
        <v>16</v>
      </c>
      <c r="F141" s="3" t="s">
        <v>293</v>
      </c>
      <c r="G141" s="3" t="s">
        <v>29</v>
      </c>
      <c r="H141" s="3" t="s">
        <v>173</v>
      </c>
    </row>
    <row r="142" spans="1:8" x14ac:dyDescent="0.2">
      <c r="A142" s="3">
        <v>3040313002</v>
      </c>
      <c r="B142" s="4" t="s">
        <v>488</v>
      </c>
      <c r="C142" s="4" t="s">
        <v>489</v>
      </c>
      <c r="D142" s="3">
        <v>8</v>
      </c>
      <c r="E142" s="3" t="s">
        <v>16</v>
      </c>
      <c r="F142" s="3" t="s">
        <v>293</v>
      </c>
      <c r="G142" s="3" t="s">
        <v>29</v>
      </c>
      <c r="H142" s="3" t="s">
        <v>173</v>
      </c>
    </row>
    <row r="143" spans="1:8" x14ac:dyDescent="0.2">
      <c r="A143" s="3">
        <v>3040321001</v>
      </c>
      <c r="B143" s="4" t="s">
        <v>490</v>
      </c>
      <c r="C143" s="4" t="s">
        <v>347</v>
      </c>
      <c r="D143" s="3">
        <v>8</v>
      </c>
      <c r="E143" s="3" t="s">
        <v>16</v>
      </c>
      <c r="F143" s="3" t="s">
        <v>293</v>
      </c>
      <c r="G143" s="3" t="s">
        <v>29</v>
      </c>
      <c r="H143" s="3" t="s">
        <v>173</v>
      </c>
    </row>
    <row r="144" spans="1:8" x14ac:dyDescent="0.2">
      <c r="A144" s="3">
        <v>3040309001</v>
      </c>
      <c r="B144" s="4" t="s">
        <v>346</v>
      </c>
      <c r="C144" s="4" t="s">
        <v>347</v>
      </c>
      <c r="D144" s="3">
        <v>4</v>
      </c>
      <c r="E144" s="3" t="s">
        <v>16</v>
      </c>
      <c r="F144" s="3" t="s">
        <v>293</v>
      </c>
      <c r="G144" s="3" t="s">
        <v>29</v>
      </c>
      <c r="H144" s="3" t="s">
        <v>173</v>
      </c>
    </row>
    <row r="145" spans="1:8" x14ac:dyDescent="0.2">
      <c r="A145" s="3">
        <v>3070201002</v>
      </c>
      <c r="B145" s="4" t="s">
        <v>348</v>
      </c>
      <c r="C145" s="4" t="s">
        <v>349</v>
      </c>
      <c r="D145" s="3">
        <v>1</v>
      </c>
      <c r="E145" s="3" t="s">
        <v>16</v>
      </c>
      <c r="F145" s="3" t="s">
        <v>317</v>
      </c>
      <c r="G145" s="3" t="s">
        <v>318</v>
      </c>
      <c r="H145" s="3" t="s">
        <v>173</v>
      </c>
    </row>
    <row r="146" spans="1:8" x14ac:dyDescent="0.2">
      <c r="A146" s="3">
        <v>3060340001</v>
      </c>
      <c r="B146" s="4" t="s">
        <v>725</v>
      </c>
      <c r="C146" s="4" t="s">
        <v>726</v>
      </c>
      <c r="D146" s="3">
        <v>1</v>
      </c>
      <c r="E146" s="3" t="s">
        <v>16</v>
      </c>
      <c r="F146" s="3" t="s">
        <v>702</v>
      </c>
      <c r="G146" s="3" t="s">
        <v>703</v>
      </c>
      <c r="H146" s="3" t="s">
        <v>173</v>
      </c>
    </row>
    <row r="147" spans="1:8" x14ac:dyDescent="0.2">
      <c r="A147" s="3">
        <v>3050304006</v>
      </c>
      <c r="B147" s="4" t="s">
        <v>181</v>
      </c>
      <c r="C147" s="4" t="s">
        <v>491</v>
      </c>
      <c r="D147" s="3">
        <v>1</v>
      </c>
      <c r="E147" s="3" t="s">
        <v>16</v>
      </c>
      <c r="F147" s="3" t="s">
        <v>291</v>
      </c>
      <c r="G147" s="3" t="s">
        <v>26</v>
      </c>
      <c r="H147" s="3" t="s">
        <v>173</v>
      </c>
    </row>
    <row r="148" spans="1:8" x14ac:dyDescent="0.2">
      <c r="A148" s="3">
        <v>3020501004</v>
      </c>
      <c r="B148" s="4" t="s">
        <v>183</v>
      </c>
      <c r="C148" s="4" t="s">
        <v>761</v>
      </c>
      <c r="D148" s="3">
        <v>1</v>
      </c>
      <c r="E148" s="3" t="s">
        <v>16</v>
      </c>
      <c r="F148" s="3" t="s">
        <v>291</v>
      </c>
      <c r="G148" s="3" t="s">
        <v>26</v>
      </c>
      <c r="H148" s="3" t="s">
        <v>185</v>
      </c>
    </row>
    <row r="149" spans="1:8" x14ac:dyDescent="0.2">
      <c r="A149" s="3">
        <v>3030204003</v>
      </c>
      <c r="B149" s="4" t="s">
        <v>492</v>
      </c>
      <c r="C149" s="4" t="s">
        <v>493</v>
      </c>
      <c r="D149" s="3">
        <v>2</v>
      </c>
      <c r="E149" s="3" t="s">
        <v>16</v>
      </c>
      <c r="F149" s="3" t="s">
        <v>295</v>
      </c>
      <c r="G149" s="3" t="s">
        <v>17</v>
      </c>
      <c r="H149" s="3" t="s">
        <v>494</v>
      </c>
    </row>
    <row r="150" spans="1:8" x14ac:dyDescent="0.2">
      <c r="A150" s="3">
        <v>3990201008</v>
      </c>
      <c r="B150" s="4" t="s">
        <v>186</v>
      </c>
      <c r="C150" s="4" t="s">
        <v>495</v>
      </c>
      <c r="D150" s="3">
        <v>1</v>
      </c>
      <c r="E150" s="3" t="s">
        <v>16</v>
      </c>
      <c r="F150" s="3" t="s">
        <v>295</v>
      </c>
      <c r="G150" s="3" t="s">
        <v>17</v>
      </c>
      <c r="H150" s="3" t="s">
        <v>187</v>
      </c>
    </row>
    <row r="151" spans="1:8" x14ac:dyDescent="0.2">
      <c r="A151" s="3">
        <v>3990202007</v>
      </c>
      <c r="B151" s="4" t="s">
        <v>188</v>
      </c>
      <c r="C151" s="4" t="s">
        <v>495</v>
      </c>
      <c r="D151" s="3">
        <v>1</v>
      </c>
      <c r="E151" s="3" t="s">
        <v>16</v>
      </c>
      <c r="F151" s="3" t="s">
        <v>295</v>
      </c>
      <c r="G151" s="3" t="s">
        <v>17</v>
      </c>
      <c r="H151" s="3" t="s">
        <v>187</v>
      </c>
    </row>
    <row r="152" spans="1:8" x14ac:dyDescent="0.2">
      <c r="A152" s="3">
        <v>3990203002</v>
      </c>
      <c r="B152" s="4" t="s">
        <v>189</v>
      </c>
      <c r="C152" s="4" t="s">
        <v>495</v>
      </c>
      <c r="D152" s="3">
        <v>1</v>
      </c>
      <c r="E152" s="3" t="s">
        <v>16</v>
      </c>
      <c r="F152" s="3" t="s">
        <v>295</v>
      </c>
      <c r="G152" s="3" t="s">
        <v>17</v>
      </c>
      <c r="H152" s="3" t="s">
        <v>187</v>
      </c>
    </row>
    <row r="153" spans="1:8" x14ac:dyDescent="0.2">
      <c r="A153" s="3">
        <v>3060403035</v>
      </c>
      <c r="B153" s="4" t="s">
        <v>957</v>
      </c>
      <c r="C153" s="4" t="s">
        <v>502</v>
      </c>
      <c r="D153" s="3">
        <v>1</v>
      </c>
      <c r="E153" s="3" t="s">
        <v>16</v>
      </c>
      <c r="F153" s="3" t="s">
        <v>295</v>
      </c>
      <c r="G153" s="3" t="s">
        <v>17</v>
      </c>
      <c r="H153" s="3" t="s">
        <v>192</v>
      </c>
    </row>
    <row r="154" spans="1:8" x14ac:dyDescent="0.2">
      <c r="A154" s="3">
        <v>3060403036</v>
      </c>
      <c r="B154" s="4" t="s">
        <v>957</v>
      </c>
      <c r="C154" s="4" t="s">
        <v>501</v>
      </c>
      <c r="D154" s="3">
        <v>1</v>
      </c>
      <c r="E154" s="3" t="s">
        <v>16</v>
      </c>
      <c r="F154" s="3" t="s">
        <v>295</v>
      </c>
      <c r="G154" s="3" t="s">
        <v>17</v>
      </c>
      <c r="H154" s="3" t="s">
        <v>192</v>
      </c>
    </row>
    <row r="155" spans="1:8" x14ac:dyDescent="0.2">
      <c r="A155" s="3">
        <v>3060401001</v>
      </c>
      <c r="B155" s="4" t="s">
        <v>727</v>
      </c>
      <c r="C155" s="4" t="s">
        <v>728</v>
      </c>
      <c r="D155" s="3">
        <v>2</v>
      </c>
      <c r="E155" s="3" t="s">
        <v>16</v>
      </c>
      <c r="F155" s="3" t="s">
        <v>289</v>
      </c>
      <c r="G155" s="3" t="s">
        <v>23</v>
      </c>
      <c r="H155" s="3" t="s">
        <v>192</v>
      </c>
    </row>
    <row r="156" spans="1:8" x14ac:dyDescent="0.2">
      <c r="A156" s="3">
        <v>3030402006</v>
      </c>
      <c r="B156" s="4" t="s">
        <v>498</v>
      </c>
      <c r="C156" s="4" t="s">
        <v>1124</v>
      </c>
      <c r="D156" s="3">
        <v>1</v>
      </c>
      <c r="E156" s="3" t="s">
        <v>16</v>
      </c>
      <c r="F156" s="3" t="s">
        <v>295</v>
      </c>
      <c r="G156" s="3" t="s">
        <v>17</v>
      </c>
      <c r="H156" s="3" t="s">
        <v>192</v>
      </c>
    </row>
    <row r="157" spans="1:8" x14ac:dyDescent="0.2">
      <c r="A157" s="3">
        <v>3040312014</v>
      </c>
      <c r="B157" s="4" t="s">
        <v>263</v>
      </c>
      <c r="C157" s="4" t="s">
        <v>1125</v>
      </c>
      <c r="D157" s="3">
        <v>2</v>
      </c>
      <c r="E157" s="3" t="s">
        <v>16</v>
      </c>
      <c r="F157" s="3" t="s">
        <v>293</v>
      </c>
      <c r="G157" s="3" t="s">
        <v>29</v>
      </c>
      <c r="H157" s="3" t="s">
        <v>192</v>
      </c>
    </row>
    <row r="158" spans="1:8" x14ac:dyDescent="0.2">
      <c r="A158" s="3">
        <v>3040402005</v>
      </c>
      <c r="B158" s="4" t="s">
        <v>500</v>
      </c>
      <c r="C158" s="4" t="s">
        <v>501</v>
      </c>
      <c r="D158" s="3">
        <v>1</v>
      </c>
      <c r="E158" s="3" t="s">
        <v>16</v>
      </c>
      <c r="F158" s="3" t="s">
        <v>293</v>
      </c>
      <c r="G158" s="3" t="s">
        <v>29</v>
      </c>
      <c r="H158" s="3" t="s">
        <v>192</v>
      </c>
    </row>
    <row r="159" spans="1:8" x14ac:dyDescent="0.2">
      <c r="A159" s="3">
        <v>3040402006</v>
      </c>
      <c r="B159" s="4" t="s">
        <v>500</v>
      </c>
      <c r="C159" s="4" t="s">
        <v>502</v>
      </c>
      <c r="D159" s="3">
        <v>1</v>
      </c>
      <c r="E159" s="3" t="s">
        <v>16</v>
      </c>
      <c r="F159" s="3" t="s">
        <v>293</v>
      </c>
      <c r="G159" s="3" t="s">
        <v>29</v>
      </c>
      <c r="H159" s="3" t="s">
        <v>192</v>
      </c>
    </row>
    <row r="160" spans="1:8" x14ac:dyDescent="0.2">
      <c r="A160" s="3">
        <v>3050402030</v>
      </c>
      <c r="B160" s="4" t="s">
        <v>818</v>
      </c>
      <c r="C160" s="4" t="s">
        <v>819</v>
      </c>
      <c r="D160" s="3">
        <v>1</v>
      </c>
      <c r="E160" s="3" t="s">
        <v>16</v>
      </c>
      <c r="F160" s="3" t="s">
        <v>794</v>
      </c>
      <c r="G160" s="3" t="s">
        <v>795</v>
      </c>
      <c r="H160" s="3" t="s">
        <v>192</v>
      </c>
    </row>
    <row r="161" spans="1:8" x14ac:dyDescent="0.2">
      <c r="A161" s="3">
        <v>3050401029</v>
      </c>
      <c r="B161" s="4" t="s">
        <v>820</v>
      </c>
      <c r="C161" s="4" t="s">
        <v>821</v>
      </c>
      <c r="D161" s="3">
        <v>1</v>
      </c>
      <c r="E161" s="3" t="s">
        <v>16</v>
      </c>
      <c r="F161" s="3" t="s">
        <v>794</v>
      </c>
      <c r="G161" s="3" t="s">
        <v>795</v>
      </c>
      <c r="H161" s="3" t="s">
        <v>192</v>
      </c>
    </row>
    <row r="162" spans="1:8" x14ac:dyDescent="0.2">
      <c r="A162" s="3">
        <v>3050401030</v>
      </c>
      <c r="B162" s="4" t="s">
        <v>820</v>
      </c>
      <c r="C162" s="4" t="s">
        <v>822</v>
      </c>
      <c r="D162" s="3">
        <v>1</v>
      </c>
      <c r="E162" s="3" t="s">
        <v>16</v>
      </c>
      <c r="F162" s="3" t="s">
        <v>794</v>
      </c>
      <c r="G162" s="3" t="s">
        <v>795</v>
      </c>
      <c r="H162" s="3" t="s">
        <v>192</v>
      </c>
    </row>
    <row r="163" spans="1:8" x14ac:dyDescent="0.2">
      <c r="A163" s="3">
        <v>3070205007</v>
      </c>
      <c r="B163" s="4" t="s">
        <v>372</v>
      </c>
      <c r="C163" s="4" t="s">
        <v>1126</v>
      </c>
      <c r="D163" s="3">
        <v>1</v>
      </c>
      <c r="E163" s="3" t="s">
        <v>16</v>
      </c>
      <c r="F163" s="3" t="s">
        <v>317</v>
      </c>
      <c r="G163" s="3" t="s">
        <v>318</v>
      </c>
      <c r="H163" s="3" t="s">
        <v>192</v>
      </c>
    </row>
    <row r="164" spans="1:8" x14ac:dyDescent="0.2">
      <c r="A164" s="3">
        <v>3020301004</v>
      </c>
      <c r="B164" s="4" t="s">
        <v>209</v>
      </c>
      <c r="C164" s="4" t="s">
        <v>1090</v>
      </c>
      <c r="D164" s="3">
        <v>1</v>
      </c>
      <c r="E164" s="3" t="s">
        <v>16</v>
      </c>
      <c r="F164" s="3" t="s">
        <v>301</v>
      </c>
      <c r="G164" s="3" t="s">
        <v>32</v>
      </c>
      <c r="H164" s="3" t="s">
        <v>192</v>
      </c>
    </row>
    <row r="165" spans="1:8" x14ac:dyDescent="0.2">
      <c r="A165" s="3">
        <v>3050402002</v>
      </c>
      <c r="B165" s="4" t="s">
        <v>1127</v>
      </c>
      <c r="C165" s="4" t="s">
        <v>1128</v>
      </c>
      <c r="D165" s="3">
        <v>1</v>
      </c>
      <c r="E165" s="3" t="s">
        <v>16</v>
      </c>
      <c r="F165" s="3" t="s">
        <v>295</v>
      </c>
      <c r="G165" s="3" t="s">
        <v>17</v>
      </c>
      <c r="H165" s="3" t="s">
        <v>192</v>
      </c>
    </row>
    <row r="166" spans="1:8" x14ac:dyDescent="0.2">
      <c r="A166" s="3">
        <v>3050401008</v>
      </c>
      <c r="B166" s="4" t="s">
        <v>222</v>
      </c>
      <c r="C166" s="4" t="s">
        <v>1128</v>
      </c>
      <c r="D166" s="3">
        <v>1</v>
      </c>
      <c r="E166" s="3" t="s">
        <v>16</v>
      </c>
      <c r="F166" s="3" t="s">
        <v>291</v>
      </c>
      <c r="G166" s="3" t="s">
        <v>26</v>
      </c>
      <c r="H166" s="3" t="s">
        <v>192</v>
      </c>
    </row>
    <row r="167" spans="1:8" x14ac:dyDescent="0.2">
      <c r="A167" s="3">
        <v>404100035</v>
      </c>
      <c r="B167" s="4" t="s">
        <v>196</v>
      </c>
      <c r="C167" s="4" t="s">
        <v>1104</v>
      </c>
      <c r="D167" s="3">
        <v>1</v>
      </c>
      <c r="E167" s="3" t="s">
        <v>16</v>
      </c>
      <c r="F167" s="3" t="s">
        <v>301</v>
      </c>
      <c r="G167" s="3" t="s">
        <v>32</v>
      </c>
      <c r="H167" s="3" t="s">
        <v>198</v>
      </c>
    </row>
    <row r="168" spans="1:8" x14ac:dyDescent="0.2">
      <c r="A168" s="3">
        <v>404110007</v>
      </c>
      <c r="B168" s="4" t="s">
        <v>504</v>
      </c>
      <c r="C168" s="4" t="s">
        <v>790</v>
      </c>
      <c r="D168" s="3">
        <v>1</v>
      </c>
      <c r="E168" s="3" t="s">
        <v>16</v>
      </c>
      <c r="F168" s="3" t="s">
        <v>301</v>
      </c>
      <c r="G168" s="3" t="s">
        <v>32</v>
      </c>
      <c r="H168" s="3" t="s">
        <v>198</v>
      </c>
    </row>
    <row r="169" spans="1:8" x14ac:dyDescent="0.2">
      <c r="A169" s="3">
        <v>404110009</v>
      </c>
      <c r="B169" s="4" t="s">
        <v>504</v>
      </c>
      <c r="C169" s="4" t="s">
        <v>791</v>
      </c>
      <c r="D169" s="3">
        <v>1</v>
      </c>
      <c r="E169" s="3" t="s">
        <v>16</v>
      </c>
      <c r="F169" s="3" t="s">
        <v>301</v>
      </c>
      <c r="G169" s="3" t="s">
        <v>32</v>
      </c>
      <c r="H169" s="3" t="s">
        <v>198</v>
      </c>
    </row>
    <row r="170" spans="1:8" x14ac:dyDescent="0.2">
      <c r="A170" s="3">
        <v>404110008</v>
      </c>
      <c r="B170" s="4" t="s">
        <v>504</v>
      </c>
      <c r="C170" s="4" t="s">
        <v>505</v>
      </c>
      <c r="D170" s="3">
        <v>2</v>
      </c>
      <c r="E170" s="3" t="s">
        <v>16</v>
      </c>
      <c r="F170" s="3" t="s">
        <v>291</v>
      </c>
      <c r="G170" s="3" t="s">
        <v>26</v>
      </c>
      <c r="H170" s="3" t="s">
        <v>198</v>
      </c>
    </row>
    <row r="171" spans="1:8" x14ac:dyDescent="0.2">
      <c r="A171" s="3">
        <v>403030012</v>
      </c>
      <c r="B171" s="4" t="s">
        <v>366</v>
      </c>
      <c r="C171" s="4" t="s">
        <v>507</v>
      </c>
      <c r="D171" s="3">
        <v>2</v>
      </c>
      <c r="E171" s="3" t="s">
        <v>16</v>
      </c>
      <c r="F171" s="3" t="s">
        <v>291</v>
      </c>
      <c r="G171" s="3" t="s">
        <v>26</v>
      </c>
      <c r="H171" s="3" t="s">
        <v>198</v>
      </c>
    </row>
    <row r="172" spans="1:8" x14ac:dyDescent="0.2">
      <c r="A172" s="3">
        <v>401070022</v>
      </c>
      <c r="B172" s="4" t="s">
        <v>35</v>
      </c>
      <c r="C172" s="4" t="s">
        <v>203</v>
      </c>
      <c r="D172" s="3">
        <v>1</v>
      </c>
      <c r="E172" s="3" t="s">
        <v>16</v>
      </c>
      <c r="F172" s="3" t="s">
        <v>297</v>
      </c>
      <c r="G172" s="3" t="s">
        <v>204</v>
      </c>
      <c r="H172" s="3" t="s">
        <v>198</v>
      </c>
    </row>
    <row r="173" spans="1:8" x14ac:dyDescent="0.2">
      <c r="A173" s="3">
        <v>401070018</v>
      </c>
      <c r="B173" s="4" t="s">
        <v>35</v>
      </c>
      <c r="C173" s="4" t="s">
        <v>202</v>
      </c>
      <c r="D173" s="3">
        <v>1</v>
      </c>
      <c r="E173" s="3" t="s">
        <v>16</v>
      </c>
      <c r="F173" s="3" t="s">
        <v>291</v>
      </c>
      <c r="G173" s="3" t="s">
        <v>26</v>
      </c>
      <c r="H173" s="3" t="s">
        <v>198</v>
      </c>
    </row>
    <row r="174" spans="1:8" x14ac:dyDescent="0.2">
      <c r="A174" s="3">
        <v>401040100</v>
      </c>
      <c r="B174" s="4" t="s">
        <v>35</v>
      </c>
      <c r="C174" s="4" t="s">
        <v>508</v>
      </c>
      <c r="D174" s="3">
        <v>1</v>
      </c>
      <c r="E174" s="3" t="s">
        <v>16</v>
      </c>
      <c r="F174" s="3" t="s">
        <v>291</v>
      </c>
      <c r="G174" s="3" t="s">
        <v>26</v>
      </c>
      <c r="H174" s="3" t="s">
        <v>198</v>
      </c>
    </row>
    <row r="175" spans="1:8" x14ac:dyDescent="0.2">
      <c r="A175" s="3">
        <v>404100003</v>
      </c>
      <c r="B175" s="4" t="s">
        <v>205</v>
      </c>
      <c r="C175" s="4" t="s">
        <v>509</v>
      </c>
      <c r="D175" s="3">
        <v>1</v>
      </c>
      <c r="E175" s="3" t="s">
        <v>16</v>
      </c>
      <c r="F175" s="3" t="s">
        <v>291</v>
      </c>
      <c r="G175" s="3" t="s">
        <v>26</v>
      </c>
      <c r="H175" s="3" t="s">
        <v>198</v>
      </c>
    </row>
    <row r="176" spans="1:8" x14ac:dyDescent="0.2">
      <c r="A176" s="3">
        <v>404100004</v>
      </c>
      <c r="B176" s="4" t="s">
        <v>207</v>
      </c>
      <c r="C176" s="4" t="s">
        <v>510</v>
      </c>
      <c r="D176" s="3">
        <v>1</v>
      </c>
      <c r="E176" s="3" t="s">
        <v>16</v>
      </c>
      <c r="F176" s="3" t="s">
        <v>291</v>
      </c>
      <c r="G176" s="3" t="s">
        <v>26</v>
      </c>
      <c r="H176" s="3" t="s">
        <v>198</v>
      </c>
    </row>
    <row r="177" spans="1:8" x14ac:dyDescent="0.2">
      <c r="A177" s="3">
        <v>3030305007</v>
      </c>
      <c r="B177" s="4" t="s">
        <v>511</v>
      </c>
      <c r="C177" s="4" t="s">
        <v>512</v>
      </c>
      <c r="D177" s="3">
        <v>1</v>
      </c>
      <c r="E177" s="3" t="s">
        <v>16</v>
      </c>
      <c r="F177" s="3" t="s">
        <v>295</v>
      </c>
      <c r="G177" s="3" t="s">
        <v>17</v>
      </c>
      <c r="H177" s="3" t="s">
        <v>211</v>
      </c>
    </row>
    <row r="178" spans="1:8" x14ac:dyDescent="0.2">
      <c r="A178" s="3">
        <v>3030305006</v>
      </c>
      <c r="B178" s="4" t="s">
        <v>513</v>
      </c>
      <c r="C178" s="4" t="s">
        <v>512</v>
      </c>
      <c r="D178" s="3">
        <v>1</v>
      </c>
      <c r="E178" s="3" t="s">
        <v>16</v>
      </c>
      <c r="F178" s="3" t="s">
        <v>295</v>
      </c>
      <c r="G178" s="3" t="s">
        <v>17</v>
      </c>
      <c r="H178" s="3" t="s">
        <v>211</v>
      </c>
    </row>
    <row r="179" spans="1:8" x14ac:dyDescent="0.2">
      <c r="A179" s="3">
        <v>3069904001</v>
      </c>
      <c r="B179" s="4" t="s">
        <v>514</v>
      </c>
      <c r="C179" s="4" t="s">
        <v>355</v>
      </c>
      <c r="D179" s="3">
        <v>4</v>
      </c>
      <c r="E179" s="3" t="s">
        <v>16</v>
      </c>
      <c r="F179" s="3" t="s">
        <v>295</v>
      </c>
      <c r="G179" s="3" t="s">
        <v>17</v>
      </c>
      <c r="H179" s="3" t="s">
        <v>214</v>
      </c>
    </row>
    <row r="180" spans="1:8" x14ac:dyDescent="0.2">
      <c r="A180" s="3">
        <v>3030201003</v>
      </c>
      <c r="B180" s="4" t="s">
        <v>515</v>
      </c>
      <c r="C180" s="4" t="s">
        <v>516</v>
      </c>
      <c r="D180" s="3">
        <v>1</v>
      </c>
      <c r="E180" s="3" t="s">
        <v>16</v>
      </c>
      <c r="F180" s="3" t="s">
        <v>295</v>
      </c>
      <c r="G180" s="3" t="s">
        <v>17</v>
      </c>
      <c r="H180" s="3" t="s">
        <v>214</v>
      </c>
    </row>
    <row r="181" spans="1:8" x14ac:dyDescent="0.2">
      <c r="A181" s="3">
        <v>3049903001</v>
      </c>
      <c r="B181" s="4" t="s">
        <v>517</v>
      </c>
      <c r="C181" s="4" t="s">
        <v>355</v>
      </c>
      <c r="D181" s="3">
        <v>2</v>
      </c>
      <c r="E181" s="3" t="s">
        <v>16</v>
      </c>
      <c r="F181" s="3" t="s">
        <v>293</v>
      </c>
      <c r="G181" s="3" t="s">
        <v>29</v>
      </c>
      <c r="H181" s="3" t="s">
        <v>214</v>
      </c>
    </row>
    <row r="182" spans="1:8" x14ac:dyDescent="0.2">
      <c r="A182" s="3">
        <v>3049904001</v>
      </c>
      <c r="B182" s="4" t="s">
        <v>354</v>
      </c>
      <c r="C182" s="4" t="s">
        <v>355</v>
      </c>
      <c r="D182" s="3">
        <v>4</v>
      </c>
      <c r="E182" s="3" t="s">
        <v>16</v>
      </c>
      <c r="F182" s="3" t="s">
        <v>293</v>
      </c>
      <c r="G182" s="3" t="s">
        <v>29</v>
      </c>
      <c r="H182" s="3" t="s">
        <v>214</v>
      </c>
    </row>
    <row r="183" spans="1:8" x14ac:dyDescent="0.2">
      <c r="A183" s="3">
        <v>3049902001</v>
      </c>
      <c r="B183" s="4" t="s">
        <v>518</v>
      </c>
      <c r="C183" s="4" t="s">
        <v>355</v>
      </c>
      <c r="D183" s="3">
        <v>2</v>
      </c>
      <c r="E183" s="3" t="s">
        <v>16</v>
      </c>
      <c r="F183" s="3" t="s">
        <v>293</v>
      </c>
      <c r="G183" s="3" t="s">
        <v>29</v>
      </c>
      <c r="H183" s="3" t="s">
        <v>214</v>
      </c>
    </row>
    <row r="184" spans="1:8" x14ac:dyDescent="0.2">
      <c r="A184" s="3">
        <v>3050206010</v>
      </c>
      <c r="B184" s="4" t="s">
        <v>823</v>
      </c>
      <c r="C184" s="4" t="s">
        <v>824</v>
      </c>
      <c r="D184" s="3">
        <v>2</v>
      </c>
      <c r="E184" s="3" t="s">
        <v>16</v>
      </c>
      <c r="F184" s="3" t="s">
        <v>794</v>
      </c>
      <c r="G184" s="3" t="s">
        <v>795</v>
      </c>
      <c r="H184" s="3" t="s">
        <v>214</v>
      </c>
    </row>
    <row r="185" spans="1:8" x14ac:dyDescent="0.2">
      <c r="A185" s="3">
        <v>3050206012</v>
      </c>
      <c r="B185" s="4" t="s">
        <v>825</v>
      </c>
      <c r="C185" s="4" t="s">
        <v>826</v>
      </c>
      <c r="D185" s="3">
        <v>2</v>
      </c>
      <c r="E185" s="3" t="s">
        <v>16</v>
      </c>
      <c r="F185" s="3" t="s">
        <v>794</v>
      </c>
      <c r="G185" s="3" t="s">
        <v>795</v>
      </c>
      <c r="H185" s="3" t="s">
        <v>214</v>
      </c>
    </row>
    <row r="186" spans="1:8" x14ac:dyDescent="0.2">
      <c r="A186" s="3">
        <v>3070105007</v>
      </c>
      <c r="B186" s="4" t="s">
        <v>360</v>
      </c>
      <c r="C186" s="4" t="s">
        <v>361</v>
      </c>
      <c r="D186" s="3">
        <v>1</v>
      </c>
      <c r="E186" s="3" t="s">
        <v>16</v>
      </c>
      <c r="F186" s="3" t="s">
        <v>317</v>
      </c>
      <c r="G186" s="3" t="s">
        <v>318</v>
      </c>
      <c r="H186" s="3" t="s">
        <v>214</v>
      </c>
    </row>
    <row r="187" spans="1:8" x14ac:dyDescent="0.2">
      <c r="A187" s="3">
        <v>3070105008</v>
      </c>
      <c r="B187" s="4" t="s">
        <v>362</v>
      </c>
      <c r="C187" s="4" t="s">
        <v>361</v>
      </c>
      <c r="D187" s="3">
        <v>1</v>
      </c>
      <c r="E187" s="3" t="s">
        <v>16</v>
      </c>
      <c r="F187" s="3" t="s">
        <v>317</v>
      </c>
      <c r="G187" s="3" t="s">
        <v>318</v>
      </c>
      <c r="H187" s="3" t="s">
        <v>214</v>
      </c>
    </row>
    <row r="188" spans="1:8" x14ac:dyDescent="0.2">
      <c r="A188" s="3">
        <v>3050204001</v>
      </c>
      <c r="B188" s="4" t="s">
        <v>519</v>
      </c>
      <c r="C188" s="4" t="s">
        <v>355</v>
      </c>
      <c r="D188" s="3">
        <v>2</v>
      </c>
      <c r="E188" s="3" t="s">
        <v>16</v>
      </c>
      <c r="F188" s="3" t="s">
        <v>291</v>
      </c>
      <c r="G188" s="3" t="s">
        <v>26</v>
      </c>
      <c r="H188" s="3" t="s">
        <v>214</v>
      </c>
    </row>
    <row r="189" spans="1:8" x14ac:dyDescent="0.2">
      <c r="A189" s="3">
        <v>3050204002</v>
      </c>
      <c r="B189" s="4" t="s">
        <v>520</v>
      </c>
      <c r="C189" s="4" t="s">
        <v>355</v>
      </c>
      <c r="D189" s="3">
        <v>2</v>
      </c>
      <c r="E189" s="3" t="s">
        <v>16</v>
      </c>
      <c r="F189" s="3" t="s">
        <v>291</v>
      </c>
      <c r="G189" s="3" t="s">
        <v>26</v>
      </c>
      <c r="H189" s="3" t="s">
        <v>214</v>
      </c>
    </row>
    <row r="190" spans="1:8" x14ac:dyDescent="0.2">
      <c r="A190" s="3">
        <v>3040324003</v>
      </c>
      <c r="B190" s="4" t="s">
        <v>570</v>
      </c>
      <c r="C190" s="4" t="s">
        <v>1128</v>
      </c>
      <c r="D190" s="3">
        <v>2</v>
      </c>
      <c r="E190" s="3" t="s">
        <v>16</v>
      </c>
      <c r="F190" s="3" t="s">
        <v>293</v>
      </c>
      <c r="G190" s="3" t="s">
        <v>29</v>
      </c>
      <c r="H190" s="3" t="s">
        <v>221</v>
      </c>
    </row>
    <row r="191" spans="1:8" x14ac:dyDescent="0.2">
      <c r="A191" s="3">
        <v>3070209003</v>
      </c>
      <c r="B191" s="4" t="s">
        <v>1129</v>
      </c>
      <c r="C191" s="4" t="s">
        <v>1130</v>
      </c>
      <c r="D191" s="3">
        <v>1</v>
      </c>
      <c r="E191" s="3" t="s">
        <v>16</v>
      </c>
      <c r="F191" s="3" t="s">
        <v>317</v>
      </c>
      <c r="G191" s="3" t="s">
        <v>318</v>
      </c>
      <c r="H191" s="3" t="s">
        <v>221</v>
      </c>
    </row>
    <row r="192" spans="1:8" x14ac:dyDescent="0.2">
      <c r="A192" s="3">
        <v>403030005</v>
      </c>
      <c r="B192" s="4" t="s">
        <v>366</v>
      </c>
      <c r="C192" s="4" t="s">
        <v>368</v>
      </c>
      <c r="D192" s="3">
        <v>2</v>
      </c>
      <c r="E192" s="3" t="s">
        <v>16</v>
      </c>
      <c r="F192" s="3" t="s">
        <v>301</v>
      </c>
      <c r="G192" s="3" t="s">
        <v>32</v>
      </c>
      <c r="H192" s="3" t="s">
        <v>221</v>
      </c>
    </row>
    <row r="193" spans="1:8" x14ac:dyDescent="0.2">
      <c r="A193" s="3">
        <v>403030051</v>
      </c>
      <c r="B193" s="4" t="s">
        <v>366</v>
      </c>
      <c r="C193" s="4" t="s">
        <v>367</v>
      </c>
      <c r="D193" s="3">
        <v>3</v>
      </c>
      <c r="E193" s="3" t="s">
        <v>16</v>
      </c>
      <c r="F193" s="3" t="s">
        <v>301</v>
      </c>
      <c r="G193" s="3" t="s">
        <v>32</v>
      </c>
      <c r="H193" s="3" t="s">
        <v>221</v>
      </c>
    </row>
    <row r="194" spans="1:8" x14ac:dyDescent="0.2">
      <c r="A194" s="3">
        <v>40706005</v>
      </c>
      <c r="B194" s="4" t="s">
        <v>1137</v>
      </c>
      <c r="C194" s="4" t="s">
        <v>1138</v>
      </c>
      <c r="D194" s="3">
        <v>1</v>
      </c>
      <c r="E194" s="3" t="s">
        <v>16</v>
      </c>
      <c r="F194" s="3" t="s">
        <v>291</v>
      </c>
      <c r="G194" s="3" t="s">
        <v>26</v>
      </c>
      <c r="H194" s="3" t="s">
        <v>524</v>
      </c>
    </row>
    <row r="195" spans="1:8" x14ac:dyDescent="0.2">
      <c r="A195" s="3">
        <v>402050001</v>
      </c>
      <c r="B195" s="4" t="s">
        <v>522</v>
      </c>
      <c r="C195" s="4" t="s">
        <v>523</v>
      </c>
      <c r="D195" s="3">
        <v>1</v>
      </c>
      <c r="E195" s="3" t="s">
        <v>16</v>
      </c>
      <c r="F195" s="3" t="s">
        <v>794</v>
      </c>
      <c r="G195" s="3" t="s">
        <v>795</v>
      </c>
      <c r="H195" s="3" t="s">
        <v>524</v>
      </c>
    </row>
    <row r="196" spans="1:8" x14ac:dyDescent="0.2">
      <c r="A196" s="3">
        <v>408990055</v>
      </c>
      <c r="B196" s="4" t="s">
        <v>1131</v>
      </c>
      <c r="C196" s="4" t="s">
        <v>1132</v>
      </c>
      <c r="D196" s="3">
        <v>1</v>
      </c>
      <c r="E196" s="3" t="s">
        <v>16</v>
      </c>
      <c r="F196" s="3" t="s">
        <v>291</v>
      </c>
      <c r="G196" s="3" t="s">
        <v>26</v>
      </c>
      <c r="H196" s="3" t="s">
        <v>524</v>
      </c>
    </row>
    <row r="197" spans="1:8" x14ac:dyDescent="0.2">
      <c r="A197" s="3">
        <v>407010062</v>
      </c>
      <c r="B197" s="4" t="s">
        <v>149</v>
      </c>
      <c r="C197" s="4" t="s">
        <v>1133</v>
      </c>
      <c r="D197" s="3">
        <v>1</v>
      </c>
      <c r="E197" s="3" t="s">
        <v>16</v>
      </c>
      <c r="F197" s="3" t="s">
        <v>291</v>
      </c>
      <c r="G197" s="3" t="s">
        <v>26</v>
      </c>
      <c r="H197" s="3" t="s">
        <v>524</v>
      </c>
    </row>
    <row r="198" spans="1:8" x14ac:dyDescent="0.2">
      <c r="A198" s="3">
        <v>3050305016</v>
      </c>
      <c r="B198" s="4" t="s">
        <v>527</v>
      </c>
      <c r="C198" s="4" t="s">
        <v>528</v>
      </c>
      <c r="D198" s="3">
        <v>1</v>
      </c>
      <c r="E198" s="3" t="s">
        <v>16</v>
      </c>
      <c r="F198" s="3" t="s">
        <v>291</v>
      </c>
      <c r="G198" s="3" t="s">
        <v>26</v>
      </c>
      <c r="H198" s="3" t="s">
        <v>226</v>
      </c>
    </row>
    <row r="199" spans="1:8" x14ac:dyDescent="0.2">
      <c r="A199" s="3">
        <v>3050305015</v>
      </c>
      <c r="B199" s="4" t="s">
        <v>529</v>
      </c>
      <c r="C199" s="4" t="s">
        <v>530</v>
      </c>
      <c r="D199" s="3">
        <v>1</v>
      </c>
      <c r="E199" s="3" t="s">
        <v>16</v>
      </c>
      <c r="F199" s="3" t="s">
        <v>291</v>
      </c>
      <c r="G199" s="3" t="s">
        <v>26</v>
      </c>
      <c r="H199" s="3" t="s">
        <v>226</v>
      </c>
    </row>
    <row r="200" spans="1:8" x14ac:dyDescent="0.2">
      <c r="A200" s="3">
        <v>3030309020</v>
      </c>
      <c r="B200" s="4" t="s">
        <v>531</v>
      </c>
      <c r="C200" s="4" t="s">
        <v>532</v>
      </c>
      <c r="D200" s="3">
        <v>1</v>
      </c>
      <c r="E200" s="3" t="s">
        <v>16</v>
      </c>
      <c r="F200" s="3" t="s">
        <v>291</v>
      </c>
      <c r="G200" s="3" t="s">
        <v>26</v>
      </c>
      <c r="H200" s="3" t="s">
        <v>226</v>
      </c>
    </row>
    <row r="201" spans="1:8" x14ac:dyDescent="0.2">
      <c r="A201" s="3">
        <v>3030302002</v>
      </c>
      <c r="B201" s="4" t="s">
        <v>533</v>
      </c>
      <c r="C201" s="4" t="s">
        <v>534</v>
      </c>
      <c r="D201" s="3">
        <v>1</v>
      </c>
      <c r="E201" s="3" t="s">
        <v>16</v>
      </c>
      <c r="F201" s="3" t="s">
        <v>295</v>
      </c>
      <c r="G201" s="3" t="s">
        <v>17</v>
      </c>
      <c r="H201" s="3" t="s">
        <v>226</v>
      </c>
    </row>
    <row r="202" spans="1:8" x14ac:dyDescent="0.2">
      <c r="A202" s="3">
        <v>3030306012</v>
      </c>
      <c r="B202" s="4" t="s">
        <v>535</v>
      </c>
      <c r="C202" s="4" t="s">
        <v>536</v>
      </c>
      <c r="D202" s="3">
        <v>1</v>
      </c>
      <c r="E202" s="3" t="s">
        <v>16</v>
      </c>
      <c r="F202" s="3" t="s">
        <v>295</v>
      </c>
      <c r="G202" s="3" t="s">
        <v>17</v>
      </c>
      <c r="H202" s="3" t="s">
        <v>226</v>
      </c>
    </row>
    <row r="203" spans="1:8" x14ac:dyDescent="0.2">
      <c r="A203" s="3">
        <v>3030306011</v>
      </c>
      <c r="B203" s="4" t="s">
        <v>537</v>
      </c>
      <c r="C203" s="4" t="s">
        <v>536</v>
      </c>
      <c r="D203" s="3">
        <v>1</v>
      </c>
      <c r="E203" s="3" t="s">
        <v>16</v>
      </c>
      <c r="F203" s="3" t="s">
        <v>295</v>
      </c>
      <c r="G203" s="3" t="s">
        <v>17</v>
      </c>
      <c r="H203" s="3" t="s">
        <v>226</v>
      </c>
    </row>
    <row r="204" spans="1:8" x14ac:dyDescent="0.2">
      <c r="A204" s="3">
        <v>3030303002</v>
      </c>
      <c r="B204" s="4" t="s">
        <v>175</v>
      </c>
      <c r="C204" s="4" t="s">
        <v>538</v>
      </c>
      <c r="D204" s="3">
        <v>1</v>
      </c>
      <c r="E204" s="3" t="s">
        <v>16</v>
      </c>
      <c r="F204" s="3" t="s">
        <v>295</v>
      </c>
      <c r="G204" s="3" t="s">
        <v>17</v>
      </c>
      <c r="H204" s="3" t="s">
        <v>226</v>
      </c>
    </row>
    <row r="205" spans="1:8" x14ac:dyDescent="0.2">
      <c r="A205" s="3">
        <v>3030303017</v>
      </c>
      <c r="B205" s="4" t="s">
        <v>539</v>
      </c>
      <c r="C205" s="4" t="s">
        <v>540</v>
      </c>
      <c r="D205" s="3">
        <v>1</v>
      </c>
      <c r="E205" s="3" t="s">
        <v>16</v>
      </c>
      <c r="F205" s="3" t="s">
        <v>295</v>
      </c>
      <c r="G205" s="3" t="s">
        <v>17</v>
      </c>
      <c r="H205" s="3" t="s">
        <v>226</v>
      </c>
    </row>
    <row r="206" spans="1:8" x14ac:dyDescent="0.2">
      <c r="A206" s="3">
        <v>3040320010</v>
      </c>
      <c r="B206" s="4" t="s">
        <v>269</v>
      </c>
      <c r="C206" s="4" t="s">
        <v>542</v>
      </c>
      <c r="D206" s="3">
        <v>1</v>
      </c>
      <c r="E206" s="3" t="s">
        <v>16</v>
      </c>
      <c r="F206" s="3" t="s">
        <v>293</v>
      </c>
      <c r="G206" s="3" t="s">
        <v>29</v>
      </c>
      <c r="H206" s="3" t="s">
        <v>226</v>
      </c>
    </row>
    <row r="207" spans="1:8" x14ac:dyDescent="0.2">
      <c r="A207" s="3">
        <v>3040320011</v>
      </c>
      <c r="B207" s="4" t="s">
        <v>269</v>
      </c>
      <c r="C207" s="4" t="s">
        <v>543</v>
      </c>
      <c r="D207" s="3">
        <v>1</v>
      </c>
      <c r="E207" s="3" t="s">
        <v>16</v>
      </c>
      <c r="F207" s="3" t="s">
        <v>293</v>
      </c>
      <c r="G207" s="3" t="s">
        <v>29</v>
      </c>
      <c r="H207" s="3" t="s">
        <v>226</v>
      </c>
    </row>
    <row r="208" spans="1:8" x14ac:dyDescent="0.2">
      <c r="A208" s="3">
        <v>3030313003</v>
      </c>
      <c r="B208" s="4" t="s">
        <v>217</v>
      </c>
      <c r="C208" s="4" t="s">
        <v>544</v>
      </c>
      <c r="D208" s="3">
        <v>8</v>
      </c>
      <c r="E208" s="3" t="s">
        <v>16</v>
      </c>
      <c r="F208" s="3" t="s">
        <v>291</v>
      </c>
      <c r="G208" s="3" t="s">
        <v>26</v>
      </c>
      <c r="H208" s="3" t="s">
        <v>226</v>
      </c>
    </row>
    <row r="209" spans="1:8" x14ac:dyDescent="0.2">
      <c r="A209" s="3">
        <v>3020101004</v>
      </c>
      <c r="B209" s="4" t="s">
        <v>239</v>
      </c>
      <c r="C209" s="4" t="s">
        <v>1098</v>
      </c>
      <c r="D209" s="3">
        <v>5</v>
      </c>
      <c r="E209" s="3" t="s">
        <v>16</v>
      </c>
      <c r="F209" s="3" t="s">
        <v>297</v>
      </c>
      <c r="G209" s="3" t="s">
        <v>204</v>
      </c>
      <c r="H209" s="3" t="s">
        <v>226</v>
      </c>
    </row>
    <row r="210" spans="1:8" x14ac:dyDescent="0.2">
      <c r="A210" s="3">
        <v>3050304011</v>
      </c>
      <c r="B210" s="4" t="s">
        <v>827</v>
      </c>
      <c r="C210" s="4" t="s">
        <v>815</v>
      </c>
      <c r="D210" s="3">
        <v>1</v>
      </c>
      <c r="E210" s="3" t="s">
        <v>16</v>
      </c>
      <c r="F210" s="3" t="s">
        <v>794</v>
      </c>
      <c r="G210" s="3" t="s">
        <v>795</v>
      </c>
      <c r="H210" s="3" t="s">
        <v>226</v>
      </c>
    </row>
    <row r="211" spans="1:8" x14ac:dyDescent="0.2">
      <c r="A211" s="3">
        <v>3050303012</v>
      </c>
      <c r="B211" s="4" t="s">
        <v>828</v>
      </c>
      <c r="C211" s="4" t="s">
        <v>829</v>
      </c>
      <c r="D211" s="3">
        <v>1</v>
      </c>
      <c r="E211" s="3" t="s">
        <v>16</v>
      </c>
      <c r="F211" s="3" t="s">
        <v>794</v>
      </c>
      <c r="G211" s="3" t="s">
        <v>795</v>
      </c>
      <c r="H211" s="3" t="s">
        <v>226</v>
      </c>
    </row>
    <row r="212" spans="1:8" x14ac:dyDescent="0.2">
      <c r="A212" s="3">
        <v>3050403014</v>
      </c>
      <c r="B212" s="4" t="s">
        <v>830</v>
      </c>
      <c r="C212" s="4" t="s">
        <v>831</v>
      </c>
      <c r="D212" s="3">
        <v>1</v>
      </c>
      <c r="E212" s="3" t="s">
        <v>16</v>
      </c>
      <c r="F212" s="3" t="s">
        <v>794</v>
      </c>
      <c r="G212" s="3" t="s">
        <v>795</v>
      </c>
      <c r="H212" s="3" t="s">
        <v>226</v>
      </c>
    </row>
    <row r="213" spans="1:8" x14ac:dyDescent="0.2">
      <c r="A213" s="3">
        <v>3050403015</v>
      </c>
      <c r="B213" s="4" t="s">
        <v>830</v>
      </c>
      <c r="C213" s="4" t="s">
        <v>832</v>
      </c>
      <c r="D213" s="3">
        <v>1</v>
      </c>
      <c r="E213" s="3" t="s">
        <v>16</v>
      </c>
      <c r="F213" s="3" t="s">
        <v>794</v>
      </c>
      <c r="G213" s="3" t="s">
        <v>795</v>
      </c>
      <c r="H213" s="3" t="s">
        <v>226</v>
      </c>
    </row>
    <row r="214" spans="1:8" x14ac:dyDescent="0.2">
      <c r="A214" s="3">
        <v>3050310001</v>
      </c>
      <c r="B214" s="4" t="s">
        <v>833</v>
      </c>
      <c r="C214" s="4" t="s">
        <v>834</v>
      </c>
      <c r="D214" s="3">
        <v>1</v>
      </c>
      <c r="E214" s="3" t="s">
        <v>16</v>
      </c>
      <c r="F214" s="3" t="s">
        <v>794</v>
      </c>
      <c r="G214" s="3" t="s">
        <v>795</v>
      </c>
      <c r="H214" s="3" t="s">
        <v>226</v>
      </c>
    </row>
    <row r="215" spans="1:8" x14ac:dyDescent="0.2">
      <c r="A215" s="3">
        <v>3050310002</v>
      </c>
      <c r="B215" s="4" t="s">
        <v>833</v>
      </c>
      <c r="C215" s="4" t="s">
        <v>835</v>
      </c>
      <c r="D215" s="3">
        <v>1</v>
      </c>
      <c r="E215" s="3" t="s">
        <v>16</v>
      </c>
      <c r="F215" s="3" t="s">
        <v>794</v>
      </c>
      <c r="G215" s="3" t="s">
        <v>795</v>
      </c>
      <c r="H215" s="3" t="s">
        <v>226</v>
      </c>
    </row>
    <row r="216" spans="1:8" x14ac:dyDescent="0.2">
      <c r="A216" s="3">
        <v>3070212001</v>
      </c>
      <c r="B216" s="4" t="s">
        <v>377</v>
      </c>
      <c r="C216" s="4" t="s">
        <v>378</v>
      </c>
      <c r="D216" s="3">
        <v>1</v>
      </c>
      <c r="E216" s="3" t="s">
        <v>16</v>
      </c>
      <c r="F216" s="3" t="s">
        <v>317</v>
      </c>
      <c r="G216" s="3" t="s">
        <v>318</v>
      </c>
      <c r="H216" s="3" t="s">
        <v>226</v>
      </c>
    </row>
    <row r="217" spans="1:8" x14ac:dyDescent="0.2">
      <c r="A217" s="3">
        <v>3070210001</v>
      </c>
      <c r="B217" s="4" t="s">
        <v>379</v>
      </c>
      <c r="C217" s="4" t="s">
        <v>280</v>
      </c>
      <c r="D217" s="3">
        <v>1</v>
      </c>
      <c r="E217" s="3" t="s">
        <v>16</v>
      </c>
      <c r="F217" s="3" t="s">
        <v>317</v>
      </c>
      <c r="G217" s="3" t="s">
        <v>318</v>
      </c>
      <c r="H217" s="3" t="s">
        <v>226</v>
      </c>
    </row>
    <row r="218" spans="1:8" x14ac:dyDescent="0.2">
      <c r="A218" s="3">
        <v>3050305019</v>
      </c>
      <c r="B218" s="4" t="s">
        <v>549</v>
      </c>
      <c r="C218" s="4" t="s">
        <v>530</v>
      </c>
      <c r="D218" s="3">
        <v>1</v>
      </c>
      <c r="E218" s="3" t="s">
        <v>16</v>
      </c>
      <c r="F218" s="3" t="s">
        <v>291</v>
      </c>
      <c r="G218" s="3" t="s">
        <v>26</v>
      </c>
      <c r="H218" s="3" t="s">
        <v>226</v>
      </c>
    </row>
    <row r="219" spans="1:8" x14ac:dyDescent="0.2">
      <c r="A219" s="3">
        <v>3080401031</v>
      </c>
      <c r="B219" s="4" t="s">
        <v>41</v>
      </c>
      <c r="C219" s="4" t="s">
        <v>551</v>
      </c>
      <c r="D219" s="3">
        <v>1</v>
      </c>
      <c r="E219" s="3" t="s">
        <v>16</v>
      </c>
      <c r="F219" s="3" t="s">
        <v>291</v>
      </c>
      <c r="G219" s="3" t="s">
        <v>26</v>
      </c>
      <c r="H219" s="3" t="s">
        <v>249</v>
      </c>
    </row>
    <row r="220" spans="1:8" x14ac:dyDescent="0.2">
      <c r="A220" s="3">
        <v>3030211001</v>
      </c>
      <c r="B220" s="4" t="s">
        <v>552</v>
      </c>
      <c r="C220" s="4" t="s">
        <v>553</v>
      </c>
      <c r="D220" s="3">
        <v>1</v>
      </c>
      <c r="E220" s="3" t="s">
        <v>16</v>
      </c>
      <c r="F220" s="3" t="s">
        <v>295</v>
      </c>
      <c r="G220" s="3" t="s">
        <v>17</v>
      </c>
      <c r="H220" s="3" t="s">
        <v>249</v>
      </c>
    </row>
    <row r="221" spans="1:8" x14ac:dyDescent="0.2">
      <c r="A221" s="3">
        <v>3030211001</v>
      </c>
      <c r="B221" s="4" t="s">
        <v>552</v>
      </c>
      <c r="C221" s="4" t="s">
        <v>553</v>
      </c>
      <c r="D221" s="3">
        <v>1</v>
      </c>
      <c r="E221" s="3" t="s">
        <v>16</v>
      </c>
      <c r="F221" s="3" t="s">
        <v>291</v>
      </c>
      <c r="G221" s="3" t="s">
        <v>26</v>
      </c>
      <c r="H221" s="3" t="s">
        <v>249</v>
      </c>
    </row>
    <row r="222" spans="1:8" x14ac:dyDescent="0.2">
      <c r="A222" s="3">
        <v>3080309001</v>
      </c>
      <c r="B222" s="4" t="s">
        <v>554</v>
      </c>
      <c r="C222" s="4" t="s">
        <v>555</v>
      </c>
      <c r="D222" s="3">
        <v>1</v>
      </c>
      <c r="E222" s="3" t="s">
        <v>16</v>
      </c>
      <c r="F222" s="3" t="s">
        <v>295</v>
      </c>
      <c r="G222" s="3" t="s">
        <v>17</v>
      </c>
      <c r="H222" s="3" t="s">
        <v>249</v>
      </c>
    </row>
    <row r="223" spans="1:8" x14ac:dyDescent="0.2">
      <c r="A223" s="3">
        <v>3080107268</v>
      </c>
      <c r="B223" s="4" t="s">
        <v>69</v>
      </c>
      <c r="C223" s="4" t="s">
        <v>556</v>
      </c>
      <c r="D223" s="3">
        <v>2</v>
      </c>
      <c r="E223" s="3" t="s">
        <v>16</v>
      </c>
      <c r="F223" s="3" t="s">
        <v>291</v>
      </c>
      <c r="G223" s="3" t="s">
        <v>26</v>
      </c>
      <c r="H223" s="3" t="s">
        <v>249</v>
      </c>
    </row>
    <row r="224" spans="1:8" x14ac:dyDescent="0.2">
      <c r="A224" s="3">
        <v>3080107269</v>
      </c>
      <c r="B224" s="4" t="s">
        <v>69</v>
      </c>
      <c r="C224" s="4" t="s">
        <v>557</v>
      </c>
      <c r="D224" s="3">
        <v>2</v>
      </c>
      <c r="E224" s="3" t="s">
        <v>16</v>
      </c>
      <c r="F224" s="3" t="s">
        <v>291</v>
      </c>
      <c r="G224" s="3" t="s">
        <v>26</v>
      </c>
      <c r="H224" s="3" t="s">
        <v>249</v>
      </c>
    </row>
    <row r="225" spans="1:8" x14ac:dyDescent="0.2">
      <c r="A225" s="3">
        <v>3060335005</v>
      </c>
      <c r="B225" s="4" t="s">
        <v>233</v>
      </c>
      <c r="C225" s="4" t="s">
        <v>734</v>
      </c>
      <c r="D225" s="3">
        <v>1</v>
      </c>
      <c r="E225" s="3" t="s">
        <v>16</v>
      </c>
      <c r="F225" s="3" t="s">
        <v>289</v>
      </c>
      <c r="G225" s="3" t="s">
        <v>23</v>
      </c>
      <c r="H225" s="3" t="s">
        <v>254</v>
      </c>
    </row>
    <row r="226" spans="1:8" x14ac:dyDescent="0.2">
      <c r="A226" s="3">
        <v>3060324001</v>
      </c>
      <c r="B226" s="4" t="s">
        <v>735</v>
      </c>
      <c r="C226" s="4" t="s">
        <v>736</v>
      </c>
      <c r="D226" s="3">
        <v>1</v>
      </c>
      <c r="E226" s="3" t="s">
        <v>16</v>
      </c>
      <c r="F226" s="3" t="s">
        <v>289</v>
      </c>
      <c r="G226" s="3" t="s">
        <v>23</v>
      </c>
      <c r="H226" s="3" t="s">
        <v>254</v>
      </c>
    </row>
    <row r="227" spans="1:8" x14ac:dyDescent="0.2">
      <c r="A227" s="3">
        <v>3030302001</v>
      </c>
      <c r="B227" s="4" t="s">
        <v>558</v>
      </c>
      <c r="C227" s="4" t="s">
        <v>534</v>
      </c>
      <c r="D227" s="3">
        <v>1</v>
      </c>
      <c r="E227" s="3" t="s">
        <v>16</v>
      </c>
      <c r="F227" s="3" t="s">
        <v>295</v>
      </c>
      <c r="G227" s="3" t="s">
        <v>17</v>
      </c>
      <c r="H227" s="3" t="s">
        <v>254</v>
      </c>
    </row>
    <row r="228" spans="1:8" x14ac:dyDescent="0.2">
      <c r="A228" s="3">
        <v>3030306031</v>
      </c>
      <c r="B228" s="4" t="s">
        <v>559</v>
      </c>
      <c r="C228" s="4" t="s">
        <v>560</v>
      </c>
      <c r="D228" s="3">
        <v>1</v>
      </c>
      <c r="E228" s="3" t="s">
        <v>16</v>
      </c>
      <c r="F228" s="3" t="s">
        <v>295</v>
      </c>
      <c r="G228" s="3" t="s">
        <v>17</v>
      </c>
      <c r="H228" s="3" t="s">
        <v>254</v>
      </c>
    </row>
    <row r="229" spans="1:8" x14ac:dyDescent="0.2">
      <c r="A229" s="3">
        <v>3080311002</v>
      </c>
      <c r="B229" s="4" t="s">
        <v>561</v>
      </c>
      <c r="C229" s="4" t="s">
        <v>536</v>
      </c>
      <c r="D229" s="3">
        <v>1</v>
      </c>
      <c r="E229" s="3" t="s">
        <v>16</v>
      </c>
      <c r="F229" s="3" t="s">
        <v>295</v>
      </c>
      <c r="G229" s="3" t="s">
        <v>17</v>
      </c>
      <c r="H229" s="3" t="s">
        <v>254</v>
      </c>
    </row>
    <row r="230" spans="1:8" x14ac:dyDescent="0.2">
      <c r="A230" s="3">
        <v>3030303016</v>
      </c>
      <c r="B230" s="4" t="s">
        <v>562</v>
      </c>
      <c r="C230" s="4" t="s">
        <v>563</v>
      </c>
      <c r="D230" s="3">
        <v>1</v>
      </c>
      <c r="E230" s="3" t="s">
        <v>16</v>
      </c>
      <c r="F230" s="3" t="s">
        <v>295</v>
      </c>
      <c r="G230" s="3" t="s">
        <v>17</v>
      </c>
      <c r="H230" s="3" t="s">
        <v>254</v>
      </c>
    </row>
    <row r="231" spans="1:8" x14ac:dyDescent="0.2">
      <c r="A231" s="3">
        <v>3030303015</v>
      </c>
      <c r="B231" s="4" t="s">
        <v>564</v>
      </c>
      <c r="C231" s="4" t="s">
        <v>563</v>
      </c>
      <c r="D231" s="3">
        <v>1</v>
      </c>
      <c r="E231" s="3" t="s">
        <v>16</v>
      </c>
      <c r="F231" s="3" t="s">
        <v>295</v>
      </c>
      <c r="G231" s="3" t="s">
        <v>17</v>
      </c>
      <c r="H231" s="3" t="s">
        <v>254</v>
      </c>
    </row>
    <row r="232" spans="1:8" x14ac:dyDescent="0.2">
      <c r="A232" s="3">
        <v>3040323001</v>
      </c>
      <c r="B232" s="4" t="s">
        <v>565</v>
      </c>
      <c r="C232" s="4" t="s">
        <v>566</v>
      </c>
      <c r="D232" s="3">
        <v>2</v>
      </c>
      <c r="E232" s="3" t="s">
        <v>16</v>
      </c>
      <c r="F232" s="3" t="s">
        <v>293</v>
      </c>
      <c r="G232" s="3" t="s">
        <v>29</v>
      </c>
      <c r="H232" s="3" t="s">
        <v>254</v>
      </c>
    </row>
    <row r="233" spans="1:8" x14ac:dyDescent="0.2">
      <c r="A233" s="3">
        <v>3040302001</v>
      </c>
      <c r="B233" s="4" t="s">
        <v>567</v>
      </c>
      <c r="C233" s="4" t="s">
        <v>568</v>
      </c>
      <c r="D233" s="3">
        <v>1</v>
      </c>
      <c r="E233" s="3" t="s">
        <v>16</v>
      </c>
      <c r="F233" s="3" t="s">
        <v>293</v>
      </c>
      <c r="G233" s="3" t="s">
        <v>29</v>
      </c>
      <c r="H233" s="3" t="s">
        <v>254</v>
      </c>
    </row>
    <row r="234" spans="1:8" x14ac:dyDescent="0.2">
      <c r="A234" s="3">
        <v>3040302002</v>
      </c>
      <c r="B234" s="4" t="s">
        <v>567</v>
      </c>
      <c r="C234" s="4" t="s">
        <v>569</v>
      </c>
      <c r="D234" s="3">
        <v>1</v>
      </c>
      <c r="E234" s="3" t="s">
        <v>16</v>
      </c>
      <c r="F234" s="3" t="s">
        <v>293</v>
      </c>
      <c r="G234" s="3" t="s">
        <v>29</v>
      </c>
      <c r="H234" s="3" t="s">
        <v>254</v>
      </c>
    </row>
    <row r="235" spans="1:8" x14ac:dyDescent="0.2">
      <c r="A235" s="3">
        <v>3030302008</v>
      </c>
      <c r="B235" s="4" t="s">
        <v>571</v>
      </c>
      <c r="C235" s="4" t="s">
        <v>572</v>
      </c>
      <c r="D235" s="3">
        <v>1</v>
      </c>
      <c r="E235" s="3" t="s">
        <v>16</v>
      </c>
      <c r="F235" s="3" t="s">
        <v>295</v>
      </c>
      <c r="G235" s="3" t="s">
        <v>17</v>
      </c>
      <c r="H235" s="3" t="s">
        <v>254</v>
      </c>
    </row>
    <row r="236" spans="1:8" x14ac:dyDescent="0.2">
      <c r="A236" s="3">
        <v>3030302009</v>
      </c>
      <c r="B236" s="4" t="s">
        <v>571</v>
      </c>
      <c r="C236" s="4" t="s">
        <v>573</v>
      </c>
      <c r="D236" s="3">
        <v>1</v>
      </c>
      <c r="E236" s="3" t="s">
        <v>16</v>
      </c>
      <c r="F236" s="3" t="s">
        <v>295</v>
      </c>
      <c r="G236" s="3" t="s">
        <v>17</v>
      </c>
      <c r="H236" s="3" t="s">
        <v>254</v>
      </c>
    </row>
    <row r="237" spans="1:8" x14ac:dyDescent="0.2">
      <c r="A237" s="3">
        <v>3030302004</v>
      </c>
      <c r="B237" s="4" t="s">
        <v>574</v>
      </c>
      <c r="C237" s="4" t="s">
        <v>575</v>
      </c>
      <c r="D237" s="3">
        <v>1</v>
      </c>
      <c r="E237" s="3" t="s">
        <v>16</v>
      </c>
      <c r="F237" s="3" t="s">
        <v>295</v>
      </c>
      <c r="G237" s="3" t="s">
        <v>17</v>
      </c>
      <c r="H237" s="3" t="s">
        <v>254</v>
      </c>
    </row>
    <row r="238" spans="1:8" x14ac:dyDescent="0.2">
      <c r="A238" s="3">
        <v>3030302006</v>
      </c>
      <c r="B238" s="4" t="s">
        <v>576</v>
      </c>
      <c r="C238" s="4" t="s">
        <v>575</v>
      </c>
      <c r="D238" s="3">
        <v>1</v>
      </c>
      <c r="E238" s="3" t="s">
        <v>16</v>
      </c>
      <c r="F238" s="3" t="s">
        <v>295</v>
      </c>
      <c r="G238" s="3" t="s">
        <v>17</v>
      </c>
      <c r="H238" s="3" t="s">
        <v>254</v>
      </c>
    </row>
    <row r="239" spans="1:8" x14ac:dyDescent="0.2">
      <c r="A239" s="3">
        <v>3030314004</v>
      </c>
      <c r="B239" s="4" t="s">
        <v>577</v>
      </c>
      <c r="C239" s="4" t="s">
        <v>575</v>
      </c>
      <c r="D239" s="3">
        <v>1</v>
      </c>
      <c r="E239" s="3" t="s">
        <v>16</v>
      </c>
      <c r="F239" s="3" t="s">
        <v>295</v>
      </c>
      <c r="G239" s="3" t="s">
        <v>17</v>
      </c>
      <c r="H239" s="3" t="s">
        <v>254</v>
      </c>
    </row>
    <row r="240" spans="1:8" x14ac:dyDescent="0.2">
      <c r="A240" s="3">
        <v>3030308001</v>
      </c>
      <c r="B240" s="4" t="s">
        <v>578</v>
      </c>
      <c r="C240" s="4" t="s">
        <v>575</v>
      </c>
      <c r="D240" s="3">
        <v>1</v>
      </c>
      <c r="E240" s="3" t="s">
        <v>16</v>
      </c>
      <c r="F240" s="3" t="s">
        <v>295</v>
      </c>
      <c r="G240" s="3" t="s">
        <v>17</v>
      </c>
      <c r="H240" s="3" t="s">
        <v>254</v>
      </c>
    </row>
    <row r="241" spans="1:8" x14ac:dyDescent="0.2">
      <c r="A241" s="3">
        <v>3030314003</v>
      </c>
      <c r="B241" s="4" t="s">
        <v>579</v>
      </c>
      <c r="C241" s="4" t="s">
        <v>575</v>
      </c>
      <c r="D241" s="3">
        <v>1</v>
      </c>
      <c r="E241" s="3" t="s">
        <v>16</v>
      </c>
      <c r="F241" s="3" t="s">
        <v>295</v>
      </c>
      <c r="G241" s="3" t="s">
        <v>17</v>
      </c>
      <c r="H241" s="3" t="s">
        <v>254</v>
      </c>
    </row>
    <row r="242" spans="1:8" x14ac:dyDescent="0.2">
      <c r="A242" s="3">
        <v>3030308003</v>
      </c>
      <c r="B242" s="4" t="s">
        <v>580</v>
      </c>
      <c r="C242" s="4" t="s">
        <v>581</v>
      </c>
      <c r="D242" s="3">
        <v>1</v>
      </c>
      <c r="E242" s="3" t="s">
        <v>16</v>
      </c>
      <c r="F242" s="3" t="s">
        <v>295</v>
      </c>
      <c r="G242" s="3" t="s">
        <v>17</v>
      </c>
      <c r="H242" s="3" t="s">
        <v>254</v>
      </c>
    </row>
    <row r="243" spans="1:8" x14ac:dyDescent="0.2">
      <c r="A243" s="3">
        <v>3040325007</v>
      </c>
      <c r="B243" s="4" t="s">
        <v>582</v>
      </c>
      <c r="C243" s="4" t="s">
        <v>543</v>
      </c>
      <c r="D243" s="3">
        <v>1</v>
      </c>
      <c r="E243" s="3" t="s">
        <v>16</v>
      </c>
      <c r="F243" s="3" t="s">
        <v>293</v>
      </c>
      <c r="G243" s="3" t="s">
        <v>29</v>
      </c>
      <c r="H243" s="3" t="s">
        <v>254</v>
      </c>
    </row>
    <row r="244" spans="1:8" x14ac:dyDescent="0.2">
      <c r="A244" s="3">
        <v>3040325008</v>
      </c>
      <c r="B244" s="4" t="s">
        <v>582</v>
      </c>
      <c r="C244" s="4" t="s">
        <v>542</v>
      </c>
      <c r="D244" s="3">
        <v>1</v>
      </c>
      <c r="E244" s="3" t="s">
        <v>16</v>
      </c>
      <c r="F244" s="3" t="s">
        <v>293</v>
      </c>
      <c r="G244" s="3" t="s">
        <v>29</v>
      </c>
      <c r="H244" s="3" t="s">
        <v>254</v>
      </c>
    </row>
    <row r="245" spans="1:8" x14ac:dyDescent="0.2">
      <c r="A245" s="3">
        <v>3040308003</v>
      </c>
      <c r="B245" s="4" t="s">
        <v>583</v>
      </c>
      <c r="C245" s="4" t="s">
        <v>536</v>
      </c>
      <c r="D245" s="3">
        <v>2</v>
      </c>
      <c r="E245" s="3" t="s">
        <v>16</v>
      </c>
      <c r="F245" s="3" t="s">
        <v>293</v>
      </c>
      <c r="G245" s="3" t="s">
        <v>29</v>
      </c>
      <c r="H245" s="3" t="s">
        <v>254</v>
      </c>
    </row>
    <row r="246" spans="1:8" x14ac:dyDescent="0.2">
      <c r="A246" s="3">
        <v>3030302007</v>
      </c>
      <c r="B246" s="4" t="s">
        <v>584</v>
      </c>
      <c r="C246" s="4" t="s">
        <v>575</v>
      </c>
      <c r="D246" s="3">
        <v>1</v>
      </c>
      <c r="E246" s="3" t="s">
        <v>16</v>
      </c>
      <c r="F246" s="3" t="s">
        <v>295</v>
      </c>
      <c r="G246" s="3" t="s">
        <v>17</v>
      </c>
      <c r="H246" s="3" t="s">
        <v>254</v>
      </c>
    </row>
    <row r="247" spans="1:8" x14ac:dyDescent="0.2">
      <c r="A247" s="3">
        <v>3070202019</v>
      </c>
      <c r="B247" s="4" t="s">
        <v>388</v>
      </c>
      <c r="C247" s="4" t="s">
        <v>389</v>
      </c>
      <c r="D247" s="3">
        <v>1</v>
      </c>
      <c r="E247" s="3" t="s">
        <v>16</v>
      </c>
      <c r="F247" s="3" t="s">
        <v>317</v>
      </c>
      <c r="G247" s="3" t="s">
        <v>318</v>
      </c>
      <c r="H247" s="3" t="s">
        <v>254</v>
      </c>
    </row>
    <row r="248" spans="1:8" x14ac:dyDescent="0.2">
      <c r="A248" s="3">
        <v>3992005002</v>
      </c>
      <c r="B248" s="4" t="s">
        <v>1134</v>
      </c>
      <c r="C248" s="4" t="s">
        <v>1135</v>
      </c>
      <c r="D248" s="3">
        <v>1</v>
      </c>
      <c r="E248" s="3" t="s">
        <v>16</v>
      </c>
      <c r="F248" s="3" t="s">
        <v>317</v>
      </c>
      <c r="G248" s="3" t="s">
        <v>318</v>
      </c>
      <c r="H248" s="3" t="s">
        <v>254</v>
      </c>
    </row>
    <row r="249" spans="1:8" x14ac:dyDescent="0.2">
      <c r="A249" s="3">
        <v>3111601003</v>
      </c>
      <c r="B249" s="4" t="s">
        <v>585</v>
      </c>
      <c r="C249" s="4" t="s">
        <v>586</v>
      </c>
      <c r="D249" s="3">
        <v>2</v>
      </c>
      <c r="E249" s="3" t="s">
        <v>16</v>
      </c>
      <c r="F249" s="3" t="s">
        <v>291</v>
      </c>
      <c r="G249" s="3" t="s">
        <v>26</v>
      </c>
      <c r="H249" s="3" t="s">
        <v>254</v>
      </c>
    </row>
    <row r="250" spans="1:8" x14ac:dyDescent="0.2">
      <c r="A250" s="3">
        <v>3060339002</v>
      </c>
      <c r="B250" s="4" t="s">
        <v>737</v>
      </c>
      <c r="C250" s="4" t="s">
        <v>738</v>
      </c>
      <c r="D250" s="3">
        <v>1</v>
      </c>
      <c r="E250" s="3" t="s">
        <v>16</v>
      </c>
      <c r="F250" s="3" t="s">
        <v>702</v>
      </c>
      <c r="G250" s="3" t="s">
        <v>703</v>
      </c>
      <c r="H250" s="3" t="s">
        <v>254</v>
      </c>
    </row>
    <row r="251" spans="1:8" x14ac:dyDescent="0.2">
      <c r="A251" s="3">
        <v>3060325001</v>
      </c>
      <c r="B251" s="4" t="s">
        <v>739</v>
      </c>
      <c r="C251" s="4" t="s">
        <v>740</v>
      </c>
      <c r="D251" s="3">
        <v>1</v>
      </c>
      <c r="E251" s="3" t="s">
        <v>16</v>
      </c>
      <c r="F251" s="3" t="s">
        <v>289</v>
      </c>
      <c r="G251" s="3" t="s">
        <v>23</v>
      </c>
      <c r="H251" s="3" t="s">
        <v>254</v>
      </c>
    </row>
    <row r="252" spans="1:8" x14ac:dyDescent="0.2">
      <c r="A252" s="3">
        <v>3050303006</v>
      </c>
      <c r="B252" s="4" t="s">
        <v>245</v>
      </c>
      <c r="C252" s="4" t="s">
        <v>587</v>
      </c>
      <c r="D252" s="3">
        <v>1</v>
      </c>
      <c r="E252" s="3" t="s">
        <v>16</v>
      </c>
      <c r="F252" s="3" t="s">
        <v>291</v>
      </c>
      <c r="G252" s="3" t="s">
        <v>26</v>
      </c>
      <c r="H252" s="3" t="s">
        <v>254</v>
      </c>
    </row>
    <row r="253" spans="1:8" x14ac:dyDescent="0.2">
      <c r="A253" s="3">
        <v>3080310002</v>
      </c>
      <c r="B253" s="4" t="s">
        <v>588</v>
      </c>
      <c r="C253" s="4" t="s">
        <v>589</v>
      </c>
      <c r="D253" s="3">
        <v>1</v>
      </c>
      <c r="E253" s="3" t="s">
        <v>16</v>
      </c>
      <c r="F253" s="3" t="s">
        <v>295</v>
      </c>
      <c r="G253" s="3" t="s">
        <v>17</v>
      </c>
      <c r="H253" s="3" t="s">
        <v>590</v>
      </c>
    </row>
    <row r="254" spans="1:8" x14ac:dyDescent="0.2">
      <c r="A254" s="3">
        <v>3060404006</v>
      </c>
      <c r="B254" s="4" t="s">
        <v>729</v>
      </c>
      <c r="C254" s="4" t="s">
        <v>1099</v>
      </c>
      <c r="D254" s="3">
        <v>1</v>
      </c>
      <c r="E254" s="3" t="s">
        <v>16</v>
      </c>
      <c r="F254" s="3" t="s">
        <v>289</v>
      </c>
      <c r="G254" s="3" t="s">
        <v>23</v>
      </c>
      <c r="H254" s="3" t="s">
        <v>769</v>
      </c>
    </row>
  </sheetData>
  <phoneticPr fontId="2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B4EE9-F7AF-4247-BC7C-0A17E305D86B}">
  <dimension ref="A1:H84"/>
  <sheetViews>
    <sheetView workbookViewId="0">
      <selection activeCell="L18" sqref="L18"/>
    </sheetView>
  </sheetViews>
  <sheetFormatPr defaultRowHeight="14.25" x14ac:dyDescent="0.2"/>
  <cols>
    <col min="1" max="1" width="11.625" customWidth="1"/>
    <col min="2" max="3" width="13" customWidth="1"/>
  </cols>
  <sheetData>
    <row r="1" spans="1:8" x14ac:dyDescent="0.2">
      <c r="A1" s="3" t="s">
        <v>1148</v>
      </c>
      <c r="B1" s="4"/>
      <c r="C1" s="4"/>
      <c r="D1" s="3"/>
      <c r="E1" s="3"/>
      <c r="F1" s="3"/>
      <c r="G1" s="3"/>
      <c r="H1" s="3"/>
    </row>
    <row r="2" spans="1:8" ht="28.5" x14ac:dyDescent="0.2">
      <c r="A2" s="1" t="s">
        <v>0</v>
      </c>
      <c r="B2" s="2" t="s">
        <v>1</v>
      </c>
      <c r="C2" s="2" t="s">
        <v>2</v>
      </c>
      <c r="D2" s="1" t="s">
        <v>4</v>
      </c>
      <c r="E2" s="1" t="s">
        <v>3</v>
      </c>
      <c r="F2" s="1" t="s">
        <v>5</v>
      </c>
      <c r="G2" s="1" t="s">
        <v>6</v>
      </c>
      <c r="H2" s="1" t="s">
        <v>7</v>
      </c>
    </row>
    <row r="3" spans="1:8" s="10" customFormat="1" x14ac:dyDescent="0.2">
      <c r="A3" s="8" t="s">
        <v>390</v>
      </c>
      <c r="B3" s="9" t="s">
        <v>8</v>
      </c>
      <c r="C3" s="9" t="s">
        <v>9</v>
      </c>
      <c r="D3" s="13">
        <f>0.2273/0.94</f>
        <v>0.24180851063829789</v>
      </c>
      <c r="E3" s="8" t="s">
        <v>596</v>
      </c>
      <c r="F3" s="8" t="s">
        <v>283</v>
      </c>
      <c r="G3" s="8" t="s">
        <v>13</v>
      </c>
      <c r="H3" s="8" t="s">
        <v>12</v>
      </c>
    </row>
    <row r="4" spans="1:8" x14ac:dyDescent="0.2">
      <c r="A4" s="3">
        <v>3060503002</v>
      </c>
      <c r="B4" s="4" t="s">
        <v>21</v>
      </c>
      <c r="C4" s="4" t="s">
        <v>22</v>
      </c>
      <c r="D4" s="3">
        <v>1</v>
      </c>
      <c r="E4" s="3" t="s">
        <v>16</v>
      </c>
      <c r="F4" s="3" t="s">
        <v>289</v>
      </c>
      <c r="G4" s="3" t="s">
        <v>23</v>
      </c>
      <c r="H4" s="3" t="s">
        <v>18</v>
      </c>
    </row>
    <row r="5" spans="1:8" x14ac:dyDescent="0.2">
      <c r="A5" s="3">
        <v>3040207001</v>
      </c>
      <c r="B5" s="4" t="s">
        <v>665</v>
      </c>
      <c r="C5" s="4" t="s">
        <v>666</v>
      </c>
      <c r="D5" s="3">
        <v>2</v>
      </c>
      <c r="E5" s="3" t="s">
        <v>16</v>
      </c>
      <c r="F5" s="3" t="s">
        <v>293</v>
      </c>
      <c r="G5" s="3" t="s">
        <v>29</v>
      </c>
      <c r="H5" s="3" t="s">
        <v>18</v>
      </c>
    </row>
    <row r="6" spans="1:8" x14ac:dyDescent="0.2">
      <c r="A6" s="3">
        <v>404090222</v>
      </c>
      <c r="B6" s="4" t="s">
        <v>30</v>
      </c>
      <c r="C6" s="4" t="s">
        <v>1140</v>
      </c>
      <c r="D6" s="3">
        <v>1</v>
      </c>
      <c r="E6" s="3" t="s">
        <v>16</v>
      </c>
      <c r="F6" s="3" t="s">
        <v>301</v>
      </c>
      <c r="G6" s="3" t="s">
        <v>32</v>
      </c>
      <c r="H6" s="3" t="s">
        <v>33</v>
      </c>
    </row>
    <row r="7" spans="1:8" x14ac:dyDescent="0.2">
      <c r="A7" s="3">
        <v>404090223</v>
      </c>
      <c r="B7" s="4" t="s">
        <v>30</v>
      </c>
      <c r="C7" s="4" t="s">
        <v>1141</v>
      </c>
      <c r="D7" s="3">
        <v>1</v>
      </c>
      <c r="E7" s="3" t="s">
        <v>16</v>
      </c>
      <c r="F7" s="3" t="s">
        <v>301</v>
      </c>
      <c r="G7" s="3" t="s">
        <v>32</v>
      </c>
      <c r="H7" s="3" t="s">
        <v>33</v>
      </c>
    </row>
    <row r="8" spans="1:8" x14ac:dyDescent="0.2">
      <c r="A8" s="3">
        <v>404020029</v>
      </c>
      <c r="B8" s="4" t="s">
        <v>30</v>
      </c>
      <c r="C8" s="4" t="s">
        <v>31</v>
      </c>
      <c r="D8" s="3">
        <v>4</v>
      </c>
      <c r="E8" s="3" t="s">
        <v>16</v>
      </c>
      <c r="F8" s="3" t="s">
        <v>301</v>
      </c>
      <c r="G8" s="3" t="s">
        <v>32</v>
      </c>
      <c r="H8" s="3" t="s">
        <v>33</v>
      </c>
    </row>
    <row r="9" spans="1:8" x14ac:dyDescent="0.2">
      <c r="A9" s="3">
        <v>401020328</v>
      </c>
      <c r="B9" s="4" t="s">
        <v>35</v>
      </c>
      <c r="C9" s="4" t="s">
        <v>1142</v>
      </c>
      <c r="D9" s="3">
        <v>1</v>
      </c>
      <c r="E9" s="3" t="s">
        <v>16</v>
      </c>
      <c r="F9" s="3" t="s">
        <v>301</v>
      </c>
      <c r="G9" s="3" t="s">
        <v>32</v>
      </c>
      <c r="H9" s="3" t="s">
        <v>33</v>
      </c>
    </row>
    <row r="10" spans="1:8" x14ac:dyDescent="0.2">
      <c r="A10" s="3">
        <v>401040028</v>
      </c>
      <c r="B10" s="4" t="s">
        <v>35</v>
      </c>
      <c r="C10" s="4" t="s">
        <v>37</v>
      </c>
      <c r="D10" s="3">
        <v>1</v>
      </c>
      <c r="E10" s="3" t="s">
        <v>16</v>
      </c>
      <c r="F10" s="3" t="s">
        <v>291</v>
      </c>
      <c r="G10" s="3" t="s">
        <v>26</v>
      </c>
      <c r="H10" s="3" t="s">
        <v>33</v>
      </c>
    </row>
    <row r="11" spans="1:8" x14ac:dyDescent="0.2">
      <c r="A11" s="3">
        <v>409010006</v>
      </c>
      <c r="B11" s="4" t="s">
        <v>668</v>
      </c>
      <c r="C11" s="4" t="s">
        <v>669</v>
      </c>
      <c r="D11" s="3">
        <v>1</v>
      </c>
      <c r="E11" s="3" t="s">
        <v>16</v>
      </c>
      <c r="F11" s="3" t="s">
        <v>291</v>
      </c>
      <c r="G11" s="3" t="s">
        <v>26</v>
      </c>
      <c r="H11" s="3" t="s">
        <v>40</v>
      </c>
    </row>
    <row r="12" spans="1:8" x14ac:dyDescent="0.2">
      <c r="A12" s="3">
        <v>409010007</v>
      </c>
      <c r="B12" s="4" t="s">
        <v>670</v>
      </c>
      <c r="C12" s="4" t="s">
        <v>671</v>
      </c>
      <c r="D12" s="3">
        <v>1</v>
      </c>
      <c r="E12" s="3" t="s">
        <v>16</v>
      </c>
      <c r="F12" s="3" t="s">
        <v>291</v>
      </c>
      <c r="G12" s="3" t="s">
        <v>26</v>
      </c>
      <c r="H12" s="3" t="s">
        <v>40</v>
      </c>
    </row>
    <row r="13" spans="1:8" x14ac:dyDescent="0.2">
      <c r="A13" s="3">
        <v>409010058</v>
      </c>
      <c r="B13" s="4" t="s">
        <v>672</v>
      </c>
      <c r="C13" s="4" t="s">
        <v>673</v>
      </c>
      <c r="D13" s="3">
        <v>1</v>
      </c>
      <c r="E13" s="3" t="s">
        <v>16</v>
      </c>
      <c r="F13" s="3" t="s">
        <v>291</v>
      </c>
      <c r="G13" s="3" t="s">
        <v>26</v>
      </c>
      <c r="H13" s="3" t="s">
        <v>40</v>
      </c>
    </row>
    <row r="14" spans="1:8" x14ac:dyDescent="0.2">
      <c r="A14" s="3">
        <v>3080102003</v>
      </c>
      <c r="B14" s="4" t="s">
        <v>38</v>
      </c>
      <c r="C14" s="4" t="s">
        <v>39</v>
      </c>
      <c r="D14" s="3">
        <v>1</v>
      </c>
      <c r="E14" s="3" t="s">
        <v>16</v>
      </c>
      <c r="F14" s="3" t="s">
        <v>289</v>
      </c>
      <c r="G14" s="3" t="s">
        <v>23</v>
      </c>
      <c r="H14" s="3" t="s">
        <v>40</v>
      </c>
    </row>
    <row r="15" spans="1:8" x14ac:dyDescent="0.2">
      <c r="A15" s="3">
        <v>3080104020</v>
      </c>
      <c r="B15" s="4" t="s">
        <v>45</v>
      </c>
      <c r="C15" s="4" t="s">
        <v>46</v>
      </c>
      <c r="D15" s="3">
        <v>2</v>
      </c>
      <c r="E15" s="3" t="s">
        <v>16</v>
      </c>
      <c r="F15" s="3" t="s">
        <v>291</v>
      </c>
      <c r="G15" s="3" t="s">
        <v>26</v>
      </c>
      <c r="H15" s="3" t="s">
        <v>40</v>
      </c>
    </row>
    <row r="16" spans="1:8" x14ac:dyDescent="0.2">
      <c r="A16" s="3">
        <v>3080105007</v>
      </c>
      <c r="B16" s="4" t="s">
        <v>50</v>
      </c>
      <c r="C16" s="4" t="s">
        <v>52</v>
      </c>
      <c r="D16" s="3">
        <v>2</v>
      </c>
      <c r="E16" s="3" t="s">
        <v>16</v>
      </c>
      <c r="F16" s="3" t="s">
        <v>289</v>
      </c>
      <c r="G16" s="3" t="s">
        <v>23</v>
      </c>
      <c r="H16" s="3" t="s">
        <v>40</v>
      </c>
    </row>
    <row r="17" spans="1:8" x14ac:dyDescent="0.2">
      <c r="A17" s="3">
        <v>3080105114</v>
      </c>
      <c r="B17" s="4" t="s">
        <v>50</v>
      </c>
      <c r="C17" s="4" t="s">
        <v>53</v>
      </c>
      <c r="D17" s="3">
        <v>4</v>
      </c>
      <c r="E17" s="3" t="s">
        <v>16</v>
      </c>
      <c r="F17" s="3" t="s">
        <v>289</v>
      </c>
      <c r="G17" s="3" t="s">
        <v>23</v>
      </c>
      <c r="H17" s="3" t="s">
        <v>40</v>
      </c>
    </row>
    <row r="18" spans="1:8" x14ac:dyDescent="0.2">
      <c r="A18" s="3">
        <v>3080105114</v>
      </c>
      <c r="B18" s="4" t="s">
        <v>50</v>
      </c>
      <c r="C18" s="4" t="s">
        <v>53</v>
      </c>
      <c r="D18" s="3">
        <v>4</v>
      </c>
      <c r="E18" s="3" t="s">
        <v>16</v>
      </c>
      <c r="F18" s="3" t="s">
        <v>289</v>
      </c>
      <c r="G18" s="3" t="s">
        <v>23</v>
      </c>
      <c r="H18" s="3" t="s">
        <v>40</v>
      </c>
    </row>
    <row r="19" spans="1:8" x14ac:dyDescent="0.2">
      <c r="A19" s="3">
        <v>3080105004</v>
      </c>
      <c r="B19" s="4" t="s">
        <v>50</v>
      </c>
      <c r="C19" s="4" t="s">
        <v>54</v>
      </c>
      <c r="D19" s="3">
        <v>1</v>
      </c>
      <c r="E19" s="3" t="s">
        <v>16</v>
      </c>
      <c r="F19" s="3" t="s">
        <v>289</v>
      </c>
      <c r="G19" s="3" t="s">
        <v>23</v>
      </c>
      <c r="H19" s="3" t="s">
        <v>40</v>
      </c>
    </row>
    <row r="20" spans="1:8" x14ac:dyDescent="0.2">
      <c r="A20" s="3">
        <v>3080105007</v>
      </c>
      <c r="B20" s="4" t="s">
        <v>50</v>
      </c>
      <c r="C20" s="4" t="s">
        <v>52</v>
      </c>
      <c r="D20" s="3">
        <v>8</v>
      </c>
      <c r="E20" s="3" t="s">
        <v>16</v>
      </c>
      <c r="F20" s="3" t="s">
        <v>289</v>
      </c>
      <c r="G20" s="3" t="s">
        <v>23</v>
      </c>
      <c r="H20" s="3" t="s">
        <v>40</v>
      </c>
    </row>
    <row r="21" spans="1:8" x14ac:dyDescent="0.2">
      <c r="A21" s="3">
        <v>3080105007</v>
      </c>
      <c r="B21" s="4" t="s">
        <v>50</v>
      </c>
      <c r="C21" s="4" t="s">
        <v>52</v>
      </c>
      <c r="D21" s="3">
        <v>2</v>
      </c>
      <c r="E21" s="3" t="s">
        <v>16</v>
      </c>
      <c r="F21" s="3" t="s">
        <v>293</v>
      </c>
      <c r="G21" s="3" t="s">
        <v>29</v>
      </c>
      <c r="H21" s="3" t="s">
        <v>40</v>
      </c>
    </row>
    <row r="22" spans="1:8" x14ac:dyDescent="0.2">
      <c r="A22" s="3">
        <v>3080105013</v>
      </c>
      <c r="B22" s="4" t="s">
        <v>50</v>
      </c>
      <c r="C22" s="4" t="s">
        <v>51</v>
      </c>
      <c r="D22" s="3">
        <v>12</v>
      </c>
      <c r="E22" s="3" t="s">
        <v>16</v>
      </c>
      <c r="F22" s="3" t="s">
        <v>293</v>
      </c>
      <c r="G22" s="3" t="s">
        <v>29</v>
      </c>
      <c r="H22" s="3" t="s">
        <v>40</v>
      </c>
    </row>
    <row r="23" spans="1:8" x14ac:dyDescent="0.2">
      <c r="A23" s="3">
        <v>3080105111</v>
      </c>
      <c r="B23" s="4" t="s">
        <v>50</v>
      </c>
      <c r="C23" s="4" t="s">
        <v>599</v>
      </c>
      <c r="D23" s="3">
        <v>4</v>
      </c>
      <c r="E23" s="3" t="s">
        <v>16</v>
      </c>
      <c r="F23" s="3" t="s">
        <v>291</v>
      </c>
      <c r="G23" s="3" t="s">
        <v>26</v>
      </c>
      <c r="H23" s="3" t="s">
        <v>40</v>
      </c>
    </row>
    <row r="24" spans="1:8" x14ac:dyDescent="0.2">
      <c r="A24" s="3">
        <v>3080105013</v>
      </c>
      <c r="B24" s="4" t="s">
        <v>50</v>
      </c>
      <c r="C24" s="4" t="s">
        <v>51</v>
      </c>
      <c r="D24" s="3">
        <v>2</v>
      </c>
      <c r="E24" s="3" t="s">
        <v>16</v>
      </c>
      <c r="F24" s="3" t="s">
        <v>291</v>
      </c>
      <c r="G24" s="3" t="s">
        <v>26</v>
      </c>
      <c r="H24" s="3" t="s">
        <v>40</v>
      </c>
    </row>
    <row r="25" spans="1:8" x14ac:dyDescent="0.2">
      <c r="A25" s="3">
        <v>3080502002</v>
      </c>
      <c r="B25" s="4" t="s">
        <v>55</v>
      </c>
      <c r="C25" s="4" t="s">
        <v>56</v>
      </c>
      <c r="D25" s="3">
        <v>4</v>
      </c>
      <c r="E25" s="3" t="s">
        <v>16</v>
      </c>
      <c r="F25" s="3" t="s">
        <v>293</v>
      </c>
      <c r="G25" s="3" t="s">
        <v>29</v>
      </c>
      <c r="H25" s="3" t="s">
        <v>40</v>
      </c>
    </row>
    <row r="26" spans="1:8" x14ac:dyDescent="0.2">
      <c r="A26" s="3">
        <v>3080501013</v>
      </c>
      <c r="B26" s="4" t="s">
        <v>57</v>
      </c>
      <c r="C26" s="4" t="s">
        <v>58</v>
      </c>
      <c r="D26" s="3">
        <v>2</v>
      </c>
      <c r="E26" s="3" t="s">
        <v>16</v>
      </c>
      <c r="F26" s="3" t="s">
        <v>293</v>
      </c>
      <c r="G26" s="3" t="s">
        <v>29</v>
      </c>
      <c r="H26" s="3" t="s">
        <v>40</v>
      </c>
    </row>
    <row r="27" spans="1:8" x14ac:dyDescent="0.2">
      <c r="A27" s="3">
        <v>3080501003</v>
      </c>
      <c r="B27" s="4" t="s">
        <v>57</v>
      </c>
      <c r="C27" s="4" t="s">
        <v>630</v>
      </c>
      <c r="D27" s="3">
        <v>8</v>
      </c>
      <c r="E27" s="3" t="s">
        <v>16</v>
      </c>
      <c r="F27" s="3" t="s">
        <v>291</v>
      </c>
      <c r="G27" s="3" t="s">
        <v>26</v>
      </c>
      <c r="H27" s="3" t="s">
        <v>40</v>
      </c>
    </row>
    <row r="28" spans="1:8" x14ac:dyDescent="0.2">
      <c r="A28" s="3">
        <v>3080201004</v>
      </c>
      <c r="B28" s="4" t="s">
        <v>60</v>
      </c>
      <c r="C28" s="4" t="s">
        <v>61</v>
      </c>
      <c r="D28" s="3">
        <v>4</v>
      </c>
      <c r="E28" s="3" t="s">
        <v>16</v>
      </c>
      <c r="F28" s="3" t="s">
        <v>291</v>
      </c>
      <c r="G28" s="3" t="s">
        <v>26</v>
      </c>
      <c r="H28" s="3" t="s">
        <v>40</v>
      </c>
    </row>
    <row r="29" spans="1:8" x14ac:dyDescent="0.2">
      <c r="A29" s="3">
        <v>3080107038</v>
      </c>
      <c r="B29" s="4" t="s">
        <v>69</v>
      </c>
      <c r="C29" s="4" t="s">
        <v>72</v>
      </c>
      <c r="D29" s="3">
        <v>2</v>
      </c>
      <c r="E29" s="3" t="s">
        <v>16</v>
      </c>
      <c r="F29" s="3" t="s">
        <v>289</v>
      </c>
      <c r="G29" s="3" t="s">
        <v>23</v>
      </c>
      <c r="H29" s="3" t="s">
        <v>40</v>
      </c>
    </row>
    <row r="30" spans="1:8" x14ac:dyDescent="0.2">
      <c r="A30" s="3">
        <v>3080107130</v>
      </c>
      <c r="B30" s="4" t="s">
        <v>69</v>
      </c>
      <c r="C30" s="4" t="s">
        <v>70</v>
      </c>
      <c r="D30" s="3">
        <v>4</v>
      </c>
      <c r="E30" s="3" t="s">
        <v>16</v>
      </c>
      <c r="F30" s="3" t="s">
        <v>293</v>
      </c>
      <c r="G30" s="3" t="s">
        <v>29</v>
      </c>
      <c r="H30" s="3" t="s">
        <v>40</v>
      </c>
    </row>
    <row r="31" spans="1:8" x14ac:dyDescent="0.2">
      <c r="A31" s="3">
        <v>3080107035</v>
      </c>
      <c r="B31" s="4" t="s">
        <v>69</v>
      </c>
      <c r="C31" s="4" t="s">
        <v>675</v>
      </c>
      <c r="D31" s="3">
        <v>4</v>
      </c>
      <c r="E31" s="3" t="s">
        <v>16</v>
      </c>
      <c r="F31" s="3" t="s">
        <v>293</v>
      </c>
      <c r="G31" s="3" t="s">
        <v>29</v>
      </c>
      <c r="H31" s="3" t="s">
        <v>40</v>
      </c>
    </row>
    <row r="32" spans="1:8" x14ac:dyDescent="0.2">
      <c r="A32" s="3">
        <v>3080107024</v>
      </c>
      <c r="B32" s="4" t="s">
        <v>69</v>
      </c>
      <c r="C32" s="4" t="s">
        <v>1143</v>
      </c>
      <c r="D32" s="3">
        <v>4</v>
      </c>
      <c r="E32" s="3" t="s">
        <v>16</v>
      </c>
      <c r="F32" s="3" t="s">
        <v>291</v>
      </c>
      <c r="G32" s="3" t="s">
        <v>26</v>
      </c>
      <c r="H32" s="3" t="s">
        <v>40</v>
      </c>
    </row>
    <row r="33" spans="1:8" x14ac:dyDescent="0.2">
      <c r="A33" s="3">
        <v>3080107015</v>
      </c>
      <c r="B33" s="4" t="s">
        <v>69</v>
      </c>
      <c r="C33" s="4" t="s">
        <v>73</v>
      </c>
      <c r="D33" s="3">
        <v>6</v>
      </c>
      <c r="E33" s="3" t="s">
        <v>16</v>
      </c>
      <c r="F33" s="3" t="s">
        <v>291</v>
      </c>
      <c r="G33" s="3" t="s">
        <v>26</v>
      </c>
      <c r="H33" s="3" t="s">
        <v>40</v>
      </c>
    </row>
    <row r="34" spans="1:8" x14ac:dyDescent="0.2">
      <c r="A34" s="3">
        <v>3080111087</v>
      </c>
      <c r="B34" s="4" t="s">
        <v>79</v>
      </c>
      <c r="C34" s="4" t="s">
        <v>80</v>
      </c>
      <c r="D34" s="3">
        <v>18</v>
      </c>
      <c r="E34" s="3" t="s">
        <v>16</v>
      </c>
      <c r="F34" s="3" t="s">
        <v>291</v>
      </c>
      <c r="G34" s="3" t="s">
        <v>26</v>
      </c>
      <c r="H34" s="3" t="s">
        <v>40</v>
      </c>
    </row>
    <row r="35" spans="1:8" x14ac:dyDescent="0.2">
      <c r="A35" s="3">
        <v>3080111087</v>
      </c>
      <c r="B35" s="4" t="s">
        <v>79</v>
      </c>
      <c r="C35" s="4" t="s">
        <v>80</v>
      </c>
      <c r="D35" s="3">
        <v>1</v>
      </c>
      <c r="E35" s="3" t="s">
        <v>16</v>
      </c>
      <c r="F35" s="3" t="s">
        <v>291</v>
      </c>
      <c r="G35" s="3" t="s">
        <v>26</v>
      </c>
      <c r="H35" s="3" t="s">
        <v>40</v>
      </c>
    </row>
    <row r="36" spans="1:8" x14ac:dyDescent="0.2">
      <c r="A36" s="3">
        <v>3030101028</v>
      </c>
      <c r="B36" s="4" t="s">
        <v>636</v>
      </c>
      <c r="C36" s="4" t="s">
        <v>1144</v>
      </c>
      <c r="D36" s="3">
        <v>1</v>
      </c>
      <c r="E36" s="3" t="s">
        <v>16</v>
      </c>
      <c r="F36" s="3" t="s">
        <v>291</v>
      </c>
      <c r="G36" s="3" t="s">
        <v>26</v>
      </c>
      <c r="H36" s="3" t="s">
        <v>88</v>
      </c>
    </row>
    <row r="37" spans="1:8" x14ac:dyDescent="0.2">
      <c r="A37" s="3">
        <v>3099991203</v>
      </c>
      <c r="B37" s="4" t="s">
        <v>101</v>
      </c>
      <c r="C37" s="4" t="s">
        <v>102</v>
      </c>
      <c r="D37" s="3">
        <v>1</v>
      </c>
      <c r="E37" s="3" t="s">
        <v>16</v>
      </c>
      <c r="F37" s="3" t="s">
        <v>289</v>
      </c>
      <c r="G37" s="3" t="s">
        <v>23</v>
      </c>
      <c r="H37" s="3" t="s">
        <v>103</v>
      </c>
    </row>
    <row r="38" spans="1:8" x14ac:dyDescent="0.2">
      <c r="A38" s="3">
        <v>3099990101</v>
      </c>
      <c r="B38" s="4" t="s">
        <v>104</v>
      </c>
      <c r="C38" s="4" t="s">
        <v>105</v>
      </c>
      <c r="D38" s="3">
        <v>1</v>
      </c>
      <c r="E38" s="3" t="s">
        <v>16</v>
      </c>
      <c r="F38" s="3" t="s">
        <v>299</v>
      </c>
      <c r="G38" s="3" t="s">
        <v>106</v>
      </c>
      <c r="H38" s="3" t="s">
        <v>103</v>
      </c>
    </row>
    <row r="39" spans="1:8" x14ac:dyDescent="0.2">
      <c r="A39" s="3">
        <v>402030029</v>
      </c>
      <c r="B39" s="4" t="s">
        <v>107</v>
      </c>
      <c r="C39" s="4" t="s">
        <v>108</v>
      </c>
      <c r="D39" s="3">
        <v>1</v>
      </c>
      <c r="E39" s="3" t="s">
        <v>16</v>
      </c>
      <c r="F39" s="3" t="s">
        <v>289</v>
      </c>
      <c r="G39" s="3" t="s">
        <v>23</v>
      </c>
      <c r="H39" s="3" t="s">
        <v>109</v>
      </c>
    </row>
    <row r="40" spans="1:8" x14ac:dyDescent="0.2">
      <c r="A40" s="3">
        <v>402030027</v>
      </c>
      <c r="B40" s="4" t="s">
        <v>107</v>
      </c>
      <c r="C40" s="4" t="s">
        <v>110</v>
      </c>
      <c r="D40" s="3">
        <v>1</v>
      </c>
      <c r="E40" s="3" t="s">
        <v>16</v>
      </c>
      <c r="F40" s="3" t="s">
        <v>291</v>
      </c>
      <c r="G40" s="3" t="s">
        <v>26</v>
      </c>
      <c r="H40" s="3" t="s">
        <v>109</v>
      </c>
    </row>
    <row r="41" spans="1:8" x14ac:dyDescent="0.2">
      <c r="A41" s="3">
        <v>402020006</v>
      </c>
      <c r="B41" s="4" t="s">
        <v>111</v>
      </c>
      <c r="C41" s="4" t="s">
        <v>112</v>
      </c>
      <c r="D41" s="3">
        <v>2</v>
      </c>
      <c r="E41" s="3" t="s">
        <v>16</v>
      </c>
      <c r="F41" s="3" t="s">
        <v>293</v>
      </c>
      <c r="G41" s="3" t="s">
        <v>29</v>
      </c>
      <c r="H41" s="3" t="s">
        <v>109</v>
      </c>
    </row>
    <row r="42" spans="1:8" x14ac:dyDescent="0.2">
      <c r="A42" s="3">
        <v>3060209002</v>
      </c>
      <c r="B42" s="4" t="s">
        <v>113</v>
      </c>
      <c r="C42" s="4" t="s">
        <v>114</v>
      </c>
      <c r="D42" s="3">
        <v>2</v>
      </c>
      <c r="E42" s="3" t="s">
        <v>16</v>
      </c>
      <c r="F42" s="3" t="s">
        <v>289</v>
      </c>
      <c r="G42" s="3" t="s">
        <v>23</v>
      </c>
      <c r="H42" s="3" t="s">
        <v>115</v>
      </c>
    </row>
    <row r="43" spans="1:8" x14ac:dyDescent="0.2">
      <c r="A43" s="3">
        <v>3040113002</v>
      </c>
      <c r="B43" s="4" t="s">
        <v>118</v>
      </c>
      <c r="C43" s="4" t="s">
        <v>119</v>
      </c>
      <c r="D43" s="3">
        <v>2</v>
      </c>
      <c r="E43" s="3" t="s">
        <v>16</v>
      </c>
      <c r="F43" s="3" t="s">
        <v>293</v>
      </c>
      <c r="G43" s="3" t="s">
        <v>29</v>
      </c>
      <c r="H43" s="3" t="s">
        <v>115</v>
      </c>
    </row>
    <row r="44" spans="1:8" x14ac:dyDescent="0.2">
      <c r="A44" s="3">
        <v>3060201006</v>
      </c>
      <c r="B44" s="4" t="s">
        <v>663</v>
      </c>
      <c r="C44" s="4" t="s">
        <v>1145</v>
      </c>
      <c r="D44" s="3">
        <v>1</v>
      </c>
      <c r="E44" s="3" t="s">
        <v>16</v>
      </c>
      <c r="F44" s="3" t="s">
        <v>289</v>
      </c>
      <c r="G44" s="3" t="s">
        <v>23</v>
      </c>
      <c r="H44" s="3" t="s">
        <v>132</v>
      </c>
    </row>
    <row r="45" spans="1:8" x14ac:dyDescent="0.2">
      <c r="A45" s="3">
        <v>404020073</v>
      </c>
      <c r="B45" s="4" t="s">
        <v>30</v>
      </c>
      <c r="C45" s="4" t="s">
        <v>135</v>
      </c>
      <c r="D45" s="3">
        <v>1</v>
      </c>
      <c r="E45" s="3" t="s">
        <v>16</v>
      </c>
      <c r="F45" s="3" t="s">
        <v>291</v>
      </c>
      <c r="G45" s="3" t="s">
        <v>26</v>
      </c>
      <c r="H45" s="3" t="s">
        <v>134</v>
      </c>
    </row>
    <row r="46" spans="1:8" x14ac:dyDescent="0.2">
      <c r="A46" s="3">
        <v>404040025</v>
      </c>
      <c r="B46" s="4" t="s">
        <v>30</v>
      </c>
      <c r="C46" s="4" t="s">
        <v>133</v>
      </c>
      <c r="D46" s="3">
        <v>2</v>
      </c>
      <c r="E46" s="3" t="s">
        <v>16</v>
      </c>
      <c r="F46" s="3" t="s">
        <v>291</v>
      </c>
      <c r="G46" s="3" t="s">
        <v>26</v>
      </c>
      <c r="H46" s="3" t="s">
        <v>134</v>
      </c>
    </row>
    <row r="47" spans="1:8" x14ac:dyDescent="0.2">
      <c r="A47" s="3">
        <v>3040502040</v>
      </c>
      <c r="B47" s="4" t="s">
        <v>136</v>
      </c>
      <c r="C47" s="4" t="s">
        <v>679</v>
      </c>
      <c r="D47" s="3">
        <v>1</v>
      </c>
      <c r="E47" s="3" t="s">
        <v>16</v>
      </c>
      <c r="F47" s="3" t="s">
        <v>293</v>
      </c>
      <c r="G47" s="3" t="s">
        <v>29</v>
      </c>
      <c r="H47" s="3" t="s">
        <v>138</v>
      </c>
    </row>
    <row r="48" spans="1:8" x14ac:dyDescent="0.2">
      <c r="A48" s="3">
        <v>3040502001</v>
      </c>
      <c r="B48" s="4" t="s">
        <v>136</v>
      </c>
      <c r="C48" s="4" t="s">
        <v>678</v>
      </c>
      <c r="D48" s="3">
        <v>1</v>
      </c>
      <c r="E48" s="3" t="s">
        <v>16</v>
      </c>
      <c r="F48" s="3" t="s">
        <v>293</v>
      </c>
      <c r="G48" s="3" t="s">
        <v>29</v>
      </c>
      <c r="H48" s="3" t="s">
        <v>138</v>
      </c>
    </row>
    <row r="49" spans="1:8" x14ac:dyDescent="0.2">
      <c r="A49" s="3">
        <v>3990207001</v>
      </c>
      <c r="B49" s="4" t="s">
        <v>140</v>
      </c>
      <c r="C49" s="4" t="s">
        <v>141</v>
      </c>
      <c r="D49" s="3">
        <v>1</v>
      </c>
      <c r="E49" s="3" t="s">
        <v>16</v>
      </c>
      <c r="F49" s="3" t="s">
        <v>285</v>
      </c>
      <c r="G49" s="3" t="s">
        <v>142</v>
      </c>
      <c r="H49" s="3" t="s">
        <v>143</v>
      </c>
    </row>
    <row r="50" spans="1:8" x14ac:dyDescent="0.2">
      <c r="A50" s="3">
        <v>3990205001</v>
      </c>
      <c r="B50" s="4" t="s">
        <v>146</v>
      </c>
      <c r="C50" s="4" t="s">
        <v>147</v>
      </c>
      <c r="D50" s="3">
        <v>1</v>
      </c>
      <c r="E50" s="3" t="s">
        <v>16</v>
      </c>
      <c r="F50" s="3" t="s">
        <v>287</v>
      </c>
      <c r="G50" s="3" t="s">
        <v>148</v>
      </c>
      <c r="H50" s="3" t="s">
        <v>143</v>
      </c>
    </row>
    <row r="51" spans="1:8" x14ac:dyDescent="0.2">
      <c r="A51" s="3">
        <v>407020013</v>
      </c>
      <c r="B51" s="4" t="s">
        <v>680</v>
      </c>
      <c r="C51" s="4" t="s">
        <v>681</v>
      </c>
      <c r="D51" s="3">
        <v>1</v>
      </c>
      <c r="E51" s="3" t="s">
        <v>16</v>
      </c>
      <c r="F51" s="3" t="s">
        <v>289</v>
      </c>
      <c r="G51" s="3" t="s">
        <v>23</v>
      </c>
      <c r="H51" s="3" t="s">
        <v>151</v>
      </c>
    </row>
    <row r="52" spans="1:8" x14ac:dyDescent="0.2">
      <c r="A52" s="3">
        <v>3070103002</v>
      </c>
      <c r="B52" s="4" t="s">
        <v>152</v>
      </c>
      <c r="C52" s="4" t="s">
        <v>153</v>
      </c>
      <c r="D52" s="3">
        <v>1</v>
      </c>
      <c r="E52" s="3" t="s">
        <v>16</v>
      </c>
      <c r="F52" s="3" t="s">
        <v>289</v>
      </c>
      <c r="G52" s="3" t="s">
        <v>23</v>
      </c>
      <c r="H52" s="3" t="s">
        <v>154</v>
      </c>
    </row>
    <row r="53" spans="1:8" x14ac:dyDescent="0.2">
      <c r="A53" s="3">
        <v>3040211002</v>
      </c>
      <c r="B53" s="4" t="s">
        <v>157</v>
      </c>
      <c r="C53" s="4" t="s">
        <v>158</v>
      </c>
      <c r="D53" s="3">
        <v>2</v>
      </c>
      <c r="E53" s="3" t="s">
        <v>16</v>
      </c>
      <c r="F53" s="3" t="s">
        <v>293</v>
      </c>
      <c r="G53" s="3" t="s">
        <v>29</v>
      </c>
      <c r="H53" s="3" t="s">
        <v>154</v>
      </c>
    </row>
    <row r="54" spans="1:8" x14ac:dyDescent="0.2">
      <c r="A54" s="3">
        <v>3040217003</v>
      </c>
      <c r="B54" s="4" t="s">
        <v>159</v>
      </c>
      <c r="C54" s="4" t="s">
        <v>160</v>
      </c>
      <c r="D54" s="3">
        <v>2</v>
      </c>
      <c r="E54" s="3" t="s">
        <v>16</v>
      </c>
      <c r="F54" s="3" t="s">
        <v>293</v>
      </c>
      <c r="G54" s="3" t="s">
        <v>29</v>
      </c>
      <c r="H54" s="3" t="s">
        <v>154</v>
      </c>
    </row>
    <row r="55" spans="1:8" x14ac:dyDescent="0.2">
      <c r="A55" s="3">
        <v>3060308001</v>
      </c>
      <c r="B55" s="4" t="s">
        <v>229</v>
      </c>
      <c r="C55" s="4" t="s">
        <v>1146</v>
      </c>
      <c r="D55" s="3">
        <v>1</v>
      </c>
      <c r="E55" s="3" t="s">
        <v>16</v>
      </c>
      <c r="F55" s="3" t="s">
        <v>289</v>
      </c>
      <c r="G55" s="3" t="s">
        <v>23</v>
      </c>
      <c r="H55" s="3" t="s">
        <v>165</v>
      </c>
    </row>
    <row r="56" spans="1:8" x14ac:dyDescent="0.2">
      <c r="A56" s="3">
        <v>3060306001</v>
      </c>
      <c r="B56" s="4" t="s">
        <v>163</v>
      </c>
      <c r="C56" s="4" t="s">
        <v>164</v>
      </c>
      <c r="D56" s="3">
        <v>1</v>
      </c>
      <c r="E56" s="3" t="s">
        <v>16</v>
      </c>
      <c r="F56" s="3" t="s">
        <v>289</v>
      </c>
      <c r="G56" s="3" t="s">
        <v>23</v>
      </c>
      <c r="H56" s="3" t="s">
        <v>165</v>
      </c>
    </row>
    <row r="57" spans="1:8" x14ac:dyDescent="0.2">
      <c r="A57" s="3">
        <v>3060344001</v>
      </c>
      <c r="B57" s="4" t="s">
        <v>682</v>
      </c>
      <c r="C57" s="4" t="s">
        <v>1147</v>
      </c>
      <c r="D57" s="3">
        <v>1</v>
      </c>
      <c r="E57" s="3" t="s">
        <v>16</v>
      </c>
      <c r="F57" s="3" t="s">
        <v>291</v>
      </c>
      <c r="G57" s="3" t="s">
        <v>26</v>
      </c>
      <c r="H57" s="3" t="s">
        <v>173</v>
      </c>
    </row>
    <row r="58" spans="1:8" x14ac:dyDescent="0.2">
      <c r="A58" s="3">
        <v>3060310001</v>
      </c>
      <c r="B58" s="4" t="s">
        <v>171</v>
      </c>
      <c r="C58" s="4" t="s">
        <v>172</v>
      </c>
      <c r="D58" s="3">
        <v>1</v>
      </c>
      <c r="E58" s="3" t="s">
        <v>16</v>
      </c>
      <c r="F58" s="3" t="s">
        <v>289</v>
      </c>
      <c r="G58" s="3" t="s">
        <v>23</v>
      </c>
      <c r="H58" s="3" t="s">
        <v>173</v>
      </c>
    </row>
    <row r="59" spans="1:8" x14ac:dyDescent="0.2">
      <c r="A59" s="3">
        <v>3060311001</v>
      </c>
      <c r="B59" s="4" t="s">
        <v>174</v>
      </c>
      <c r="C59" s="4" t="s">
        <v>172</v>
      </c>
      <c r="D59" s="3">
        <v>1</v>
      </c>
      <c r="E59" s="3" t="s">
        <v>16</v>
      </c>
      <c r="F59" s="3" t="s">
        <v>289</v>
      </c>
      <c r="G59" s="3" t="s">
        <v>23</v>
      </c>
      <c r="H59" s="3" t="s">
        <v>173</v>
      </c>
    </row>
    <row r="60" spans="1:8" x14ac:dyDescent="0.2">
      <c r="A60" s="3">
        <v>3050304001</v>
      </c>
      <c r="B60" s="4" t="s">
        <v>181</v>
      </c>
      <c r="C60" s="4" t="s">
        <v>182</v>
      </c>
      <c r="D60" s="3">
        <v>1</v>
      </c>
      <c r="E60" s="3" t="s">
        <v>16</v>
      </c>
      <c r="F60" s="3" t="s">
        <v>291</v>
      </c>
      <c r="G60" s="3" t="s">
        <v>26</v>
      </c>
      <c r="H60" s="3" t="s">
        <v>173</v>
      </c>
    </row>
    <row r="61" spans="1:8" x14ac:dyDescent="0.2">
      <c r="A61" s="3">
        <v>3020502023</v>
      </c>
      <c r="B61" s="4" t="s">
        <v>183</v>
      </c>
      <c r="C61" s="4" t="s">
        <v>184</v>
      </c>
      <c r="D61" s="3">
        <v>1</v>
      </c>
      <c r="E61" s="3" t="s">
        <v>16</v>
      </c>
      <c r="F61" s="3" t="s">
        <v>291</v>
      </c>
      <c r="G61" s="3" t="s">
        <v>26</v>
      </c>
      <c r="H61" s="3" t="s">
        <v>185</v>
      </c>
    </row>
    <row r="62" spans="1:8" x14ac:dyDescent="0.2">
      <c r="A62" s="3">
        <v>3040402001</v>
      </c>
      <c r="B62" s="4" t="s">
        <v>193</v>
      </c>
      <c r="C62" s="4" t="s">
        <v>194</v>
      </c>
      <c r="D62" s="3">
        <v>1</v>
      </c>
      <c r="E62" s="3" t="s">
        <v>16</v>
      </c>
      <c r="F62" s="3" t="s">
        <v>293</v>
      </c>
      <c r="G62" s="3" t="s">
        <v>29</v>
      </c>
      <c r="H62" s="3" t="s">
        <v>192</v>
      </c>
    </row>
    <row r="63" spans="1:8" x14ac:dyDescent="0.2">
      <c r="A63" s="3">
        <v>3040402002</v>
      </c>
      <c r="B63" s="4" t="s">
        <v>193</v>
      </c>
      <c r="C63" s="4" t="s">
        <v>195</v>
      </c>
      <c r="D63" s="3">
        <v>1</v>
      </c>
      <c r="E63" s="3" t="s">
        <v>16</v>
      </c>
      <c r="F63" s="3" t="s">
        <v>293</v>
      </c>
      <c r="G63" s="3" t="s">
        <v>29</v>
      </c>
      <c r="H63" s="3" t="s">
        <v>192</v>
      </c>
    </row>
    <row r="64" spans="1:8" x14ac:dyDescent="0.2">
      <c r="A64" s="3">
        <v>404030020</v>
      </c>
      <c r="B64" s="4" t="s">
        <v>30</v>
      </c>
      <c r="C64" s="4" t="s">
        <v>689</v>
      </c>
      <c r="D64" s="3">
        <v>1</v>
      </c>
      <c r="E64" s="3" t="s">
        <v>16</v>
      </c>
      <c r="F64" s="3" t="s">
        <v>289</v>
      </c>
      <c r="G64" s="3" t="s">
        <v>23</v>
      </c>
      <c r="H64" s="3" t="s">
        <v>198</v>
      </c>
    </row>
    <row r="65" spans="1:8" x14ac:dyDescent="0.2">
      <c r="A65" s="3">
        <v>404020035</v>
      </c>
      <c r="B65" s="4" t="s">
        <v>30</v>
      </c>
      <c r="C65" s="4" t="s">
        <v>199</v>
      </c>
      <c r="D65" s="3">
        <v>1</v>
      </c>
      <c r="E65" s="3" t="s">
        <v>16</v>
      </c>
      <c r="F65" s="3" t="s">
        <v>291</v>
      </c>
      <c r="G65" s="3" t="s">
        <v>26</v>
      </c>
      <c r="H65" s="3" t="s">
        <v>198</v>
      </c>
    </row>
    <row r="66" spans="1:8" x14ac:dyDescent="0.2">
      <c r="A66" s="3">
        <v>401070022</v>
      </c>
      <c r="B66" s="4" t="s">
        <v>35</v>
      </c>
      <c r="C66" s="4" t="s">
        <v>203</v>
      </c>
      <c r="D66" s="3">
        <v>1</v>
      </c>
      <c r="E66" s="3" t="s">
        <v>16</v>
      </c>
      <c r="F66" s="3" t="s">
        <v>297</v>
      </c>
      <c r="G66" s="3" t="s">
        <v>204</v>
      </c>
      <c r="H66" s="3" t="s">
        <v>198</v>
      </c>
    </row>
    <row r="67" spans="1:8" x14ac:dyDescent="0.2">
      <c r="A67" s="3">
        <v>401070018</v>
      </c>
      <c r="B67" s="4" t="s">
        <v>35</v>
      </c>
      <c r="C67" s="4" t="s">
        <v>202</v>
      </c>
      <c r="D67" s="3">
        <v>1</v>
      </c>
      <c r="E67" s="3" t="s">
        <v>16</v>
      </c>
      <c r="F67" s="3" t="s">
        <v>291</v>
      </c>
      <c r="G67" s="3" t="s">
        <v>26</v>
      </c>
      <c r="H67" s="3" t="s">
        <v>198</v>
      </c>
    </row>
    <row r="68" spans="1:8" x14ac:dyDescent="0.2">
      <c r="A68" s="3">
        <v>3020302013</v>
      </c>
      <c r="B68" s="4" t="s">
        <v>209</v>
      </c>
      <c r="C68" s="4" t="s">
        <v>210</v>
      </c>
      <c r="D68" s="3">
        <v>1</v>
      </c>
      <c r="E68" s="3" t="s">
        <v>16</v>
      </c>
      <c r="F68" s="3" t="s">
        <v>291</v>
      </c>
      <c r="G68" s="3" t="s">
        <v>26</v>
      </c>
      <c r="H68" s="3" t="s">
        <v>211</v>
      </c>
    </row>
    <row r="69" spans="1:8" x14ac:dyDescent="0.2">
      <c r="A69" s="3">
        <v>3050401005</v>
      </c>
      <c r="B69" s="4" t="s">
        <v>222</v>
      </c>
      <c r="C69" s="4" t="s">
        <v>690</v>
      </c>
      <c r="D69" s="3">
        <v>1</v>
      </c>
      <c r="E69" s="3" t="s">
        <v>16</v>
      </c>
      <c r="F69" s="3" t="s">
        <v>291</v>
      </c>
      <c r="G69" s="3" t="s">
        <v>26</v>
      </c>
      <c r="H69" s="3" t="s">
        <v>221</v>
      </c>
    </row>
    <row r="70" spans="1:8" x14ac:dyDescent="0.2">
      <c r="A70" s="3">
        <v>3060333002</v>
      </c>
      <c r="B70" s="4" t="s">
        <v>227</v>
      </c>
      <c r="C70" s="4" t="s">
        <v>228</v>
      </c>
      <c r="D70" s="3">
        <v>1</v>
      </c>
      <c r="E70" s="3" t="s">
        <v>16</v>
      </c>
      <c r="F70" s="3" t="s">
        <v>289</v>
      </c>
      <c r="G70" s="3" t="s">
        <v>23</v>
      </c>
      <c r="H70" s="3" t="s">
        <v>226</v>
      </c>
    </row>
    <row r="71" spans="1:8" x14ac:dyDescent="0.2">
      <c r="A71" s="3">
        <v>3060303001</v>
      </c>
      <c r="B71" s="4" t="s">
        <v>231</v>
      </c>
      <c r="C71" s="4" t="s">
        <v>232</v>
      </c>
      <c r="D71" s="3">
        <v>1</v>
      </c>
      <c r="E71" s="3" t="s">
        <v>16</v>
      </c>
      <c r="F71" s="3" t="s">
        <v>289</v>
      </c>
      <c r="G71" s="3" t="s">
        <v>23</v>
      </c>
      <c r="H71" s="3" t="s">
        <v>226</v>
      </c>
    </row>
    <row r="72" spans="1:8" x14ac:dyDescent="0.2">
      <c r="A72" s="3">
        <v>3060335004</v>
      </c>
      <c r="B72" s="4" t="s">
        <v>233</v>
      </c>
      <c r="C72" s="4" t="s">
        <v>234</v>
      </c>
      <c r="D72" s="3">
        <v>1</v>
      </c>
      <c r="E72" s="3" t="s">
        <v>16</v>
      </c>
      <c r="F72" s="3" t="s">
        <v>289</v>
      </c>
      <c r="G72" s="3" t="s">
        <v>23</v>
      </c>
      <c r="H72" s="3" t="s">
        <v>226</v>
      </c>
    </row>
    <row r="73" spans="1:8" x14ac:dyDescent="0.2">
      <c r="A73" s="3">
        <v>3020101003</v>
      </c>
      <c r="B73" s="4" t="s">
        <v>239</v>
      </c>
      <c r="C73" s="4" t="s">
        <v>733</v>
      </c>
      <c r="D73" s="3">
        <v>5</v>
      </c>
      <c r="E73" s="3" t="s">
        <v>16</v>
      </c>
      <c r="F73" s="3" t="s">
        <v>297</v>
      </c>
      <c r="G73" s="3" t="s">
        <v>204</v>
      </c>
      <c r="H73" s="3" t="s">
        <v>226</v>
      </c>
    </row>
    <row r="74" spans="1:8" x14ac:dyDescent="0.2">
      <c r="A74" s="3">
        <v>3030303011</v>
      </c>
      <c r="B74" s="4" t="s">
        <v>611</v>
      </c>
      <c r="C74" s="4" t="s">
        <v>612</v>
      </c>
      <c r="D74" s="3">
        <v>2</v>
      </c>
      <c r="E74" s="3" t="s">
        <v>16</v>
      </c>
      <c r="F74" s="3" t="s">
        <v>291</v>
      </c>
      <c r="G74" s="3" t="s">
        <v>26</v>
      </c>
      <c r="H74" s="3" t="s">
        <v>226</v>
      </c>
    </row>
    <row r="75" spans="1:8" x14ac:dyDescent="0.2">
      <c r="A75" s="3">
        <v>3030303010</v>
      </c>
      <c r="B75" s="4" t="s">
        <v>611</v>
      </c>
      <c r="C75" s="4" t="s">
        <v>258</v>
      </c>
      <c r="D75" s="3">
        <v>1</v>
      </c>
      <c r="E75" s="3" t="s">
        <v>16</v>
      </c>
      <c r="F75" s="3" t="s">
        <v>291</v>
      </c>
      <c r="G75" s="3" t="s">
        <v>26</v>
      </c>
      <c r="H75" s="3" t="s">
        <v>226</v>
      </c>
    </row>
    <row r="76" spans="1:8" x14ac:dyDescent="0.2">
      <c r="A76" s="3">
        <v>3050303002</v>
      </c>
      <c r="B76" s="4" t="s">
        <v>245</v>
      </c>
      <c r="C76" s="4" t="s">
        <v>246</v>
      </c>
      <c r="D76" s="3">
        <v>1</v>
      </c>
      <c r="E76" s="3" t="s">
        <v>16</v>
      </c>
      <c r="F76" s="3" t="s">
        <v>291</v>
      </c>
      <c r="G76" s="3" t="s">
        <v>26</v>
      </c>
      <c r="H76" s="3" t="s">
        <v>226</v>
      </c>
    </row>
    <row r="77" spans="1:8" x14ac:dyDescent="0.2">
      <c r="A77" s="3">
        <v>3080107017</v>
      </c>
      <c r="B77" s="4" t="s">
        <v>69</v>
      </c>
      <c r="C77" s="4" t="s">
        <v>251</v>
      </c>
      <c r="D77" s="3">
        <v>4</v>
      </c>
      <c r="E77" s="3" t="s">
        <v>16</v>
      </c>
      <c r="F77" s="3" t="s">
        <v>289</v>
      </c>
      <c r="G77" s="3" t="s">
        <v>23</v>
      </c>
      <c r="H77" s="3" t="s">
        <v>249</v>
      </c>
    </row>
    <row r="78" spans="1:8" x14ac:dyDescent="0.2">
      <c r="A78" s="3">
        <v>3080107017</v>
      </c>
      <c r="B78" s="4" t="s">
        <v>69</v>
      </c>
      <c r="C78" s="4" t="s">
        <v>251</v>
      </c>
      <c r="D78" s="3">
        <v>2</v>
      </c>
      <c r="E78" s="3" t="s">
        <v>16</v>
      </c>
      <c r="F78" s="3" t="s">
        <v>289</v>
      </c>
      <c r="G78" s="3" t="s">
        <v>23</v>
      </c>
      <c r="H78" s="3" t="s">
        <v>249</v>
      </c>
    </row>
    <row r="79" spans="1:8" x14ac:dyDescent="0.2">
      <c r="A79" s="3">
        <v>3060309001</v>
      </c>
      <c r="B79" s="4" t="s">
        <v>252</v>
      </c>
      <c r="C79" s="4" t="s">
        <v>253</v>
      </c>
      <c r="D79" s="3">
        <v>1</v>
      </c>
      <c r="E79" s="3" t="s">
        <v>16</v>
      </c>
      <c r="F79" s="3" t="s">
        <v>289</v>
      </c>
      <c r="G79" s="3" t="s">
        <v>23</v>
      </c>
      <c r="H79" s="3" t="s">
        <v>254</v>
      </c>
    </row>
    <row r="80" spans="1:8" x14ac:dyDescent="0.2">
      <c r="A80" s="3">
        <v>3060341001</v>
      </c>
      <c r="B80" s="4" t="s">
        <v>255</v>
      </c>
      <c r="C80" s="4" t="s">
        <v>256</v>
      </c>
      <c r="D80" s="3">
        <v>1</v>
      </c>
      <c r="E80" s="3" t="s">
        <v>16</v>
      </c>
      <c r="F80" s="3" t="s">
        <v>289</v>
      </c>
      <c r="G80" s="3" t="s">
        <v>23</v>
      </c>
      <c r="H80" s="3" t="s">
        <v>254</v>
      </c>
    </row>
    <row r="81" spans="1:8" x14ac:dyDescent="0.2">
      <c r="A81" s="3">
        <v>3040312007</v>
      </c>
      <c r="B81" s="4" t="s">
        <v>263</v>
      </c>
      <c r="C81" s="4" t="s">
        <v>264</v>
      </c>
      <c r="D81" s="3">
        <v>2</v>
      </c>
      <c r="E81" s="3" t="s">
        <v>16</v>
      </c>
      <c r="F81" s="3" t="s">
        <v>293</v>
      </c>
      <c r="G81" s="3" t="s">
        <v>29</v>
      </c>
      <c r="H81" s="3" t="s">
        <v>254</v>
      </c>
    </row>
    <row r="82" spans="1:8" x14ac:dyDescent="0.2">
      <c r="A82" s="3">
        <v>3040303001</v>
      </c>
      <c r="B82" s="4" t="s">
        <v>265</v>
      </c>
      <c r="C82" s="4" t="s">
        <v>266</v>
      </c>
      <c r="D82" s="3">
        <v>2</v>
      </c>
      <c r="E82" s="3" t="s">
        <v>16</v>
      </c>
      <c r="F82" s="3" t="s">
        <v>293</v>
      </c>
      <c r="G82" s="3" t="s">
        <v>29</v>
      </c>
      <c r="H82" s="3" t="s">
        <v>254</v>
      </c>
    </row>
    <row r="83" spans="1:8" x14ac:dyDescent="0.2">
      <c r="A83" s="3">
        <v>3040320003</v>
      </c>
      <c r="B83" s="4" t="s">
        <v>269</v>
      </c>
      <c r="C83" s="4" t="s">
        <v>270</v>
      </c>
      <c r="D83" s="3">
        <v>2</v>
      </c>
      <c r="E83" s="3" t="s">
        <v>16</v>
      </c>
      <c r="F83" s="3" t="s">
        <v>293</v>
      </c>
      <c r="G83" s="3" t="s">
        <v>29</v>
      </c>
      <c r="H83" s="3" t="s">
        <v>254</v>
      </c>
    </row>
    <row r="84" spans="1:8" x14ac:dyDescent="0.2">
      <c r="A84" s="3">
        <v>3040314001</v>
      </c>
      <c r="B84" s="4" t="s">
        <v>271</v>
      </c>
      <c r="C84" s="4" t="s">
        <v>272</v>
      </c>
      <c r="D84" s="3">
        <v>2</v>
      </c>
      <c r="E84" s="3" t="s">
        <v>16</v>
      </c>
      <c r="F84" s="3" t="s">
        <v>293</v>
      </c>
      <c r="G84" s="3" t="s">
        <v>29</v>
      </c>
      <c r="H84" s="3" t="s">
        <v>254</v>
      </c>
    </row>
  </sheetData>
  <phoneticPr fontId="2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3E9C4-DAF2-4009-871C-48996E4E144F}">
  <dimension ref="A1:H101"/>
  <sheetViews>
    <sheetView workbookViewId="0">
      <selection activeCell="D3" sqref="D3"/>
    </sheetView>
  </sheetViews>
  <sheetFormatPr defaultRowHeight="14.25" x14ac:dyDescent="0.2"/>
  <cols>
    <col min="1" max="1" width="13" customWidth="1"/>
    <col min="2" max="3" width="13.625" customWidth="1"/>
  </cols>
  <sheetData>
    <row r="1" spans="1:8" x14ac:dyDescent="0.2">
      <c r="A1" s="3" t="s">
        <v>1152</v>
      </c>
      <c r="B1" s="4"/>
      <c r="C1" s="4"/>
      <c r="D1" s="3"/>
      <c r="E1" s="3"/>
      <c r="F1" s="3"/>
      <c r="G1" s="3"/>
      <c r="H1" s="3"/>
    </row>
    <row r="2" spans="1:8" ht="28.5" x14ac:dyDescent="0.2">
      <c r="A2" s="1" t="s">
        <v>0</v>
      </c>
      <c r="B2" s="2" t="s">
        <v>1</v>
      </c>
      <c r="C2" s="2" t="s">
        <v>2</v>
      </c>
      <c r="D2" s="1" t="s">
        <v>4</v>
      </c>
      <c r="E2" s="1" t="s">
        <v>3</v>
      </c>
      <c r="F2" s="1" t="s">
        <v>5</v>
      </c>
      <c r="G2" s="1" t="s">
        <v>6</v>
      </c>
      <c r="H2" s="1" t="s">
        <v>7</v>
      </c>
    </row>
    <row r="3" spans="1:8" s="10" customFormat="1" x14ac:dyDescent="0.2">
      <c r="A3" s="8" t="s">
        <v>390</v>
      </c>
      <c r="B3" s="9" t="s">
        <v>8</v>
      </c>
      <c r="C3" s="9" t="s">
        <v>9</v>
      </c>
      <c r="D3" s="13">
        <f>0.2623/0.94</f>
        <v>0.27904255319148935</v>
      </c>
      <c r="E3" s="8" t="s">
        <v>596</v>
      </c>
      <c r="F3" s="8" t="s">
        <v>283</v>
      </c>
      <c r="G3" s="8" t="s">
        <v>13</v>
      </c>
      <c r="H3" s="8" t="s">
        <v>12</v>
      </c>
    </row>
    <row r="4" spans="1:8" x14ac:dyDescent="0.2">
      <c r="A4" s="3">
        <v>402030028</v>
      </c>
      <c r="B4" s="4" t="s">
        <v>107</v>
      </c>
      <c r="C4" s="4" t="s">
        <v>305</v>
      </c>
      <c r="D4" s="3">
        <v>1</v>
      </c>
      <c r="E4" s="3" t="s">
        <v>16</v>
      </c>
      <c r="F4" s="3" t="s">
        <v>289</v>
      </c>
      <c r="G4" s="3" t="s">
        <v>23</v>
      </c>
      <c r="H4" s="3" t="s">
        <v>306</v>
      </c>
    </row>
    <row r="5" spans="1:8" x14ac:dyDescent="0.2">
      <c r="A5" s="3">
        <v>3060503002</v>
      </c>
      <c r="B5" s="4" t="s">
        <v>21</v>
      </c>
      <c r="C5" s="4" t="s">
        <v>22</v>
      </c>
      <c r="D5" s="3">
        <v>1</v>
      </c>
      <c r="E5" s="3" t="s">
        <v>16</v>
      </c>
      <c r="F5" s="3" t="s">
        <v>289</v>
      </c>
      <c r="G5" s="3" t="s">
        <v>23</v>
      </c>
      <c r="H5" s="3" t="s">
        <v>18</v>
      </c>
    </row>
    <row r="6" spans="1:8" x14ac:dyDescent="0.2">
      <c r="A6" s="3">
        <v>3040207001</v>
      </c>
      <c r="B6" s="4" t="s">
        <v>665</v>
      </c>
      <c r="C6" s="4" t="s">
        <v>666</v>
      </c>
      <c r="D6" s="3">
        <v>2</v>
      </c>
      <c r="E6" s="3" t="s">
        <v>16</v>
      </c>
      <c r="F6" s="3" t="s">
        <v>293</v>
      </c>
      <c r="G6" s="3" t="s">
        <v>29</v>
      </c>
      <c r="H6" s="3" t="s">
        <v>18</v>
      </c>
    </row>
    <row r="7" spans="1:8" x14ac:dyDescent="0.2">
      <c r="A7" s="3">
        <v>404090303</v>
      </c>
      <c r="B7" s="4" t="s">
        <v>30</v>
      </c>
      <c r="C7" s="4" t="s">
        <v>1149</v>
      </c>
      <c r="D7" s="3">
        <v>1</v>
      </c>
      <c r="E7" s="3" t="s">
        <v>16</v>
      </c>
      <c r="F7" s="3" t="s">
        <v>301</v>
      </c>
      <c r="G7" s="3" t="s">
        <v>32</v>
      </c>
      <c r="H7" s="3" t="s">
        <v>33</v>
      </c>
    </row>
    <row r="8" spans="1:8" x14ac:dyDescent="0.2">
      <c r="A8" s="3">
        <v>404090222</v>
      </c>
      <c r="B8" s="4" t="s">
        <v>30</v>
      </c>
      <c r="C8" s="4" t="s">
        <v>1140</v>
      </c>
      <c r="D8" s="3">
        <v>1</v>
      </c>
      <c r="E8" s="3" t="s">
        <v>16</v>
      </c>
      <c r="F8" s="3" t="s">
        <v>301</v>
      </c>
      <c r="G8" s="3" t="s">
        <v>32</v>
      </c>
      <c r="H8" s="3" t="s">
        <v>33</v>
      </c>
    </row>
    <row r="9" spans="1:8" x14ac:dyDescent="0.2">
      <c r="A9" s="3">
        <v>404020029</v>
      </c>
      <c r="B9" s="4" t="s">
        <v>30</v>
      </c>
      <c r="C9" s="4" t="s">
        <v>31</v>
      </c>
      <c r="D9" s="3">
        <v>1</v>
      </c>
      <c r="E9" s="3" t="s">
        <v>16</v>
      </c>
      <c r="F9" s="3" t="s">
        <v>301</v>
      </c>
      <c r="G9" s="3" t="s">
        <v>32</v>
      </c>
      <c r="H9" s="3" t="s">
        <v>33</v>
      </c>
    </row>
    <row r="10" spans="1:8" x14ac:dyDescent="0.2">
      <c r="A10" s="3">
        <v>404020033</v>
      </c>
      <c r="B10" s="4" t="s">
        <v>30</v>
      </c>
      <c r="C10" s="4" t="s">
        <v>692</v>
      </c>
      <c r="D10" s="3">
        <v>1</v>
      </c>
      <c r="E10" s="3" t="s">
        <v>16</v>
      </c>
      <c r="F10" s="3" t="s">
        <v>301</v>
      </c>
      <c r="G10" s="3" t="s">
        <v>32</v>
      </c>
      <c r="H10" s="3" t="s">
        <v>33</v>
      </c>
    </row>
    <row r="11" spans="1:8" x14ac:dyDescent="0.2">
      <c r="A11" s="3">
        <v>404020029</v>
      </c>
      <c r="B11" s="4" t="s">
        <v>30</v>
      </c>
      <c r="C11" s="4" t="s">
        <v>31</v>
      </c>
      <c r="D11" s="3">
        <v>2</v>
      </c>
      <c r="E11" s="3" t="s">
        <v>16</v>
      </c>
      <c r="F11" s="3" t="s">
        <v>301</v>
      </c>
      <c r="G11" s="3" t="s">
        <v>32</v>
      </c>
      <c r="H11" s="3" t="s">
        <v>33</v>
      </c>
    </row>
    <row r="12" spans="1:8" x14ac:dyDescent="0.2">
      <c r="A12" s="3">
        <v>401020327</v>
      </c>
      <c r="B12" s="4" t="s">
        <v>35</v>
      </c>
      <c r="C12" s="4" t="s">
        <v>1150</v>
      </c>
      <c r="D12" s="3">
        <v>1</v>
      </c>
      <c r="E12" s="3" t="s">
        <v>16</v>
      </c>
      <c r="F12" s="3" t="s">
        <v>301</v>
      </c>
      <c r="G12" s="3" t="s">
        <v>32</v>
      </c>
      <c r="H12" s="3" t="s">
        <v>33</v>
      </c>
    </row>
    <row r="13" spans="1:8" x14ac:dyDescent="0.2">
      <c r="A13" s="3">
        <v>401040005</v>
      </c>
      <c r="B13" s="4" t="s">
        <v>35</v>
      </c>
      <c r="C13" s="4" t="s">
        <v>753</v>
      </c>
      <c r="D13" s="3">
        <v>1</v>
      </c>
      <c r="E13" s="3" t="s">
        <v>16</v>
      </c>
      <c r="F13" s="3" t="s">
        <v>293</v>
      </c>
      <c r="G13" s="3" t="s">
        <v>29</v>
      </c>
      <c r="H13" s="3" t="s">
        <v>33</v>
      </c>
    </row>
    <row r="14" spans="1:8" x14ac:dyDescent="0.2">
      <c r="A14" s="3">
        <v>401040028</v>
      </c>
      <c r="B14" s="4" t="s">
        <v>35</v>
      </c>
      <c r="C14" s="4" t="s">
        <v>37</v>
      </c>
      <c r="D14" s="3">
        <v>1</v>
      </c>
      <c r="E14" s="3" t="s">
        <v>16</v>
      </c>
      <c r="F14" s="3" t="s">
        <v>291</v>
      </c>
      <c r="G14" s="3" t="s">
        <v>26</v>
      </c>
      <c r="H14" s="3" t="s">
        <v>33</v>
      </c>
    </row>
    <row r="15" spans="1:8" x14ac:dyDescent="0.2">
      <c r="A15" s="3">
        <v>409010006</v>
      </c>
      <c r="B15" s="4" t="s">
        <v>668</v>
      </c>
      <c r="C15" s="4" t="s">
        <v>669</v>
      </c>
      <c r="D15" s="3">
        <v>1</v>
      </c>
      <c r="E15" s="3" t="s">
        <v>16</v>
      </c>
      <c r="F15" s="3" t="s">
        <v>291</v>
      </c>
      <c r="G15" s="3" t="s">
        <v>26</v>
      </c>
      <c r="H15" s="3" t="s">
        <v>40</v>
      </c>
    </row>
    <row r="16" spans="1:8" x14ac:dyDescent="0.2">
      <c r="A16" s="3">
        <v>409010007</v>
      </c>
      <c r="B16" s="4" t="s">
        <v>670</v>
      </c>
      <c r="C16" s="4" t="s">
        <v>671</v>
      </c>
      <c r="D16" s="3">
        <v>1</v>
      </c>
      <c r="E16" s="3" t="s">
        <v>16</v>
      </c>
      <c r="F16" s="3" t="s">
        <v>291</v>
      </c>
      <c r="G16" s="3" t="s">
        <v>26</v>
      </c>
      <c r="H16" s="3" t="s">
        <v>40</v>
      </c>
    </row>
    <row r="17" spans="1:8" x14ac:dyDescent="0.2">
      <c r="A17" s="3">
        <v>409010058</v>
      </c>
      <c r="B17" s="4" t="s">
        <v>672</v>
      </c>
      <c r="C17" s="4" t="s">
        <v>673</v>
      </c>
      <c r="D17" s="3">
        <v>1</v>
      </c>
      <c r="E17" s="3" t="s">
        <v>16</v>
      </c>
      <c r="F17" s="3" t="s">
        <v>291</v>
      </c>
      <c r="G17" s="3" t="s">
        <v>26</v>
      </c>
      <c r="H17" s="3" t="s">
        <v>40</v>
      </c>
    </row>
    <row r="18" spans="1:8" x14ac:dyDescent="0.2">
      <c r="A18" s="3">
        <v>3080102003</v>
      </c>
      <c r="B18" s="4" t="s">
        <v>38</v>
      </c>
      <c r="C18" s="4" t="s">
        <v>39</v>
      </c>
      <c r="D18" s="3">
        <v>1</v>
      </c>
      <c r="E18" s="3" t="s">
        <v>16</v>
      </c>
      <c r="F18" s="3" t="s">
        <v>289</v>
      </c>
      <c r="G18" s="3" t="s">
        <v>23</v>
      </c>
      <c r="H18" s="3" t="s">
        <v>40</v>
      </c>
    </row>
    <row r="19" spans="1:8" x14ac:dyDescent="0.2">
      <c r="A19" s="3">
        <v>3080104020</v>
      </c>
      <c r="B19" s="4" t="s">
        <v>45</v>
      </c>
      <c r="C19" s="4" t="s">
        <v>46</v>
      </c>
      <c r="D19" s="3">
        <v>2</v>
      </c>
      <c r="E19" s="3" t="s">
        <v>16</v>
      </c>
      <c r="F19" s="3" t="s">
        <v>291</v>
      </c>
      <c r="G19" s="3" t="s">
        <v>26</v>
      </c>
      <c r="H19" s="3" t="s">
        <v>40</v>
      </c>
    </row>
    <row r="20" spans="1:8" x14ac:dyDescent="0.2">
      <c r="A20" s="3">
        <v>3080105007</v>
      </c>
      <c r="B20" s="4" t="s">
        <v>50</v>
      </c>
      <c r="C20" s="4" t="s">
        <v>52</v>
      </c>
      <c r="D20" s="3">
        <v>2</v>
      </c>
      <c r="E20" s="3" t="s">
        <v>16</v>
      </c>
      <c r="F20" s="3" t="s">
        <v>289</v>
      </c>
      <c r="G20" s="3" t="s">
        <v>23</v>
      </c>
      <c r="H20" s="3" t="s">
        <v>40</v>
      </c>
    </row>
    <row r="21" spans="1:8" x14ac:dyDescent="0.2">
      <c r="A21" s="3">
        <v>3080105114</v>
      </c>
      <c r="B21" s="4" t="s">
        <v>50</v>
      </c>
      <c r="C21" s="4" t="s">
        <v>53</v>
      </c>
      <c r="D21" s="3">
        <v>4</v>
      </c>
      <c r="E21" s="3" t="s">
        <v>16</v>
      </c>
      <c r="F21" s="3" t="s">
        <v>289</v>
      </c>
      <c r="G21" s="3" t="s">
        <v>23</v>
      </c>
      <c r="H21" s="3" t="s">
        <v>40</v>
      </c>
    </row>
    <row r="22" spans="1:8" x14ac:dyDescent="0.2">
      <c r="A22" s="3">
        <v>3080105114</v>
      </c>
      <c r="B22" s="4" t="s">
        <v>50</v>
      </c>
      <c r="C22" s="4" t="s">
        <v>53</v>
      </c>
      <c r="D22" s="3">
        <v>4</v>
      </c>
      <c r="E22" s="3" t="s">
        <v>16</v>
      </c>
      <c r="F22" s="3" t="s">
        <v>289</v>
      </c>
      <c r="G22" s="3" t="s">
        <v>23</v>
      </c>
      <c r="H22" s="3" t="s">
        <v>40</v>
      </c>
    </row>
    <row r="23" spans="1:8" x14ac:dyDescent="0.2">
      <c r="A23" s="3">
        <v>3080105007</v>
      </c>
      <c r="B23" s="4" t="s">
        <v>50</v>
      </c>
      <c r="C23" s="4" t="s">
        <v>52</v>
      </c>
      <c r="D23" s="3">
        <v>8</v>
      </c>
      <c r="E23" s="3" t="s">
        <v>16</v>
      </c>
      <c r="F23" s="3" t="s">
        <v>289</v>
      </c>
      <c r="G23" s="3" t="s">
        <v>23</v>
      </c>
      <c r="H23" s="3" t="s">
        <v>40</v>
      </c>
    </row>
    <row r="24" spans="1:8" x14ac:dyDescent="0.2">
      <c r="A24" s="3">
        <v>3080105007</v>
      </c>
      <c r="B24" s="4" t="s">
        <v>50</v>
      </c>
      <c r="C24" s="4" t="s">
        <v>52</v>
      </c>
      <c r="D24" s="3">
        <v>2</v>
      </c>
      <c r="E24" s="3" t="s">
        <v>16</v>
      </c>
      <c r="F24" s="3" t="s">
        <v>293</v>
      </c>
      <c r="G24" s="3" t="s">
        <v>29</v>
      </c>
      <c r="H24" s="3" t="s">
        <v>40</v>
      </c>
    </row>
    <row r="25" spans="1:8" x14ac:dyDescent="0.2">
      <c r="A25" s="3">
        <v>3080105013</v>
      </c>
      <c r="B25" s="4" t="s">
        <v>50</v>
      </c>
      <c r="C25" s="4" t="s">
        <v>51</v>
      </c>
      <c r="D25" s="3">
        <v>12</v>
      </c>
      <c r="E25" s="3" t="s">
        <v>16</v>
      </c>
      <c r="F25" s="3" t="s">
        <v>293</v>
      </c>
      <c r="G25" s="3" t="s">
        <v>29</v>
      </c>
      <c r="H25" s="3" t="s">
        <v>40</v>
      </c>
    </row>
    <row r="26" spans="1:8" x14ac:dyDescent="0.2">
      <c r="A26" s="3">
        <v>3080105121</v>
      </c>
      <c r="B26" s="4" t="s">
        <v>50</v>
      </c>
      <c r="C26" s="4" t="s">
        <v>316</v>
      </c>
      <c r="D26" s="3">
        <v>2</v>
      </c>
      <c r="E26" s="3" t="s">
        <v>16</v>
      </c>
      <c r="F26" s="3" t="s">
        <v>317</v>
      </c>
      <c r="G26" s="3" t="s">
        <v>318</v>
      </c>
      <c r="H26" s="3" t="s">
        <v>40</v>
      </c>
    </row>
    <row r="27" spans="1:8" x14ac:dyDescent="0.2">
      <c r="A27" s="3">
        <v>3080105021</v>
      </c>
      <c r="B27" s="4" t="s">
        <v>50</v>
      </c>
      <c r="C27" s="4" t="s">
        <v>319</v>
      </c>
      <c r="D27" s="3">
        <v>8</v>
      </c>
      <c r="E27" s="3" t="s">
        <v>16</v>
      </c>
      <c r="F27" s="3" t="s">
        <v>317</v>
      </c>
      <c r="G27" s="3" t="s">
        <v>318</v>
      </c>
      <c r="H27" s="3" t="s">
        <v>40</v>
      </c>
    </row>
    <row r="28" spans="1:8" x14ac:dyDescent="0.2">
      <c r="A28" s="3">
        <v>3080105111</v>
      </c>
      <c r="B28" s="4" t="s">
        <v>50</v>
      </c>
      <c r="C28" s="4" t="s">
        <v>599</v>
      </c>
      <c r="D28" s="3">
        <v>4</v>
      </c>
      <c r="E28" s="3" t="s">
        <v>16</v>
      </c>
      <c r="F28" s="3" t="s">
        <v>291</v>
      </c>
      <c r="G28" s="3" t="s">
        <v>26</v>
      </c>
      <c r="H28" s="3" t="s">
        <v>40</v>
      </c>
    </row>
    <row r="29" spans="1:8" x14ac:dyDescent="0.2">
      <c r="A29" s="3">
        <v>3080105013</v>
      </c>
      <c r="B29" s="4" t="s">
        <v>50</v>
      </c>
      <c r="C29" s="4" t="s">
        <v>51</v>
      </c>
      <c r="D29" s="3">
        <v>2</v>
      </c>
      <c r="E29" s="3" t="s">
        <v>16</v>
      </c>
      <c r="F29" s="3" t="s">
        <v>291</v>
      </c>
      <c r="G29" s="3" t="s">
        <v>26</v>
      </c>
      <c r="H29" s="3" t="s">
        <v>40</v>
      </c>
    </row>
    <row r="30" spans="1:8" x14ac:dyDescent="0.2">
      <c r="A30" s="3">
        <v>3080502002</v>
      </c>
      <c r="B30" s="4" t="s">
        <v>55</v>
      </c>
      <c r="C30" s="4" t="s">
        <v>56</v>
      </c>
      <c r="D30" s="3">
        <v>1</v>
      </c>
      <c r="E30" s="3" t="s">
        <v>16</v>
      </c>
      <c r="F30" s="3" t="s">
        <v>289</v>
      </c>
      <c r="G30" s="3" t="s">
        <v>23</v>
      </c>
      <c r="H30" s="3" t="s">
        <v>40</v>
      </c>
    </row>
    <row r="31" spans="1:8" x14ac:dyDescent="0.2">
      <c r="A31" s="3">
        <v>3080502002</v>
      </c>
      <c r="B31" s="4" t="s">
        <v>55</v>
      </c>
      <c r="C31" s="4" t="s">
        <v>56</v>
      </c>
      <c r="D31" s="3">
        <v>4</v>
      </c>
      <c r="E31" s="3" t="s">
        <v>16</v>
      </c>
      <c r="F31" s="3" t="s">
        <v>293</v>
      </c>
      <c r="G31" s="3" t="s">
        <v>29</v>
      </c>
      <c r="H31" s="3" t="s">
        <v>40</v>
      </c>
    </row>
    <row r="32" spans="1:8" x14ac:dyDescent="0.2">
      <c r="A32" s="3">
        <v>3080501013</v>
      </c>
      <c r="B32" s="4" t="s">
        <v>57</v>
      </c>
      <c r="C32" s="4" t="s">
        <v>58</v>
      </c>
      <c r="D32" s="3">
        <v>2</v>
      </c>
      <c r="E32" s="3" t="s">
        <v>16</v>
      </c>
      <c r="F32" s="3" t="s">
        <v>293</v>
      </c>
      <c r="G32" s="3" t="s">
        <v>29</v>
      </c>
      <c r="H32" s="3" t="s">
        <v>40</v>
      </c>
    </row>
    <row r="33" spans="1:8" x14ac:dyDescent="0.2">
      <c r="A33" s="3">
        <v>3080501003</v>
      </c>
      <c r="B33" s="4" t="s">
        <v>57</v>
      </c>
      <c r="C33" s="4" t="s">
        <v>630</v>
      </c>
      <c r="D33" s="3">
        <v>8</v>
      </c>
      <c r="E33" s="3" t="s">
        <v>16</v>
      </c>
      <c r="F33" s="3" t="s">
        <v>291</v>
      </c>
      <c r="G33" s="3" t="s">
        <v>26</v>
      </c>
      <c r="H33" s="3" t="s">
        <v>40</v>
      </c>
    </row>
    <row r="34" spans="1:8" x14ac:dyDescent="0.2">
      <c r="A34" s="3">
        <v>3080201012</v>
      </c>
      <c r="B34" s="4" t="s">
        <v>60</v>
      </c>
      <c r="C34" s="4" t="s">
        <v>320</v>
      </c>
      <c r="D34" s="3">
        <v>1</v>
      </c>
      <c r="E34" s="3" t="s">
        <v>16</v>
      </c>
      <c r="F34" s="3" t="s">
        <v>317</v>
      </c>
      <c r="G34" s="3" t="s">
        <v>318</v>
      </c>
      <c r="H34" s="3" t="s">
        <v>40</v>
      </c>
    </row>
    <row r="35" spans="1:8" x14ac:dyDescent="0.2">
      <c r="A35" s="3">
        <v>3080201004</v>
      </c>
      <c r="B35" s="4" t="s">
        <v>60</v>
      </c>
      <c r="C35" s="4" t="s">
        <v>61</v>
      </c>
      <c r="D35" s="3">
        <v>4</v>
      </c>
      <c r="E35" s="3" t="s">
        <v>16</v>
      </c>
      <c r="F35" s="3" t="s">
        <v>291</v>
      </c>
      <c r="G35" s="3" t="s">
        <v>26</v>
      </c>
      <c r="H35" s="3" t="s">
        <v>40</v>
      </c>
    </row>
    <row r="36" spans="1:8" x14ac:dyDescent="0.2">
      <c r="A36" s="3">
        <v>3080107038</v>
      </c>
      <c r="B36" s="4" t="s">
        <v>69</v>
      </c>
      <c r="C36" s="4" t="s">
        <v>72</v>
      </c>
      <c r="D36" s="3">
        <v>2</v>
      </c>
      <c r="E36" s="3" t="s">
        <v>16</v>
      </c>
      <c r="F36" s="3" t="s">
        <v>289</v>
      </c>
      <c r="G36" s="3" t="s">
        <v>23</v>
      </c>
      <c r="H36" s="3" t="s">
        <v>40</v>
      </c>
    </row>
    <row r="37" spans="1:8" x14ac:dyDescent="0.2">
      <c r="A37" s="3">
        <v>3080107130</v>
      </c>
      <c r="B37" s="4" t="s">
        <v>69</v>
      </c>
      <c r="C37" s="4" t="s">
        <v>70</v>
      </c>
      <c r="D37" s="3">
        <v>4</v>
      </c>
      <c r="E37" s="3" t="s">
        <v>16</v>
      </c>
      <c r="F37" s="3" t="s">
        <v>293</v>
      </c>
      <c r="G37" s="3" t="s">
        <v>29</v>
      </c>
      <c r="H37" s="3" t="s">
        <v>40</v>
      </c>
    </row>
    <row r="38" spans="1:8" x14ac:dyDescent="0.2">
      <c r="A38" s="3">
        <v>3080107035</v>
      </c>
      <c r="B38" s="4" t="s">
        <v>69</v>
      </c>
      <c r="C38" s="4" t="s">
        <v>675</v>
      </c>
      <c r="D38" s="3">
        <v>4</v>
      </c>
      <c r="E38" s="3" t="s">
        <v>16</v>
      </c>
      <c r="F38" s="3" t="s">
        <v>293</v>
      </c>
      <c r="G38" s="3" t="s">
        <v>29</v>
      </c>
      <c r="H38" s="3" t="s">
        <v>40</v>
      </c>
    </row>
    <row r="39" spans="1:8" x14ac:dyDescent="0.2">
      <c r="A39" s="3">
        <v>3080107059</v>
      </c>
      <c r="B39" s="4" t="s">
        <v>69</v>
      </c>
      <c r="C39" s="4" t="s">
        <v>321</v>
      </c>
      <c r="D39" s="3">
        <v>1</v>
      </c>
      <c r="E39" s="3" t="s">
        <v>16</v>
      </c>
      <c r="F39" s="3" t="s">
        <v>317</v>
      </c>
      <c r="G39" s="3" t="s">
        <v>318</v>
      </c>
      <c r="H39" s="3" t="s">
        <v>40</v>
      </c>
    </row>
    <row r="40" spans="1:8" x14ac:dyDescent="0.2">
      <c r="A40" s="3">
        <v>3080107014</v>
      </c>
      <c r="B40" s="4" t="s">
        <v>69</v>
      </c>
      <c r="C40" s="4" t="s">
        <v>322</v>
      </c>
      <c r="D40" s="3">
        <v>2</v>
      </c>
      <c r="E40" s="3" t="s">
        <v>16</v>
      </c>
      <c r="F40" s="3" t="s">
        <v>317</v>
      </c>
      <c r="G40" s="3" t="s">
        <v>318</v>
      </c>
      <c r="H40" s="3" t="s">
        <v>40</v>
      </c>
    </row>
    <row r="41" spans="1:8" x14ac:dyDescent="0.2">
      <c r="A41" s="3">
        <v>3080107024</v>
      </c>
      <c r="B41" s="4" t="s">
        <v>69</v>
      </c>
      <c r="C41" s="4" t="s">
        <v>1143</v>
      </c>
      <c r="D41" s="3">
        <v>4</v>
      </c>
      <c r="E41" s="3" t="s">
        <v>16</v>
      </c>
      <c r="F41" s="3" t="s">
        <v>291</v>
      </c>
      <c r="G41" s="3" t="s">
        <v>26</v>
      </c>
      <c r="H41" s="3" t="s">
        <v>40</v>
      </c>
    </row>
    <row r="42" spans="1:8" x14ac:dyDescent="0.2">
      <c r="A42" s="3">
        <v>3080107015</v>
      </c>
      <c r="B42" s="4" t="s">
        <v>69</v>
      </c>
      <c r="C42" s="4" t="s">
        <v>73</v>
      </c>
      <c r="D42" s="3">
        <v>6</v>
      </c>
      <c r="E42" s="3" t="s">
        <v>16</v>
      </c>
      <c r="F42" s="3" t="s">
        <v>291</v>
      </c>
      <c r="G42" s="3" t="s">
        <v>26</v>
      </c>
      <c r="H42" s="3" t="s">
        <v>40</v>
      </c>
    </row>
    <row r="43" spans="1:8" x14ac:dyDescent="0.2">
      <c r="A43" s="3">
        <v>3080108019</v>
      </c>
      <c r="B43" s="4" t="s">
        <v>77</v>
      </c>
      <c r="C43" s="4" t="s">
        <v>325</v>
      </c>
      <c r="D43" s="3">
        <v>2</v>
      </c>
      <c r="E43" s="3" t="s">
        <v>16</v>
      </c>
      <c r="F43" s="3" t="s">
        <v>317</v>
      </c>
      <c r="G43" s="3" t="s">
        <v>318</v>
      </c>
      <c r="H43" s="3" t="s">
        <v>40</v>
      </c>
    </row>
    <row r="44" spans="1:8" x14ac:dyDescent="0.2">
      <c r="A44" s="3">
        <v>3080111087</v>
      </c>
      <c r="B44" s="4" t="s">
        <v>79</v>
      </c>
      <c r="C44" s="4" t="s">
        <v>80</v>
      </c>
      <c r="D44" s="3">
        <v>18</v>
      </c>
      <c r="E44" s="3" t="s">
        <v>16</v>
      </c>
      <c r="F44" s="3" t="s">
        <v>291</v>
      </c>
      <c r="G44" s="3" t="s">
        <v>26</v>
      </c>
      <c r="H44" s="3" t="s">
        <v>40</v>
      </c>
    </row>
    <row r="45" spans="1:8" x14ac:dyDescent="0.2">
      <c r="A45" s="3">
        <v>3080111087</v>
      </c>
      <c r="B45" s="4" t="s">
        <v>79</v>
      </c>
      <c r="C45" s="4" t="s">
        <v>80</v>
      </c>
      <c r="D45" s="3">
        <v>1</v>
      </c>
      <c r="E45" s="3" t="s">
        <v>16</v>
      </c>
      <c r="F45" s="3" t="s">
        <v>291</v>
      </c>
      <c r="G45" s="3" t="s">
        <v>26</v>
      </c>
      <c r="H45" s="3" t="s">
        <v>40</v>
      </c>
    </row>
    <row r="46" spans="1:8" x14ac:dyDescent="0.2">
      <c r="A46" s="3">
        <v>3030101028</v>
      </c>
      <c r="B46" s="4" t="s">
        <v>636</v>
      </c>
      <c r="C46" s="4" t="s">
        <v>1144</v>
      </c>
      <c r="D46" s="3">
        <v>1</v>
      </c>
      <c r="E46" s="3" t="s">
        <v>16</v>
      </c>
      <c r="F46" s="3" t="s">
        <v>291</v>
      </c>
      <c r="G46" s="3" t="s">
        <v>26</v>
      </c>
      <c r="H46" s="3" t="s">
        <v>88</v>
      </c>
    </row>
    <row r="47" spans="1:8" x14ac:dyDescent="0.2">
      <c r="A47" s="3">
        <v>3099991203</v>
      </c>
      <c r="B47" s="4" t="s">
        <v>101</v>
      </c>
      <c r="C47" s="4" t="s">
        <v>102</v>
      </c>
      <c r="D47" s="3">
        <v>1</v>
      </c>
      <c r="E47" s="3" t="s">
        <v>16</v>
      </c>
      <c r="F47" s="3" t="s">
        <v>289</v>
      </c>
      <c r="G47" s="3" t="s">
        <v>23</v>
      </c>
      <c r="H47" s="3" t="s">
        <v>103</v>
      </c>
    </row>
    <row r="48" spans="1:8" x14ac:dyDescent="0.2">
      <c r="A48" s="3">
        <v>3099990101</v>
      </c>
      <c r="B48" s="4" t="s">
        <v>104</v>
      </c>
      <c r="C48" s="4" t="s">
        <v>105</v>
      </c>
      <c r="D48" s="3">
        <v>1</v>
      </c>
      <c r="E48" s="3" t="s">
        <v>16</v>
      </c>
      <c r="F48" s="3" t="s">
        <v>299</v>
      </c>
      <c r="G48" s="3" t="s">
        <v>106</v>
      </c>
      <c r="H48" s="3" t="s">
        <v>103</v>
      </c>
    </row>
    <row r="49" spans="1:8" x14ac:dyDescent="0.2">
      <c r="A49" s="3">
        <v>402030027</v>
      </c>
      <c r="B49" s="4" t="s">
        <v>107</v>
      </c>
      <c r="C49" s="4" t="s">
        <v>110</v>
      </c>
      <c r="D49" s="3">
        <v>1</v>
      </c>
      <c r="E49" s="3" t="s">
        <v>16</v>
      </c>
      <c r="F49" s="3" t="s">
        <v>291</v>
      </c>
      <c r="G49" s="3" t="s">
        <v>26</v>
      </c>
      <c r="H49" s="3" t="s">
        <v>109</v>
      </c>
    </row>
    <row r="50" spans="1:8" x14ac:dyDescent="0.2">
      <c r="A50" s="3">
        <v>402020006</v>
      </c>
      <c r="B50" s="4" t="s">
        <v>111</v>
      </c>
      <c r="C50" s="4" t="s">
        <v>112</v>
      </c>
      <c r="D50" s="3">
        <v>2</v>
      </c>
      <c r="E50" s="3" t="s">
        <v>16</v>
      </c>
      <c r="F50" s="3" t="s">
        <v>293</v>
      </c>
      <c r="G50" s="3" t="s">
        <v>29</v>
      </c>
      <c r="H50" s="3" t="s">
        <v>109</v>
      </c>
    </row>
    <row r="51" spans="1:8" x14ac:dyDescent="0.2">
      <c r="A51" s="3">
        <v>3060209002</v>
      </c>
      <c r="B51" s="4" t="s">
        <v>113</v>
      </c>
      <c r="C51" s="4" t="s">
        <v>114</v>
      </c>
      <c r="D51" s="3">
        <v>2</v>
      </c>
      <c r="E51" s="3" t="s">
        <v>16</v>
      </c>
      <c r="F51" s="3" t="s">
        <v>289</v>
      </c>
      <c r="G51" s="3" t="s">
        <v>23</v>
      </c>
      <c r="H51" s="3" t="s">
        <v>115</v>
      </c>
    </row>
    <row r="52" spans="1:8" x14ac:dyDescent="0.2">
      <c r="A52" s="3">
        <v>3040113002</v>
      </c>
      <c r="B52" s="4" t="s">
        <v>118</v>
      </c>
      <c r="C52" s="4" t="s">
        <v>119</v>
      </c>
      <c r="D52" s="3">
        <v>2</v>
      </c>
      <c r="E52" s="3" t="s">
        <v>16</v>
      </c>
      <c r="F52" s="3" t="s">
        <v>293</v>
      </c>
      <c r="G52" s="3" t="s">
        <v>29</v>
      </c>
      <c r="H52" s="3" t="s">
        <v>115</v>
      </c>
    </row>
    <row r="53" spans="1:8" x14ac:dyDescent="0.2">
      <c r="A53" s="3">
        <v>3070104005</v>
      </c>
      <c r="B53" s="4" t="s">
        <v>128</v>
      </c>
      <c r="C53" s="4" t="s">
        <v>330</v>
      </c>
      <c r="D53" s="3">
        <v>1</v>
      </c>
      <c r="E53" s="3" t="s">
        <v>16</v>
      </c>
      <c r="F53" s="3" t="s">
        <v>317</v>
      </c>
      <c r="G53" s="3" t="s">
        <v>318</v>
      </c>
      <c r="H53" s="3" t="s">
        <v>115</v>
      </c>
    </row>
    <row r="54" spans="1:8" x14ac:dyDescent="0.2">
      <c r="A54" s="3">
        <v>3070104001</v>
      </c>
      <c r="B54" s="4" t="s">
        <v>331</v>
      </c>
      <c r="C54" s="4" t="s">
        <v>332</v>
      </c>
      <c r="D54" s="3">
        <v>1</v>
      </c>
      <c r="E54" s="3" t="s">
        <v>16</v>
      </c>
      <c r="F54" s="3" t="s">
        <v>317</v>
      </c>
      <c r="G54" s="3" t="s">
        <v>318</v>
      </c>
      <c r="H54" s="3" t="s">
        <v>115</v>
      </c>
    </row>
    <row r="55" spans="1:8" x14ac:dyDescent="0.2">
      <c r="A55" s="3">
        <v>3060201006</v>
      </c>
      <c r="B55" s="4" t="s">
        <v>663</v>
      </c>
      <c r="C55" s="4" t="s">
        <v>1145</v>
      </c>
      <c r="D55" s="3">
        <v>1</v>
      </c>
      <c r="E55" s="3" t="s">
        <v>16</v>
      </c>
      <c r="F55" s="3" t="s">
        <v>289</v>
      </c>
      <c r="G55" s="3" t="s">
        <v>23</v>
      </c>
      <c r="H55" s="3" t="s">
        <v>132</v>
      </c>
    </row>
    <row r="56" spans="1:8" x14ac:dyDescent="0.2">
      <c r="A56" s="3">
        <v>3040502040</v>
      </c>
      <c r="B56" s="4" t="s">
        <v>136</v>
      </c>
      <c r="C56" s="4" t="s">
        <v>679</v>
      </c>
      <c r="D56" s="3">
        <v>1</v>
      </c>
      <c r="E56" s="3" t="s">
        <v>16</v>
      </c>
      <c r="F56" s="3" t="s">
        <v>293</v>
      </c>
      <c r="G56" s="3" t="s">
        <v>29</v>
      </c>
      <c r="H56" s="3" t="s">
        <v>138</v>
      </c>
    </row>
    <row r="57" spans="1:8" x14ac:dyDescent="0.2">
      <c r="A57" s="3">
        <v>3040502001</v>
      </c>
      <c r="B57" s="4" t="s">
        <v>136</v>
      </c>
      <c r="C57" s="4" t="s">
        <v>678</v>
      </c>
      <c r="D57" s="3">
        <v>1</v>
      </c>
      <c r="E57" s="3" t="s">
        <v>16</v>
      </c>
      <c r="F57" s="3" t="s">
        <v>293</v>
      </c>
      <c r="G57" s="3" t="s">
        <v>29</v>
      </c>
      <c r="H57" s="3" t="s">
        <v>138</v>
      </c>
    </row>
    <row r="58" spans="1:8" x14ac:dyDescent="0.2">
      <c r="A58" s="3">
        <v>3990207001</v>
      </c>
      <c r="B58" s="4" t="s">
        <v>140</v>
      </c>
      <c r="C58" s="4" t="s">
        <v>141</v>
      </c>
      <c r="D58" s="3">
        <v>1</v>
      </c>
      <c r="E58" s="3" t="s">
        <v>16</v>
      </c>
      <c r="F58" s="3" t="s">
        <v>285</v>
      </c>
      <c r="G58" s="3" t="s">
        <v>142</v>
      </c>
      <c r="H58" s="3" t="s">
        <v>143</v>
      </c>
    </row>
    <row r="59" spans="1:8" x14ac:dyDescent="0.2">
      <c r="A59" s="3">
        <v>3990204002</v>
      </c>
      <c r="B59" s="4" t="s">
        <v>333</v>
      </c>
      <c r="C59" s="4" t="s">
        <v>334</v>
      </c>
      <c r="D59" s="3">
        <v>1</v>
      </c>
      <c r="E59" s="3" t="s">
        <v>16</v>
      </c>
      <c r="F59" s="3" t="s">
        <v>335</v>
      </c>
      <c r="G59" s="3" t="s">
        <v>336</v>
      </c>
      <c r="H59" s="3" t="s">
        <v>143</v>
      </c>
    </row>
    <row r="60" spans="1:8" x14ac:dyDescent="0.2">
      <c r="A60" s="3">
        <v>3990205001</v>
      </c>
      <c r="B60" s="4" t="s">
        <v>146</v>
      </c>
      <c r="C60" s="4" t="s">
        <v>147</v>
      </c>
      <c r="D60" s="3">
        <v>1</v>
      </c>
      <c r="E60" s="3" t="s">
        <v>16</v>
      </c>
      <c r="F60" s="3" t="s">
        <v>287</v>
      </c>
      <c r="G60" s="3" t="s">
        <v>148</v>
      </c>
      <c r="H60" s="3" t="s">
        <v>143</v>
      </c>
    </row>
    <row r="61" spans="1:8" x14ac:dyDescent="0.2">
      <c r="A61" s="3">
        <v>407020012</v>
      </c>
      <c r="B61" s="4" t="s">
        <v>680</v>
      </c>
      <c r="C61" s="4" t="s">
        <v>695</v>
      </c>
      <c r="D61" s="3">
        <v>1</v>
      </c>
      <c r="E61" s="3" t="s">
        <v>16</v>
      </c>
      <c r="F61" s="3" t="s">
        <v>289</v>
      </c>
      <c r="G61" s="3" t="s">
        <v>23</v>
      </c>
      <c r="H61" s="3" t="s">
        <v>151</v>
      </c>
    </row>
    <row r="62" spans="1:8" x14ac:dyDescent="0.2">
      <c r="A62" s="3">
        <v>3070103002</v>
      </c>
      <c r="B62" s="4" t="s">
        <v>152</v>
      </c>
      <c r="C62" s="4" t="s">
        <v>153</v>
      </c>
      <c r="D62" s="3">
        <v>1</v>
      </c>
      <c r="E62" s="3" t="s">
        <v>16</v>
      </c>
      <c r="F62" s="3" t="s">
        <v>289</v>
      </c>
      <c r="G62" s="3" t="s">
        <v>23</v>
      </c>
      <c r="H62" s="3" t="s">
        <v>154</v>
      </c>
    </row>
    <row r="63" spans="1:8" x14ac:dyDescent="0.2">
      <c r="A63" s="3">
        <v>3040211002</v>
      </c>
      <c r="B63" s="4" t="s">
        <v>157</v>
      </c>
      <c r="C63" s="4" t="s">
        <v>158</v>
      </c>
      <c r="D63" s="3">
        <v>2</v>
      </c>
      <c r="E63" s="3" t="s">
        <v>16</v>
      </c>
      <c r="F63" s="3" t="s">
        <v>293</v>
      </c>
      <c r="G63" s="3" t="s">
        <v>29</v>
      </c>
      <c r="H63" s="3" t="s">
        <v>154</v>
      </c>
    </row>
    <row r="64" spans="1:8" x14ac:dyDescent="0.2">
      <c r="A64" s="3">
        <v>3040217003</v>
      </c>
      <c r="B64" s="4" t="s">
        <v>159</v>
      </c>
      <c r="C64" s="4" t="s">
        <v>160</v>
      </c>
      <c r="D64" s="3">
        <v>2</v>
      </c>
      <c r="E64" s="3" t="s">
        <v>16</v>
      </c>
      <c r="F64" s="3" t="s">
        <v>293</v>
      </c>
      <c r="G64" s="3" t="s">
        <v>29</v>
      </c>
      <c r="H64" s="3" t="s">
        <v>154</v>
      </c>
    </row>
    <row r="65" spans="1:8" x14ac:dyDescent="0.2">
      <c r="A65" s="3">
        <v>3060306001</v>
      </c>
      <c r="B65" s="4" t="s">
        <v>163</v>
      </c>
      <c r="C65" s="4" t="s">
        <v>164</v>
      </c>
      <c r="D65" s="3">
        <v>1</v>
      </c>
      <c r="E65" s="3" t="s">
        <v>16</v>
      </c>
      <c r="F65" s="3" t="s">
        <v>289</v>
      </c>
      <c r="G65" s="3" t="s">
        <v>23</v>
      </c>
      <c r="H65" s="3" t="s">
        <v>165</v>
      </c>
    </row>
    <row r="66" spans="1:8" x14ac:dyDescent="0.2">
      <c r="A66" s="3">
        <v>3060344001</v>
      </c>
      <c r="B66" s="4" t="s">
        <v>682</v>
      </c>
      <c r="C66" s="4" t="s">
        <v>1147</v>
      </c>
      <c r="D66" s="3">
        <v>1</v>
      </c>
      <c r="E66" s="3" t="s">
        <v>16</v>
      </c>
      <c r="F66" s="3" t="s">
        <v>291</v>
      </c>
      <c r="G66" s="3" t="s">
        <v>26</v>
      </c>
      <c r="H66" s="3" t="s">
        <v>173</v>
      </c>
    </row>
    <row r="67" spans="1:8" x14ac:dyDescent="0.2">
      <c r="A67" s="3">
        <v>3060310001</v>
      </c>
      <c r="B67" s="4" t="s">
        <v>171</v>
      </c>
      <c r="C67" s="4" t="s">
        <v>172</v>
      </c>
      <c r="D67" s="3">
        <v>1</v>
      </c>
      <c r="E67" s="3" t="s">
        <v>16</v>
      </c>
      <c r="F67" s="3" t="s">
        <v>289</v>
      </c>
      <c r="G67" s="3" t="s">
        <v>23</v>
      </c>
      <c r="H67" s="3" t="s">
        <v>173</v>
      </c>
    </row>
    <row r="68" spans="1:8" x14ac:dyDescent="0.2">
      <c r="A68" s="3">
        <v>3060311001</v>
      </c>
      <c r="B68" s="4" t="s">
        <v>174</v>
      </c>
      <c r="C68" s="4" t="s">
        <v>172</v>
      </c>
      <c r="D68" s="3">
        <v>1</v>
      </c>
      <c r="E68" s="3" t="s">
        <v>16</v>
      </c>
      <c r="F68" s="3" t="s">
        <v>289</v>
      </c>
      <c r="G68" s="3" t="s">
        <v>23</v>
      </c>
      <c r="H68" s="3" t="s">
        <v>173</v>
      </c>
    </row>
    <row r="69" spans="1:8" x14ac:dyDescent="0.2">
      <c r="A69" s="3">
        <v>3070201002</v>
      </c>
      <c r="B69" s="4" t="s">
        <v>348</v>
      </c>
      <c r="C69" s="4" t="s">
        <v>349</v>
      </c>
      <c r="D69" s="3">
        <v>1</v>
      </c>
      <c r="E69" s="3" t="s">
        <v>16</v>
      </c>
      <c r="F69" s="3" t="s">
        <v>317</v>
      </c>
      <c r="G69" s="3" t="s">
        <v>318</v>
      </c>
      <c r="H69" s="3" t="s">
        <v>173</v>
      </c>
    </row>
    <row r="70" spans="1:8" x14ac:dyDescent="0.2">
      <c r="A70" s="3">
        <v>3050304001</v>
      </c>
      <c r="B70" s="4" t="s">
        <v>181</v>
      </c>
      <c r="C70" s="4" t="s">
        <v>182</v>
      </c>
      <c r="D70" s="3">
        <v>1</v>
      </c>
      <c r="E70" s="3" t="s">
        <v>16</v>
      </c>
      <c r="F70" s="3" t="s">
        <v>291</v>
      </c>
      <c r="G70" s="3" t="s">
        <v>26</v>
      </c>
      <c r="H70" s="3" t="s">
        <v>173</v>
      </c>
    </row>
    <row r="71" spans="1:8" x14ac:dyDescent="0.2">
      <c r="A71" s="3">
        <v>3020502023</v>
      </c>
      <c r="B71" s="4" t="s">
        <v>183</v>
      </c>
      <c r="C71" s="4" t="s">
        <v>184</v>
      </c>
      <c r="D71" s="3">
        <v>1</v>
      </c>
      <c r="E71" s="3" t="s">
        <v>16</v>
      </c>
      <c r="F71" s="3" t="s">
        <v>291</v>
      </c>
      <c r="G71" s="3" t="s">
        <v>26</v>
      </c>
      <c r="H71" s="3" t="s">
        <v>185</v>
      </c>
    </row>
    <row r="72" spans="1:8" x14ac:dyDescent="0.2">
      <c r="A72" s="3">
        <v>3040402001</v>
      </c>
      <c r="B72" s="4" t="s">
        <v>193</v>
      </c>
      <c r="C72" s="4" t="s">
        <v>194</v>
      </c>
      <c r="D72" s="3">
        <v>1</v>
      </c>
      <c r="E72" s="3" t="s">
        <v>16</v>
      </c>
      <c r="F72" s="3" t="s">
        <v>293</v>
      </c>
      <c r="G72" s="3" t="s">
        <v>29</v>
      </c>
      <c r="H72" s="3" t="s">
        <v>192</v>
      </c>
    </row>
    <row r="73" spans="1:8" x14ac:dyDescent="0.2">
      <c r="A73" s="3">
        <v>3040402002</v>
      </c>
      <c r="B73" s="4" t="s">
        <v>193</v>
      </c>
      <c r="C73" s="4" t="s">
        <v>195</v>
      </c>
      <c r="D73" s="3">
        <v>1</v>
      </c>
      <c r="E73" s="3" t="s">
        <v>16</v>
      </c>
      <c r="F73" s="3" t="s">
        <v>293</v>
      </c>
      <c r="G73" s="3" t="s">
        <v>29</v>
      </c>
      <c r="H73" s="3" t="s">
        <v>192</v>
      </c>
    </row>
    <row r="74" spans="1:8" x14ac:dyDescent="0.2">
      <c r="A74" s="3">
        <v>404030020</v>
      </c>
      <c r="B74" s="4" t="s">
        <v>30</v>
      </c>
      <c r="C74" s="4" t="s">
        <v>689</v>
      </c>
      <c r="D74" s="3">
        <v>1</v>
      </c>
      <c r="E74" s="3" t="s">
        <v>16</v>
      </c>
      <c r="F74" s="3" t="s">
        <v>289</v>
      </c>
      <c r="G74" s="3" t="s">
        <v>23</v>
      </c>
      <c r="H74" s="3" t="s">
        <v>198</v>
      </c>
    </row>
    <row r="75" spans="1:8" x14ac:dyDescent="0.2">
      <c r="A75" s="3">
        <v>403030019</v>
      </c>
      <c r="B75" s="4" t="s">
        <v>801</v>
      </c>
      <c r="C75" s="4" t="s">
        <v>1151</v>
      </c>
      <c r="D75" s="3">
        <v>2</v>
      </c>
      <c r="E75" s="3" t="s">
        <v>16</v>
      </c>
      <c r="F75" s="3" t="s">
        <v>291</v>
      </c>
      <c r="G75" s="3" t="s">
        <v>26</v>
      </c>
      <c r="H75" s="3" t="s">
        <v>198</v>
      </c>
    </row>
    <row r="76" spans="1:8" x14ac:dyDescent="0.2">
      <c r="A76" s="3">
        <v>401070022</v>
      </c>
      <c r="B76" s="4" t="s">
        <v>35</v>
      </c>
      <c r="C76" s="4" t="s">
        <v>203</v>
      </c>
      <c r="D76" s="3">
        <v>1</v>
      </c>
      <c r="E76" s="3" t="s">
        <v>16</v>
      </c>
      <c r="F76" s="3" t="s">
        <v>297</v>
      </c>
      <c r="G76" s="3" t="s">
        <v>204</v>
      </c>
      <c r="H76" s="3" t="s">
        <v>198</v>
      </c>
    </row>
    <row r="77" spans="1:8" x14ac:dyDescent="0.2">
      <c r="A77" s="3">
        <v>401070018</v>
      </c>
      <c r="B77" s="4" t="s">
        <v>35</v>
      </c>
      <c r="C77" s="4" t="s">
        <v>202</v>
      </c>
      <c r="D77" s="3">
        <v>1</v>
      </c>
      <c r="E77" s="3" t="s">
        <v>16</v>
      </c>
      <c r="F77" s="3" t="s">
        <v>291</v>
      </c>
      <c r="G77" s="3" t="s">
        <v>26</v>
      </c>
      <c r="H77" s="3" t="s">
        <v>198</v>
      </c>
    </row>
    <row r="78" spans="1:8" x14ac:dyDescent="0.2">
      <c r="A78" s="3">
        <v>3020302013</v>
      </c>
      <c r="B78" s="4" t="s">
        <v>209</v>
      </c>
      <c r="C78" s="4" t="s">
        <v>210</v>
      </c>
      <c r="D78" s="3">
        <v>1</v>
      </c>
      <c r="E78" s="3" t="s">
        <v>16</v>
      </c>
      <c r="F78" s="3" t="s">
        <v>291</v>
      </c>
      <c r="G78" s="3" t="s">
        <v>26</v>
      </c>
      <c r="H78" s="3" t="s">
        <v>211</v>
      </c>
    </row>
    <row r="79" spans="1:8" x14ac:dyDescent="0.2">
      <c r="A79" s="3">
        <v>3070105007</v>
      </c>
      <c r="B79" s="4" t="s">
        <v>360</v>
      </c>
      <c r="C79" s="4" t="s">
        <v>361</v>
      </c>
      <c r="D79" s="3">
        <v>1</v>
      </c>
      <c r="E79" s="3" t="s">
        <v>16</v>
      </c>
      <c r="F79" s="3" t="s">
        <v>317</v>
      </c>
      <c r="G79" s="3" t="s">
        <v>318</v>
      </c>
      <c r="H79" s="3" t="s">
        <v>214</v>
      </c>
    </row>
    <row r="80" spans="1:8" x14ac:dyDescent="0.2">
      <c r="A80" s="3">
        <v>3070105008</v>
      </c>
      <c r="B80" s="4" t="s">
        <v>362</v>
      </c>
      <c r="C80" s="4" t="s">
        <v>361</v>
      </c>
      <c r="D80" s="3">
        <v>1</v>
      </c>
      <c r="E80" s="3" t="s">
        <v>16</v>
      </c>
      <c r="F80" s="3" t="s">
        <v>317</v>
      </c>
      <c r="G80" s="3" t="s">
        <v>318</v>
      </c>
      <c r="H80" s="3" t="s">
        <v>214</v>
      </c>
    </row>
    <row r="81" spans="1:8" x14ac:dyDescent="0.2">
      <c r="A81" s="3">
        <v>3050401005</v>
      </c>
      <c r="B81" s="4" t="s">
        <v>222</v>
      </c>
      <c r="C81" s="4" t="s">
        <v>690</v>
      </c>
      <c r="D81" s="3">
        <v>1</v>
      </c>
      <c r="E81" s="3" t="s">
        <v>16</v>
      </c>
      <c r="F81" s="3" t="s">
        <v>291</v>
      </c>
      <c r="G81" s="3" t="s">
        <v>26</v>
      </c>
      <c r="H81" s="3" t="s">
        <v>221</v>
      </c>
    </row>
    <row r="82" spans="1:8" x14ac:dyDescent="0.2">
      <c r="A82" s="3">
        <v>3060333002</v>
      </c>
      <c r="B82" s="4" t="s">
        <v>227</v>
      </c>
      <c r="C82" s="4" t="s">
        <v>228</v>
      </c>
      <c r="D82" s="3">
        <v>1</v>
      </c>
      <c r="E82" s="3" t="s">
        <v>16</v>
      </c>
      <c r="F82" s="3" t="s">
        <v>289</v>
      </c>
      <c r="G82" s="3" t="s">
        <v>23</v>
      </c>
      <c r="H82" s="3" t="s">
        <v>226</v>
      </c>
    </row>
    <row r="83" spans="1:8" x14ac:dyDescent="0.2">
      <c r="A83" s="3">
        <v>3060303001</v>
      </c>
      <c r="B83" s="4" t="s">
        <v>231</v>
      </c>
      <c r="C83" s="4" t="s">
        <v>232</v>
      </c>
      <c r="D83" s="3">
        <v>1</v>
      </c>
      <c r="E83" s="3" t="s">
        <v>16</v>
      </c>
      <c r="F83" s="3" t="s">
        <v>289</v>
      </c>
      <c r="G83" s="3" t="s">
        <v>23</v>
      </c>
      <c r="H83" s="3" t="s">
        <v>226</v>
      </c>
    </row>
    <row r="84" spans="1:8" x14ac:dyDescent="0.2">
      <c r="A84" s="3">
        <v>3060335004</v>
      </c>
      <c r="B84" s="4" t="s">
        <v>233</v>
      </c>
      <c r="C84" s="4" t="s">
        <v>234</v>
      </c>
      <c r="D84" s="3">
        <v>1</v>
      </c>
      <c r="E84" s="3" t="s">
        <v>16</v>
      </c>
      <c r="F84" s="3" t="s">
        <v>289</v>
      </c>
      <c r="G84" s="3" t="s">
        <v>23</v>
      </c>
      <c r="H84" s="3" t="s">
        <v>226</v>
      </c>
    </row>
    <row r="85" spans="1:8" x14ac:dyDescent="0.2">
      <c r="A85" s="3">
        <v>3020101005</v>
      </c>
      <c r="B85" s="4" t="s">
        <v>239</v>
      </c>
      <c r="C85" s="4" t="s">
        <v>610</v>
      </c>
      <c r="D85" s="3">
        <v>5</v>
      </c>
      <c r="E85" s="3" t="s">
        <v>16</v>
      </c>
      <c r="F85" s="3" t="s">
        <v>297</v>
      </c>
      <c r="G85" s="3" t="s">
        <v>204</v>
      </c>
      <c r="H85" s="3" t="s">
        <v>226</v>
      </c>
    </row>
    <row r="86" spans="1:8" x14ac:dyDescent="0.2">
      <c r="A86" s="3">
        <v>3030303011</v>
      </c>
      <c r="B86" s="4" t="s">
        <v>611</v>
      </c>
      <c r="C86" s="4" t="s">
        <v>612</v>
      </c>
      <c r="D86" s="3">
        <v>2</v>
      </c>
      <c r="E86" s="3" t="s">
        <v>16</v>
      </c>
      <c r="F86" s="3" t="s">
        <v>291</v>
      </c>
      <c r="G86" s="3" t="s">
        <v>26</v>
      </c>
      <c r="H86" s="3" t="s">
        <v>226</v>
      </c>
    </row>
    <row r="87" spans="1:8" x14ac:dyDescent="0.2">
      <c r="A87" s="3">
        <v>3030303010</v>
      </c>
      <c r="B87" s="4" t="s">
        <v>611</v>
      </c>
      <c r="C87" s="4" t="s">
        <v>258</v>
      </c>
      <c r="D87" s="3">
        <v>1</v>
      </c>
      <c r="E87" s="3" t="s">
        <v>16</v>
      </c>
      <c r="F87" s="3" t="s">
        <v>291</v>
      </c>
      <c r="G87" s="3" t="s">
        <v>26</v>
      </c>
      <c r="H87" s="3" t="s">
        <v>226</v>
      </c>
    </row>
    <row r="88" spans="1:8" x14ac:dyDescent="0.2">
      <c r="A88" s="3">
        <v>3070205004</v>
      </c>
      <c r="B88" s="4" t="s">
        <v>372</v>
      </c>
      <c r="C88" s="4" t="s">
        <v>266</v>
      </c>
      <c r="D88" s="3">
        <v>1</v>
      </c>
      <c r="E88" s="3" t="s">
        <v>16</v>
      </c>
      <c r="F88" s="3" t="s">
        <v>317</v>
      </c>
      <c r="G88" s="3" t="s">
        <v>318</v>
      </c>
      <c r="H88" s="3" t="s">
        <v>226</v>
      </c>
    </row>
    <row r="89" spans="1:8" x14ac:dyDescent="0.2">
      <c r="A89" s="3">
        <v>3070211002</v>
      </c>
      <c r="B89" s="4" t="s">
        <v>373</v>
      </c>
      <c r="C89" s="4" t="s">
        <v>374</v>
      </c>
      <c r="D89" s="3">
        <v>1</v>
      </c>
      <c r="E89" s="3" t="s">
        <v>16</v>
      </c>
      <c r="F89" s="3" t="s">
        <v>317</v>
      </c>
      <c r="G89" s="3" t="s">
        <v>318</v>
      </c>
      <c r="H89" s="3" t="s">
        <v>226</v>
      </c>
    </row>
    <row r="90" spans="1:8" x14ac:dyDescent="0.2">
      <c r="A90" s="3">
        <v>3070216001</v>
      </c>
      <c r="B90" s="4" t="s">
        <v>375</v>
      </c>
      <c r="C90" s="4" t="s">
        <v>376</v>
      </c>
      <c r="D90" s="3">
        <v>1</v>
      </c>
      <c r="E90" s="3" t="s">
        <v>16</v>
      </c>
      <c r="F90" s="3" t="s">
        <v>317</v>
      </c>
      <c r="G90" s="3" t="s">
        <v>318</v>
      </c>
      <c r="H90" s="3" t="s">
        <v>226</v>
      </c>
    </row>
    <row r="91" spans="1:8" x14ac:dyDescent="0.2">
      <c r="A91" s="3">
        <v>3070212001</v>
      </c>
      <c r="B91" s="4" t="s">
        <v>377</v>
      </c>
      <c r="C91" s="4" t="s">
        <v>378</v>
      </c>
      <c r="D91" s="3">
        <v>1</v>
      </c>
      <c r="E91" s="3" t="s">
        <v>16</v>
      </c>
      <c r="F91" s="3" t="s">
        <v>317</v>
      </c>
      <c r="G91" s="3" t="s">
        <v>318</v>
      </c>
      <c r="H91" s="3" t="s">
        <v>226</v>
      </c>
    </row>
    <row r="92" spans="1:8" x14ac:dyDescent="0.2">
      <c r="A92" s="3">
        <v>3070210001</v>
      </c>
      <c r="B92" s="4" t="s">
        <v>379</v>
      </c>
      <c r="C92" s="4" t="s">
        <v>280</v>
      </c>
      <c r="D92" s="3">
        <v>1</v>
      </c>
      <c r="E92" s="3" t="s">
        <v>16</v>
      </c>
      <c r="F92" s="3" t="s">
        <v>317</v>
      </c>
      <c r="G92" s="3" t="s">
        <v>318</v>
      </c>
      <c r="H92" s="3" t="s">
        <v>226</v>
      </c>
    </row>
    <row r="93" spans="1:8" x14ac:dyDescent="0.2">
      <c r="A93" s="3">
        <v>3050303002</v>
      </c>
      <c r="B93" s="4" t="s">
        <v>245</v>
      </c>
      <c r="C93" s="4" t="s">
        <v>246</v>
      </c>
      <c r="D93" s="3">
        <v>1</v>
      </c>
      <c r="E93" s="3" t="s">
        <v>16</v>
      </c>
      <c r="F93" s="3" t="s">
        <v>291</v>
      </c>
      <c r="G93" s="3" t="s">
        <v>26</v>
      </c>
      <c r="H93" s="3" t="s">
        <v>226</v>
      </c>
    </row>
    <row r="94" spans="1:8" x14ac:dyDescent="0.2">
      <c r="A94" s="3">
        <v>3080107017</v>
      </c>
      <c r="B94" s="4" t="s">
        <v>69</v>
      </c>
      <c r="C94" s="4" t="s">
        <v>251</v>
      </c>
      <c r="D94" s="3">
        <v>4</v>
      </c>
      <c r="E94" s="3" t="s">
        <v>16</v>
      </c>
      <c r="F94" s="3" t="s">
        <v>289</v>
      </c>
      <c r="G94" s="3" t="s">
        <v>23</v>
      </c>
      <c r="H94" s="3" t="s">
        <v>249</v>
      </c>
    </row>
    <row r="95" spans="1:8" x14ac:dyDescent="0.2">
      <c r="A95" s="3">
        <v>3080107017</v>
      </c>
      <c r="B95" s="4" t="s">
        <v>69</v>
      </c>
      <c r="C95" s="4" t="s">
        <v>251</v>
      </c>
      <c r="D95" s="3">
        <v>2</v>
      </c>
      <c r="E95" s="3" t="s">
        <v>16</v>
      </c>
      <c r="F95" s="3" t="s">
        <v>289</v>
      </c>
      <c r="G95" s="3" t="s">
        <v>23</v>
      </c>
      <c r="H95" s="3" t="s">
        <v>249</v>
      </c>
    </row>
    <row r="96" spans="1:8" x14ac:dyDescent="0.2">
      <c r="A96" s="3">
        <v>3060341001</v>
      </c>
      <c r="B96" s="4" t="s">
        <v>255</v>
      </c>
      <c r="C96" s="4" t="s">
        <v>256</v>
      </c>
      <c r="D96" s="3">
        <v>1</v>
      </c>
      <c r="E96" s="3" t="s">
        <v>16</v>
      </c>
      <c r="F96" s="3" t="s">
        <v>289</v>
      </c>
      <c r="G96" s="3" t="s">
        <v>23</v>
      </c>
      <c r="H96" s="3" t="s">
        <v>254</v>
      </c>
    </row>
    <row r="97" spans="1:8" x14ac:dyDescent="0.2">
      <c r="A97" s="3">
        <v>3040312007</v>
      </c>
      <c r="B97" s="4" t="s">
        <v>263</v>
      </c>
      <c r="C97" s="4" t="s">
        <v>264</v>
      </c>
      <c r="D97" s="3">
        <v>2</v>
      </c>
      <c r="E97" s="3" t="s">
        <v>16</v>
      </c>
      <c r="F97" s="3" t="s">
        <v>293</v>
      </c>
      <c r="G97" s="3" t="s">
        <v>29</v>
      </c>
      <c r="H97" s="3" t="s">
        <v>254</v>
      </c>
    </row>
    <row r="98" spans="1:8" x14ac:dyDescent="0.2">
      <c r="A98" s="3">
        <v>3040303001</v>
      </c>
      <c r="B98" s="4" t="s">
        <v>265</v>
      </c>
      <c r="C98" s="4" t="s">
        <v>266</v>
      </c>
      <c r="D98" s="3">
        <v>2</v>
      </c>
      <c r="E98" s="3" t="s">
        <v>16</v>
      </c>
      <c r="F98" s="3" t="s">
        <v>293</v>
      </c>
      <c r="G98" s="3" t="s">
        <v>29</v>
      </c>
      <c r="H98" s="3" t="s">
        <v>254</v>
      </c>
    </row>
    <row r="99" spans="1:8" x14ac:dyDescent="0.2">
      <c r="A99" s="3">
        <v>3040320003</v>
      </c>
      <c r="B99" s="4" t="s">
        <v>269</v>
      </c>
      <c r="C99" s="4" t="s">
        <v>270</v>
      </c>
      <c r="D99" s="3">
        <v>2</v>
      </c>
      <c r="E99" s="3" t="s">
        <v>16</v>
      </c>
      <c r="F99" s="3" t="s">
        <v>293</v>
      </c>
      <c r="G99" s="3" t="s">
        <v>29</v>
      </c>
      <c r="H99" s="3" t="s">
        <v>254</v>
      </c>
    </row>
    <row r="100" spans="1:8" x14ac:dyDescent="0.2">
      <c r="A100" s="3">
        <v>3040314001</v>
      </c>
      <c r="B100" s="4" t="s">
        <v>271</v>
      </c>
      <c r="C100" s="4" t="s">
        <v>272</v>
      </c>
      <c r="D100" s="3">
        <v>2</v>
      </c>
      <c r="E100" s="3" t="s">
        <v>16</v>
      </c>
      <c r="F100" s="3" t="s">
        <v>293</v>
      </c>
      <c r="G100" s="3" t="s">
        <v>29</v>
      </c>
      <c r="H100" s="3" t="s">
        <v>254</v>
      </c>
    </row>
    <row r="101" spans="1:8" x14ac:dyDescent="0.2">
      <c r="A101" s="3">
        <v>3070202019</v>
      </c>
      <c r="B101" s="4" t="s">
        <v>388</v>
      </c>
      <c r="C101" s="4" t="s">
        <v>389</v>
      </c>
      <c r="D101" s="3">
        <v>1</v>
      </c>
      <c r="E101" s="3" t="s">
        <v>16</v>
      </c>
      <c r="F101" s="3" t="s">
        <v>317</v>
      </c>
      <c r="G101" s="3" t="s">
        <v>318</v>
      </c>
      <c r="H101" s="3" t="s">
        <v>254</v>
      </c>
    </row>
  </sheetData>
  <phoneticPr fontId="2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C1591-7A66-4C45-AB53-8F4E182E43C2}">
  <dimension ref="A1:H204"/>
  <sheetViews>
    <sheetView workbookViewId="0">
      <selection activeCell="L18" sqref="L18"/>
    </sheetView>
  </sheetViews>
  <sheetFormatPr defaultRowHeight="14.25" x14ac:dyDescent="0.2"/>
  <cols>
    <col min="1" max="1" width="12.125" customWidth="1"/>
    <col min="2" max="3" width="13.125" customWidth="1"/>
  </cols>
  <sheetData>
    <row r="1" spans="1:8" x14ac:dyDescent="0.2">
      <c r="A1" s="3" t="s">
        <v>1237</v>
      </c>
      <c r="B1" s="4"/>
      <c r="C1" s="4"/>
      <c r="D1" s="3"/>
      <c r="E1" s="3"/>
      <c r="F1" s="3"/>
      <c r="G1" s="3"/>
      <c r="H1" s="3"/>
    </row>
    <row r="2" spans="1:8" ht="28.5" x14ac:dyDescent="0.2">
      <c r="A2" s="1" t="s">
        <v>0</v>
      </c>
      <c r="B2" s="2" t="s">
        <v>1</v>
      </c>
      <c r="C2" s="2" t="s">
        <v>2</v>
      </c>
      <c r="D2" s="1" t="s">
        <v>4</v>
      </c>
      <c r="E2" s="1" t="s">
        <v>3</v>
      </c>
      <c r="F2" s="1" t="s">
        <v>5</v>
      </c>
      <c r="G2" s="1" t="s">
        <v>6</v>
      </c>
      <c r="H2" s="1" t="s">
        <v>7</v>
      </c>
    </row>
    <row r="3" spans="1:8" s="10" customFormat="1" x14ac:dyDescent="0.2">
      <c r="A3" s="8" t="s">
        <v>390</v>
      </c>
      <c r="B3" s="9" t="s">
        <v>8</v>
      </c>
      <c r="C3" s="9" t="s">
        <v>9</v>
      </c>
      <c r="D3" s="13">
        <f>0.3322/0.94</f>
        <v>0.35340425531914893</v>
      </c>
      <c r="E3" s="8" t="s">
        <v>596</v>
      </c>
      <c r="F3" s="8" t="s">
        <v>283</v>
      </c>
      <c r="G3" s="8" t="s">
        <v>13</v>
      </c>
      <c r="H3" s="8" t="s">
        <v>12</v>
      </c>
    </row>
    <row r="4" spans="1:8" x14ac:dyDescent="0.2">
      <c r="A4" s="3">
        <v>40901009</v>
      </c>
      <c r="B4" s="4" t="s">
        <v>801</v>
      </c>
      <c r="C4" s="4" t="s">
        <v>1153</v>
      </c>
      <c r="D4" s="3">
        <v>1</v>
      </c>
      <c r="E4" s="3" t="s">
        <v>16</v>
      </c>
      <c r="F4" s="3" t="s">
        <v>289</v>
      </c>
      <c r="G4" s="3" t="s">
        <v>23</v>
      </c>
      <c r="H4" s="3" t="s">
        <v>306</v>
      </c>
    </row>
    <row r="5" spans="1:8" x14ac:dyDescent="0.2">
      <c r="A5" s="3">
        <v>3099980014</v>
      </c>
      <c r="B5" s="4" t="s">
        <v>391</v>
      </c>
      <c r="C5" s="4" t="s">
        <v>392</v>
      </c>
      <c r="D5" s="3">
        <v>1</v>
      </c>
      <c r="E5" s="3" t="s">
        <v>16</v>
      </c>
      <c r="F5" s="3" t="s">
        <v>291</v>
      </c>
      <c r="G5" s="3" t="s">
        <v>26</v>
      </c>
      <c r="H5" s="3" t="s">
        <v>393</v>
      </c>
    </row>
    <row r="6" spans="1:8" x14ac:dyDescent="0.2">
      <c r="A6" s="3">
        <v>3030314005</v>
      </c>
      <c r="B6" s="4" t="s">
        <v>394</v>
      </c>
      <c r="C6" s="4" t="s">
        <v>395</v>
      </c>
      <c r="D6" s="3">
        <v>1</v>
      </c>
      <c r="E6" s="3" t="s">
        <v>16</v>
      </c>
      <c r="F6" s="3" t="s">
        <v>291</v>
      </c>
      <c r="G6" s="3" t="s">
        <v>26</v>
      </c>
      <c r="H6" s="3" t="s">
        <v>18</v>
      </c>
    </row>
    <row r="7" spans="1:8" x14ac:dyDescent="0.2">
      <c r="A7" s="3">
        <v>3030210001</v>
      </c>
      <c r="B7" s="4" t="s">
        <v>396</v>
      </c>
      <c r="C7" s="4" t="s">
        <v>397</v>
      </c>
      <c r="D7" s="3">
        <v>1</v>
      </c>
      <c r="E7" s="3" t="s">
        <v>16</v>
      </c>
      <c r="F7" s="3" t="s">
        <v>295</v>
      </c>
      <c r="G7" s="3" t="s">
        <v>17</v>
      </c>
      <c r="H7" s="3" t="s">
        <v>18</v>
      </c>
    </row>
    <row r="8" spans="1:8" x14ac:dyDescent="0.2">
      <c r="A8" s="3">
        <v>3080301001</v>
      </c>
      <c r="B8" s="4" t="s">
        <v>247</v>
      </c>
      <c r="C8" s="4" t="s">
        <v>398</v>
      </c>
      <c r="D8" s="3">
        <v>1</v>
      </c>
      <c r="E8" s="3" t="s">
        <v>16</v>
      </c>
      <c r="F8" s="3" t="s">
        <v>295</v>
      </c>
      <c r="G8" s="3" t="s">
        <v>17</v>
      </c>
      <c r="H8" s="3" t="s">
        <v>18</v>
      </c>
    </row>
    <row r="9" spans="1:8" x14ac:dyDescent="0.2">
      <c r="A9" s="3">
        <v>3040201001</v>
      </c>
      <c r="B9" s="4" t="s">
        <v>399</v>
      </c>
      <c r="C9" s="4" t="s">
        <v>400</v>
      </c>
      <c r="D9" s="3">
        <v>2</v>
      </c>
      <c r="E9" s="3" t="s">
        <v>16</v>
      </c>
      <c r="F9" s="3" t="s">
        <v>293</v>
      </c>
      <c r="G9" s="3" t="s">
        <v>29</v>
      </c>
      <c r="H9" s="3" t="s">
        <v>18</v>
      </c>
    </row>
    <row r="10" spans="1:8" x14ac:dyDescent="0.2">
      <c r="A10" s="3">
        <v>3030202002</v>
      </c>
      <c r="B10" s="4" t="s">
        <v>401</v>
      </c>
      <c r="C10" s="4" t="s">
        <v>402</v>
      </c>
      <c r="D10" s="3">
        <v>1</v>
      </c>
      <c r="E10" s="3" t="s">
        <v>16</v>
      </c>
      <c r="F10" s="3" t="s">
        <v>295</v>
      </c>
      <c r="G10" s="3" t="s">
        <v>17</v>
      </c>
      <c r="H10" s="3" t="s">
        <v>18</v>
      </c>
    </row>
    <row r="11" spans="1:8" x14ac:dyDescent="0.2">
      <c r="A11" s="3">
        <v>3030202003</v>
      </c>
      <c r="B11" s="4" t="s">
        <v>403</v>
      </c>
      <c r="C11" s="4" t="s">
        <v>404</v>
      </c>
      <c r="D11" s="3">
        <v>1</v>
      </c>
      <c r="E11" s="3" t="s">
        <v>16</v>
      </c>
      <c r="F11" s="3" t="s">
        <v>295</v>
      </c>
      <c r="G11" s="3" t="s">
        <v>17</v>
      </c>
      <c r="H11" s="3" t="s">
        <v>18</v>
      </c>
    </row>
    <row r="12" spans="1:8" x14ac:dyDescent="0.2">
      <c r="A12" s="3">
        <v>3030212001</v>
      </c>
      <c r="B12" s="4" t="s">
        <v>405</v>
      </c>
      <c r="C12" s="4" t="s">
        <v>406</v>
      </c>
      <c r="D12" s="3">
        <v>1</v>
      </c>
      <c r="E12" s="3" t="s">
        <v>16</v>
      </c>
      <c r="F12" s="3" t="s">
        <v>295</v>
      </c>
      <c r="G12" s="3" t="s">
        <v>17</v>
      </c>
      <c r="H12" s="3" t="s">
        <v>18</v>
      </c>
    </row>
    <row r="13" spans="1:8" x14ac:dyDescent="0.2">
      <c r="A13" s="3">
        <v>3030206003</v>
      </c>
      <c r="B13" s="4" t="s">
        <v>407</v>
      </c>
      <c r="C13" s="4" t="s">
        <v>408</v>
      </c>
      <c r="D13" s="3">
        <v>1</v>
      </c>
      <c r="E13" s="3" t="s">
        <v>16</v>
      </c>
      <c r="F13" s="3" t="s">
        <v>295</v>
      </c>
      <c r="G13" s="3" t="s">
        <v>17</v>
      </c>
      <c r="H13" s="3" t="s">
        <v>18</v>
      </c>
    </row>
    <row r="14" spans="1:8" x14ac:dyDescent="0.2">
      <c r="A14" s="3">
        <v>404020072</v>
      </c>
      <c r="B14" s="4" t="s">
        <v>30</v>
      </c>
      <c r="C14" s="4" t="s">
        <v>308</v>
      </c>
      <c r="D14" s="3">
        <v>1</v>
      </c>
      <c r="E14" s="3" t="s">
        <v>16</v>
      </c>
      <c r="F14" s="3" t="s">
        <v>291</v>
      </c>
      <c r="G14" s="3" t="s">
        <v>26</v>
      </c>
      <c r="H14" s="3" t="s">
        <v>33</v>
      </c>
    </row>
    <row r="15" spans="1:8" x14ac:dyDescent="0.2">
      <c r="A15" s="3">
        <v>401020110</v>
      </c>
      <c r="B15" s="4" t="s">
        <v>35</v>
      </c>
      <c r="C15" s="4" t="s">
        <v>1154</v>
      </c>
      <c r="D15" s="3">
        <v>1</v>
      </c>
      <c r="E15" s="3" t="s">
        <v>16</v>
      </c>
      <c r="F15" s="3" t="s">
        <v>301</v>
      </c>
      <c r="G15" s="3" t="s">
        <v>32</v>
      </c>
      <c r="H15" s="3" t="s">
        <v>33</v>
      </c>
    </row>
    <row r="16" spans="1:8" x14ac:dyDescent="0.2">
      <c r="A16" s="3">
        <v>3080101002</v>
      </c>
      <c r="B16" s="4" t="s">
        <v>411</v>
      </c>
      <c r="C16" s="4" t="s">
        <v>413</v>
      </c>
      <c r="D16" s="3">
        <v>19</v>
      </c>
      <c r="E16" s="3" t="s">
        <v>16</v>
      </c>
      <c r="F16" s="3" t="s">
        <v>289</v>
      </c>
      <c r="G16" s="3" t="s">
        <v>23</v>
      </c>
      <c r="H16" s="3" t="s">
        <v>40</v>
      </c>
    </row>
    <row r="17" spans="1:8" x14ac:dyDescent="0.2">
      <c r="A17" s="3">
        <v>3080101015</v>
      </c>
      <c r="B17" s="4" t="s">
        <v>411</v>
      </c>
      <c r="C17" s="4" t="s">
        <v>412</v>
      </c>
      <c r="D17" s="3">
        <v>2</v>
      </c>
      <c r="E17" s="3" t="s">
        <v>16</v>
      </c>
      <c r="F17" s="3" t="s">
        <v>293</v>
      </c>
      <c r="G17" s="3" t="s">
        <v>29</v>
      </c>
      <c r="H17" s="3" t="s">
        <v>40</v>
      </c>
    </row>
    <row r="18" spans="1:8" x14ac:dyDescent="0.2">
      <c r="A18" s="3">
        <v>3080101002</v>
      </c>
      <c r="B18" s="4" t="s">
        <v>411</v>
      </c>
      <c r="C18" s="4" t="s">
        <v>413</v>
      </c>
      <c r="D18" s="3">
        <v>2</v>
      </c>
      <c r="E18" s="3" t="s">
        <v>16</v>
      </c>
      <c r="F18" s="3" t="s">
        <v>291</v>
      </c>
      <c r="G18" s="3" t="s">
        <v>26</v>
      </c>
      <c r="H18" s="3" t="s">
        <v>40</v>
      </c>
    </row>
    <row r="19" spans="1:8" x14ac:dyDescent="0.2">
      <c r="A19" s="3">
        <v>3080401064</v>
      </c>
      <c r="B19" s="4" t="s">
        <v>41</v>
      </c>
      <c r="C19" s="4" t="s">
        <v>414</v>
      </c>
      <c r="D19" s="3">
        <v>1</v>
      </c>
      <c r="E19" s="3" t="s">
        <v>16</v>
      </c>
      <c r="F19" s="3" t="s">
        <v>295</v>
      </c>
      <c r="G19" s="3" t="s">
        <v>17</v>
      </c>
      <c r="H19" s="3" t="s">
        <v>40</v>
      </c>
    </row>
    <row r="20" spans="1:8" x14ac:dyDescent="0.2">
      <c r="A20" s="3">
        <v>3080401016</v>
      </c>
      <c r="B20" s="4" t="s">
        <v>41</v>
      </c>
      <c r="C20" s="4" t="s">
        <v>415</v>
      </c>
      <c r="D20" s="3">
        <v>1</v>
      </c>
      <c r="E20" s="3" t="s">
        <v>16</v>
      </c>
      <c r="F20" s="3" t="s">
        <v>295</v>
      </c>
      <c r="G20" s="3" t="s">
        <v>17</v>
      </c>
      <c r="H20" s="3" t="s">
        <v>40</v>
      </c>
    </row>
    <row r="21" spans="1:8" x14ac:dyDescent="0.2">
      <c r="A21" s="3">
        <v>3080401007</v>
      </c>
      <c r="B21" s="4" t="s">
        <v>41</v>
      </c>
      <c r="C21" s="4" t="s">
        <v>416</v>
      </c>
      <c r="D21" s="3">
        <v>2</v>
      </c>
      <c r="E21" s="3" t="s">
        <v>16</v>
      </c>
      <c r="F21" s="3" t="s">
        <v>293</v>
      </c>
      <c r="G21" s="3" t="s">
        <v>29</v>
      </c>
      <c r="H21" s="3" t="s">
        <v>40</v>
      </c>
    </row>
    <row r="22" spans="1:8" x14ac:dyDescent="0.2">
      <c r="A22" s="3">
        <v>3080401014</v>
      </c>
      <c r="B22" s="4" t="s">
        <v>41</v>
      </c>
      <c r="C22" s="4" t="s">
        <v>417</v>
      </c>
      <c r="D22" s="3">
        <v>4</v>
      </c>
      <c r="E22" s="3" t="s">
        <v>16</v>
      </c>
      <c r="F22" s="3" t="s">
        <v>291</v>
      </c>
      <c r="G22" s="3" t="s">
        <v>26</v>
      </c>
      <c r="H22" s="3" t="s">
        <v>40</v>
      </c>
    </row>
    <row r="23" spans="1:8" x14ac:dyDescent="0.2">
      <c r="A23" s="3">
        <v>3080104073</v>
      </c>
      <c r="B23" s="4" t="s">
        <v>45</v>
      </c>
      <c r="C23" s="4" t="s">
        <v>1155</v>
      </c>
      <c r="D23" s="3">
        <v>3</v>
      </c>
      <c r="E23" s="3" t="s">
        <v>16</v>
      </c>
      <c r="F23" s="3" t="s">
        <v>289</v>
      </c>
      <c r="G23" s="3" t="s">
        <v>23</v>
      </c>
      <c r="H23" s="3" t="s">
        <v>40</v>
      </c>
    </row>
    <row r="24" spans="1:8" x14ac:dyDescent="0.2">
      <c r="A24" s="3">
        <v>3080104018</v>
      </c>
      <c r="B24" s="4" t="s">
        <v>45</v>
      </c>
      <c r="C24" s="4" t="s">
        <v>418</v>
      </c>
      <c r="D24" s="3">
        <v>2</v>
      </c>
      <c r="E24" s="3" t="s">
        <v>16</v>
      </c>
      <c r="F24" s="3" t="s">
        <v>293</v>
      </c>
      <c r="G24" s="3" t="s">
        <v>29</v>
      </c>
      <c r="H24" s="3" t="s">
        <v>40</v>
      </c>
    </row>
    <row r="25" spans="1:8" x14ac:dyDescent="0.2">
      <c r="A25" s="3">
        <v>3080104098</v>
      </c>
      <c r="B25" s="4" t="s">
        <v>45</v>
      </c>
      <c r="C25" s="4" t="s">
        <v>1156</v>
      </c>
      <c r="D25" s="3">
        <v>2</v>
      </c>
      <c r="E25" s="3" t="s">
        <v>16</v>
      </c>
      <c r="F25" s="3" t="s">
        <v>291</v>
      </c>
      <c r="G25" s="3" t="s">
        <v>26</v>
      </c>
      <c r="H25" s="3" t="s">
        <v>40</v>
      </c>
    </row>
    <row r="26" spans="1:8" x14ac:dyDescent="0.2">
      <c r="A26" s="3">
        <v>3080105006</v>
      </c>
      <c r="B26" s="4" t="s">
        <v>50</v>
      </c>
      <c r="C26" s="4" t="s">
        <v>1157</v>
      </c>
      <c r="D26" s="3">
        <v>8</v>
      </c>
      <c r="E26" s="3" t="s">
        <v>16</v>
      </c>
      <c r="F26" s="3" t="s">
        <v>289</v>
      </c>
      <c r="G26" s="3" t="s">
        <v>23</v>
      </c>
      <c r="H26" s="3" t="s">
        <v>40</v>
      </c>
    </row>
    <row r="27" spans="1:8" x14ac:dyDescent="0.2">
      <c r="A27" s="3">
        <v>3080105080</v>
      </c>
      <c r="B27" s="4" t="s">
        <v>50</v>
      </c>
      <c r="C27" s="4" t="s">
        <v>1158</v>
      </c>
      <c r="D27" s="3">
        <v>2</v>
      </c>
      <c r="E27" s="3" t="s">
        <v>16</v>
      </c>
      <c r="F27" s="3" t="s">
        <v>289</v>
      </c>
      <c r="G27" s="3" t="s">
        <v>23</v>
      </c>
      <c r="H27" s="3" t="s">
        <v>40</v>
      </c>
    </row>
    <row r="28" spans="1:8" x14ac:dyDescent="0.2">
      <c r="A28" s="3">
        <v>3080105023</v>
      </c>
      <c r="B28" s="4" t="s">
        <v>50</v>
      </c>
      <c r="C28" s="4" t="s">
        <v>1159</v>
      </c>
      <c r="D28" s="3">
        <v>4</v>
      </c>
      <c r="E28" s="3" t="s">
        <v>16</v>
      </c>
      <c r="F28" s="3" t="s">
        <v>289</v>
      </c>
      <c r="G28" s="3" t="s">
        <v>23</v>
      </c>
      <c r="H28" s="3" t="s">
        <v>40</v>
      </c>
    </row>
    <row r="29" spans="1:8" x14ac:dyDescent="0.2">
      <c r="A29" s="3">
        <v>3080105015</v>
      </c>
      <c r="B29" s="4" t="s">
        <v>50</v>
      </c>
      <c r="C29" s="4" t="s">
        <v>422</v>
      </c>
      <c r="D29" s="3">
        <v>8</v>
      </c>
      <c r="E29" s="3" t="s">
        <v>16</v>
      </c>
      <c r="F29" s="3" t="s">
        <v>293</v>
      </c>
      <c r="G29" s="3" t="s">
        <v>29</v>
      </c>
      <c r="H29" s="3" t="s">
        <v>40</v>
      </c>
    </row>
    <row r="30" spans="1:8" x14ac:dyDescent="0.2">
      <c r="A30" s="3">
        <v>3080105088</v>
      </c>
      <c r="B30" s="4" t="s">
        <v>50</v>
      </c>
      <c r="C30" s="4" t="s">
        <v>423</v>
      </c>
      <c r="D30" s="3">
        <v>2</v>
      </c>
      <c r="E30" s="3" t="s">
        <v>16</v>
      </c>
      <c r="F30" s="3" t="s">
        <v>293</v>
      </c>
      <c r="G30" s="3" t="s">
        <v>29</v>
      </c>
      <c r="H30" s="3" t="s">
        <v>40</v>
      </c>
    </row>
    <row r="31" spans="1:8" x14ac:dyDescent="0.2">
      <c r="A31" s="3">
        <v>3080105008</v>
      </c>
      <c r="B31" s="4" t="s">
        <v>50</v>
      </c>
      <c r="C31" s="4" t="s">
        <v>424</v>
      </c>
      <c r="D31" s="3">
        <v>8</v>
      </c>
      <c r="E31" s="3" t="s">
        <v>16</v>
      </c>
      <c r="F31" s="3" t="s">
        <v>293</v>
      </c>
      <c r="G31" s="3" t="s">
        <v>29</v>
      </c>
      <c r="H31" s="3" t="s">
        <v>40</v>
      </c>
    </row>
    <row r="32" spans="1:8" x14ac:dyDescent="0.2">
      <c r="A32" s="3">
        <v>3080105070</v>
      </c>
      <c r="B32" s="4" t="s">
        <v>50</v>
      </c>
      <c r="C32" s="4" t="s">
        <v>1160</v>
      </c>
      <c r="D32" s="3">
        <v>14</v>
      </c>
      <c r="E32" s="3" t="s">
        <v>16</v>
      </c>
      <c r="F32" s="3" t="s">
        <v>293</v>
      </c>
      <c r="G32" s="3" t="s">
        <v>29</v>
      </c>
      <c r="H32" s="3" t="s">
        <v>40</v>
      </c>
    </row>
    <row r="33" spans="1:8" x14ac:dyDescent="0.2">
      <c r="A33" s="3">
        <v>3080104055</v>
      </c>
      <c r="B33" s="4" t="s">
        <v>50</v>
      </c>
      <c r="C33" s="4" t="s">
        <v>425</v>
      </c>
      <c r="D33" s="3">
        <v>2</v>
      </c>
      <c r="E33" s="3" t="s">
        <v>16</v>
      </c>
      <c r="F33" s="3" t="s">
        <v>291</v>
      </c>
      <c r="G33" s="3" t="s">
        <v>26</v>
      </c>
      <c r="H33" s="3" t="s">
        <v>40</v>
      </c>
    </row>
    <row r="34" spans="1:8" x14ac:dyDescent="0.2">
      <c r="A34" s="3">
        <v>3080105070</v>
      </c>
      <c r="B34" s="4" t="s">
        <v>50</v>
      </c>
      <c r="C34" s="4" t="s">
        <v>1160</v>
      </c>
      <c r="D34" s="3">
        <v>2</v>
      </c>
      <c r="E34" s="3" t="s">
        <v>16</v>
      </c>
      <c r="F34" s="3" t="s">
        <v>291</v>
      </c>
      <c r="G34" s="3" t="s">
        <v>26</v>
      </c>
      <c r="H34" s="3" t="s">
        <v>40</v>
      </c>
    </row>
    <row r="35" spans="1:8" x14ac:dyDescent="0.2">
      <c r="A35" s="3">
        <v>3080502003</v>
      </c>
      <c r="B35" s="4" t="s">
        <v>55</v>
      </c>
      <c r="C35" s="4" t="s">
        <v>426</v>
      </c>
      <c r="D35" s="3">
        <v>2</v>
      </c>
      <c r="E35" s="3" t="s">
        <v>16</v>
      </c>
      <c r="F35" s="3" t="s">
        <v>291</v>
      </c>
      <c r="G35" s="3" t="s">
        <v>26</v>
      </c>
      <c r="H35" s="3" t="s">
        <v>40</v>
      </c>
    </row>
    <row r="36" spans="1:8" x14ac:dyDescent="0.2">
      <c r="A36" s="3">
        <v>3080201005</v>
      </c>
      <c r="B36" s="4" t="s">
        <v>60</v>
      </c>
      <c r="C36" s="4" t="s">
        <v>427</v>
      </c>
      <c r="D36" s="3">
        <v>1</v>
      </c>
      <c r="E36" s="3" t="s">
        <v>16</v>
      </c>
      <c r="F36" s="3" t="s">
        <v>291</v>
      </c>
      <c r="G36" s="3" t="s">
        <v>26</v>
      </c>
      <c r="H36" s="3" t="s">
        <v>40</v>
      </c>
    </row>
    <row r="37" spans="1:8" x14ac:dyDescent="0.2">
      <c r="A37" s="3">
        <v>3080201006</v>
      </c>
      <c r="B37" s="4" t="s">
        <v>60</v>
      </c>
      <c r="C37" s="4" t="s">
        <v>428</v>
      </c>
      <c r="D37" s="3">
        <v>1</v>
      </c>
      <c r="E37" s="3" t="s">
        <v>16</v>
      </c>
      <c r="F37" s="3" t="s">
        <v>291</v>
      </c>
      <c r="G37" s="3" t="s">
        <v>26</v>
      </c>
      <c r="H37" s="3" t="s">
        <v>40</v>
      </c>
    </row>
    <row r="38" spans="1:8" x14ac:dyDescent="0.2">
      <c r="A38" s="3">
        <v>3080107271</v>
      </c>
      <c r="B38" s="4" t="s">
        <v>69</v>
      </c>
      <c r="C38" s="4" t="s">
        <v>1161</v>
      </c>
      <c r="D38" s="3">
        <v>2</v>
      </c>
      <c r="E38" s="3" t="s">
        <v>16</v>
      </c>
      <c r="F38" s="3" t="s">
        <v>289</v>
      </c>
      <c r="G38" s="3" t="s">
        <v>23</v>
      </c>
      <c r="H38" s="3" t="s">
        <v>40</v>
      </c>
    </row>
    <row r="39" spans="1:8" x14ac:dyDescent="0.2">
      <c r="A39" s="3">
        <v>3080107092</v>
      </c>
      <c r="B39" s="4" t="s">
        <v>69</v>
      </c>
      <c r="C39" s="4" t="s">
        <v>1162</v>
      </c>
      <c r="D39" s="3">
        <v>4</v>
      </c>
      <c r="E39" s="3" t="s">
        <v>16</v>
      </c>
      <c r="F39" s="3" t="s">
        <v>289</v>
      </c>
      <c r="G39" s="3" t="s">
        <v>23</v>
      </c>
      <c r="H39" s="3" t="s">
        <v>40</v>
      </c>
    </row>
    <row r="40" spans="1:8" x14ac:dyDescent="0.2">
      <c r="A40" s="3">
        <v>3080107034</v>
      </c>
      <c r="B40" s="4" t="s">
        <v>69</v>
      </c>
      <c r="C40" s="4" t="s">
        <v>429</v>
      </c>
      <c r="D40" s="3">
        <v>2</v>
      </c>
      <c r="E40" s="3" t="s">
        <v>16</v>
      </c>
      <c r="F40" s="3" t="s">
        <v>295</v>
      </c>
      <c r="G40" s="3" t="s">
        <v>17</v>
      </c>
      <c r="H40" s="3" t="s">
        <v>40</v>
      </c>
    </row>
    <row r="41" spans="1:8" x14ac:dyDescent="0.2">
      <c r="A41" s="3">
        <v>3080107034</v>
      </c>
      <c r="B41" s="4" t="s">
        <v>69</v>
      </c>
      <c r="C41" s="4" t="s">
        <v>429</v>
      </c>
      <c r="D41" s="3">
        <v>6</v>
      </c>
      <c r="E41" s="3" t="s">
        <v>16</v>
      </c>
      <c r="F41" s="3" t="s">
        <v>295</v>
      </c>
      <c r="G41" s="3" t="s">
        <v>17</v>
      </c>
      <c r="H41" s="3" t="s">
        <v>40</v>
      </c>
    </row>
    <row r="42" spans="1:8" x14ac:dyDescent="0.2">
      <c r="A42" s="3">
        <v>3080107002</v>
      </c>
      <c r="B42" s="4" t="s">
        <v>69</v>
      </c>
      <c r="C42" s="4" t="s">
        <v>430</v>
      </c>
      <c r="D42" s="3">
        <v>4</v>
      </c>
      <c r="E42" s="3" t="s">
        <v>16</v>
      </c>
      <c r="F42" s="3" t="s">
        <v>295</v>
      </c>
      <c r="G42" s="3" t="s">
        <v>17</v>
      </c>
      <c r="H42" s="3" t="s">
        <v>40</v>
      </c>
    </row>
    <row r="43" spans="1:8" x14ac:dyDescent="0.2">
      <c r="A43" s="3">
        <v>3080107052</v>
      </c>
      <c r="B43" s="4" t="s">
        <v>69</v>
      </c>
      <c r="C43" s="4" t="s">
        <v>431</v>
      </c>
      <c r="D43" s="3">
        <v>1</v>
      </c>
      <c r="E43" s="3" t="s">
        <v>16</v>
      </c>
      <c r="F43" s="3" t="s">
        <v>295</v>
      </c>
      <c r="G43" s="3" t="s">
        <v>17</v>
      </c>
      <c r="H43" s="3" t="s">
        <v>40</v>
      </c>
    </row>
    <row r="44" spans="1:8" x14ac:dyDescent="0.2">
      <c r="A44" s="3">
        <v>3080107160</v>
      </c>
      <c r="B44" s="4" t="s">
        <v>69</v>
      </c>
      <c r="C44" s="4" t="s">
        <v>432</v>
      </c>
      <c r="D44" s="3">
        <v>4</v>
      </c>
      <c r="E44" s="3" t="s">
        <v>16</v>
      </c>
      <c r="F44" s="3" t="s">
        <v>293</v>
      </c>
      <c r="G44" s="3" t="s">
        <v>29</v>
      </c>
      <c r="H44" s="3" t="s">
        <v>40</v>
      </c>
    </row>
    <row r="45" spans="1:8" x14ac:dyDescent="0.2">
      <c r="A45" s="3">
        <v>3080107308</v>
      </c>
      <c r="B45" s="4" t="s">
        <v>69</v>
      </c>
      <c r="C45" s="4" t="s">
        <v>433</v>
      </c>
      <c r="D45" s="3">
        <v>2</v>
      </c>
      <c r="E45" s="3" t="s">
        <v>16</v>
      </c>
      <c r="F45" s="3" t="s">
        <v>291</v>
      </c>
      <c r="G45" s="3" t="s">
        <v>26</v>
      </c>
      <c r="H45" s="3" t="s">
        <v>40</v>
      </c>
    </row>
    <row r="46" spans="1:8" x14ac:dyDescent="0.2">
      <c r="A46" s="3">
        <v>3080107305</v>
      </c>
      <c r="B46" s="4" t="s">
        <v>69</v>
      </c>
      <c r="C46" s="4" t="s">
        <v>434</v>
      </c>
      <c r="D46" s="3">
        <v>2</v>
      </c>
      <c r="E46" s="3" t="s">
        <v>16</v>
      </c>
      <c r="F46" s="3" t="s">
        <v>291</v>
      </c>
      <c r="G46" s="3" t="s">
        <v>26</v>
      </c>
      <c r="H46" s="3" t="s">
        <v>40</v>
      </c>
    </row>
    <row r="47" spans="1:8" x14ac:dyDescent="0.2">
      <c r="A47" s="3">
        <v>3080107072</v>
      </c>
      <c r="B47" s="4" t="s">
        <v>69</v>
      </c>
      <c r="C47" s="4" t="s">
        <v>435</v>
      </c>
      <c r="D47" s="3">
        <v>4</v>
      </c>
      <c r="E47" s="3" t="s">
        <v>16</v>
      </c>
      <c r="F47" s="3" t="s">
        <v>291</v>
      </c>
      <c r="G47" s="3" t="s">
        <v>26</v>
      </c>
      <c r="H47" s="3" t="s">
        <v>40</v>
      </c>
    </row>
    <row r="48" spans="1:8" x14ac:dyDescent="0.2">
      <c r="A48" s="3">
        <v>3080107076</v>
      </c>
      <c r="B48" s="4" t="s">
        <v>69</v>
      </c>
      <c r="C48" s="4" t="s">
        <v>1163</v>
      </c>
      <c r="D48" s="3">
        <v>2</v>
      </c>
      <c r="E48" s="3" t="s">
        <v>16</v>
      </c>
      <c r="F48" s="3" t="s">
        <v>291</v>
      </c>
      <c r="G48" s="3" t="s">
        <v>26</v>
      </c>
      <c r="H48" s="3" t="s">
        <v>40</v>
      </c>
    </row>
    <row r="49" spans="1:8" x14ac:dyDescent="0.2">
      <c r="A49" s="3">
        <v>3080108052</v>
      </c>
      <c r="B49" s="4" t="s">
        <v>77</v>
      </c>
      <c r="C49" s="4" t="s">
        <v>1164</v>
      </c>
      <c r="D49" s="3">
        <v>1</v>
      </c>
      <c r="E49" s="3" t="s">
        <v>16</v>
      </c>
      <c r="F49" s="3" t="s">
        <v>289</v>
      </c>
      <c r="G49" s="3" t="s">
        <v>23</v>
      </c>
      <c r="H49" s="3" t="s">
        <v>40</v>
      </c>
    </row>
    <row r="50" spans="1:8" x14ac:dyDescent="0.2">
      <c r="A50" s="3">
        <v>3080101008</v>
      </c>
      <c r="B50" s="4" t="s">
        <v>77</v>
      </c>
      <c r="C50" s="4" t="s">
        <v>1165</v>
      </c>
      <c r="D50" s="3">
        <v>4</v>
      </c>
      <c r="E50" s="3" t="s">
        <v>16</v>
      </c>
      <c r="F50" s="3" t="s">
        <v>289</v>
      </c>
      <c r="G50" s="3" t="s">
        <v>23</v>
      </c>
      <c r="H50" s="3" t="s">
        <v>40</v>
      </c>
    </row>
    <row r="51" spans="1:8" x14ac:dyDescent="0.2">
      <c r="A51" s="3">
        <v>3080108040</v>
      </c>
      <c r="B51" s="4" t="s">
        <v>77</v>
      </c>
      <c r="C51" s="4" t="s">
        <v>1166</v>
      </c>
      <c r="D51" s="3">
        <v>2</v>
      </c>
      <c r="E51" s="3" t="s">
        <v>16</v>
      </c>
      <c r="F51" s="3" t="s">
        <v>289</v>
      </c>
      <c r="G51" s="3" t="s">
        <v>23</v>
      </c>
      <c r="H51" s="3" t="s">
        <v>40</v>
      </c>
    </row>
    <row r="52" spans="1:8" x14ac:dyDescent="0.2">
      <c r="A52" s="3">
        <v>3080108025</v>
      </c>
      <c r="B52" s="4" t="s">
        <v>77</v>
      </c>
      <c r="C52" s="4" t="s">
        <v>437</v>
      </c>
      <c r="D52" s="3">
        <v>7</v>
      </c>
      <c r="E52" s="3" t="s">
        <v>16</v>
      </c>
      <c r="F52" s="3" t="s">
        <v>295</v>
      </c>
      <c r="G52" s="3" t="s">
        <v>17</v>
      </c>
      <c r="H52" s="3" t="s">
        <v>40</v>
      </c>
    </row>
    <row r="53" spans="1:8" x14ac:dyDescent="0.2">
      <c r="A53" s="3">
        <v>3080108025</v>
      </c>
      <c r="B53" s="4" t="s">
        <v>77</v>
      </c>
      <c r="C53" s="4" t="s">
        <v>437</v>
      </c>
      <c r="D53" s="3">
        <v>4</v>
      </c>
      <c r="E53" s="3" t="s">
        <v>16</v>
      </c>
      <c r="F53" s="3" t="s">
        <v>291</v>
      </c>
      <c r="G53" s="3" t="s">
        <v>26</v>
      </c>
      <c r="H53" s="3" t="s">
        <v>40</v>
      </c>
    </row>
    <row r="54" spans="1:8" x14ac:dyDescent="0.2">
      <c r="A54" s="3">
        <v>3080403001</v>
      </c>
      <c r="B54" s="4" t="s">
        <v>439</v>
      </c>
      <c r="C54" s="4" t="s">
        <v>440</v>
      </c>
      <c r="D54" s="3">
        <v>1</v>
      </c>
      <c r="E54" s="3" t="s">
        <v>16</v>
      </c>
      <c r="F54" s="3" t="s">
        <v>295</v>
      </c>
      <c r="G54" s="3" t="s">
        <v>17</v>
      </c>
      <c r="H54" s="3" t="s">
        <v>40</v>
      </c>
    </row>
    <row r="55" spans="1:8" x14ac:dyDescent="0.2">
      <c r="A55" s="3">
        <v>3080109002</v>
      </c>
      <c r="B55" s="4" t="s">
        <v>441</v>
      </c>
      <c r="C55" s="4" t="s">
        <v>442</v>
      </c>
      <c r="D55" s="3">
        <v>2</v>
      </c>
      <c r="E55" s="3" t="s">
        <v>16</v>
      </c>
      <c r="F55" s="3" t="s">
        <v>295</v>
      </c>
      <c r="G55" s="3" t="s">
        <v>17</v>
      </c>
      <c r="H55" s="3" t="s">
        <v>40</v>
      </c>
    </row>
    <row r="56" spans="1:8" x14ac:dyDescent="0.2">
      <c r="A56" s="3">
        <v>3080111012</v>
      </c>
      <c r="B56" s="4" t="s">
        <v>79</v>
      </c>
      <c r="C56" s="4" t="s">
        <v>443</v>
      </c>
      <c r="D56" s="3">
        <v>2</v>
      </c>
      <c r="E56" s="3" t="s">
        <v>16</v>
      </c>
      <c r="F56" s="3" t="s">
        <v>295</v>
      </c>
      <c r="G56" s="3" t="s">
        <v>17</v>
      </c>
      <c r="H56" s="3" t="s">
        <v>40</v>
      </c>
    </row>
    <row r="57" spans="1:8" x14ac:dyDescent="0.2">
      <c r="A57" s="3">
        <v>3080111006</v>
      </c>
      <c r="B57" s="4" t="s">
        <v>79</v>
      </c>
      <c r="C57" s="4" t="s">
        <v>444</v>
      </c>
      <c r="D57" s="3">
        <v>1</v>
      </c>
      <c r="E57" s="3" t="s">
        <v>16</v>
      </c>
      <c r="F57" s="3" t="s">
        <v>295</v>
      </c>
      <c r="G57" s="3" t="s">
        <v>17</v>
      </c>
      <c r="H57" s="3" t="s">
        <v>40</v>
      </c>
    </row>
    <row r="58" spans="1:8" x14ac:dyDescent="0.2">
      <c r="A58" s="3">
        <v>3080111004</v>
      </c>
      <c r="B58" s="4" t="s">
        <v>79</v>
      </c>
      <c r="C58" s="4" t="s">
        <v>445</v>
      </c>
      <c r="D58" s="3">
        <v>2</v>
      </c>
      <c r="E58" s="3" t="s">
        <v>16</v>
      </c>
      <c r="F58" s="3" t="s">
        <v>293</v>
      </c>
      <c r="G58" s="3" t="s">
        <v>29</v>
      </c>
      <c r="H58" s="3" t="s">
        <v>40</v>
      </c>
    </row>
    <row r="59" spans="1:8" x14ac:dyDescent="0.2">
      <c r="A59" s="3">
        <v>3080111086</v>
      </c>
      <c r="B59" s="4" t="s">
        <v>79</v>
      </c>
      <c r="C59" s="4" t="s">
        <v>1167</v>
      </c>
      <c r="D59" s="3">
        <v>15</v>
      </c>
      <c r="E59" s="3" t="s">
        <v>16</v>
      </c>
      <c r="F59" s="3" t="s">
        <v>291</v>
      </c>
      <c r="G59" s="3" t="s">
        <v>26</v>
      </c>
      <c r="H59" s="3" t="s">
        <v>40</v>
      </c>
    </row>
    <row r="60" spans="1:8" x14ac:dyDescent="0.2">
      <c r="A60" s="3">
        <v>3080111086</v>
      </c>
      <c r="B60" s="4" t="s">
        <v>79</v>
      </c>
      <c r="C60" s="4" t="s">
        <v>1167</v>
      </c>
      <c r="D60" s="3">
        <v>1</v>
      </c>
      <c r="E60" s="3" t="s">
        <v>16</v>
      </c>
      <c r="F60" s="3" t="s">
        <v>291</v>
      </c>
      <c r="G60" s="3" t="s">
        <v>26</v>
      </c>
      <c r="H60" s="3" t="s">
        <v>40</v>
      </c>
    </row>
    <row r="61" spans="1:8" x14ac:dyDescent="0.2">
      <c r="A61" s="3">
        <v>3080111015</v>
      </c>
      <c r="B61" s="4" t="s">
        <v>79</v>
      </c>
      <c r="C61" s="4" t="s">
        <v>446</v>
      </c>
      <c r="D61" s="3">
        <v>4</v>
      </c>
      <c r="E61" s="3" t="s">
        <v>16</v>
      </c>
      <c r="F61" s="3" t="s">
        <v>291</v>
      </c>
      <c r="G61" s="3" t="s">
        <v>26</v>
      </c>
      <c r="H61" s="3" t="s">
        <v>40</v>
      </c>
    </row>
    <row r="62" spans="1:8" x14ac:dyDescent="0.2">
      <c r="A62" s="3">
        <v>407030041</v>
      </c>
      <c r="B62" s="4" t="s">
        <v>81</v>
      </c>
      <c r="C62" s="4" t="s">
        <v>1168</v>
      </c>
      <c r="D62" s="3">
        <v>1</v>
      </c>
      <c r="E62" s="3" t="s">
        <v>16</v>
      </c>
      <c r="F62" s="3" t="s">
        <v>301</v>
      </c>
      <c r="G62" s="3" t="s">
        <v>32</v>
      </c>
      <c r="H62" s="3" t="s">
        <v>40</v>
      </c>
    </row>
    <row r="63" spans="1:8" x14ac:dyDescent="0.2">
      <c r="A63" s="3">
        <v>3099991105</v>
      </c>
      <c r="B63" s="4" t="s">
        <v>1169</v>
      </c>
      <c r="C63" s="4" t="s">
        <v>1170</v>
      </c>
      <c r="D63" s="3">
        <v>1</v>
      </c>
      <c r="E63" s="3" t="s">
        <v>16</v>
      </c>
      <c r="F63" s="3" t="s">
        <v>299</v>
      </c>
      <c r="G63" s="3" t="s">
        <v>106</v>
      </c>
      <c r="H63" s="3" t="s">
        <v>103</v>
      </c>
    </row>
    <row r="64" spans="1:8" x14ac:dyDescent="0.2">
      <c r="A64" s="3">
        <v>3099990110</v>
      </c>
      <c r="B64" s="4" t="s">
        <v>104</v>
      </c>
      <c r="C64" s="4" t="s">
        <v>1170</v>
      </c>
      <c r="D64" s="3">
        <v>1</v>
      </c>
      <c r="E64" s="3" t="s">
        <v>16</v>
      </c>
      <c r="F64" s="3" t="s">
        <v>299</v>
      </c>
      <c r="G64" s="3" t="s">
        <v>106</v>
      </c>
      <c r="H64" s="3" t="s">
        <v>103</v>
      </c>
    </row>
    <row r="65" spans="1:8" x14ac:dyDescent="0.2">
      <c r="A65" s="3">
        <v>402030026</v>
      </c>
      <c r="B65" s="4" t="s">
        <v>107</v>
      </c>
      <c r="C65" s="4" t="s">
        <v>1171</v>
      </c>
      <c r="D65" s="3">
        <v>1</v>
      </c>
      <c r="E65" s="3" t="s">
        <v>16</v>
      </c>
      <c r="F65" s="3" t="s">
        <v>289</v>
      </c>
      <c r="G65" s="3" t="s">
        <v>23</v>
      </c>
      <c r="H65" s="3" t="s">
        <v>109</v>
      </c>
    </row>
    <row r="66" spans="1:8" x14ac:dyDescent="0.2">
      <c r="A66" s="3">
        <v>402030027</v>
      </c>
      <c r="B66" s="4" t="s">
        <v>107</v>
      </c>
      <c r="C66" s="4" t="s">
        <v>110</v>
      </c>
      <c r="D66" s="3">
        <v>1</v>
      </c>
      <c r="E66" s="3" t="s">
        <v>16</v>
      </c>
      <c r="F66" s="3" t="s">
        <v>291</v>
      </c>
      <c r="G66" s="3" t="s">
        <v>26</v>
      </c>
      <c r="H66" s="3" t="s">
        <v>109</v>
      </c>
    </row>
    <row r="67" spans="1:8" x14ac:dyDescent="0.2">
      <c r="A67" s="3">
        <v>402020002</v>
      </c>
      <c r="B67" s="4" t="s">
        <v>111</v>
      </c>
      <c r="C67" s="4" t="s">
        <v>452</v>
      </c>
      <c r="D67" s="3">
        <v>2</v>
      </c>
      <c r="E67" s="3" t="s">
        <v>16</v>
      </c>
      <c r="F67" s="3" t="s">
        <v>293</v>
      </c>
      <c r="G67" s="3" t="s">
        <v>29</v>
      </c>
      <c r="H67" s="3" t="s">
        <v>109</v>
      </c>
    </row>
    <row r="68" spans="1:8" x14ac:dyDescent="0.2">
      <c r="A68" s="3">
        <v>3060209002</v>
      </c>
      <c r="B68" s="4" t="s">
        <v>113</v>
      </c>
      <c r="C68" s="4" t="s">
        <v>114</v>
      </c>
      <c r="D68" s="3">
        <v>2</v>
      </c>
      <c r="E68" s="3" t="s">
        <v>16</v>
      </c>
      <c r="F68" s="3" t="s">
        <v>289</v>
      </c>
      <c r="G68" s="3" t="s">
        <v>23</v>
      </c>
      <c r="H68" s="3" t="s">
        <v>115</v>
      </c>
    </row>
    <row r="69" spans="1:8" x14ac:dyDescent="0.2">
      <c r="A69" s="3">
        <v>3040216001</v>
      </c>
      <c r="B69" s="4" t="s">
        <v>328</v>
      </c>
      <c r="C69" s="4" t="s">
        <v>329</v>
      </c>
      <c r="D69" s="3">
        <v>4</v>
      </c>
      <c r="E69" s="3" t="s">
        <v>16</v>
      </c>
      <c r="F69" s="3" t="s">
        <v>293</v>
      </c>
      <c r="G69" s="3" t="s">
        <v>29</v>
      </c>
      <c r="H69" s="3" t="s">
        <v>115</v>
      </c>
    </row>
    <row r="70" spans="1:8" x14ac:dyDescent="0.2">
      <c r="A70" s="3">
        <v>3030204017</v>
      </c>
      <c r="B70" s="4" t="s">
        <v>453</v>
      </c>
      <c r="C70" s="4" t="s">
        <v>454</v>
      </c>
      <c r="D70" s="3">
        <v>1</v>
      </c>
      <c r="E70" s="3" t="s">
        <v>16</v>
      </c>
      <c r="F70" s="3" t="s">
        <v>295</v>
      </c>
      <c r="G70" s="3" t="s">
        <v>17</v>
      </c>
      <c r="H70" s="3" t="s">
        <v>115</v>
      </c>
    </row>
    <row r="71" spans="1:8" x14ac:dyDescent="0.2">
      <c r="A71" s="3">
        <v>3030204005</v>
      </c>
      <c r="B71" s="4" t="s">
        <v>455</v>
      </c>
      <c r="C71" s="4" t="s">
        <v>456</v>
      </c>
      <c r="D71" s="3">
        <v>1</v>
      </c>
      <c r="E71" s="3" t="s">
        <v>16</v>
      </c>
      <c r="F71" s="3" t="s">
        <v>295</v>
      </c>
      <c r="G71" s="3" t="s">
        <v>17</v>
      </c>
      <c r="H71" s="3" t="s">
        <v>115</v>
      </c>
    </row>
    <row r="72" spans="1:8" x14ac:dyDescent="0.2">
      <c r="A72" s="3">
        <v>3050203003</v>
      </c>
      <c r="B72" s="4" t="s">
        <v>120</v>
      </c>
      <c r="C72" s="4" t="s">
        <v>457</v>
      </c>
      <c r="D72" s="3">
        <v>2</v>
      </c>
      <c r="E72" s="3" t="s">
        <v>16</v>
      </c>
      <c r="F72" s="3" t="s">
        <v>291</v>
      </c>
      <c r="G72" s="3" t="s">
        <v>26</v>
      </c>
      <c r="H72" s="3" t="s">
        <v>115</v>
      </c>
    </row>
    <row r="73" spans="1:8" x14ac:dyDescent="0.2">
      <c r="A73" s="3">
        <v>3030204008</v>
      </c>
      <c r="B73" s="4" t="s">
        <v>122</v>
      </c>
      <c r="C73" s="4" t="s">
        <v>123</v>
      </c>
      <c r="D73" s="3">
        <v>1</v>
      </c>
      <c r="E73" s="3" t="s">
        <v>16</v>
      </c>
      <c r="F73" s="3" t="s">
        <v>291</v>
      </c>
      <c r="G73" s="3" t="s">
        <v>26</v>
      </c>
      <c r="H73" s="3" t="s">
        <v>115</v>
      </c>
    </row>
    <row r="74" spans="1:8" x14ac:dyDescent="0.2">
      <c r="A74" s="3">
        <v>3030206001</v>
      </c>
      <c r="B74" s="4" t="s">
        <v>458</v>
      </c>
      <c r="C74" s="4" t="s">
        <v>404</v>
      </c>
      <c r="D74" s="3">
        <v>1</v>
      </c>
      <c r="E74" s="3" t="s">
        <v>16</v>
      </c>
      <c r="F74" s="3" t="s">
        <v>295</v>
      </c>
      <c r="G74" s="3" t="s">
        <v>17</v>
      </c>
      <c r="H74" s="3" t="s">
        <v>132</v>
      </c>
    </row>
    <row r="75" spans="1:8" x14ac:dyDescent="0.2">
      <c r="A75" s="3">
        <v>401020109</v>
      </c>
      <c r="B75" s="4" t="s">
        <v>35</v>
      </c>
      <c r="C75" s="4" t="s">
        <v>1172</v>
      </c>
      <c r="D75" s="3">
        <v>1</v>
      </c>
      <c r="E75" s="3" t="s">
        <v>16</v>
      </c>
      <c r="F75" s="3" t="s">
        <v>291</v>
      </c>
      <c r="G75" s="3" t="s">
        <v>26</v>
      </c>
      <c r="H75" s="3" t="s">
        <v>134</v>
      </c>
    </row>
    <row r="76" spans="1:8" x14ac:dyDescent="0.2">
      <c r="A76" s="3">
        <v>3040502053</v>
      </c>
      <c r="B76" s="4" t="s">
        <v>136</v>
      </c>
      <c r="C76" s="4" t="s">
        <v>1117</v>
      </c>
      <c r="D76" s="3">
        <v>1</v>
      </c>
      <c r="E76" s="3" t="s">
        <v>16</v>
      </c>
      <c r="F76" s="3" t="s">
        <v>293</v>
      </c>
      <c r="G76" s="3" t="s">
        <v>29</v>
      </c>
      <c r="H76" s="3" t="s">
        <v>138</v>
      </c>
    </row>
    <row r="77" spans="1:8" x14ac:dyDescent="0.2">
      <c r="A77" s="3">
        <v>3040502052</v>
      </c>
      <c r="B77" s="4" t="s">
        <v>136</v>
      </c>
      <c r="C77" s="4" t="s">
        <v>1118</v>
      </c>
      <c r="D77" s="3">
        <v>1</v>
      </c>
      <c r="E77" s="3" t="s">
        <v>16</v>
      </c>
      <c r="F77" s="3" t="s">
        <v>293</v>
      </c>
      <c r="G77" s="3" t="s">
        <v>29</v>
      </c>
      <c r="H77" s="3" t="s">
        <v>138</v>
      </c>
    </row>
    <row r="78" spans="1:8" x14ac:dyDescent="0.2">
      <c r="A78" s="3">
        <v>3110207001</v>
      </c>
      <c r="B78" s="4" t="s">
        <v>140</v>
      </c>
      <c r="C78" s="4" t="s">
        <v>1173</v>
      </c>
      <c r="D78" s="3">
        <v>1</v>
      </c>
      <c r="E78" s="3" t="s">
        <v>16</v>
      </c>
      <c r="F78" s="3" t="s">
        <v>285</v>
      </c>
      <c r="G78" s="3" t="s">
        <v>142</v>
      </c>
      <c r="H78" s="3" t="s">
        <v>143</v>
      </c>
    </row>
    <row r="79" spans="1:8" x14ac:dyDescent="0.2">
      <c r="A79" s="3">
        <v>3030301007</v>
      </c>
      <c r="B79" s="4" t="s">
        <v>144</v>
      </c>
      <c r="C79" s="4" t="s">
        <v>1174</v>
      </c>
      <c r="D79" s="3">
        <v>2</v>
      </c>
      <c r="E79" s="3" t="s">
        <v>16</v>
      </c>
      <c r="F79" s="3" t="s">
        <v>291</v>
      </c>
      <c r="G79" s="3" t="s">
        <v>26</v>
      </c>
      <c r="H79" s="3" t="s">
        <v>143</v>
      </c>
    </row>
    <row r="80" spans="1:8" x14ac:dyDescent="0.2">
      <c r="A80" s="3">
        <v>3110206001</v>
      </c>
      <c r="B80" s="4" t="s">
        <v>715</v>
      </c>
      <c r="C80" s="4" t="s">
        <v>1175</v>
      </c>
      <c r="D80" s="3">
        <v>1</v>
      </c>
      <c r="E80" s="3" t="s">
        <v>16</v>
      </c>
      <c r="F80" s="3" t="s">
        <v>285</v>
      </c>
      <c r="G80" s="3" t="s">
        <v>142</v>
      </c>
      <c r="H80" s="3" t="s">
        <v>143</v>
      </c>
    </row>
    <row r="81" spans="1:8" x14ac:dyDescent="0.2">
      <c r="A81" s="3">
        <v>3990205003</v>
      </c>
      <c r="B81" s="4" t="s">
        <v>146</v>
      </c>
      <c r="C81" s="4" t="s">
        <v>460</v>
      </c>
      <c r="D81" s="3">
        <v>1</v>
      </c>
      <c r="E81" s="3" t="s">
        <v>16</v>
      </c>
      <c r="F81" s="3" t="s">
        <v>287</v>
      </c>
      <c r="G81" s="3" t="s">
        <v>148</v>
      </c>
      <c r="H81" s="3" t="s">
        <v>143</v>
      </c>
    </row>
    <row r="82" spans="1:8" x14ac:dyDescent="0.2">
      <c r="A82" s="3">
        <v>408090008</v>
      </c>
      <c r="B82" s="4" t="s">
        <v>461</v>
      </c>
      <c r="C82" s="4" t="s">
        <v>462</v>
      </c>
      <c r="D82" s="3">
        <v>1</v>
      </c>
      <c r="E82" s="3" t="s">
        <v>16</v>
      </c>
      <c r="F82" s="3" t="s">
        <v>293</v>
      </c>
      <c r="G82" s="3" t="s">
        <v>29</v>
      </c>
      <c r="H82" s="3" t="s">
        <v>151</v>
      </c>
    </row>
    <row r="83" spans="1:8" x14ac:dyDescent="0.2">
      <c r="A83" s="3">
        <v>408090007</v>
      </c>
      <c r="B83" s="4" t="s">
        <v>463</v>
      </c>
      <c r="C83" s="4" t="s">
        <v>464</v>
      </c>
      <c r="D83" s="3">
        <v>1</v>
      </c>
      <c r="E83" s="3" t="s">
        <v>16</v>
      </c>
      <c r="F83" s="3" t="s">
        <v>293</v>
      </c>
      <c r="G83" s="3" t="s">
        <v>29</v>
      </c>
      <c r="H83" s="3" t="s">
        <v>151</v>
      </c>
    </row>
    <row r="84" spans="1:8" x14ac:dyDescent="0.2">
      <c r="A84" s="3">
        <v>3060204002</v>
      </c>
      <c r="B84" s="4" t="s">
        <v>1176</v>
      </c>
      <c r="C84" s="4" t="s">
        <v>1177</v>
      </c>
      <c r="D84" s="3">
        <v>1</v>
      </c>
      <c r="E84" s="3" t="s">
        <v>16</v>
      </c>
      <c r="F84" s="3" t="s">
        <v>289</v>
      </c>
      <c r="G84" s="3" t="s">
        <v>23</v>
      </c>
      <c r="H84" s="3" t="s">
        <v>154</v>
      </c>
    </row>
    <row r="85" spans="1:8" x14ac:dyDescent="0.2">
      <c r="A85" s="3">
        <v>3060206002</v>
      </c>
      <c r="B85" s="4" t="s">
        <v>1178</v>
      </c>
      <c r="C85" s="4" t="s">
        <v>1179</v>
      </c>
      <c r="D85" s="3">
        <v>1</v>
      </c>
      <c r="E85" s="3" t="s">
        <v>16</v>
      </c>
      <c r="F85" s="3" t="s">
        <v>289</v>
      </c>
      <c r="G85" s="3" t="s">
        <v>23</v>
      </c>
      <c r="H85" s="3" t="s">
        <v>154</v>
      </c>
    </row>
    <row r="86" spans="1:8" x14ac:dyDescent="0.2">
      <c r="A86" s="3">
        <v>3060211003</v>
      </c>
      <c r="B86" s="4" t="s">
        <v>1180</v>
      </c>
      <c r="C86" s="4" t="s">
        <v>1181</v>
      </c>
      <c r="D86" s="3">
        <v>1</v>
      </c>
      <c r="E86" s="3" t="s">
        <v>16</v>
      </c>
      <c r="F86" s="3" t="s">
        <v>289</v>
      </c>
      <c r="G86" s="3" t="s">
        <v>23</v>
      </c>
      <c r="H86" s="3" t="s">
        <v>154</v>
      </c>
    </row>
    <row r="87" spans="1:8" x14ac:dyDescent="0.2">
      <c r="A87" s="3">
        <v>3060328001</v>
      </c>
      <c r="B87" s="4" t="s">
        <v>1182</v>
      </c>
      <c r="C87" s="4" t="s">
        <v>1183</v>
      </c>
      <c r="D87" s="3">
        <v>1</v>
      </c>
      <c r="E87" s="3" t="s">
        <v>16</v>
      </c>
      <c r="F87" s="3" t="s">
        <v>289</v>
      </c>
      <c r="G87" s="3" t="s">
        <v>23</v>
      </c>
      <c r="H87" s="3" t="s">
        <v>165</v>
      </c>
    </row>
    <row r="88" spans="1:8" x14ac:dyDescent="0.2">
      <c r="A88" s="3">
        <v>3060328002</v>
      </c>
      <c r="B88" s="4" t="s">
        <v>1182</v>
      </c>
      <c r="C88" s="4" t="s">
        <v>1184</v>
      </c>
      <c r="D88" s="3">
        <v>1</v>
      </c>
      <c r="E88" s="3" t="s">
        <v>16</v>
      </c>
      <c r="F88" s="3" t="s">
        <v>289</v>
      </c>
      <c r="G88" s="3" t="s">
        <v>23</v>
      </c>
      <c r="H88" s="3" t="s">
        <v>165</v>
      </c>
    </row>
    <row r="89" spans="1:8" x14ac:dyDescent="0.2">
      <c r="A89" s="3">
        <v>3030301010</v>
      </c>
      <c r="B89" s="4" t="s">
        <v>468</v>
      </c>
      <c r="C89" s="4" t="s">
        <v>469</v>
      </c>
      <c r="D89" s="3">
        <v>4</v>
      </c>
      <c r="E89" s="3" t="s">
        <v>16</v>
      </c>
      <c r="F89" s="3" t="s">
        <v>295</v>
      </c>
      <c r="G89" s="3" t="s">
        <v>17</v>
      </c>
      <c r="H89" s="3" t="s">
        <v>165</v>
      </c>
    </row>
    <row r="90" spans="1:8" x14ac:dyDescent="0.2">
      <c r="A90" s="3">
        <v>3060347005</v>
      </c>
      <c r="B90" s="4" t="s">
        <v>470</v>
      </c>
      <c r="C90" s="4" t="s">
        <v>471</v>
      </c>
      <c r="D90" s="3">
        <v>1</v>
      </c>
      <c r="E90" s="3" t="s">
        <v>16</v>
      </c>
      <c r="F90" s="3" t="s">
        <v>291</v>
      </c>
      <c r="G90" s="3" t="s">
        <v>26</v>
      </c>
      <c r="H90" s="3" t="s">
        <v>165</v>
      </c>
    </row>
    <row r="91" spans="1:8" x14ac:dyDescent="0.2">
      <c r="A91" s="3">
        <v>3060347006</v>
      </c>
      <c r="B91" s="4" t="s">
        <v>470</v>
      </c>
      <c r="C91" s="4" t="s">
        <v>472</v>
      </c>
      <c r="D91" s="3">
        <v>1</v>
      </c>
      <c r="E91" s="3" t="s">
        <v>16</v>
      </c>
      <c r="F91" s="3" t="s">
        <v>291</v>
      </c>
      <c r="G91" s="3" t="s">
        <v>26</v>
      </c>
      <c r="H91" s="3" t="s">
        <v>165</v>
      </c>
    </row>
    <row r="92" spans="1:8" x14ac:dyDescent="0.2">
      <c r="A92" s="3">
        <v>3060324004</v>
      </c>
      <c r="B92" s="4" t="s">
        <v>1185</v>
      </c>
      <c r="C92" s="4" t="s">
        <v>1186</v>
      </c>
      <c r="D92" s="3">
        <v>1</v>
      </c>
      <c r="E92" s="3" t="s">
        <v>16</v>
      </c>
      <c r="F92" s="3" t="s">
        <v>289</v>
      </c>
      <c r="G92" s="3" t="s">
        <v>23</v>
      </c>
      <c r="H92" s="3" t="s">
        <v>165</v>
      </c>
    </row>
    <row r="93" spans="1:8" x14ac:dyDescent="0.2">
      <c r="A93" s="3">
        <v>3060404052</v>
      </c>
      <c r="B93" s="4" t="s">
        <v>729</v>
      </c>
      <c r="C93" s="4" t="s">
        <v>1187</v>
      </c>
      <c r="D93" s="3">
        <v>1</v>
      </c>
      <c r="E93" s="3" t="s">
        <v>16</v>
      </c>
      <c r="F93" s="3" t="s">
        <v>289</v>
      </c>
      <c r="G93" s="3" t="s">
        <v>23</v>
      </c>
      <c r="H93" s="3" t="s">
        <v>165</v>
      </c>
    </row>
    <row r="94" spans="1:8" x14ac:dyDescent="0.2">
      <c r="A94" s="3">
        <v>3060313004</v>
      </c>
      <c r="B94" s="4" t="s">
        <v>1188</v>
      </c>
      <c r="C94" s="4" t="s">
        <v>1189</v>
      </c>
      <c r="D94" s="3">
        <v>1</v>
      </c>
      <c r="E94" s="3" t="s">
        <v>16</v>
      </c>
      <c r="F94" s="3" t="s">
        <v>289</v>
      </c>
      <c r="G94" s="3" t="s">
        <v>23</v>
      </c>
      <c r="H94" s="3" t="s">
        <v>165</v>
      </c>
    </row>
    <row r="95" spans="1:8" x14ac:dyDescent="0.2">
      <c r="A95" s="3">
        <v>3050305022</v>
      </c>
      <c r="B95" s="4" t="s">
        <v>527</v>
      </c>
      <c r="C95" s="4" t="s">
        <v>1190</v>
      </c>
      <c r="D95" s="3">
        <v>1</v>
      </c>
      <c r="E95" s="3" t="s">
        <v>16</v>
      </c>
      <c r="F95" s="3" t="s">
        <v>291</v>
      </c>
      <c r="G95" s="3" t="s">
        <v>26</v>
      </c>
      <c r="H95" s="3" t="s">
        <v>165</v>
      </c>
    </row>
    <row r="96" spans="1:8" x14ac:dyDescent="0.2">
      <c r="A96" s="3">
        <v>3050305021</v>
      </c>
      <c r="B96" s="4" t="s">
        <v>529</v>
      </c>
      <c r="C96" s="4" t="s">
        <v>1191</v>
      </c>
      <c r="D96" s="3">
        <v>1</v>
      </c>
      <c r="E96" s="3" t="s">
        <v>16</v>
      </c>
      <c r="F96" s="3" t="s">
        <v>291</v>
      </c>
      <c r="G96" s="3" t="s">
        <v>26</v>
      </c>
      <c r="H96" s="3" t="s">
        <v>165</v>
      </c>
    </row>
    <row r="97" spans="1:8" x14ac:dyDescent="0.2">
      <c r="A97" s="3">
        <v>3110103002</v>
      </c>
      <c r="B97" s="4" t="s">
        <v>473</v>
      </c>
      <c r="C97" s="4" t="s">
        <v>474</v>
      </c>
      <c r="D97" s="3">
        <v>1</v>
      </c>
      <c r="E97" s="3" t="s">
        <v>16</v>
      </c>
      <c r="F97" s="3" t="s">
        <v>291</v>
      </c>
      <c r="G97" s="3" t="s">
        <v>26</v>
      </c>
      <c r="H97" s="3" t="s">
        <v>165</v>
      </c>
    </row>
    <row r="98" spans="1:8" x14ac:dyDescent="0.2">
      <c r="A98" s="3">
        <v>3030316006</v>
      </c>
      <c r="B98" s="4" t="s">
        <v>475</v>
      </c>
      <c r="C98" s="4" t="s">
        <v>476</v>
      </c>
      <c r="D98" s="3">
        <v>1</v>
      </c>
      <c r="E98" s="3" t="s">
        <v>16</v>
      </c>
      <c r="F98" s="3" t="s">
        <v>295</v>
      </c>
      <c r="G98" s="3" t="s">
        <v>17</v>
      </c>
      <c r="H98" s="3" t="s">
        <v>165</v>
      </c>
    </row>
    <row r="99" spans="1:8" x14ac:dyDescent="0.2">
      <c r="A99" s="3">
        <v>3030314007</v>
      </c>
      <c r="B99" s="4" t="s">
        <v>477</v>
      </c>
      <c r="C99" s="4" t="s">
        <v>478</v>
      </c>
      <c r="D99" s="3">
        <v>1</v>
      </c>
      <c r="E99" s="3" t="s">
        <v>16</v>
      </c>
      <c r="F99" s="3" t="s">
        <v>291</v>
      </c>
      <c r="G99" s="3" t="s">
        <v>26</v>
      </c>
      <c r="H99" s="3" t="s">
        <v>165</v>
      </c>
    </row>
    <row r="100" spans="1:8" x14ac:dyDescent="0.2">
      <c r="A100" s="3">
        <v>3030308014</v>
      </c>
      <c r="B100" s="4" t="s">
        <v>479</v>
      </c>
      <c r="C100" s="4" t="s">
        <v>1192</v>
      </c>
      <c r="D100" s="3">
        <v>1</v>
      </c>
      <c r="E100" s="3" t="s">
        <v>16</v>
      </c>
      <c r="F100" s="3" t="s">
        <v>291</v>
      </c>
      <c r="G100" s="3" t="s">
        <v>26</v>
      </c>
      <c r="H100" s="3" t="s">
        <v>165</v>
      </c>
    </row>
    <row r="101" spans="1:8" x14ac:dyDescent="0.2">
      <c r="A101" s="3">
        <v>3050305023</v>
      </c>
      <c r="B101" s="4" t="s">
        <v>549</v>
      </c>
      <c r="C101" s="4" t="s">
        <v>1191</v>
      </c>
      <c r="D101" s="3">
        <v>1</v>
      </c>
      <c r="E101" s="3" t="s">
        <v>16</v>
      </c>
      <c r="F101" s="3" t="s">
        <v>291</v>
      </c>
      <c r="G101" s="3" t="s">
        <v>26</v>
      </c>
      <c r="H101" s="3" t="s">
        <v>165</v>
      </c>
    </row>
    <row r="102" spans="1:8" x14ac:dyDescent="0.2">
      <c r="A102" s="3">
        <v>3050401016</v>
      </c>
      <c r="B102" s="4" t="s">
        <v>222</v>
      </c>
      <c r="C102" s="4" t="s">
        <v>1193</v>
      </c>
      <c r="D102" s="3">
        <v>1</v>
      </c>
      <c r="E102" s="3" t="s">
        <v>16</v>
      </c>
      <c r="F102" s="3" t="s">
        <v>291</v>
      </c>
      <c r="G102" s="3" t="s">
        <v>26</v>
      </c>
      <c r="H102" s="3" t="s">
        <v>165</v>
      </c>
    </row>
    <row r="103" spans="1:8" x14ac:dyDescent="0.2">
      <c r="A103" s="3">
        <v>3050310030</v>
      </c>
      <c r="B103" s="4" t="s">
        <v>480</v>
      </c>
      <c r="C103" s="4" t="s">
        <v>469</v>
      </c>
      <c r="D103" s="3">
        <v>2</v>
      </c>
      <c r="E103" s="3" t="s">
        <v>16</v>
      </c>
      <c r="F103" s="3" t="s">
        <v>291</v>
      </c>
      <c r="G103" s="3" t="s">
        <v>26</v>
      </c>
      <c r="H103" s="3" t="s">
        <v>165</v>
      </c>
    </row>
    <row r="104" spans="1:8" x14ac:dyDescent="0.2">
      <c r="A104" s="3">
        <v>3060304006</v>
      </c>
      <c r="B104" s="4" t="s">
        <v>1194</v>
      </c>
      <c r="C104" s="4" t="s">
        <v>1195</v>
      </c>
      <c r="D104" s="3">
        <v>2</v>
      </c>
      <c r="E104" s="3" t="s">
        <v>16</v>
      </c>
      <c r="F104" s="3" t="s">
        <v>289</v>
      </c>
      <c r="G104" s="3" t="s">
        <v>23</v>
      </c>
      <c r="H104" s="3" t="s">
        <v>173</v>
      </c>
    </row>
    <row r="105" spans="1:8" x14ac:dyDescent="0.2">
      <c r="A105" s="3">
        <v>3060304005</v>
      </c>
      <c r="B105" s="4" t="s">
        <v>1194</v>
      </c>
      <c r="C105" s="4" t="s">
        <v>1196</v>
      </c>
      <c r="D105" s="3">
        <v>1</v>
      </c>
      <c r="E105" s="3" t="s">
        <v>16</v>
      </c>
      <c r="F105" s="3" t="s">
        <v>289</v>
      </c>
      <c r="G105" s="3" t="s">
        <v>23</v>
      </c>
      <c r="H105" s="3" t="s">
        <v>173</v>
      </c>
    </row>
    <row r="106" spans="1:8" x14ac:dyDescent="0.2">
      <c r="A106" s="3">
        <v>3050305013</v>
      </c>
      <c r="B106" s="4" t="s">
        <v>484</v>
      </c>
      <c r="C106" s="4" t="s">
        <v>485</v>
      </c>
      <c r="D106" s="3">
        <v>1</v>
      </c>
      <c r="E106" s="3" t="s">
        <v>16</v>
      </c>
      <c r="F106" s="3" t="s">
        <v>291</v>
      </c>
      <c r="G106" s="3" t="s">
        <v>26</v>
      </c>
      <c r="H106" s="3" t="s">
        <v>173</v>
      </c>
    </row>
    <row r="107" spans="1:8" x14ac:dyDescent="0.2">
      <c r="A107" s="3">
        <v>3040305001</v>
      </c>
      <c r="B107" s="4" t="s">
        <v>486</v>
      </c>
      <c r="C107" s="4" t="s">
        <v>1197</v>
      </c>
      <c r="D107" s="3">
        <v>2</v>
      </c>
      <c r="E107" s="3" t="s">
        <v>16</v>
      </c>
      <c r="F107" s="3" t="s">
        <v>293</v>
      </c>
      <c r="G107" s="3" t="s">
        <v>29</v>
      </c>
      <c r="H107" s="3" t="s">
        <v>173</v>
      </c>
    </row>
    <row r="108" spans="1:8" x14ac:dyDescent="0.2">
      <c r="A108" s="3">
        <v>3040313002</v>
      </c>
      <c r="B108" s="4" t="s">
        <v>488</v>
      </c>
      <c r="C108" s="4" t="s">
        <v>489</v>
      </c>
      <c r="D108" s="3">
        <v>8</v>
      </c>
      <c r="E108" s="3" t="s">
        <v>16</v>
      </c>
      <c r="F108" s="3" t="s">
        <v>293</v>
      </c>
      <c r="G108" s="3" t="s">
        <v>29</v>
      </c>
      <c r="H108" s="3" t="s">
        <v>173</v>
      </c>
    </row>
    <row r="109" spans="1:8" x14ac:dyDescent="0.2">
      <c r="A109" s="3">
        <v>3040321001</v>
      </c>
      <c r="B109" s="4" t="s">
        <v>490</v>
      </c>
      <c r="C109" s="4" t="s">
        <v>347</v>
      </c>
      <c r="D109" s="3">
        <v>8</v>
      </c>
      <c r="E109" s="3" t="s">
        <v>16</v>
      </c>
      <c r="F109" s="3" t="s">
        <v>293</v>
      </c>
      <c r="G109" s="3" t="s">
        <v>29</v>
      </c>
      <c r="H109" s="3" t="s">
        <v>173</v>
      </c>
    </row>
    <row r="110" spans="1:8" x14ac:dyDescent="0.2">
      <c r="A110" s="3">
        <v>3040309001</v>
      </c>
      <c r="B110" s="4" t="s">
        <v>346</v>
      </c>
      <c r="C110" s="4" t="s">
        <v>347</v>
      </c>
      <c r="D110" s="3">
        <v>4</v>
      </c>
      <c r="E110" s="3" t="s">
        <v>16</v>
      </c>
      <c r="F110" s="3" t="s">
        <v>293</v>
      </c>
      <c r="G110" s="3" t="s">
        <v>29</v>
      </c>
      <c r="H110" s="3" t="s">
        <v>173</v>
      </c>
    </row>
    <row r="111" spans="1:8" x14ac:dyDescent="0.2">
      <c r="A111" s="3">
        <v>3050304007</v>
      </c>
      <c r="B111" s="4" t="s">
        <v>181</v>
      </c>
      <c r="C111" s="4" t="s">
        <v>1198</v>
      </c>
      <c r="D111" s="3">
        <v>1</v>
      </c>
      <c r="E111" s="3" t="s">
        <v>16</v>
      </c>
      <c r="F111" s="3" t="s">
        <v>291</v>
      </c>
      <c r="G111" s="3" t="s">
        <v>26</v>
      </c>
      <c r="H111" s="3" t="s">
        <v>173</v>
      </c>
    </row>
    <row r="112" spans="1:8" x14ac:dyDescent="0.2">
      <c r="A112" s="3">
        <v>3020501004</v>
      </c>
      <c r="B112" s="4" t="s">
        <v>183</v>
      </c>
      <c r="C112" s="4" t="s">
        <v>761</v>
      </c>
      <c r="D112" s="3">
        <v>1</v>
      </c>
      <c r="E112" s="3" t="s">
        <v>16</v>
      </c>
      <c r="F112" s="3" t="s">
        <v>291</v>
      </c>
      <c r="G112" s="3" t="s">
        <v>26</v>
      </c>
      <c r="H112" s="3" t="s">
        <v>185</v>
      </c>
    </row>
    <row r="113" spans="1:8" x14ac:dyDescent="0.2">
      <c r="A113" s="3">
        <v>3030204003</v>
      </c>
      <c r="B113" s="4" t="s">
        <v>492</v>
      </c>
      <c r="C113" s="4" t="s">
        <v>493</v>
      </c>
      <c r="D113" s="3">
        <v>2</v>
      </c>
      <c r="E113" s="3" t="s">
        <v>16</v>
      </c>
      <c r="F113" s="3" t="s">
        <v>295</v>
      </c>
      <c r="G113" s="3" t="s">
        <v>17</v>
      </c>
      <c r="H113" s="3" t="s">
        <v>494</v>
      </c>
    </row>
    <row r="114" spans="1:8" x14ac:dyDescent="0.2">
      <c r="A114" s="3">
        <v>3110201001</v>
      </c>
      <c r="B114" s="4" t="s">
        <v>186</v>
      </c>
      <c r="C114" s="4" t="s">
        <v>1199</v>
      </c>
      <c r="D114" s="3">
        <v>1</v>
      </c>
      <c r="E114" s="3" t="s">
        <v>16</v>
      </c>
      <c r="F114" s="3" t="s">
        <v>295</v>
      </c>
      <c r="G114" s="3" t="s">
        <v>17</v>
      </c>
      <c r="H114" s="3" t="s">
        <v>187</v>
      </c>
    </row>
    <row r="115" spans="1:8" x14ac:dyDescent="0.2">
      <c r="A115" s="3">
        <v>3110202001</v>
      </c>
      <c r="B115" s="4" t="s">
        <v>188</v>
      </c>
      <c r="C115" s="4" t="s">
        <v>1199</v>
      </c>
      <c r="D115" s="3">
        <v>1</v>
      </c>
      <c r="E115" s="3" t="s">
        <v>16</v>
      </c>
      <c r="F115" s="3" t="s">
        <v>295</v>
      </c>
      <c r="G115" s="3" t="s">
        <v>17</v>
      </c>
      <c r="H115" s="3" t="s">
        <v>187</v>
      </c>
    </row>
    <row r="116" spans="1:8" x14ac:dyDescent="0.2">
      <c r="A116" s="3">
        <v>3110203001</v>
      </c>
      <c r="B116" s="4" t="s">
        <v>189</v>
      </c>
      <c r="C116" s="4" t="s">
        <v>1199</v>
      </c>
      <c r="D116" s="3">
        <v>1</v>
      </c>
      <c r="E116" s="3" t="s">
        <v>16</v>
      </c>
      <c r="F116" s="3" t="s">
        <v>295</v>
      </c>
      <c r="G116" s="3" t="s">
        <v>17</v>
      </c>
      <c r="H116" s="3" t="s">
        <v>187</v>
      </c>
    </row>
    <row r="117" spans="1:8" x14ac:dyDescent="0.2">
      <c r="A117" s="3">
        <v>3050405003</v>
      </c>
      <c r="B117" s="4" t="s">
        <v>496</v>
      </c>
      <c r="C117" s="4" t="s">
        <v>1200</v>
      </c>
      <c r="D117" s="3">
        <v>1</v>
      </c>
      <c r="E117" s="3" t="s">
        <v>16</v>
      </c>
      <c r="F117" s="3" t="s">
        <v>291</v>
      </c>
      <c r="G117" s="3" t="s">
        <v>26</v>
      </c>
      <c r="H117" s="3" t="s">
        <v>192</v>
      </c>
    </row>
    <row r="118" spans="1:8" x14ac:dyDescent="0.2">
      <c r="A118" s="3">
        <v>3030402006</v>
      </c>
      <c r="B118" s="4" t="s">
        <v>498</v>
      </c>
      <c r="C118" s="4" t="s">
        <v>1124</v>
      </c>
      <c r="D118" s="3">
        <v>1</v>
      </c>
      <c r="E118" s="3" t="s">
        <v>16</v>
      </c>
      <c r="F118" s="3" t="s">
        <v>295</v>
      </c>
      <c r="G118" s="3" t="s">
        <v>17</v>
      </c>
      <c r="H118" s="3" t="s">
        <v>192</v>
      </c>
    </row>
    <row r="119" spans="1:8" x14ac:dyDescent="0.2">
      <c r="A119" s="3">
        <v>3040402005</v>
      </c>
      <c r="B119" s="4" t="s">
        <v>500</v>
      </c>
      <c r="C119" s="4" t="s">
        <v>501</v>
      </c>
      <c r="D119" s="3">
        <v>1</v>
      </c>
      <c r="E119" s="3" t="s">
        <v>16</v>
      </c>
      <c r="F119" s="3" t="s">
        <v>293</v>
      </c>
      <c r="G119" s="3" t="s">
        <v>29</v>
      </c>
      <c r="H119" s="3" t="s">
        <v>192</v>
      </c>
    </row>
    <row r="120" spans="1:8" x14ac:dyDescent="0.2">
      <c r="A120" s="3">
        <v>3040402006</v>
      </c>
      <c r="B120" s="4" t="s">
        <v>500</v>
      </c>
      <c r="C120" s="4" t="s">
        <v>502</v>
      </c>
      <c r="D120" s="3">
        <v>1</v>
      </c>
      <c r="E120" s="3" t="s">
        <v>16</v>
      </c>
      <c r="F120" s="3" t="s">
        <v>293</v>
      </c>
      <c r="G120" s="3" t="s">
        <v>29</v>
      </c>
      <c r="H120" s="3" t="s">
        <v>192</v>
      </c>
    </row>
    <row r="121" spans="1:8" x14ac:dyDescent="0.2">
      <c r="A121" s="3">
        <v>404100037</v>
      </c>
      <c r="B121" s="4" t="s">
        <v>1201</v>
      </c>
      <c r="C121" s="4" t="s">
        <v>1202</v>
      </c>
      <c r="D121" s="3">
        <v>1</v>
      </c>
      <c r="E121" s="3" t="s">
        <v>16</v>
      </c>
      <c r="F121" s="3" t="s">
        <v>301</v>
      </c>
      <c r="G121" s="3" t="s">
        <v>32</v>
      </c>
      <c r="H121" s="3" t="s">
        <v>198</v>
      </c>
    </row>
    <row r="122" spans="1:8" x14ac:dyDescent="0.2">
      <c r="A122" s="3">
        <v>404100039</v>
      </c>
      <c r="B122" s="4" t="s">
        <v>196</v>
      </c>
      <c r="C122" s="4" t="s">
        <v>1203</v>
      </c>
      <c r="D122" s="3">
        <v>1</v>
      </c>
      <c r="E122" s="3" t="s">
        <v>16</v>
      </c>
      <c r="F122" s="3" t="s">
        <v>301</v>
      </c>
      <c r="G122" s="3" t="s">
        <v>32</v>
      </c>
      <c r="H122" s="3" t="s">
        <v>198</v>
      </c>
    </row>
    <row r="123" spans="1:8" x14ac:dyDescent="0.2">
      <c r="A123" s="3">
        <v>404110008</v>
      </c>
      <c r="B123" s="4" t="s">
        <v>504</v>
      </c>
      <c r="C123" s="4" t="s">
        <v>505</v>
      </c>
      <c r="D123" s="3">
        <v>2</v>
      </c>
      <c r="E123" s="3" t="s">
        <v>16</v>
      </c>
      <c r="F123" s="3" t="s">
        <v>291</v>
      </c>
      <c r="G123" s="3" t="s">
        <v>26</v>
      </c>
      <c r="H123" s="3" t="s">
        <v>198</v>
      </c>
    </row>
    <row r="124" spans="1:8" x14ac:dyDescent="0.2">
      <c r="A124" s="3">
        <v>404110002</v>
      </c>
      <c r="B124" s="4" t="s">
        <v>504</v>
      </c>
      <c r="C124" s="4" t="s">
        <v>1204</v>
      </c>
      <c r="D124" s="3">
        <v>1</v>
      </c>
      <c r="E124" s="3" t="s">
        <v>16</v>
      </c>
      <c r="F124" s="3" t="s">
        <v>291</v>
      </c>
      <c r="G124" s="3" t="s">
        <v>26</v>
      </c>
      <c r="H124" s="3" t="s">
        <v>198</v>
      </c>
    </row>
    <row r="125" spans="1:8" x14ac:dyDescent="0.2">
      <c r="A125" s="3">
        <v>404100025</v>
      </c>
      <c r="B125" s="4" t="s">
        <v>1093</v>
      </c>
      <c r="C125" s="4" t="s">
        <v>1094</v>
      </c>
      <c r="D125" s="3">
        <v>1</v>
      </c>
      <c r="E125" s="3" t="s">
        <v>16</v>
      </c>
      <c r="F125" s="3" t="s">
        <v>301</v>
      </c>
      <c r="G125" s="3" t="s">
        <v>32</v>
      </c>
      <c r="H125" s="3" t="s">
        <v>198</v>
      </c>
    </row>
    <row r="126" spans="1:8" x14ac:dyDescent="0.2">
      <c r="A126" s="3">
        <v>403030054</v>
      </c>
      <c r="B126" s="4" t="s">
        <v>801</v>
      </c>
      <c r="C126" s="4" t="s">
        <v>1205</v>
      </c>
      <c r="D126" s="3">
        <v>1</v>
      </c>
      <c r="E126" s="3" t="s">
        <v>16</v>
      </c>
      <c r="F126" s="3" t="s">
        <v>301</v>
      </c>
      <c r="G126" s="3" t="s">
        <v>32</v>
      </c>
      <c r="H126" s="3" t="s">
        <v>198</v>
      </c>
    </row>
    <row r="127" spans="1:8" x14ac:dyDescent="0.2">
      <c r="A127" s="3">
        <v>403030012</v>
      </c>
      <c r="B127" s="4" t="s">
        <v>366</v>
      </c>
      <c r="C127" s="4" t="s">
        <v>507</v>
      </c>
      <c r="D127" s="3">
        <v>2</v>
      </c>
      <c r="E127" s="3" t="s">
        <v>16</v>
      </c>
      <c r="F127" s="3" t="s">
        <v>291</v>
      </c>
      <c r="G127" s="3" t="s">
        <v>26</v>
      </c>
      <c r="H127" s="3" t="s">
        <v>198</v>
      </c>
    </row>
    <row r="128" spans="1:8" x14ac:dyDescent="0.2">
      <c r="A128" s="3">
        <v>401070022</v>
      </c>
      <c r="B128" s="4" t="s">
        <v>35</v>
      </c>
      <c r="C128" s="4" t="s">
        <v>203</v>
      </c>
      <c r="D128" s="3">
        <v>1</v>
      </c>
      <c r="E128" s="3" t="s">
        <v>16</v>
      </c>
      <c r="F128" s="3" t="s">
        <v>301</v>
      </c>
      <c r="G128" s="3" t="s">
        <v>32</v>
      </c>
      <c r="H128" s="3" t="s">
        <v>198</v>
      </c>
    </row>
    <row r="129" spans="1:8" x14ac:dyDescent="0.2">
      <c r="A129" s="3">
        <v>401070018</v>
      </c>
      <c r="B129" s="4" t="s">
        <v>35</v>
      </c>
      <c r="C129" s="4" t="s">
        <v>202</v>
      </c>
      <c r="D129" s="3">
        <v>1</v>
      </c>
      <c r="E129" s="3" t="s">
        <v>16</v>
      </c>
      <c r="F129" s="3" t="s">
        <v>291</v>
      </c>
      <c r="G129" s="3" t="s">
        <v>26</v>
      </c>
      <c r="H129" s="3" t="s">
        <v>198</v>
      </c>
    </row>
    <row r="130" spans="1:8" x14ac:dyDescent="0.2">
      <c r="A130" s="3">
        <v>404100041</v>
      </c>
      <c r="B130" s="4" t="s">
        <v>205</v>
      </c>
      <c r="C130" s="4" t="s">
        <v>1206</v>
      </c>
      <c r="D130" s="3">
        <v>1</v>
      </c>
      <c r="E130" s="3" t="s">
        <v>16</v>
      </c>
      <c r="F130" s="3" t="s">
        <v>291</v>
      </c>
      <c r="G130" s="3" t="s">
        <v>26</v>
      </c>
      <c r="H130" s="3" t="s">
        <v>198</v>
      </c>
    </row>
    <row r="131" spans="1:8" x14ac:dyDescent="0.2">
      <c r="A131" s="3">
        <v>404100040</v>
      </c>
      <c r="B131" s="4" t="s">
        <v>207</v>
      </c>
      <c r="C131" s="4" t="s">
        <v>1207</v>
      </c>
      <c r="D131" s="3">
        <v>1</v>
      </c>
      <c r="E131" s="3" t="s">
        <v>16</v>
      </c>
      <c r="F131" s="3" t="s">
        <v>291</v>
      </c>
      <c r="G131" s="3" t="s">
        <v>26</v>
      </c>
      <c r="H131" s="3" t="s">
        <v>198</v>
      </c>
    </row>
    <row r="132" spans="1:8" x14ac:dyDescent="0.2">
      <c r="A132" s="3">
        <v>3069904001</v>
      </c>
      <c r="B132" s="4" t="s">
        <v>514</v>
      </c>
      <c r="C132" s="4" t="s">
        <v>355</v>
      </c>
      <c r="D132" s="3">
        <v>4</v>
      </c>
      <c r="E132" s="3" t="s">
        <v>16</v>
      </c>
      <c r="F132" s="3" t="s">
        <v>295</v>
      </c>
      <c r="G132" s="3" t="s">
        <v>17</v>
      </c>
      <c r="H132" s="3" t="s">
        <v>214</v>
      </c>
    </row>
    <row r="133" spans="1:8" x14ac:dyDescent="0.2">
      <c r="A133" s="3">
        <v>3030201003</v>
      </c>
      <c r="B133" s="4" t="s">
        <v>515</v>
      </c>
      <c r="C133" s="4" t="s">
        <v>516</v>
      </c>
      <c r="D133" s="3">
        <v>1</v>
      </c>
      <c r="E133" s="3" t="s">
        <v>16</v>
      </c>
      <c r="F133" s="3" t="s">
        <v>295</v>
      </c>
      <c r="G133" s="3" t="s">
        <v>17</v>
      </c>
      <c r="H133" s="3" t="s">
        <v>214</v>
      </c>
    </row>
    <row r="134" spans="1:8" x14ac:dyDescent="0.2">
      <c r="A134" s="3">
        <v>3049903001</v>
      </c>
      <c r="B134" s="4" t="s">
        <v>517</v>
      </c>
      <c r="C134" s="4" t="s">
        <v>355</v>
      </c>
      <c r="D134" s="3">
        <v>2</v>
      </c>
      <c r="E134" s="3" t="s">
        <v>16</v>
      </c>
      <c r="F134" s="3" t="s">
        <v>293</v>
      </c>
      <c r="G134" s="3" t="s">
        <v>29</v>
      </c>
      <c r="H134" s="3" t="s">
        <v>214</v>
      </c>
    </row>
    <row r="135" spans="1:8" x14ac:dyDescent="0.2">
      <c r="A135" s="3">
        <v>3049904001</v>
      </c>
      <c r="B135" s="4" t="s">
        <v>354</v>
      </c>
      <c r="C135" s="4" t="s">
        <v>355</v>
      </c>
      <c r="D135" s="3">
        <v>4</v>
      </c>
      <c r="E135" s="3" t="s">
        <v>16</v>
      </c>
      <c r="F135" s="3" t="s">
        <v>293</v>
      </c>
      <c r="G135" s="3" t="s">
        <v>29</v>
      </c>
      <c r="H135" s="3" t="s">
        <v>214</v>
      </c>
    </row>
    <row r="136" spans="1:8" x14ac:dyDescent="0.2">
      <c r="A136" s="3">
        <v>3049902001</v>
      </c>
      <c r="B136" s="4" t="s">
        <v>518</v>
      </c>
      <c r="C136" s="4" t="s">
        <v>355</v>
      </c>
      <c r="D136" s="3">
        <v>2</v>
      </c>
      <c r="E136" s="3" t="s">
        <v>16</v>
      </c>
      <c r="F136" s="3" t="s">
        <v>293</v>
      </c>
      <c r="G136" s="3" t="s">
        <v>29</v>
      </c>
      <c r="H136" s="3" t="s">
        <v>214</v>
      </c>
    </row>
    <row r="137" spans="1:8" x14ac:dyDescent="0.2">
      <c r="A137" s="3">
        <v>3050204001</v>
      </c>
      <c r="B137" s="4" t="s">
        <v>519</v>
      </c>
      <c r="C137" s="4" t="s">
        <v>355</v>
      </c>
      <c r="D137" s="3">
        <v>2</v>
      </c>
      <c r="E137" s="3" t="s">
        <v>16</v>
      </c>
      <c r="F137" s="3" t="s">
        <v>291</v>
      </c>
      <c r="G137" s="3" t="s">
        <v>26</v>
      </c>
      <c r="H137" s="3" t="s">
        <v>214</v>
      </c>
    </row>
    <row r="138" spans="1:8" x14ac:dyDescent="0.2">
      <c r="A138" s="3">
        <v>3050204002</v>
      </c>
      <c r="B138" s="4" t="s">
        <v>520</v>
      </c>
      <c r="C138" s="4" t="s">
        <v>355</v>
      </c>
      <c r="D138" s="3">
        <v>2</v>
      </c>
      <c r="E138" s="3" t="s">
        <v>16</v>
      </c>
      <c r="F138" s="3" t="s">
        <v>291</v>
      </c>
      <c r="G138" s="3" t="s">
        <v>26</v>
      </c>
      <c r="H138" s="3" t="s">
        <v>214</v>
      </c>
    </row>
    <row r="139" spans="1:8" x14ac:dyDescent="0.2">
      <c r="A139" s="3">
        <v>3060403034</v>
      </c>
      <c r="B139" s="4" t="s">
        <v>190</v>
      </c>
      <c r="C139" s="4" t="s">
        <v>521</v>
      </c>
      <c r="D139" s="3">
        <v>1</v>
      </c>
      <c r="E139" s="3" t="s">
        <v>16</v>
      </c>
      <c r="F139" s="3" t="s">
        <v>295</v>
      </c>
      <c r="G139" s="3" t="s">
        <v>17</v>
      </c>
      <c r="H139" s="3" t="s">
        <v>221</v>
      </c>
    </row>
    <row r="140" spans="1:8" x14ac:dyDescent="0.2">
      <c r="A140" s="3">
        <v>403030051</v>
      </c>
      <c r="B140" s="4" t="s">
        <v>366</v>
      </c>
      <c r="C140" s="4" t="s">
        <v>367</v>
      </c>
      <c r="D140" s="3">
        <v>3</v>
      </c>
      <c r="E140" s="3" t="s">
        <v>16</v>
      </c>
      <c r="F140" s="3" t="s">
        <v>301</v>
      </c>
      <c r="G140" s="3" t="s">
        <v>32</v>
      </c>
      <c r="H140" s="3" t="s">
        <v>221</v>
      </c>
    </row>
    <row r="141" spans="1:8" x14ac:dyDescent="0.2">
      <c r="A141" s="3">
        <v>403030005</v>
      </c>
      <c r="B141" s="4" t="s">
        <v>366</v>
      </c>
      <c r="C141" s="4" t="s">
        <v>368</v>
      </c>
      <c r="D141" s="3">
        <v>2</v>
      </c>
      <c r="E141" s="3" t="s">
        <v>16</v>
      </c>
      <c r="F141" s="3" t="s">
        <v>301</v>
      </c>
      <c r="G141" s="3" t="s">
        <v>32</v>
      </c>
      <c r="H141" s="3" t="s">
        <v>221</v>
      </c>
    </row>
    <row r="142" spans="1:8" x14ac:dyDescent="0.2">
      <c r="A142" s="3">
        <v>408120041</v>
      </c>
      <c r="B142" s="4" t="s">
        <v>525</v>
      </c>
      <c r="C142" s="4" t="s">
        <v>1208</v>
      </c>
      <c r="D142" s="3">
        <v>2</v>
      </c>
      <c r="E142" s="3" t="s">
        <v>16</v>
      </c>
      <c r="F142" s="3" t="s">
        <v>289</v>
      </c>
      <c r="G142" s="3" t="s">
        <v>23</v>
      </c>
      <c r="H142" s="3" t="s">
        <v>524</v>
      </c>
    </row>
    <row r="143" spans="1:8" x14ac:dyDescent="0.2">
      <c r="A143" s="3">
        <v>408120039</v>
      </c>
      <c r="B143" s="4" t="s">
        <v>525</v>
      </c>
      <c r="C143" s="4" t="s">
        <v>1209</v>
      </c>
      <c r="D143" s="3">
        <v>1</v>
      </c>
      <c r="E143" s="3" t="s">
        <v>16</v>
      </c>
      <c r="F143" s="3" t="s">
        <v>289</v>
      </c>
      <c r="G143" s="3" t="s">
        <v>23</v>
      </c>
      <c r="H143" s="3" t="s">
        <v>524</v>
      </c>
    </row>
    <row r="144" spans="1:8" x14ac:dyDescent="0.2">
      <c r="A144" s="3">
        <v>408120032</v>
      </c>
      <c r="B144" s="4" t="s">
        <v>525</v>
      </c>
      <c r="C144" s="4" t="s">
        <v>1210</v>
      </c>
      <c r="D144" s="3">
        <v>23</v>
      </c>
      <c r="E144" s="3" t="s">
        <v>16</v>
      </c>
      <c r="F144" s="3" t="s">
        <v>289</v>
      </c>
      <c r="G144" s="3" t="s">
        <v>23</v>
      </c>
      <c r="H144" s="3" t="s">
        <v>524</v>
      </c>
    </row>
    <row r="145" spans="1:8" x14ac:dyDescent="0.2">
      <c r="A145" s="3">
        <v>408120037</v>
      </c>
      <c r="B145" s="4" t="s">
        <v>525</v>
      </c>
      <c r="C145" s="4" t="s">
        <v>1211</v>
      </c>
      <c r="D145" s="3">
        <v>2</v>
      </c>
      <c r="E145" s="3" t="s">
        <v>16</v>
      </c>
      <c r="F145" s="3" t="s">
        <v>291</v>
      </c>
      <c r="G145" s="3" t="s">
        <v>26</v>
      </c>
      <c r="H145" s="3" t="s">
        <v>524</v>
      </c>
    </row>
    <row r="146" spans="1:8" x14ac:dyDescent="0.2">
      <c r="A146" s="3">
        <v>407010073</v>
      </c>
      <c r="B146" s="4" t="s">
        <v>149</v>
      </c>
      <c r="C146" s="4" t="s">
        <v>1212</v>
      </c>
      <c r="D146" s="3">
        <v>1</v>
      </c>
      <c r="E146" s="3" t="s">
        <v>16</v>
      </c>
      <c r="F146" s="3" t="s">
        <v>289</v>
      </c>
      <c r="G146" s="3" t="s">
        <v>23</v>
      </c>
      <c r="H146" s="3" t="s">
        <v>524</v>
      </c>
    </row>
    <row r="147" spans="1:8" x14ac:dyDescent="0.2">
      <c r="A147" s="3">
        <v>3060501010</v>
      </c>
      <c r="B147" s="4" t="s">
        <v>1213</v>
      </c>
      <c r="C147" s="4" t="s">
        <v>1214</v>
      </c>
      <c r="D147" s="3">
        <v>1</v>
      </c>
      <c r="E147" s="3" t="s">
        <v>16</v>
      </c>
      <c r="F147" s="3" t="s">
        <v>289</v>
      </c>
      <c r="G147" s="3" t="s">
        <v>23</v>
      </c>
      <c r="H147" s="3" t="s">
        <v>226</v>
      </c>
    </row>
    <row r="148" spans="1:8" x14ac:dyDescent="0.2">
      <c r="A148" s="3">
        <v>3060350003</v>
      </c>
      <c r="B148" s="4" t="s">
        <v>1215</v>
      </c>
      <c r="C148" s="4" t="s">
        <v>1216</v>
      </c>
      <c r="D148" s="3">
        <v>1</v>
      </c>
      <c r="E148" s="3" t="s">
        <v>16</v>
      </c>
      <c r="F148" s="3" t="s">
        <v>289</v>
      </c>
      <c r="G148" s="3" t="s">
        <v>23</v>
      </c>
      <c r="H148" s="3" t="s">
        <v>226</v>
      </c>
    </row>
    <row r="149" spans="1:8" x14ac:dyDescent="0.2">
      <c r="A149" s="3">
        <v>3060353007</v>
      </c>
      <c r="B149" s="4" t="s">
        <v>1217</v>
      </c>
      <c r="C149" s="4" t="s">
        <v>1218</v>
      </c>
      <c r="D149" s="3">
        <v>1</v>
      </c>
      <c r="E149" s="3" t="s">
        <v>16</v>
      </c>
      <c r="F149" s="3" t="s">
        <v>289</v>
      </c>
      <c r="G149" s="3" t="s">
        <v>23</v>
      </c>
      <c r="H149" s="3" t="s">
        <v>226</v>
      </c>
    </row>
    <row r="150" spans="1:8" x14ac:dyDescent="0.2">
      <c r="A150" s="3">
        <v>3060316001</v>
      </c>
      <c r="B150" s="4" t="s">
        <v>1219</v>
      </c>
      <c r="C150" s="4" t="s">
        <v>1220</v>
      </c>
      <c r="D150" s="3">
        <v>1</v>
      </c>
      <c r="E150" s="3" t="s">
        <v>16</v>
      </c>
      <c r="F150" s="3" t="s">
        <v>289</v>
      </c>
      <c r="G150" s="3" t="s">
        <v>23</v>
      </c>
      <c r="H150" s="3" t="s">
        <v>226</v>
      </c>
    </row>
    <row r="151" spans="1:8" x14ac:dyDescent="0.2">
      <c r="A151" s="3">
        <v>3030309016</v>
      </c>
      <c r="B151" s="4" t="s">
        <v>531</v>
      </c>
      <c r="C151" s="4" t="s">
        <v>1221</v>
      </c>
      <c r="D151" s="3">
        <v>1</v>
      </c>
      <c r="E151" s="3" t="s">
        <v>16</v>
      </c>
      <c r="F151" s="3" t="s">
        <v>291</v>
      </c>
      <c r="G151" s="3" t="s">
        <v>26</v>
      </c>
      <c r="H151" s="3" t="s">
        <v>226</v>
      </c>
    </row>
    <row r="152" spans="1:8" x14ac:dyDescent="0.2">
      <c r="A152" s="3">
        <v>3030302002</v>
      </c>
      <c r="B152" s="4" t="s">
        <v>533</v>
      </c>
      <c r="C152" s="4" t="s">
        <v>534</v>
      </c>
      <c r="D152" s="3">
        <v>1</v>
      </c>
      <c r="E152" s="3" t="s">
        <v>16</v>
      </c>
      <c r="F152" s="3" t="s">
        <v>295</v>
      </c>
      <c r="G152" s="3" t="s">
        <v>17</v>
      </c>
      <c r="H152" s="3" t="s">
        <v>226</v>
      </c>
    </row>
    <row r="153" spans="1:8" x14ac:dyDescent="0.2">
      <c r="A153" s="3">
        <v>3030306012</v>
      </c>
      <c r="B153" s="4" t="s">
        <v>535</v>
      </c>
      <c r="C153" s="4" t="s">
        <v>536</v>
      </c>
      <c r="D153" s="3">
        <v>1</v>
      </c>
      <c r="E153" s="3" t="s">
        <v>16</v>
      </c>
      <c r="F153" s="3" t="s">
        <v>295</v>
      </c>
      <c r="G153" s="3" t="s">
        <v>17</v>
      </c>
      <c r="H153" s="3" t="s">
        <v>226</v>
      </c>
    </row>
    <row r="154" spans="1:8" x14ac:dyDescent="0.2">
      <c r="A154" s="3">
        <v>3030306011</v>
      </c>
      <c r="B154" s="4" t="s">
        <v>537</v>
      </c>
      <c r="C154" s="4" t="s">
        <v>536</v>
      </c>
      <c r="D154" s="3">
        <v>1</v>
      </c>
      <c r="E154" s="3" t="s">
        <v>16</v>
      </c>
      <c r="F154" s="3" t="s">
        <v>295</v>
      </c>
      <c r="G154" s="3" t="s">
        <v>17</v>
      </c>
      <c r="H154" s="3" t="s">
        <v>226</v>
      </c>
    </row>
    <row r="155" spans="1:8" x14ac:dyDescent="0.2">
      <c r="A155" s="3">
        <v>3030303024</v>
      </c>
      <c r="B155" s="4" t="s">
        <v>175</v>
      </c>
      <c r="C155" s="4" t="s">
        <v>1222</v>
      </c>
      <c r="D155" s="3">
        <v>1</v>
      </c>
      <c r="E155" s="3" t="s">
        <v>16</v>
      </c>
      <c r="F155" s="3" t="s">
        <v>295</v>
      </c>
      <c r="G155" s="3" t="s">
        <v>17</v>
      </c>
      <c r="H155" s="3" t="s">
        <v>226</v>
      </c>
    </row>
    <row r="156" spans="1:8" x14ac:dyDescent="0.2">
      <c r="A156" s="3">
        <v>3030305002</v>
      </c>
      <c r="B156" s="4" t="s">
        <v>511</v>
      </c>
      <c r="C156" s="4" t="s">
        <v>1223</v>
      </c>
      <c r="D156" s="3">
        <v>1</v>
      </c>
      <c r="E156" s="3" t="s">
        <v>16</v>
      </c>
      <c r="F156" s="3" t="s">
        <v>295</v>
      </c>
      <c r="G156" s="3" t="s">
        <v>17</v>
      </c>
      <c r="H156" s="3" t="s">
        <v>226</v>
      </c>
    </row>
    <row r="157" spans="1:8" x14ac:dyDescent="0.2">
      <c r="A157" s="3">
        <v>3030305004</v>
      </c>
      <c r="B157" s="4" t="s">
        <v>513</v>
      </c>
      <c r="C157" s="4" t="s">
        <v>1223</v>
      </c>
      <c r="D157" s="3">
        <v>1</v>
      </c>
      <c r="E157" s="3" t="s">
        <v>16</v>
      </c>
      <c r="F157" s="3" t="s">
        <v>295</v>
      </c>
      <c r="G157" s="3" t="s">
        <v>17</v>
      </c>
      <c r="H157" s="3" t="s">
        <v>226</v>
      </c>
    </row>
    <row r="158" spans="1:8" x14ac:dyDescent="0.2">
      <c r="A158" s="3">
        <v>3030305005</v>
      </c>
      <c r="B158" s="4" t="s">
        <v>539</v>
      </c>
      <c r="C158" s="4" t="s">
        <v>1224</v>
      </c>
      <c r="D158" s="3">
        <v>1</v>
      </c>
      <c r="E158" s="3" t="s">
        <v>16</v>
      </c>
      <c r="F158" s="3" t="s">
        <v>295</v>
      </c>
      <c r="G158" s="3" t="s">
        <v>17</v>
      </c>
      <c r="H158" s="3" t="s">
        <v>226</v>
      </c>
    </row>
    <row r="159" spans="1:8" x14ac:dyDescent="0.2">
      <c r="A159" s="3">
        <v>3040312012</v>
      </c>
      <c r="B159" s="4" t="s">
        <v>263</v>
      </c>
      <c r="C159" s="4" t="s">
        <v>541</v>
      </c>
      <c r="D159" s="3">
        <v>2</v>
      </c>
      <c r="E159" s="3" t="s">
        <v>16</v>
      </c>
      <c r="F159" s="3" t="s">
        <v>293</v>
      </c>
      <c r="G159" s="3" t="s">
        <v>29</v>
      </c>
      <c r="H159" s="3" t="s">
        <v>226</v>
      </c>
    </row>
    <row r="160" spans="1:8" x14ac:dyDescent="0.2">
      <c r="A160" s="3">
        <v>3040320012</v>
      </c>
      <c r="B160" s="4" t="s">
        <v>269</v>
      </c>
      <c r="C160" s="4" t="s">
        <v>1225</v>
      </c>
      <c r="D160" s="3">
        <v>1</v>
      </c>
      <c r="E160" s="3" t="s">
        <v>16</v>
      </c>
      <c r="F160" s="3" t="s">
        <v>293</v>
      </c>
      <c r="G160" s="3" t="s">
        <v>29</v>
      </c>
      <c r="H160" s="3" t="s">
        <v>226</v>
      </c>
    </row>
    <row r="161" spans="1:8" x14ac:dyDescent="0.2">
      <c r="A161" s="3">
        <v>3040320013</v>
      </c>
      <c r="B161" s="4" t="s">
        <v>269</v>
      </c>
      <c r="C161" s="4" t="s">
        <v>1226</v>
      </c>
      <c r="D161" s="3">
        <v>1</v>
      </c>
      <c r="E161" s="3" t="s">
        <v>16</v>
      </c>
      <c r="F161" s="3" t="s">
        <v>293</v>
      </c>
      <c r="G161" s="3" t="s">
        <v>29</v>
      </c>
      <c r="H161" s="3" t="s">
        <v>226</v>
      </c>
    </row>
    <row r="162" spans="1:8" x14ac:dyDescent="0.2">
      <c r="A162" s="3">
        <v>3030313003</v>
      </c>
      <c r="B162" s="4" t="s">
        <v>217</v>
      </c>
      <c r="C162" s="4" t="s">
        <v>544</v>
      </c>
      <c r="D162" s="3">
        <v>8</v>
      </c>
      <c r="E162" s="3" t="s">
        <v>16</v>
      </c>
      <c r="F162" s="3" t="s">
        <v>291</v>
      </c>
      <c r="G162" s="3" t="s">
        <v>26</v>
      </c>
      <c r="H162" s="3" t="s">
        <v>226</v>
      </c>
    </row>
    <row r="163" spans="1:8" x14ac:dyDescent="0.2">
      <c r="A163" s="3">
        <v>3020199010</v>
      </c>
      <c r="B163" s="4" t="s">
        <v>239</v>
      </c>
      <c r="C163" s="4" t="s">
        <v>545</v>
      </c>
      <c r="D163" s="3">
        <v>5</v>
      </c>
      <c r="E163" s="3" t="s">
        <v>16</v>
      </c>
      <c r="F163" s="3" t="s">
        <v>301</v>
      </c>
      <c r="G163" s="3" t="s">
        <v>32</v>
      </c>
      <c r="H163" s="3" t="s">
        <v>226</v>
      </c>
    </row>
    <row r="164" spans="1:8" x14ac:dyDescent="0.2">
      <c r="A164" s="3">
        <v>3040326020</v>
      </c>
      <c r="B164" s="4" t="s">
        <v>546</v>
      </c>
      <c r="C164" s="4" t="s">
        <v>1227</v>
      </c>
      <c r="D164" s="3">
        <v>1</v>
      </c>
      <c r="E164" s="3" t="s">
        <v>16</v>
      </c>
      <c r="F164" s="3" t="s">
        <v>293</v>
      </c>
      <c r="G164" s="3" t="s">
        <v>29</v>
      </c>
      <c r="H164" s="3" t="s">
        <v>226</v>
      </c>
    </row>
    <row r="165" spans="1:8" x14ac:dyDescent="0.2">
      <c r="A165" s="3">
        <v>3040326019</v>
      </c>
      <c r="B165" s="4" t="s">
        <v>546</v>
      </c>
      <c r="C165" s="4" t="s">
        <v>1228</v>
      </c>
      <c r="D165" s="3">
        <v>1</v>
      </c>
      <c r="E165" s="3" t="s">
        <v>16</v>
      </c>
      <c r="F165" s="3" t="s">
        <v>293</v>
      </c>
      <c r="G165" s="3" t="s">
        <v>29</v>
      </c>
      <c r="H165" s="3" t="s">
        <v>226</v>
      </c>
    </row>
    <row r="166" spans="1:8" x14ac:dyDescent="0.2">
      <c r="A166" s="3">
        <v>3991601007</v>
      </c>
      <c r="B166" s="4" t="s">
        <v>585</v>
      </c>
      <c r="C166" s="4" t="s">
        <v>1229</v>
      </c>
      <c r="D166" s="3">
        <v>4</v>
      </c>
      <c r="E166" s="3" t="s">
        <v>16</v>
      </c>
      <c r="F166" s="3" t="s">
        <v>289</v>
      </c>
      <c r="G166" s="3" t="s">
        <v>23</v>
      </c>
      <c r="H166" s="3" t="s">
        <v>226</v>
      </c>
    </row>
    <row r="167" spans="1:8" x14ac:dyDescent="0.2">
      <c r="A167" s="3">
        <v>3991601009</v>
      </c>
      <c r="B167" s="4" t="s">
        <v>585</v>
      </c>
      <c r="C167" s="4" t="s">
        <v>1230</v>
      </c>
      <c r="D167" s="3">
        <v>2</v>
      </c>
      <c r="E167" s="3" t="s">
        <v>16</v>
      </c>
      <c r="F167" s="3" t="s">
        <v>289</v>
      </c>
      <c r="G167" s="3" t="s">
        <v>23</v>
      </c>
      <c r="H167" s="3" t="s">
        <v>226</v>
      </c>
    </row>
    <row r="168" spans="1:8" x14ac:dyDescent="0.2">
      <c r="A168" s="3">
        <v>3080401031</v>
      </c>
      <c r="B168" s="4" t="s">
        <v>41</v>
      </c>
      <c r="C168" s="4" t="s">
        <v>551</v>
      </c>
      <c r="D168" s="3">
        <v>1</v>
      </c>
      <c r="E168" s="3" t="s">
        <v>16</v>
      </c>
      <c r="F168" s="3" t="s">
        <v>291</v>
      </c>
      <c r="G168" s="3" t="s">
        <v>26</v>
      </c>
      <c r="H168" s="3" t="s">
        <v>249</v>
      </c>
    </row>
    <row r="169" spans="1:8" x14ac:dyDescent="0.2">
      <c r="A169" s="3">
        <v>3030211001</v>
      </c>
      <c r="B169" s="4" t="s">
        <v>552</v>
      </c>
      <c r="C169" s="4" t="s">
        <v>553</v>
      </c>
      <c r="D169" s="3">
        <v>1</v>
      </c>
      <c r="E169" s="3" t="s">
        <v>16</v>
      </c>
      <c r="F169" s="3" t="s">
        <v>295</v>
      </c>
      <c r="G169" s="3" t="s">
        <v>17</v>
      </c>
      <c r="H169" s="3" t="s">
        <v>249</v>
      </c>
    </row>
    <row r="170" spans="1:8" x14ac:dyDescent="0.2">
      <c r="A170" s="3">
        <v>3080309001</v>
      </c>
      <c r="B170" s="4" t="s">
        <v>554</v>
      </c>
      <c r="C170" s="4" t="s">
        <v>555</v>
      </c>
      <c r="D170" s="3">
        <v>1</v>
      </c>
      <c r="E170" s="3" t="s">
        <v>16</v>
      </c>
      <c r="F170" s="3" t="s">
        <v>295</v>
      </c>
      <c r="G170" s="3" t="s">
        <v>17</v>
      </c>
      <c r="H170" s="3" t="s">
        <v>249</v>
      </c>
    </row>
    <row r="171" spans="1:8" x14ac:dyDescent="0.2">
      <c r="A171" s="3">
        <v>3080107268</v>
      </c>
      <c r="B171" s="4" t="s">
        <v>69</v>
      </c>
      <c r="C171" s="4" t="s">
        <v>556</v>
      </c>
      <c r="D171" s="3">
        <v>2</v>
      </c>
      <c r="E171" s="3" t="s">
        <v>16</v>
      </c>
      <c r="F171" s="3" t="s">
        <v>291</v>
      </c>
      <c r="G171" s="3" t="s">
        <v>26</v>
      </c>
      <c r="H171" s="3" t="s">
        <v>249</v>
      </c>
    </row>
    <row r="172" spans="1:8" x14ac:dyDescent="0.2">
      <c r="A172" s="3">
        <v>3080107269</v>
      </c>
      <c r="B172" s="4" t="s">
        <v>69</v>
      </c>
      <c r="C172" s="4" t="s">
        <v>557</v>
      </c>
      <c r="D172" s="3">
        <v>2</v>
      </c>
      <c r="E172" s="3" t="s">
        <v>16</v>
      </c>
      <c r="F172" s="3" t="s">
        <v>291</v>
      </c>
      <c r="G172" s="3" t="s">
        <v>26</v>
      </c>
      <c r="H172" s="3" t="s">
        <v>249</v>
      </c>
    </row>
    <row r="173" spans="1:8" x14ac:dyDescent="0.2">
      <c r="A173" s="3">
        <v>3060333011</v>
      </c>
      <c r="B173" s="4" t="s">
        <v>227</v>
      </c>
      <c r="C173" s="4" t="s">
        <v>1231</v>
      </c>
      <c r="D173" s="3">
        <v>1</v>
      </c>
      <c r="E173" s="3" t="s">
        <v>16</v>
      </c>
      <c r="F173" s="3" t="s">
        <v>289</v>
      </c>
      <c r="G173" s="3" t="s">
        <v>23</v>
      </c>
      <c r="H173" s="3" t="s">
        <v>254</v>
      </c>
    </row>
    <row r="174" spans="1:8" x14ac:dyDescent="0.2">
      <c r="A174" s="3">
        <v>3060401003</v>
      </c>
      <c r="B174" s="4" t="s">
        <v>727</v>
      </c>
      <c r="C174" s="4" t="s">
        <v>1232</v>
      </c>
      <c r="D174" s="3">
        <v>1</v>
      </c>
      <c r="E174" s="3" t="s">
        <v>16</v>
      </c>
      <c r="F174" s="3" t="s">
        <v>289</v>
      </c>
      <c r="G174" s="3" t="s">
        <v>23</v>
      </c>
      <c r="H174" s="3" t="s">
        <v>254</v>
      </c>
    </row>
    <row r="175" spans="1:8" x14ac:dyDescent="0.2">
      <c r="A175" s="3">
        <v>3060335014</v>
      </c>
      <c r="B175" s="4" t="s">
        <v>233</v>
      </c>
      <c r="C175" s="4" t="s">
        <v>1233</v>
      </c>
      <c r="D175" s="3">
        <v>1</v>
      </c>
      <c r="E175" s="3" t="s">
        <v>16</v>
      </c>
      <c r="F175" s="3" t="s">
        <v>289</v>
      </c>
      <c r="G175" s="3" t="s">
        <v>23</v>
      </c>
      <c r="H175" s="3" t="s">
        <v>254</v>
      </c>
    </row>
    <row r="176" spans="1:8" x14ac:dyDescent="0.2">
      <c r="A176" s="3">
        <v>3030302001</v>
      </c>
      <c r="B176" s="4" t="s">
        <v>558</v>
      </c>
      <c r="C176" s="4" t="s">
        <v>534</v>
      </c>
      <c r="D176" s="3">
        <v>1</v>
      </c>
      <c r="E176" s="3" t="s">
        <v>16</v>
      </c>
      <c r="F176" s="3" t="s">
        <v>295</v>
      </c>
      <c r="G176" s="3" t="s">
        <v>17</v>
      </c>
      <c r="H176" s="3" t="s">
        <v>254</v>
      </c>
    </row>
    <row r="177" spans="1:8" x14ac:dyDescent="0.2">
      <c r="A177" s="3">
        <v>3030306031</v>
      </c>
      <c r="B177" s="4" t="s">
        <v>559</v>
      </c>
      <c r="C177" s="4" t="s">
        <v>560</v>
      </c>
      <c r="D177" s="3">
        <v>1</v>
      </c>
      <c r="E177" s="3" t="s">
        <v>16</v>
      </c>
      <c r="F177" s="3" t="s">
        <v>295</v>
      </c>
      <c r="G177" s="3" t="s">
        <v>17</v>
      </c>
      <c r="H177" s="3" t="s">
        <v>254</v>
      </c>
    </row>
    <row r="178" spans="1:8" x14ac:dyDescent="0.2">
      <c r="A178" s="3">
        <v>3080311001</v>
      </c>
      <c r="B178" s="4" t="s">
        <v>561</v>
      </c>
      <c r="C178" s="4" t="s">
        <v>1223</v>
      </c>
      <c r="D178" s="3">
        <v>1</v>
      </c>
      <c r="E178" s="3" t="s">
        <v>16</v>
      </c>
      <c r="F178" s="3" t="s">
        <v>295</v>
      </c>
      <c r="G178" s="3" t="s">
        <v>17</v>
      </c>
      <c r="H178" s="3" t="s">
        <v>254</v>
      </c>
    </row>
    <row r="179" spans="1:8" x14ac:dyDescent="0.2">
      <c r="A179" s="3">
        <v>3030303022</v>
      </c>
      <c r="B179" s="4" t="s">
        <v>562</v>
      </c>
      <c r="C179" s="4" t="s">
        <v>1234</v>
      </c>
      <c r="D179" s="3">
        <v>1</v>
      </c>
      <c r="E179" s="3" t="s">
        <v>16</v>
      </c>
      <c r="F179" s="3" t="s">
        <v>295</v>
      </c>
      <c r="G179" s="3" t="s">
        <v>17</v>
      </c>
      <c r="H179" s="3" t="s">
        <v>254</v>
      </c>
    </row>
    <row r="180" spans="1:8" x14ac:dyDescent="0.2">
      <c r="A180" s="3">
        <v>3030303023</v>
      </c>
      <c r="B180" s="4" t="s">
        <v>564</v>
      </c>
      <c r="C180" s="4" t="s">
        <v>1234</v>
      </c>
      <c r="D180" s="3">
        <v>1</v>
      </c>
      <c r="E180" s="3" t="s">
        <v>16</v>
      </c>
      <c r="F180" s="3" t="s">
        <v>295</v>
      </c>
      <c r="G180" s="3" t="s">
        <v>17</v>
      </c>
      <c r="H180" s="3" t="s">
        <v>254</v>
      </c>
    </row>
    <row r="181" spans="1:8" x14ac:dyDescent="0.2">
      <c r="A181" s="3">
        <v>3040323001</v>
      </c>
      <c r="B181" s="4" t="s">
        <v>565</v>
      </c>
      <c r="C181" s="4" t="s">
        <v>566</v>
      </c>
      <c r="D181" s="3">
        <v>2</v>
      </c>
      <c r="E181" s="3" t="s">
        <v>16</v>
      </c>
      <c r="F181" s="3" t="s">
        <v>293</v>
      </c>
      <c r="G181" s="3" t="s">
        <v>29</v>
      </c>
      <c r="H181" s="3" t="s">
        <v>254</v>
      </c>
    </row>
    <row r="182" spans="1:8" x14ac:dyDescent="0.2">
      <c r="A182" s="3">
        <v>3040302001</v>
      </c>
      <c r="B182" s="4" t="s">
        <v>567</v>
      </c>
      <c r="C182" s="4" t="s">
        <v>568</v>
      </c>
      <c r="D182" s="3">
        <v>1</v>
      </c>
      <c r="E182" s="3" t="s">
        <v>16</v>
      </c>
      <c r="F182" s="3" t="s">
        <v>293</v>
      </c>
      <c r="G182" s="3" t="s">
        <v>29</v>
      </c>
      <c r="H182" s="3" t="s">
        <v>254</v>
      </c>
    </row>
    <row r="183" spans="1:8" x14ac:dyDescent="0.2">
      <c r="A183" s="3">
        <v>3040302002</v>
      </c>
      <c r="B183" s="4" t="s">
        <v>567</v>
      </c>
      <c r="C183" s="4" t="s">
        <v>569</v>
      </c>
      <c r="D183" s="3">
        <v>1</v>
      </c>
      <c r="E183" s="3" t="s">
        <v>16</v>
      </c>
      <c r="F183" s="3" t="s">
        <v>293</v>
      </c>
      <c r="G183" s="3" t="s">
        <v>29</v>
      </c>
      <c r="H183" s="3" t="s">
        <v>254</v>
      </c>
    </row>
    <row r="184" spans="1:8" x14ac:dyDescent="0.2">
      <c r="A184" s="3">
        <v>3040324001</v>
      </c>
      <c r="B184" s="4" t="s">
        <v>570</v>
      </c>
      <c r="C184" s="4" t="s">
        <v>1223</v>
      </c>
      <c r="D184" s="3">
        <v>2</v>
      </c>
      <c r="E184" s="3" t="s">
        <v>16</v>
      </c>
      <c r="F184" s="3" t="s">
        <v>293</v>
      </c>
      <c r="G184" s="3" t="s">
        <v>29</v>
      </c>
      <c r="H184" s="3" t="s">
        <v>254</v>
      </c>
    </row>
    <row r="185" spans="1:8" x14ac:dyDescent="0.2">
      <c r="A185" s="3">
        <v>3030302008</v>
      </c>
      <c r="B185" s="4" t="s">
        <v>571</v>
      </c>
      <c r="C185" s="4" t="s">
        <v>572</v>
      </c>
      <c r="D185" s="3">
        <v>1</v>
      </c>
      <c r="E185" s="3" t="s">
        <v>16</v>
      </c>
      <c r="F185" s="3" t="s">
        <v>295</v>
      </c>
      <c r="G185" s="3" t="s">
        <v>17</v>
      </c>
      <c r="H185" s="3" t="s">
        <v>254</v>
      </c>
    </row>
    <row r="186" spans="1:8" x14ac:dyDescent="0.2">
      <c r="A186" s="3">
        <v>3030302009</v>
      </c>
      <c r="B186" s="4" t="s">
        <v>571</v>
      </c>
      <c r="C186" s="4" t="s">
        <v>573</v>
      </c>
      <c r="D186" s="3">
        <v>1</v>
      </c>
      <c r="E186" s="3" t="s">
        <v>16</v>
      </c>
      <c r="F186" s="3" t="s">
        <v>295</v>
      </c>
      <c r="G186" s="3" t="s">
        <v>17</v>
      </c>
      <c r="H186" s="3" t="s">
        <v>254</v>
      </c>
    </row>
    <row r="187" spans="1:8" x14ac:dyDescent="0.2">
      <c r="A187" s="3">
        <v>3030302004</v>
      </c>
      <c r="B187" s="4" t="s">
        <v>574</v>
      </c>
      <c r="C187" s="4" t="s">
        <v>575</v>
      </c>
      <c r="D187" s="3">
        <v>1</v>
      </c>
      <c r="E187" s="3" t="s">
        <v>16</v>
      </c>
      <c r="F187" s="3" t="s">
        <v>295</v>
      </c>
      <c r="G187" s="3" t="s">
        <v>17</v>
      </c>
      <c r="H187" s="3" t="s">
        <v>254</v>
      </c>
    </row>
    <row r="188" spans="1:8" x14ac:dyDescent="0.2">
      <c r="A188" s="3">
        <v>3030302006</v>
      </c>
      <c r="B188" s="4" t="s">
        <v>576</v>
      </c>
      <c r="C188" s="4" t="s">
        <v>575</v>
      </c>
      <c r="D188" s="3">
        <v>1</v>
      </c>
      <c r="E188" s="3" t="s">
        <v>16</v>
      </c>
      <c r="F188" s="3" t="s">
        <v>295</v>
      </c>
      <c r="G188" s="3" t="s">
        <v>17</v>
      </c>
      <c r="H188" s="3" t="s">
        <v>254</v>
      </c>
    </row>
    <row r="189" spans="1:8" x14ac:dyDescent="0.2">
      <c r="A189" s="3">
        <v>3030314004</v>
      </c>
      <c r="B189" s="4" t="s">
        <v>577</v>
      </c>
      <c r="C189" s="4" t="s">
        <v>575</v>
      </c>
      <c r="D189" s="3">
        <v>1</v>
      </c>
      <c r="E189" s="3" t="s">
        <v>16</v>
      </c>
      <c r="F189" s="3" t="s">
        <v>295</v>
      </c>
      <c r="G189" s="3" t="s">
        <v>17</v>
      </c>
      <c r="H189" s="3" t="s">
        <v>254</v>
      </c>
    </row>
    <row r="190" spans="1:8" x14ac:dyDescent="0.2">
      <c r="A190" s="3">
        <v>3030308001</v>
      </c>
      <c r="B190" s="4" t="s">
        <v>578</v>
      </c>
      <c r="C190" s="4" t="s">
        <v>575</v>
      </c>
      <c r="D190" s="3">
        <v>1</v>
      </c>
      <c r="E190" s="3" t="s">
        <v>16</v>
      </c>
      <c r="F190" s="3" t="s">
        <v>295</v>
      </c>
      <c r="G190" s="3" t="s">
        <v>17</v>
      </c>
      <c r="H190" s="3" t="s">
        <v>254</v>
      </c>
    </row>
    <row r="191" spans="1:8" x14ac:dyDescent="0.2">
      <c r="A191" s="3">
        <v>3030314003</v>
      </c>
      <c r="B191" s="4" t="s">
        <v>579</v>
      </c>
      <c r="C191" s="4" t="s">
        <v>575</v>
      </c>
      <c r="D191" s="3">
        <v>1</v>
      </c>
      <c r="E191" s="3" t="s">
        <v>16</v>
      </c>
      <c r="F191" s="3" t="s">
        <v>295</v>
      </c>
      <c r="G191" s="3" t="s">
        <v>17</v>
      </c>
      <c r="H191" s="3" t="s">
        <v>254</v>
      </c>
    </row>
    <row r="192" spans="1:8" x14ac:dyDescent="0.2">
      <c r="A192" s="3">
        <v>3030308003</v>
      </c>
      <c r="B192" s="4" t="s">
        <v>580</v>
      </c>
      <c r="C192" s="4" t="s">
        <v>581</v>
      </c>
      <c r="D192" s="3">
        <v>1</v>
      </c>
      <c r="E192" s="3" t="s">
        <v>16</v>
      </c>
      <c r="F192" s="3" t="s">
        <v>295</v>
      </c>
      <c r="G192" s="3" t="s">
        <v>17</v>
      </c>
      <c r="H192" s="3" t="s">
        <v>254</v>
      </c>
    </row>
    <row r="193" spans="1:8" x14ac:dyDescent="0.2">
      <c r="A193" s="3">
        <v>3040325008</v>
      </c>
      <c r="B193" s="4" t="s">
        <v>582</v>
      </c>
      <c r="C193" s="4" t="s">
        <v>542</v>
      </c>
      <c r="D193" s="3">
        <v>1</v>
      </c>
      <c r="E193" s="3" t="s">
        <v>16</v>
      </c>
      <c r="F193" s="3" t="s">
        <v>293</v>
      </c>
      <c r="G193" s="3" t="s">
        <v>29</v>
      </c>
      <c r="H193" s="3" t="s">
        <v>254</v>
      </c>
    </row>
    <row r="194" spans="1:8" x14ac:dyDescent="0.2">
      <c r="A194" s="3">
        <v>3040325007</v>
      </c>
      <c r="B194" s="4" t="s">
        <v>582</v>
      </c>
      <c r="C194" s="4" t="s">
        <v>543</v>
      </c>
      <c r="D194" s="3">
        <v>1</v>
      </c>
      <c r="E194" s="3" t="s">
        <v>16</v>
      </c>
      <c r="F194" s="3" t="s">
        <v>293</v>
      </c>
      <c r="G194" s="3" t="s">
        <v>29</v>
      </c>
      <c r="H194" s="3" t="s">
        <v>254</v>
      </c>
    </row>
    <row r="195" spans="1:8" x14ac:dyDescent="0.2">
      <c r="A195" s="3">
        <v>3040308003</v>
      </c>
      <c r="B195" s="4" t="s">
        <v>583</v>
      </c>
      <c r="C195" s="4" t="s">
        <v>536</v>
      </c>
      <c r="D195" s="3">
        <v>2</v>
      </c>
      <c r="E195" s="3" t="s">
        <v>16</v>
      </c>
      <c r="F195" s="3" t="s">
        <v>293</v>
      </c>
      <c r="G195" s="3" t="s">
        <v>29</v>
      </c>
      <c r="H195" s="3" t="s">
        <v>254</v>
      </c>
    </row>
    <row r="196" spans="1:8" x14ac:dyDescent="0.2">
      <c r="A196" s="3">
        <v>3030302007</v>
      </c>
      <c r="B196" s="4" t="s">
        <v>584</v>
      </c>
      <c r="C196" s="4" t="s">
        <v>575</v>
      </c>
      <c r="D196" s="3">
        <v>1</v>
      </c>
      <c r="E196" s="3" t="s">
        <v>16</v>
      </c>
      <c r="F196" s="3" t="s">
        <v>295</v>
      </c>
      <c r="G196" s="3" t="s">
        <v>17</v>
      </c>
      <c r="H196" s="3" t="s">
        <v>254</v>
      </c>
    </row>
    <row r="197" spans="1:8" x14ac:dyDescent="0.2">
      <c r="A197" s="3">
        <v>3111601004</v>
      </c>
      <c r="B197" s="4" t="s">
        <v>585</v>
      </c>
      <c r="C197" s="4" t="s">
        <v>1235</v>
      </c>
      <c r="D197" s="3">
        <v>4</v>
      </c>
      <c r="E197" s="3" t="s">
        <v>16</v>
      </c>
      <c r="F197" s="3" t="s">
        <v>289</v>
      </c>
      <c r="G197" s="3" t="s">
        <v>23</v>
      </c>
      <c r="H197" s="3" t="s">
        <v>254</v>
      </c>
    </row>
    <row r="198" spans="1:8" x14ac:dyDescent="0.2">
      <c r="A198" s="3">
        <v>3111601003</v>
      </c>
      <c r="B198" s="4" t="s">
        <v>585</v>
      </c>
      <c r="C198" s="4" t="s">
        <v>586</v>
      </c>
      <c r="D198" s="3">
        <v>13</v>
      </c>
      <c r="E198" s="3" t="s">
        <v>16</v>
      </c>
      <c r="F198" s="3" t="s">
        <v>289</v>
      </c>
      <c r="G198" s="3" t="s">
        <v>23</v>
      </c>
      <c r="H198" s="3" t="s">
        <v>254</v>
      </c>
    </row>
    <row r="199" spans="1:8" x14ac:dyDescent="0.2">
      <c r="A199" s="3">
        <v>3111601003</v>
      </c>
      <c r="B199" s="4" t="s">
        <v>585</v>
      </c>
      <c r="C199" s="4" t="s">
        <v>586</v>
      </c>
      <c r="D199" s="3">
        <v>2</v>
      </c>
      <c r="E199" s="3" t="s">
        <v>16</v>
      </c>
      <c r="F199" s="3" t="s">
        <v>291</v>
      </c>
      <c r="G199" s="3" t="s">
        <v>26</v>
      </c>
      <c r="H199" s="3" t="s">
        <v>254</v>
      </c>
    </row>
    <row r="200" spans="1:8" x14ac:dyDescent="0.2">
      <c r="A200" s="3">
        <v>3060340003</v>
      </c>
      <c r="B200" s="4" t="s">
        <v>725</v>
      </c>
      <c r="C200" s="4" t="s">
        <v>1236</v>
      </c>
      <c r="D200" s="3">
        <v>1</v>
      </c>
      <c r="E200" s="3" t="s">
        <v>16</v>
      </c>
      <c r="F200" s="3" t="s">
        <v>289</v>
      </c>
      <c r="G200" s="3" t="s">
        <v>23</v>
      </c>
      <c r="H200" s="3" t="s">
        <v>254</v>
      </c>
    </row>
    <row r="201" spans="1:8" x14ac:dyDescent="0.2">
      <c r="A201" s="3">
        <v>3060339005</v>
      </c>
      <c r="B201" s="4" t="s">
        <v>737</v>
      </c>
      <c r="C201" s="4" t="s">
        <v>1233</v>
      </c>
      <c r="D201" s="3">
        <v>1</v>
      </c>
      <c r="E201" s="3" t="s">
        <v>16</v>
      </c>
      <c r="F201" s="3" t="s">
        <v>289</v>
      </c>
      <c r="G201" s="3" t="s">
        <v>23</v>
      </c>
      <c r="H201" s="3" t="s">
        <v>254</v>
      </c>
    </row>
    <row r="202" spans="1:8" x14ac:dyDescent="0.2">
      <c r="A202" s="3">
        <v>3050303010</v>
      </c>
      <c r="B202" s="4" t="s">
        <v>245</v>
      </c>
      <c r="C202" s="4" t="s">
        <v>1233</v>
      </c>
      <c r="D202" s="3">
        <v>1</v>
      </c>
      <c r="E202" s="3" t="s">
        <v>16</v>
      </c>
      <c r="F202" s="3" t="s">
        <v>291</v>
      </c>
      <c r="G202" s="3" t="s">
        <v>26</v>
      </c>
      <c r="H202" s="3" t="s">
        <v>254</v>
      </c>
    </row>
    <row r="203" spans="1:8" x14ac:dyDescent="0.2">
      <c r="A203" s="3">
        <v>3080310002</v>
      </c>
      <c r="B203" s="4" t="s">
        <v>588</v>
      </c>
      <c r="C203" s="4" t="s">
        <v>589</v>
      </c>
      <c r="D203" s="3">
        <v>1</v>
      </c>
      <c r="E203" s="3" t="s">
        <v>16</v>
      </c>
      <c r="F203" s="3" t="s">
        <v>295</v>
      </c>
      <c r="G203" s="3" t="s">
        <v>17</v>
      </c>
      <c r="H203" s="3" t="s">
        <v>590</v>
      </c>
    </row>
    <row r="204" spans="1:8" x14ac:dyDescent="0.2">
      <c r="A204" s="3">
        <v>3020301012</v>
      </c>
      <c r="B204" s="4" t="s">
        <v>209</v>
      </c>
      <c r="C204" s="4" t="s">
        <v>768</v>
      </c>
      <c r="D204" s="3">
        <v>1</v>
      </c>
      <c r="E204" s="3" t="s">
        <v>16</v>
      </c>
      <c r="F204" s="3" t="s">
        <v>301</v>
      </c>
      <c r="G204" s="3" t="s">
        <v>32</v>
      </c>
      <c r="H204" s="3" t="s">
        <v>769</v>
      </c>
    </row>
  </sheetData>
  <phoneticPr fontId="2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2CA87-C100-47DC-80CE-4F2FEC593921}">
  <dimension ref="A1:H203"/>
  <sheetViews>
    <sheetView workbookViewId="0">
      <selection activeCell="M16" sqref="M16"/>
    </sheetView>
  </sheetViews>
  <sheetFormatPr defaultRowHeight="14.25" x14ac:dyDescent="0.2"/>
  <cols>
    <col min="1" max="1" width="11.875" customWidth="1"/>
    <col min="2" max="3" width="12.25" customWidth="1"/>
  </cols>
  <sheetData>
    <row r="1" spans="1:8" x14ac:dyDescent="0.2">
      <c r="A1" s="3" t="s">
        <v>1254</v>
      </c>
      <c r="B1" s="4"/>
      <c r="C1" s="4"/>
      <c r="D1" s="3"/>
      <c r="E1" s="3"/>
      <c r="F1" s="3"/>
      <c r="G1" s="3"/>
      <c r="H1" s="3"/>
    </row>
    <row r="2" spans="1:8" ht="28.5" x14ac:dyDescent="0.2">
      <c r="A2" s="1" t="s">
        <v>0</v>
      </c>
      <c r="B2" s="2" t="s">
        <v>1</v>
      </c>
      <c r="C2" s="2" t="s">
        <v>2</v>
      </c>
      <c r="D2" s="1" t="s">
        <v>4</v>
      </c>
      <c r="E2" s="1" t="s">
        <v>3</v>
      </c>
      <c r="F2" s="1" t="s">
        <v>5</v>
      </c>
      <c r="G2" s="1" t="s">
        <v>6</v>
      </c>
      <c r="H2" s="1" t="s">
        <v>7</v>
      </c>
    </row>
    <row r="3" spans="1:8" s="10" customFormat="1" x14ac:dyDescent="0.2">
      <c r="A3" s="8" t="s">
        <v>390</v>
      </c>
      <c r="B3" s="9" t="s">
        <v>8</v>
      </c>
      <c r="C3" s="9" t="s">
        <v>9</v>
      </c>
      <c r="D3" s="13">
        <f>0.3322/0.94</f>
        <v>0.35340425531914893</v>
      </c>
      <c r="E3" s="8" t="s">
        <v>596</v>
      </c>
      <c r="F3" s="8" t="s">
        <v>283</v>
      </c>
      <c r="G3" s="8" t="s">
        <v>13</v>
      </c>
      <c r="H3" s="8" t="s">
        <v>12</v>
      </c>
    </row>
    <row r="4" spans="1:8" x14ac:dyDescent="0.2">
      <c r="A4" s="3">
        <v>40901009</v>
      </c>
      <c r="B4" s="4" t="s">
        <v>801</v>
      </c>
      <c r="C4" s="4" t="s">
        <v>1153</v>
      </c>
      <c r="D4" s="3">
        <v>1</v>
      </c>
      <c r="E4" s="3" t="s">
        <v>16</v>
      </c>
      <c r="F4" s="3" t="s">
        <v>289</v>
      </c>
      <c r="G4" s="3" t="s">
        <v>23</v>
      </c>
      <c r="H4" s="3" t="s">
        <v>306</v>
      </c>
    </row>
    <row r="5" spans="1:8" x14ac:dyDescent="0.2">
      <c r="A5" s="3">
        <v>3099980014</v>
      </c>
      <c r="B5" s="4" t="s">
        <v>391</v>
      </c>
      <c r="C5" s="4" t="s">
        <v>392</v>
      </c>
      <c r="D5" s="3">
        <v>1</v>
      </c>
      <c r="E5" s="3" t="s">
        <v>16</v>
      </c>
      <c r="F5" s="3" t="s">
        <v>291</v>
      </c>
      <c r="G5" s="3" t="s">
        <v>26</v>
      </c>
      <c r="H5" s="3" t="s">
        <v>393</v>
      </c>
    </row>
    <row r="6" spans="1:8" x14ac:dyDescent="0.2">
      <c r="A6" s="3">
        <v>3030314005</v>
      </c>
      <c r="B6" s="4" t="s">
        <v>394</v>
      </c>
      <c r="C6" s="4" t="s">
        <v>395</v>
      </c>
      <c r="D6" s="3">
        <v>1</v>
      </c>
      <c r="E6" s="3" t="s">
        <v>16</v>
      </c>
      <c r="F6" s="3" t="s">
        <v>291</v>
      </c>
      <c r="G6" s="3" t="s">
        <v>26</v>
      </c>
      <c r="H6" s="3" t="s">
        <v>18</v>
      </c>
    </row>
    <row r="7" spans="1:8" x14ac:dyDescent="0.2">
      <c r="A7" s="3">
        <v>3030210001</v>
      </c>
      <c r="B7" s="4" t="s">
        <v>396</v>
      </c>
      <c r="C7" s="4" t="s">
        <v>397</v>
      </c>
      <c r="D7" s="3">
        <v>1</v>
      </c>
      <c r="E7" s="3" t="s">
        <v>16</v>
      </c>
      <c r="F7" s="3" t="s">
        <v>295</v>
      </c>
      <c r="G7" s="3" t="s">
        <v>17</v>
      </c>
      <c r="H7" s="3" t="s">
        <v>18</v>
      </c>
    </row>
    <row r="8" spans="1:8" x14ac:dyDescent="0.2">
      <c r="A8" s="3">
        <v>3080301001</v>
      </c>
      <c r="B8" s="4" t="s">
        <v>247</v>
      </c>
      <c r="C8" s="4" t="s">
        <v>398</v>
      </c>
      <c r="D8" s="3">
        <v>1</v>
      </c>
      <c r="E8" s="3" t="s">
        <v>16</v>
      </c>
      <c r="F8" s="3" t="s">
        <v>295</v>
      </c>
      <c r="G8" s="3" t="s">
        <v>17</v>
      </c>
      <c r="H8" s="3" t="s">
        <v>18</v>
      </c>
    </row>
    <row r="9" spans="1:8" x14ac:dyDescent="0.2">
      <c r="A9" s="3">
        <v>3040201001</v>
      </c>
      <c r="B9" s="4" t="s">
        <v>399</v>
      </c>
      <c r="C9" s="4" t="s">
        <v>400</v>
      </c>
      <c r="D9" s="3">
        <v>2</v>
      </c>
      <c r="E9" s="3" t="s">
        <v>16</v>
      </c>
      <c r="F9" s="3" t="s">
        <v>293</v>
      </c>
      <c r="G9" s="3" t="s">
        <v>29</v>
      </c>
      <c r="H9" s="3" t="s">
        <v>18</v>
      </c>
    </row>
    <row r="10" spans="1:8" x14ac:dyDescent="0.2">
      <c r="A10" s="3">
        <v>3030202002</v>
      </c>
      <c r="B10" s="4" t="s">
        <v>401</v>
      </c>
      <c r="C10" s="4" t="s">
        <v>402</v>
      </c>
      <c r="D10" s="3">
        <v>1</v>
      </c>
      <c r="E10" s="3" t="s">
        <v>16</v>
      </c>
      <c r="F10" s="3" t="s">
        <v>295</v>
      </c>
      <c r="G10" s="3" t="s">
        <v>17</v>
      </c>
      <c r="H10" s="3" t="s">
        <v>18</v>
      </c>
    </row>
    <row r="11" spans="1:8" x14ac:dyDescent="0.2">
      <c r="A11" s="3">
        <v>3030202003</v>
      </c>
      <c r="B11" s="4" t="s">
        <v>403</v>
      </c>
      <c r="C11" s="4" t="s">
        <v>404</v>
      </c>
      <c r="D11" s="3">
        <v>1</v>
      </c>
      <c r="E11" s="3" t="s">
        <v>16</v>
      </c>
      <c r="F11" s="3" t="s">
        <v>295</v>
      </c>
      <c r="G11" s="3" t="s">
        <v>17</v>
      </c>
      <c r="H11" s="3" t="s">
        <v>18</v>
      </c>
    </row>
    <row r="12" spans="1:8" x14ac:dyDescent="0.2">
      <c r="A12" s="3">
        <v>3030212001</v>
      </c>
      <c r="B12" s="4" t="s">
        <v>405</v>
      </c>
      <c r="C12" s="4" t="s">
        <v>406</v>
      </c>
      <c r="D12" s="3">
        <v>1</v>
      </c>
      <c r="E12" s="3" t="s">
        <v>16</v>
      </c>
      <c r="F12" s="3" t="s">
        <v>295</v>
      </c>
      <c r="G12" s="3" t="s">
        <v>17</v>
      </c>
      <c r="H12" s="3" t="s">
        <v>18</v>
      </c>
    </row>
    <row r="13" spans="1:8" x14ac:dyDescent="0.2">
      <c r="A13" s="3">
        <v>3030206003</v>
      </c>
      <c r="B13" s="4" t="s">
        <v>407</v>
      </c>
      <c r="C13" s="4" t="s">
        <v>408</v>
      </c>
      <c r="D13" s="3">
        <v>1</v>
      </c>
      <c r="E13" s="3" t="s">
        <v>16</v>
      </c>
      <c r="F13" s="3" t="s">
        <v>295</v>
      </c>
      <c r="G13" s="3" t="s">
        <v>17</v>
      </c>
      <c r="H13" s="3" t="s">
        <v>18</v>
      </c>
    </row>
    <row r="14" spans="1:8" x14ac:dyDescent="0.2">
      <c r="A14" s="3">
        <v>404020072</v>
      </c>
      <c r="B14" s="4" t="s">
        <v>30</v>
      </c>
      <c r="C14" s="4" t="s">
        <v>308</v>
      </c>
      <c r="D14" s="3">
        <v>1</v>
      </c>
      <c r="E14" s="3" t="s">
        <v>16</v>
      </c>
      <c r="F14" s="3" t="s">
        <v>291</v>
      </c>
      <c r="G14" s="3" t="s">
        <v>26</v>
      </c>
      <c r="H14" s="3" t="s">
        <v>33</v>
      </c>
    </row>
    <row r="15" spans="1:8" x14ac:dyDescent="0.2">
      <c r="A15" s="3">
        <v>401020110</v>
      </c>
      <c r="B15" s="4" t="s">
        <v>35</v>
      </c>
      <c r="C15" s="4" t="s">
        <v>1154</v>
      </c>
      <c r="D15" s="3">
        <v>1</v>
      </c>
      <c r="E15" s="3" t="s">
        <v>16</v>
      </c>
      <c r="F15" s="3" t="s">
        <v>301</v>
      </c>
      <c r="G15" s="3" t="s">
        <v>32</v>
      </c>
      <c r="H15" s="3" t="s">
        <v>33</v>
      </c>
    </row>
    <row r="16" spans="1:8" x14ac:dyDescent="0.2">
      <c r="A16" s="3">
        <v>3080101002</v>
      </c>
      <c r="B16" s="4" t="s">
        <v>411</v>
      </c>
      <c r="C16" s="4" t="s">
        <v>413</v>
      </c>
      <c r="D16" s="3">
        <v>19</v>
      </c>
      <c r="E16" s="3" t="s">
        <v>16</v>
      </c>
      <c r="F16" s="3" t="s">
        <v>289</v>
      </c>
      <c r="G16" s="3" t="s">
        <v>23</v>
      </c>
      <c r="H16" s="3" t="s">
        <v>40</v>
      </c>
    </row>
    <row r="17" spans="1:8" x14ac:dyDescent="0.2">
      <c r="A17" s="3">
        <v>3080101015</v>
      </c>
      <c r="B17" s="4" t="s">
        <v>411</v>
      </c>
      <c r="C17" s="4" t="s">
        <v>412</v>
      </c>
      <c r="D17" s="3">
        <v>2</v>
      </c>
      <c r="E17" s="3" t="s">
        <v>16</v>
      </c>
      <c r="F17" s="3" t="s">
        <v>293</v>
      </c>
      <c r="G17" s="3" t="s">
        <v>29</v>
      </c>
      <c r="H17" s="3" t="s">
        <v>40</v>
      </c>
    </row>
    <row r="18" spans="1:8" x14ac:dyDescent="0.2">
      <c r="A18" s="3">
        <v>3080101002</v>
      </c>
      <c r="B18" s="4" t="s">
        <v>411</v>
      </c>
      <c r="C18" s="4" t="s">
        <v>413</v>
      </c>
      <c r="D18" s="3">
        <v>2</v>
      </c>
      <c r="E18" s="3" t="s">
        <v>16</v>
      </c>
      <c r="F18" s="3" t="s">
        <v>291</v>
      </c>
      <c r="G18" s="3" t="s">
        <v>26</v>
      </c>
      <c r="H18" s="3" t="s">
        <v>40</v>
      </c>
    </row>
    <row r="19" spans="1:8" x14ac:dyDescent="0.2">
      <c r="A19" s="3">
        <v>3080401064</v>
      </c>
      <c r="B19" s="4" t="s">
        <v>41</v>
      </c>
      <c r="C19" s="4" t="s">
        <v>414</v>
      </c>
      <c r="D19" s="3">
        <v>1</v>
      </c>
      <c r="E19" s="3" t="s">
        <v>16</v>
      </c>
      <c r="F19" s="3" t="s">
        <v>295</v>
      </c>
      <c r="G19" s="3" t="s">
        <v>17</v>
      </c>
      <c r="H19" s="3" t="s">
        <v>40</v>
      </c>
    </row>
    <row r="20" spans="1:8" x14ac:dyDescent="0.2">
      <c r="A20" s="3">
        <v>3080401016</v>
      </c>
      <c r="B20" s="4" t="s">
        <v>41</v>
      </c>
      <c r="C20" s="4" t="s">
        <v>415</v>
      </c>
      <c r="D20" s="3">
        <v>1</v>
      </c>
      <c r="E20" s="3" t="s">
        <v>16</v>
      </c>
      <c r="F20" s="3" t="s">
        <v>295</v>
      </c>
      <c r="G20" s="3" t="s">
        <v>17</v>
      </c>
      <c r="H20" s="3" t="s">
        <v>40</v>
      </c>
    </row>
    <row r="21" spans="1:8" x14ac:dyDescent="0.2">
      <c r="A21" s="3">
        <v>3080401007</v>
      </c>
      <c r="B21" s="4" t="s">
        <v>41</v>
      </c>
      <c r="C21" s="4" t="s">
        <v>416</v>
      </c>
      <c r="D21" s="3">
        <v>2</v>
      </c>
      <c r="E21" s="3" t="s">
        <v>16</v>
      </c>
      <c r="F21" s="3" t="s">
        <v>293</v>
      </c>
      <c r="G21" s="3" t="s">
        <v>29</v>
      </c>
      <c r="H21" s="3" t="s">
        <v>40</v>
      </c>
    </row>
    <row r="22" spans="1:8" x14ac:dyDescent="0.2">
      <c r="A22" s="3">
        <v>3080401014</v>
      </c>
      <c r="B22" s="4" t="s">
        <v>41</v>
      </c>
      <c r="C22" s="4" t="s">
        <v>417</v>
      </c>
      <c r="D22" s="3">
        <v>4</v>
      </c>
      <c r="E22" s="3" t="s">
        <v>16</v>
      </c>
      <c r="F22" s="3" t="s">
        <v>291</v>
      </c>
      <c r="G22" s="3" t="s">
        <v>26</v>
      </c>
      <c r="H22" s="3" t="s">
        <v>40</v>
      </c>
    </row>
    <row r="23" spans="1:8" x14ac:dyDescent="0.2">
      <c r="A23" s="3">
        <v>3080104073</v>
      </c>
      <c r="B23" s="4" t="s">
        <v>45</v>
      </c>
      <c r="C23" s="4" t="s">
        <v>1155</v>
      </c>
      <c r="D23" s="3">
        <v>3</v>
      </c>
      <c r="E23" s="3" t="s">
        <v>16</v>
      </c>
      <c r="F23" s="3" t="s">
        <v>289</v>
      </c>
      <c r="G23" s="3" t="s">
        <v>23</v>
      </c>
      <c r="H23" s="3" t="s">
        <v>40</v>
      </c>
    </row>
    <row r="24" spans="1:8" x14ac:dyDescent="0.2">
      <c r="A24" s="3">
        <v>3080104018</v>
      </c>
      <c r="B24" s="4" t="s">
        <v>45</v>
      </c>
      <c r="C24" s="4" t="s">
        <v>418</v>
      </c>
      <c r="D24" s="3">
        <v>2</v>
      </c>
      <c r="E24" s="3" t="s">
        <v>16</v>
      </c>
      <c r="F24" s="3" t="s">
        <v>293</v>
      </c>
      <c r="G24" s="3" t="s">
        <v>29</v>
      </c>
      <c r="H24" s="3" t="s">
        <v>40</v>
      </c>
    </row>
    <row r="25" spans="1:8" x14ac:dyDescent="0.2">
      <c r="A25" s="3">
        <v>3080104099</v>
      </c>
      <c r="B25" s="4" t="s">
        <v>45</v>
      </c>
      <c r="C25" s="4" t="s">
        <v>419</v>
      </c>
      <c r="D25" s="3">
        <v>2</v>
      </c>
      <c r="E25" s="3" t="s">
        <v>16</v>
      </c>
      <c r="F25" s="3" t="s">
        <v>291</v>
      </c>
      <c r="G25" s="3" t="s">
        <v>26</v>
      </c>
      <c r="H25" s="3" t="s">
        <v>40</v>
      </c>
    </row>
    <row r="26" spans="1:8" x14ac:dyDescent="0.2">
      <c r="A26" s="3">
        <v>3080105006</v>
      </c>
      <c r="B26" s="4" t="s">
        <v>50</v>
      </c>
      <c r="C26" s="4" t="s">
        <v>1157</v>
      </c>
      <c r="D26" s="3">
        <v>8</v>
      </c>
      <c r="E26" s="3" t="s">
        <v>16</v>
      </c>
      <c r="F26" s="3" t="s">
        <v>289</v>
      </c>
      <c r="G26" s="3" t="s">
        <v>23</v>
      </c>
      <c r="H26" s="3" t="s">
        <v>40</v>
      </c>
    </row>
    <row r="27" spans="1:8" x14ac:dyDescent="0.2">
      <c r="A27" s="3">
        <v>3080105014</v>
      </c>
      <c r="B27" s="4" t="s">
        <v>50</v>
      </c>
      <c r="C27" s="4" t="s">
        <v>1238</v>
      </c>
      <c r="D27" s="3">
        <v>2</v>
      </c>
      <c r="E27" s="3" t="s">
        <v>16</v>
      </c>
      <c r="F27" s="3" t="s">
        <v>289</v>
      </c>
      <c r="G27" s="3" t="s">
        <v>23</v>
      </c>
      <c r="H27" s="3" t="s">
        <v>40</v>
      </c>
    </row>
    <row r="28" spans="1:8" x14ac:dyDescent="0.2">
      <c r="A28" s="3">
        <v>3080105023</v>
      </c>
      <c r="B28" s="4" t="s">
        <v>50</v>
      </c>
      <c r="C28" s="4" t="s">
        <v>1159</v>
      </c>
      <c r="D28" s="3">
        <v>4</v>
      </c>
      <c r="E28" s="3" t="s">
        <v>16</v>
      </c>
      <c r="F28" s="3" t="s">
        <v>289</v>
      </c>
      <c r="G28" s="3" t="s">
        <v>23</v>
      </c>
      <c r="H28" s="3" t="s">
        <v>40</v>
      </c>
    </row>
    <row r="29" spans="1:8" x14ac:dyDescent="0.2">
      <c r="A29" s="3">
        <v>3080105015</v>
      </c>
      <c r="B29" s="4" t="s">
        <v>50</v>
      </c>
      <c r="C29" s="4" t="s">
        <v>422</v>
      </c>
      <c r="D29" s="3">
        <v>8</v>
      </c>
      <c r="E29" s="3" t="s">
        <v>16</v>
      </c>
      <c r="F29" s="3" t="s">
        <v>293</v>
      </c>
      <c r="G29" s="3" t="s">
        <v>29</v>
      </c>
      <c r="H29" s="3" t="s">
        <v>40</v>
      </c>
    </row>
    <row r="30" spans="1:8" x14ac:dyDescent="0.2">
      <c r="A30" s="3">
        <v>3080105088</v>
      </c>
      <c r="B30" s="4" t="s">
        <v>50</v>
      </c>
      <c r="C30" s="4" t="s">
        <v>423</v>
      </c>
      <c r="D30" s="3">
        <v>2</v>
      </c>
      <c r="E30" s="3" t="s">
        <v>16</v>
      </c>
      <c r="F30" s="3" t="s">
        <v>293</v>
      </c>
      <c r="G30" s="3" t="s">
        <v>29</v>
      </c>
      <c r="H30" s="3" t="s">
        <v>40</v>
      </c>
    </row>
    <row r="31" spans="1:8" x14ac:dyDescent="0.2">
      <c r="A31" s="3">
        <v>3080105040</v>
      </c>
      <c r="B31" s="4" t="s">
        <v>50</v>
      </c>
      <c r="C31" s="4" t="s">
        <v>421</v>
      </c>
      <c r="D31" s="3">
        <v>14</v>
      </c>
      <c r="E31" s="3" t="s">
        <v>16</v>
      </c>
      <c r="F31" s="3" t="s">
        <v>293</v>
      </c>
      <c r="G31" s="3" t="s">
        <v>29</v>
      </c>
      <c r="H31" s="3" t="s">
        <v>40</v>
      </c>
    </row>
    <row r="32" spans="1:8" x14ac:dyDescent="0.2">
      <c r="A32" s="3">
        <v>3080105008</v>
      </c>
      <c r="B32" s="4" t="s">
        <v>50</v>
      </c>
      <c r="C32" s="4" t="s">
        <v>424</v>
      </c>
      <c r="D32" s="3">
        <v>8</v>
      </c>
      <c r="E32" s="3" t="s">
        <v>16</v>
      </c>
      <c r="F32" s="3" t="s">
        <v>293</v>
      </c>
      <c r="G32" s="3" t="s">
        <v>29</v>
      </c>
      <c r="H32" s="3" t="s">
        <v>40</v>
      </c>
    </row>
    <row r="33" spans="1:8" x14ac:dyDescent="0.2">
      <c r="A33" s="3">
        <v>3080104055</v>
      </c>
      <c r="B33" s="4" t="s">
        <v>50</v>
      </c>
      <c r="C33" s="4" t="s">
        <v>425</v>
      </c>
      <c r="D33" s="3">
        <v>2</v>
      </c>
      <c r="E33" s="3" t="s">
        <v>16</v>
      </c>
      <c r="F33" s="3" t="s">
        <v>291</v>
      </c>
      <c r="G33" s="3" t="s">
        <v>26</v>
      </c>
      <c r="H33" s="3" t="s">
        <v>40</v>
      </c>
    </row>
    <row r="34" spans="1:8" x14ac:dyDescent="0.2">
      <c r="A34" s="3">
        <v>3080105040</v>
      </c>
      <c r="B34" s="4" t="s">
        <v>50</v>
      </c>
      <c r="C34" s="4" t="s">
        <v>421</v>
      </c>
      <c r="D34" s="3">
        <v>2</v>
      </c>
      <c r="E34" s="3" t="s">
        <v>16</v>
      </c>
      <c r="F34" s="3" t="s">
        <v>291</v>
      </c>
      <c r="G34" s="3" t="s">
        <v>26</v>
      </c>
      <c r="H34" s="3" t="s">
        <v>40</v>
      </c>
    </row>
    <row r="35" spans="1:8" x14ac:dyDescent="0.2">
      <c r="A35" s="3">
        <v>3080502004</v>
      </c>
      <c r="B35" s="4" t="s">
        <v>55</v>
      </c>
      <c r="C35" s="4" t="s">
        <v>1239</v>
      </c>
      <c r="D35" s="3">
        <v>2</v>
      </c>
      <c r="E35" s="3" t="s">
        <v>16</v>
      </c>
      <c r="F35" s="3" t="s">
        <v>291</v>
      </c>
      <c r="G35" s="3" t="s">
        <v>26</v>
      </c>
      <c r="H35" s="3" t="s">
        <v>40</v>
      </c>
    </row>
    <row r="36" spans="1:8" x14ac:dyDescent="0.2">
      <c r="A36" s="3">
        <v>3080201005</v>
      </c>
      <c r="B36" s="4" t="s">
        <v>60</v>
      </c>
      <c r="C36" s="4" t="s">
        <v>427</v>
      </c>
      <c r="D36" s="3">
        <v>1</v>
      </c>
      <c r="E36" s="3" t="s">
        <v>16</v>
      </c>
      <c r="F36" s="3" t="s">
        <v>291</v>
      </c>
      <c r="G36" s="3" t="s">
        <v>26</v>
      </c>
      <c r="H36" s="3" t="s">
        <v>40</v>
      </c>
    </row>
    <row r="37" spans="1:8" x14ac:dyDescent="0.2">
      <c r="A37" s="3">
        <v>3080201006</v>
      </c>
      <c r="B37" s="4" t="s">
        <v>60</v>
      </c>
      <c r="C37" s="4" t="s">
        <v>428</v>
      </c>
      <c r="D37" s="3">
        <v>1</v>
      </c>
      <c r="E37" s="3" t="s">
        <v>16</v>
      </c>
      <c r="F37" s="3" t="s">
        <v>291</v>
      </c>
      <c r="G37" s="3" t="s">
        <v>26</v>
      </c>
      <c r="H37" s="3" t="s">
        <v>40</v>
      </c>
    </row>
    <row r="38" spans="1:8" x14ac:dyDescent="0.2">
      <c r="A38" s="3">
        <v>3080107271</v>
      </c>
      <c r="B38" s="4" t="s">
        <v>69</v>
      </c>
      <c r="C38" s="4" t="s">
        <v>1161</v>
      </c>
      <c r="D38" s="3">
        <v>2</v>
      </c>
      <c r="E38" s="3" t="s">
        <v>16</v>
      </c>
      <c r="F38" s="3" t="s">
        <v>289</v>
      </c>
      <c r="G38" s="3" t="s">
        <v>23</v>
      </c>
      <c r="H38" s="3" t="s">
        <v>40</v>
      </c>
    </row>
    <row r="39" spans="1:8" x14ac:dyDescent="0.2">
      <c r="A39" s="3">
        <v>3080107092</v>
      </c>
      <c r="B39" s="4" t="s">
        <v>69</v>
      </c>
      <c r="C39" s="4" t="s">
        <v>1162</v>
      </c>
      <c r="D39" s="3">
        <v>4</v>
      </c>
      <c r="E39" s="3" t="s">
        <v>16</v>
      </c>
      <c r="F39" s="3" t="s">
        <v>289</v>
      </c>
      <c r="G39" s="3" t="s">
        <v>23</v>
      </c>
      <c r="H39" s="3" t="s">
        <v>40</v>
      </c>
    </row>
    <row r="40" spans="1:8" x14ac:dyDescent="0.2">
      <c r="A40" s="3">
        <v>3080107034</v>
      </c>
      <c r="B40" s="4" t="s">
        <v>69</v>
      </c>
      <c r="C40" s="4" t="s">
        <v>429</v>
      </c>
      <c r="D40" s="3">
        <v>2</v>
      </c>
      <c r="E40" s="3" t="s">
        <v>16</v>
      </c>
      <c r="F40" s="3" t="s">
        <v>295</v>
      </c>
      <c r="G40" s="3" t="s">
        <v>17</v>
      </c>
      <c r="H40" s="3" t="s">
        <v>40</v>
      </c>
    </row>
    <row r="41" spans="1:8" x14ac:dyDescent="0.2">
      <c r="A41" s="3">
        <v>3080107034</v>
      </c>
      <c r="B41" s="4" t="s">
        <v>69</v>
      </c>
      <c r="C41" s="4" t="s">
        <v>429</v>
      </c>
      <c r="D41" s="3">
        <v>6</v>
      </c>
      <c r="E41" s="3" t="s">
        <v>16</v>
      </c>
      <c r="F41" s="3" t="s">
        <v>295</v>
      </c>
      <c r="G41" s="3" t="s">
        <v>17</v>
      </c>
      <c r="H41" s="3" t="s">
        <v>40</v>
      </c>
    </row>
    <row r="42" spans="1:8" x14ac:dyDescent="0.2">
      <c r="A42" s="3">
        <v>3080107002</v>
      </c>
      <c r="B42" s="4" t="s">
        <v>69</v>
      </c>
      <c r="C42" s="4" t="s">
        <v>430</v>
      </c>
      <c r="D42" s="3">
        <v>4</v>
      </c>
      <c r="E42" s="3" t="s">
        <v>16</v>
      </c>
      <c r="F42" s="3" t="s">
        <v>295</v>
      </c>
      <c r="G42" s="3" t="s">
        <v>17</v>
      </c>
      <c r="H42" s="3" t="s">
        <v>40</v>
      </c>
    </row>
    <row r="43" spans="1:8" x14ac:dyDescent="0.2">
      <c r="A43" s="3">
        <v>3080107052</v>
      </c>
      <c r="B43" s="4" t="s">
        <v>69</v>
      </c>
      <c r="C43" s="4" t="s">
        <v>431</v>
      </c>
      <c r="D43" s="3">
        <v>1</v>
      </c>
      <c r="E43" s="3" t="s">
        <v>16</v>
      </c>
      <c r="F43" s="3" t="s">
        <v>295</v>
      </c>
      <c r="G43" s="3" t="s">
        <v>17</v>
      </c>
      <c r="H43" s="3" t="s">
        <v>40</v>
      </c>
    </row>
    <row r="44" spans="1:8" x14ac:dyDescent="0.2">
      <c r="A44" s="3">
        <v>3080107160</v>
      </c>
      <c r="B44" s="4" t="s">
        <v>69</v>
      </c>
      <c r="C44" s="4" t="s">
        <v>432</v>
      </c>
      <c r="D44" s="3">
        <v>4</v>
      </c>
      <c r="E44" s="3" t="s">
        <v>16</v>
      </c>
      <c r="F44" s="3" t="s">
        <v>293</v>
      </c>
      <c r="G44" s="3" t="s">
        <v>29</v>
      </c>
      <c r="H44" s="3" t="s">
        <v>40</v>
      </c>
    </row>
    <row r="45" spans="1:8" x14ac:dyDescent="0.2">
      <c r="A45" s="3">
        <v>3080107308</v>
      </c>
      <c r="B45" s="4" t="s">
        <v>69</v>
      </c>
      <c r="C45" s="4" t="s">
        <v>433</v>
      </c>
      <c r="D45" s="3">
        <v>2</v>
      </c>
      <c r="E45" s="3" t="s">
        <v>16</v>
      </c>
      <c r="F45" s="3" t="s">
        <v>291</v>
      </c>
      <c r="G45" s="3" t="s">
        <v>26</v>
      </c>
      <c r="H45" s="3" t="s">
        <v>40</v>
      </c>
    </row>
    <row r="46" spans="1:8" x14ac:dyDescent="0.2">
      <c r="A46" s="3">
        <v>3080107306</v>
      </c>
      <c r="B46" s="4" t="s">
        <v>69</v>
      </c>
      <c r="C46" s="4" t="s">
        <v>1240</v>
      </c>
      <c r="D46" s="3">
        <v>2</v>
      </c>
      <c r="E46" s="3" t="s">
        <v>16</v>
      </c>
      <c r="F46" s="3" t="s">
        <v>291</v>
      </c>
      <c r="G46" s="3" t="s">
        <v>26</v>
      </c>
      <c r="H46" s="3" t="s">
        <v>40</v>
      </c>
    </row>
    <row r="47" spans="1:8" x14ac:dyDescent="0.2">
      <c r="A47" s="3">
        <v>3080107072</v>
      </c>
      <c r="B47" s="4" t="s">
        <v>69</v>
      </c>
      <c r="C47" s="4" t="s">
        <v>435</v>
      </c>
      <c r="D47" s="3">
        <v>4</v>
      </c>
      <c r="E47" s="3" t="s">
        <v>16</v>
      </c>
      <c r="F47" s="3" t="s">
        <v>291</v>
      </c>
      <c r="G47" s="3" t="s">
        <v>26</v>
      </c>
      <c r="H47" s="3" t="s">
        <v>40</v>
      </c>
    </row>
    <row r="48" spans="1:8" x14ac:dyDescent="0.2">
      <c r="A48" s="3">
        <v>3080107094</v>
      </c>
      <c r="B48" s="4" t="s">
        <v>69</v>
      </c>
      <c r="C48" s="4" t="s">
        <v>436</v>
      </c>
      <c r="D48" s="3">
        <v>2</v>
      </c>
      <c r="E48" s="3" t="s">
        <v>16</v>
      </c>
      <c r="F48" s="3" t="s">
        <v>291</v>
      </c>
      <c r="G48" s="3" t="s">
        <v>26</v>
      </c>
      <c r="H48" s="3" t="s">
        <v>40</v>
      </c>
    </row>
    <row r="49" spans="1:8" x14ac:dyDescent="0.2">
      <c r="A49" s="3">
        <v>3080108052</v>
      </c>
      <c r="B49" s="4" t="s">
        <v>77</v>
      </c>
      <c r="C49" s="4" t="s">
        <v>1164</v>
      </c>
      <c r="D49" s="3">
        <v>1</v>
      </c>
      <c r="E49" s="3" t="s">
        <v>16</v>
      </c>
      <c r="F49" s="3" t="s">
        <v>289</v>
      </c>
      <c r="G49" s="3" t="s">
        <v>23</v>
      </c>
      <c r="H49" s="3" t="s">
        <v>40</v>
      </c>
    </row>
    <row r="50" spans="1:8" x14ac:dyDescent="0.2">
      <c r="A50" s="3">
        <v>3080101008</v>
      </c>
      <c r="B50" s="4" t="s">
        <v>77</v>
      </c>
      <c r="C50" s="4" t="s">
        <v>1165</v>
      </c>
      <c r="D50" s="3">
        <v>4</v>
      </c>
      <c r="E50" s="3" t="s">
        <v>16</v>
      </c>
      <c r="F50" s="3" t="s">
        <v>289</v>
      </c>
      <c r="G50" s="3" t="s">
        <v>23</v>
      </c>
      <c r="H50" s="3" t="s">
        <v>40</v>
      </c>
    </row>
    <row r="51" spans="1:8" x14ac:dyDescent="0.2">
      <c r="A51" s="3">
        <v>3080108040</v>
      </c>
      <c r="B51" s="4" t="s">
        <v>77</v>
      </c>
      <c r="C51" s="4" t="s">
        <v>1166</v>
      </c>
      <c r="D51" s="3">
        <v>2</v>
      </c>
      <c r="E51" s="3" t="s">
        <v>16</v>
      </c>
      <c r="F51" s="3" t="s">
        <v>289</v>
      </c>
      <c r="G51" s="3" t="s">
        <v>23</v>
      </c>
      <c r="H51" s="3" t="s">
        <v>40</v>
      </c>
    </row>
    <row r="52" spans="1:8" x14ac:dyDescent="0.2">
      <c r="A52" s="3">
        <v>3080108025</v>
      </c>
      <c r="B52" s="4" t="s">
        <v>77</v>
      </c>
      <c r="C52" s="4" t="s">
        <v>437</v>
      </c>
      <c r="D52" s="3">
        <v>7</v>
      </c>
      <c r="E52" s="3" t="s">
        <v>16</v>
      </c>
      <c r="F52" s="3" t="s">
        <v>295</v>
      </c>
      <c r="G52" s="3" t="s">
        <v>17</v>
      </c>
      <c r="H52" s="3" t="s">
        <v>40</v>
      </c>
    </row>
    <row r="53" spans="1:8" x14ac:dyDescent="0.2">
      <c r="A53" s="3">
        <v>3080108033</v>
      </c>
      <c r="B53" s="4" t="s">
        <v>77</v>
      </c>
      <c r="C53" s="4" t="s">
        <v>438</v>
      </c>
      <c r="D53" s="3">
        <v>4</v>
      </c>
      <c r="E53" s="3" t="s">
        <v>16</v>
      </c>
      <c r="F53" s="3" t="s">
        <v>291</v>
      </c>
      <c r="G53" s="3" t="s">
        <v>26</v>
      </c>
      <c r="H53" s="3" t="s">
        <v>40</v>
      </c>
    </row>
    <row r="54" spans="1:8" x14ac:dyDescent="0.2">
      <c r="A54" s="3">
        <v>3080403001</v>
      </c>
      <c r="B54" s="4" t="s">
        <v>439</v>
      </c>
      <c r="C54" s="4" t="s">
        <v>440</v>
      </c>
      <c r="D54" s="3">
        <v>1</v>
      </c>
      <c r="E54" s="3" t="s">
        <v>16</v>
      </c>
      <c r="F54" s="3" t="s">
        <v>295</v>
      </c>
      <c r="G54" s="3" t="s">
        <v>17</v>
      </c>
      <c r="H54" s="3" t="s">
        <v>40</v>
      </c>
    </row>
    <row r="55" spans="1:8" x14ac:dyDescent="0.2">
      <c r="A55" s="3">
        <v>3080109002</v>
      </c>
      <c r="B55" s="4" t="s">
        <v>441</v>
      </c>
      <c r="C55" s="4" t="s">
        <v>442</v>
      </c>
      <c r="D55" s="3">
        <v>2</v>
      </c>
      <c r="E55" s="3" t="s">
        <v>16</v>
      </c>
      <c r="F55" s="3" t="s">
        <v>295</v>
      </c>
      <c r="G55" s="3" t="s">
        <v>17</v>
      </c>
      <c r="H55" s="3" t="s">
        <v>40</v>
      </c>
    </row>
    <row r="56" spans="1:8" x14ac:dyDescent="0.2">
      <c r="A56" s="3">
        <v>3080111012</v>
      </c>
      <c r="B56" s="4" t="s">
        <v>79</v>
      </c>
      <c r="C56" s="4" t="s">
        <v>443</v>
      </c>
      <c r="D56" s="3">
        <v>2</v>
      </c>
      <c r="E56" s="3" t="s">
        <v>16</v>
      </c>
      <c r="F56" s="3" t="s">
        <v>295</v>
      </c>
      <c r="G56" s="3" t="s">
        <v>17</v>
      </c>
      <c r="H56" s="3" t="s">
        <v>40</v>
      </c>
    </row>
    <row r="57" spans="1:8" x14ac:dyDescent="0.2">
      <c r="A57" s="3">
        <v>3080111006</v>
      </c>
      <c r="B57" s="4" t="s">
        <v>79</v>
      </c>
      <c r="C57" s="4" t="s">
        <v>444</v>
      </c>
      <c r="D57" s="3">
        <v>1</v>
      </c>
      <c r="E57" s="3" t="s">
        <v>16</v>
      </c>
      <c r="F57" s="3" t="s">
        <v>295</v>
      </c>
      <c r="G57" s="3" t="s">
        <v>17</v>
      </c>
      <c r="H57" s="3" t="s">
        <v>40</v>
      </c>
    </row>
    <row r="58" spans="1:8" x14ac:dyDescent="0.2">
      <c r="A58" s="3">
        <v>3080111004</v>
      </c>
      <c r="B58" s="4" t="s">
        <v>79</v>
      </c>
      <c r="C58" s="4" t="s">
        <v>445</v>
      </c>
      <c r="D58" s="3">
        <v>2</v>
      </c>
      <c r="E58" s="3" t="s">
        <v>16</v>
      </c>
      <c r="F58" s="3" t="s">
        <v>293</v>
      </c>
      <c r="G58" s="3" t="s">
        <v>29</v>
      </c>
      <c r="H58" s="3" t="s">
        <v>40</v>
      </c>
    </row>
    <row r="59" spans="1:8" x14ac:dyDescent="0.2">
      <c r="A59" s="3">
        <v>3080111087</v>
      </c>
      <c r="B59" s="4" t="s">
        <v>79</v>
      </c>
      <c r="C59" s="4" t="s">
        <v>80</v>
      </c>
      <c r="D59" s="3">
        <v>15</v>
      </c>
      <c r="E59" s="3" t="s">
        <v>16</v>
      </c>
      <c r="F59" s="3" t="s">
        <v>291</v>
      </c>
      <c r="G59" s="3" t="s">
        <v>26</v>
      </c>
      <c r="H59" s="3" t="s">
        <v>40</v>
      </c>
    </row>
    <row r="60" spans="1:8" x14ac:dyDescent="0.2">
      <c r="A60" s="3">
        <v>3080111087</v>
      </c>
      <c r="B60" s="4" t="s">
        <v>79</v>
      </c>
      <c r="C60" s="4" t="s">
        <v>80</v>
      </c>
      <c r="D60" s="3">
        <v>1</v>
      </c>
      <c r="E60" s="3" t="s">
        <v>16</v>
      </c>
      <c r="F60" s="3" t="s">
        <v>291</v>
      </c>
      <c r="G60" s="3" t="s">
        <v>26</v>
      </c>
      <c r="H60" s="3" t="s">
        <v>40</v>
      </c>
    </row>
    <row r="61" spans="1:8" x14ac:dyDescent="0.2">
      <c r="A61" s="3">
        <v>3080111015</v>
      </c>
      <c r="B61" s="4" t="s">
        <v>79</v>
      </c>
      <c r="C61" s="4" t="s">
        <v>446</v>
      </c>
      <c r="D61" s="3">
        <v>4</v>
      </c>
      <c r="E61" s="3" t="s">
        <v>16</v>
      </c>
      <c r="F61" s="3" t="s">
        <v>291</v>
      </c>
      <c r="G61" s="3" t="s">
        <v>26</v>
      </c>
      <c r="H61" s="3" t="s">
        <v>40</v>
      </c>
    </row>
    <row r="62" spans="1:8" x14ac:dyDescent="0.2">
      <c r="A62" s="3">
        <v>407030052</v>
      </c>
      <c r="B62" s="4" t="s">
        <v>81</v>
      </c>
      <c r="C62" s="4" t="s">
        <v>1241</v>
      </c>
      <c r="D62" s="3">
        <v>1</v>
      </c>
      <c r="E62" s="3" t="s">
        <v>16</v>
      </c>
      <c r="F62" s="3" t="s">
        <v>301</v>
      </c>
      <c r="G62" s="3" t="s">
        <v>32</v>
      </c>
      <c r="H62" s="3" t="s">
        <v>40</v>
      </c>
    </row>
    <row r="63" spans="1:8" x14ac:dyDescent="0.2">
      <c r="A63" s="3">
        <v>3099991105</v>
      </c>
      <c r="B63" s="4" t="s">
        <v>1169</v>
      </c>
      <c r="C63" s="4" t="s">
        <v>1170</v>
      </c>
      <c r="D63" s="3">
        <v>1</v>
      </c>
      <c r="E63" s="3" t="s">
        <v>16</v>
      </c>
      <c r="F63" s="3" t="s">
        <v>299</v>
      </c>
      <c r="G63" s="3" t="s">
        <v>106</v>
      </c>
      <c r="H63" s="3" t="s">
        <v>103</v>
      </c>
    </row>
    <row r="64" spans="1:8" x14ac:dyDescent="0.2">
      <c r="A64" s="3">
        <v>3099990110</v>
      </c>
      <c r="B64" s="4" t="s">
        <v>104</v>
      </c>
      <c r="C64" s="4" t="s">
        <v>1170</v>
      </c>
      <c r="D64" s="3">
        <v>1</v>
      </c>
      <c r="E64" s="3" t="s">
        <v>16</v>
      </c>
      <c r="F64" s="3" t="s">
        <v>299</v>
      </c>
      <c r="G64" s="3" t="s">
        <v>106</v>
      </c>
      <c r="H64" s="3" t="s">
        <v>103</v>
      </c>
    </row>
    <row r="65" spans="1:8" x14ac:dyDescent="0.2">
      <c r="A65" s="3">
        <v>402030026</v>
      </c>
      <c r="B65" s="4" t="s">
        <v>107</v>
      </c>
      <c r="C65" s="4" t="s">
        <v>1171</v>
      </c>
      <c r="D65" s="3">
        <v>1</v>
      </c>
      <c r="E65" s="3" t="s">
        <v>16</v>
      </c>
      <c r="F65" s="3" t="s">
        <v>289</v>
      </c>
      <c r="G65" s="3" t="s">
        <v>23</v>
      </c>
      <c r="H65" s="3" t="s">
        <v>109</v>
      </c>
    </row>
    <row r="66" spans="1:8" x14ac:dyDescent="0.2">
      <c r="A66" s="3">
        <v>402030027</v>
      </c>
      <c r="B66" s="4" t="s">
        <v>107</v>
      </c>
      <c r="C66" s="4" t="s">
        <v>110</v>
      </c>
      <c r="D66" s="3">
        <v>1</v>
      </c>
      <c r="E66" s="3" t="s">
        <v>16</v>
      </c>
      <c r="F66" s="3" t="s">
        <v>291</v>
      </c>
      <c r="G66" s="3" t="s">
        <v>26</v>
      </c>
      <c r="H66" s="3" t="s">
        <v>109</v>
      </c>
    </row>
    <row r="67" spans="1:8" x14ac:dyDescent="0.2">
      <c r="A67" s="3">
        <v>402020002</v>
      </c>
      <c r="B67" s="4" t="s">
        <v>111</v>
      </c>
      <c r="C67" s="4" t="s">
        <v>452</v>
      </c>
      <c r="D67" s="3">
        <v>2</v>
      </c>
      <c r="E67" s="3" t="s">
        <v>16</v>
      </c>
      <c r="F67" s="3" t="s">
        <v>293</v>
      </c>
      <c r="G67" s="3" t="s">
        <v>29</v>
      </c>
      <c r="H67" s="3" t="s">
        <v>109</v>
      </c>
    </row>
    <row r="68" spans="1:8" x14ac:dyDescent="0.2">
      <c r="A68" s="3">
        <v>3060209002</v>
      </c>
      <c r="B68" s="4" t="s">
        <v>113</v>
      </c>
      <c r="C68" s="4" t="s">
        <v>114</v>
      </c>
      <c r="D68" s="3">
        <v>2</v>
      </c>
      <c r="E68" s="3" t="s">
        <v>16</v>
      </c>
      <c r="F68" s="3" t="s">
        <v>289</v>
      </c>
      <c r="G68" s="3" t="s">
        <v>23</v>
      </c>
      <c r="H68" s="3" t="s">
        <v>115</v>
      </c>
    </row>
    <row r="69" spans="1:8" x14ac:dyDescent="0.2">
      <c r="A69" s="3">
        <v>3040216001</v>
      </c>
      <c r="B69" s="4" t="s">
        <v>328</v>
      </c>
      <c r="C69" s="4" t="s">
        <v>329</v>
      </c>
      <c r="D69" s="3">
        <v>4</v>
      </c>
      <c r="E69" s="3" t="s">
        <v>16</v>
      </c>
      <c r="F69" s="3" t="s">
        <v>293</v>
      </c>
      <c r="G69" s="3" t="s">
        <v>29</v>
      </c>
      <c r="H69" s="3" t="s">
        <v>115</v>
      </c>
    </row>
    <row r="70" spans="1:8" x14ac:dyDescent="0.2">
      <c r="A70" s="3">
        <v>3030204017</v>
      </c>
      <c r="B70" s="4" t="s">
        <v>453</v>
      </c>
      <c r="C70" s="4" t="s">
        <v>454</v>
      </c>
      <c r="D70" s="3">
        <v>1</v>
      </c>
      <c r="E70" s="3" t="s">
        <v>16</v>
      </c>
      <c r="F70" s="3" t="s">
        <v>295</v>
      </c>
      <c r="G70" s="3" t="s">
        <v>17</v>
      </c>
      <c r="H70" s="3" t="s">
        <v>115</v>
      </c>
    </row>
    <row r="71" spans="1:8" x14ac:dyDescent="0.2">
      <c r="A71" s="3">
        <v>3030204005</v>
      </c>
      <c r="B71" s="4" t="s">
        <v>455</v>
      </c>
      <c r="C71" s="4" t="s">
        <v>456</v>
      </c>
      <c r="D71" s="3">
        <v>1</v>
      </c>
      <c r="E71" s="3" t="s">
        <v>16</v>
      </c>
      <c r="F71" s="3" t="s">
        <v>295</v>
      </c>
      <c r="G71" s="3" t="s">
        <v>17</v>
      </c>
      <c r="H71" s="3" t="s">
        <v>115</v>
      </c>
    </row>
    <row r="72" spans="1:8" x14ac:dyDescent="0.2">
      <c r="A72" s="3">
        <v>3050203003</v>
      </c>
      <c r="B72" s="4" t="s">
        <v>120</v>
      </c>
      <c r="C72" s="4" t="s">
        <v>457</v>
      </c>
      <c r="D72" s="3">
        <v>2</v>
      </c>
      <c r="E72" s="3" t="s">
        <v>16</v>
      </c>
      <c r="F72" s="3" t="s">
        <v>291</v>
      </c>
      <c r="G72" s="3" t="s">
        <v>26</v>
      </c>
      <c r="H72" s="3" t="s">
        <v>115</v>
      </c>
    </row>
    <row r="73" spans="1:8" x14ac:dyDescent="0.2">
      <c r="A73" s="3">
        <v>3030204008</v>
      </c>
      <c r="B73" s="4" t="s">
        <v>122</v>
      </c>
      <c r="C73" s="4" t="s">
        <v>123</v>
      </c>
      <c r="D73" s="3">
        <v>1</v>
      </c>
      <c r="E73" s="3" t="s">
        <v>16</v>
      </c>
      <c r="F73" s="3" t="s">
        <v>291</v>
      </c>
      <c r="G73" s="3" t="s">
        <v>26</v>
      </c>
      <c r="H73" s="3" t="s">
        <v>115</v>
      </c>
    </row>
    <row r="74" spans="1:8" x14ac:dyDescent="0.2">
      <c r="A74" s="3">
        <v>3030206001</v>
      </c>
      <c r="B74" s="4" t="s">
        <v>458</v>
      </c>
      <c r="C74" s="4" t="s">
        <v>404</v>
      </c>
      <c r="D74" s="3">
        <v>1</v>
      </c>
      <c r="E74" s="3" t="s">
        <v>16</v>
      </c>
      <c r="F74" s="3" t="s">
        <v>295</v>
      </c>
      <c r="G74" s="3" t="s">
        <v>17</v>
      </c>
      <c r="H74" s="3" t="s">
        <v>132</v>
      </c>
    </row>
    <row r="75" spans="1:8" x14ac:dyDescent="0.2">
      <c r="A75" s="3">
        <v>401020109</v>
      </c>
      <c r="B75" s="4" t="s">
        <v>35</v>
      </c>
      <c r="C75" s="4" t="s">
        <v>1172</v>
      </c>
      <c r="D75" s="3">
        <v>1</v>
      </c>
      <c r="E75" s="3" t="s">
        <v>16</v>
      </c>
      <c r="F75" s="3" t="s">
        <v>291</v>
      </c>
      <c r="G75" s="3" t="s">
        <v>26</v>
      </c>
      <c r="H75" s="3" t="s">
        <v>134</v>
      </c>
    </row>
    <row r="76" spans="1:8" x14ac:dyDescent="0.2">
      <c r="A76" s="3">
        <v>3040502053</v>
      </c>
      <c r="B76" s="4" t="s">
        <v>136</v>
      </c>
      <c r="C76" s="4" t="s">
        <v>1117</v>
      </c>
      <c r="D76" s="3">
        <v>1</v>
      </c>
      <c r="E76" s="3" t="s">
        <v>16</v>
      </c>
      <c r="F76" s="3" t="s">
        <v>293</v>
      </c>
      <c r="G76" s="3" t="s">
        <v>29</v>
      </c>
      <c r="H76" s="3" t="s">
        <v>138</v>
      </c>
    </row>
    <row r="77" spans="1:8" x14ac:dyDescent="0.2">
      <c r="A77" s="3">
        <v>3040502052</v>
      </c>
      <c r="B77" s="4" t="s">
        <v>136</v>
      </c>
      <c r="C77" s="4" t="s">
        <v>1118</v>
      </c>
      <c r="D77" s="3">
        <v>1</v>
      </c>
      <c r="E77" s="3" t="s">
        <v>16</v>
      </c>
      <c r="F77" s="3" t="s">
        <v>293</v>
      </c>
      <c r="G77" s="3" t="s">
        <v>29</v>
      </c>
      <c r="H77" s="3" t="s">
        <v>138</v>
      </c>
    </row>
    <row r="78" spans="1:8" x14ac:dyDescent="0.2">
      <c r="A78" s="3">
        <v>3110207001</v>
      </c>
      <c r="B78" s="4" t="s">
        <v>140</v>
      </c>
      <c r="C78" s="4" t="s">
        <v>1173</v>
      </c>
      <c r="D78" s="3">
        <v>1</v>
      </c>
      <c r="E78" s="3" t="s">
        <v>16</v>
      </c>
      <c r="F78" s="3" t="s">
        <v>285</v>
      </c>
      <c r="G78" s="3" t="s">
        <v>142</v>
      </c>
      <c r="H78" s="3" t="s">
        <v>143</v>
      </c>
    </row>
    <row r="79" spans="1:8" x14ac:dyDescent="0.2">
      <c r="A79" s="3">
        <v>3030301005</v>
      </c>
      <c r="B79" s="4" t="s">
        <v>144</v>
      </c>
      <c r="C79" s="4" t="s">
        <v>145</v>
      </c>
      <c r="D79" s="3">
        <v>2</v>
      </c>
      <c r="E79" s="3" t="s">
        <v>16</v>
      </c>
      <c r="F79" s="3" t="s">
        <v>291</v>
      </c>
      <c r="G79" s="3" t="s">
        <v>26</v>
      </c>
      <c r="H79" s="3" t="s">
        <v>143</v>
      </c>
    </row>
    <row r="80" spans="1:8" x14ac:dyDescent="0.2">
      <c r="A80" s="3">
        <v>3110206001</v>
      </c>
      <c r="B80" s="4" t="s">
        <v>715</v>
      </c>
      <c r="C80" s="4" t="s">
        <v>1175</v>
      </c>
      <c r="D80" s="3">
        <v>1</v>
      </c>
      <c r="E80" s="3" t="s">
        <v>16</v>
      </c>
      <c r="F80" s="3" t="s">
        <v>285</v>
      </c>
      <c r="G80" s="3" t="s">
        <v>142</v>
      </c>
      <c r="H80" s="3" t="s">
        <v>143</v>
      </c>
    </row>
    <row r="81" spans="1:8" x14ac:dyDescent="0.2">
      <c r="A81" s="3">
        <v>3990205003</v>
      </c>
      <c r="B81" s="4" t="s">
        <v>146</v>
      </c>
      <c r="C81" s="4" t="s">
        <v>460</v>
      </c>
      <c r="D81" s="3">
        <v>1</v>
      </c>
      <c r="E81" s="3" t="s">
        <v>16</v>
      </c>
      <c r="F81" s="3" t="s">
        <v>287</v>
      </c>
      <c r="G81" s="3" t="s">
        <v>148</v>
      </c>
      <c r="H81" s="3" t="s">
        <v>143</v>
      </c>
    </row>
    <row r="82" spans="1:8" x14ac:dyDescent="0.2">
      <c r="A82" s="3">
        <v>408090008</v>
      </c>
      <c r="B82" s="4" t="s">
        <v>461</v>
      </c>
      <c r="C82" s="4" t="s">
        <v>462</v>
      </c>
      <c r="D82" s="3">
        <v>1</v>
      </c>
      <c r="E82" s="3" t="s">
        <v>16</v>
      </c>
      <c r="F82" s="3" t="s">
        <v>293</v>
      </c>
      <c r="G82" s="3" t="s">
        <v>29</v>
      </c>
      <c r="H82" s="3" t="s">
        <v>151</v>
      </c>
    </row>
    <row r="83" spans="1:8" x14ac:dyDescent="0.2">
      <c r="A83" s="3">
        <v>408090007</v>
      </c>
      <c r="B83" s="4" t="s">
        <v>463</v>
      </c>
      <c r="C83" s="4" t="s">
        <v>464</v>
      </c>
      <c r="D83" s="3">
        <v>1</v>
      </c>
      <c r="E83" s="3" t="s">
        <v>16</v>
      </c>
      <c r="F83" s="3" t="s">
        <v>293</v>
      </c>
      <c r="G83" s="3" t="s">
        <v>29</v>
      </c>
      <c r="H83" s="3" t="s">
        <v>151</v>
      </c>
    </row>
    <row r="84" spans="1:8" x14ac:dyDescent="0.2">
      <c r="A84" s="3">
        <v>3060204002</v>
      </c>
      <c r="B84" s="4" t="s">
        <v>1176</v>
      </c>
      <c r="C84" s="4" t="s">
        <v>1177</v>
      </c>
      <c r="D84" s="3">
        <v>1</v>
      </c>
      <c r="E84" s="3" t="s">
        <v>16</v>
      </c>
      <c r="F84" s="3" t="s">
        <v>289</v>
      </c>
      <c r="G84" s="3" t="s">
        <v>23</v>
      </c>
      <c r="H84" s="3" t="s">
        <v>154</v>
      </c>
    </row>
    <row r="85" spans="1:8" x14ac:dyDescent="0.2">
      <c r="A85" s="3">
        <v>3060206002</v>
      </c>
      <c r="B85" s="4" t="s">
        <v>1178</v>
      </c>
      <c r="C85" s="4" t="s">
        <v>1179</v>
      </c>
      <c r="D85" s="3">
        <v>1</v>
      </c>
      <c r="E85" s="3" t="s">
        <v>16</v>
      </c>
      <c r="F85" s="3" t="s">
        <v>289</v>
      </c>
      <c r="G85" s="3" t="s">
        <v>23</v>
      </c>
      <c r="H85" s="3" t="s">
        <v>154</v>
      </c>
    </row>
    <row r="86" spans="1:8" x14ac:dyDescent="0.2">
      <c r="A86" s="3">
        <v>3060211003</v>
      </c>
      <c r="B86" s="4" t="s">
        <v>1180</v>
      </c>
      <c r="C86" s="4" t="s">
        <v>1181</v>
      </c>
      <c r="D86" s="3">
        <v>1</v>
      </c>
      <c r="E86" s="3" t="s">
        <v>16</v>
      </c>
      <c r="F86" s="3" t="s">
        <v>289</v>
      </c>
      <c r="G86" s="3" t="s">
        <v>23</v>
      </c>
      <c r="H86" s="3" t="s">
        <v>154</v>
      </c>
    </row>
    <row r="87" spans="1:8" x14ac:dyDescent="0.2">
      <c r="A87" s="3">
        <v>3060328001</v>
      </c>
      <c r="B87" s="4" t="s">
        <v>1182</v>
      </c>
      <c r="C87" s="4" t="s">
        <v>1183</v>
      </c>
      <c r="D87" s="3">
        <v>1</v>
      </c>
      <c r="E87" s="3" t="s">
        <v>16</v>
      </c>
      <c r="F87" s="3" t="s">
        <v>289</v>
      </c>
      <c r="G87" s="3" t="s">
        <v>23</v>
      </c>
      <c r="H87" s="3" t="s">
        <v>165</v>
      </c>
    </row>
    <row r="88" spans="1:8" x14ac:dyDescent="0.2">
      <c r="A88" s="3">
        <v>3060328002</v>
      </c>
      <c r="B88" s="4" t="s">
        <v>1182</v>
      </c>
      <c r="C88" s="4" t="s">
        <v>1184</v>
      </c>
      <c r="D88" s="3">
        <v>1</v>
      </c>
      <c r="E88" s="3" t="s">
        <v>16</v>
      </c>
      <c r="F88" s="3" t="s">
        <v>289</v>
      </c>
      <c r="G88" s="3" t="s">
        <v>23</v>
      </c>
      <c r="H88" s="3" t="s">
        <v>165</v>
      </c>
    </row>
    <row r="89" spans="1:8" x14ac:dyDescent="0.2">
      <c r="A89" s="3">
        <v>3030301010</v>
      </c>
      <c r="B89" s="4" t="s">
        <v>468</v>
      </c>
      <c r="C89" s="4" t="s">
        <v>469</v>
      </c>
      <c r="D89" s="3">
        <v>4</v>
      </c>
      <c r="E89" s="3" t="s">
        <v>16</v>
      </c>
      <c r="F89" s="3" t="s">
        <v>295</v>
      </c>
      <c r="G89" s="3" t="s">
        <v>17</v>
      </c>
      <c r="H89" s="3" t="s">
        <v>165</v>
      </c>
    </row>
    <row r="90" spans="1:8" x14ac:dyDescent="0.2">
      <c r="A90" s="3">
        <v>3060347005</v>
      </c>
      <c r="B90" s="4" t="s">
        <v>470</v>
      </c>
      <c r="C90" s="4" t="s">
        <v>471</v>
      </c>
      <c r="D90" s="3">
        <v>1</v>
      </c>
      <c r="E90" s="3" t="s">
        <v>16</v>
      </c>
      <c r="F90" s="3" t="s">
        <v>291</v>
      </c>
      <c r="G90" s="3" t="s">
        <v>26</v>
      </c>
      <c r="H90" s="3" t="s">
        <v>165</v>
      </c>
    </row>
    <row r="91" spans="1:8" x14ac:dyDescent="0.2">
      <c r="A91" s="3">
        <v>3060347006</v>
      </c>
      <c r="B91" s="4" t="s">
        <v>470</v>
      </c>
      <c r="C91" s="4" t="s">
        <v>472</v>
      </c>
      <c r="D91" s="3">
        <v>1</v>
      </c>
      <c r="E91" s="3" t="s">
        <v>16</v>
      </c>
      <c r="F91" s="3" t="s">
        <v>291</v>
      </c>
      <c r="G91" s="3" t="s">
        <v>26</v>
      </c>
      <c r="H91" s="3" t="s">
        <v>165</v>
      </c>
    </row>
    <row r="92" spans="1:8" x14ac:dyDescent="0.2">
      <c r="A92" s="3">
        <v>3110103002</v>
      </c>
      <c r="B92" s="4" t="s">
        <v>473</v>
      </c>
      <c r="C92" s="4" t="s">
        <v>474</v>
      </c>
      <c r="D92" s="3">
        <v>1</v>
      </c>
      <c r="E92" s="3" t="s">
        <v>16</v>
      </c>
      <c r="F92" s="3" t="s">
        <v>291</v>
      </c>
      <c r="G92" s="3" t="s">
        <v>26</v>
      </c>
      <c r="H92" s="3" t="s">
        <v>165</v>
      </c>
    </row>
    <row r="93" spans="1:8" x14ac:dyDescent="0.2">
      <c r="A93" s="3">
        <v>3030316006</v>
      </c>
      <c r="B93" s="4" t="s">
        <v>475</v>
      </c>
      <c r="C93" s="4" t="s">
        <v>476</v>
      </c>
      <c r="D93" s="3">
        <v>1</v>
      </c>
      <c r="E93" s="3" t="s">
        <v>16</v>
      </c>
      <c r="F93" s="3" t="s">
        <v>295</v>
      </c>
      <c r="G93" s="3" t="s">
        <v>17</v>
      </c>
      <c r="H93" s="3" t="s">
        <v>165</v>
      </c>
    </row>
    <row r="94" spans="1:8" x14ac:dyDescent="0.2">
      <c r="A94" s="3">
        <v>3040326008</v>
      </c>
      <c r="B94" s="4" t="s">
        <v>546</v>
      </c>
      <c r="C94" s="4" t="s">
        <v>1121</v>
      </c>
      <c r="D94" s="3">
        <v>1</v>
      </c>
      <c r="E94" s="3" t="s">
        <v>16</v>
      </c>
      <c r="F94" s="3" t="s">
        <v>293</v>
      </c>
      <c r="G94" s="3" t="s">
        <v>29</v>
      </c>
      <c r="H94" s="3" t="s">
        <v>165</v>
      </c>
    </row>
    <row r="95" spans="1:8" x14ac:dyDescent="0.2">
      <c r="A95" s="3">
        <v>3040326007</v>
      </c>
      <c r="B95" s="4" t="s">
        <v>546</v>
      </c>
      <c r="C95" s="4" t="s">
        <v>1122</v>
      </c>
      <c r="D95" s="3">
        <v>1</v>
      </c>
      <c r="E95" s="3" t="s">
        <v>16</v>
      </c>
      <c r="F95" s="3" t="s">
        <v>293</v>
      </c>
      <c r="G95" s="3" t="s">
        <v>29</v>
      </c>
      <c r="H95" s="3" t="s">
        <v>165</v>
      </c>
    </row>
    <row r="96" spans="1:8" x14ac:dyDescent="0.2">
      <c r="A96" s="3">
        <v>3030314007</v>
      </c>
      <c r="B96" s="4" t="s">
        <v>477</v>
      </c>
      <c r="C96" s="4" t="s">
        <v>478</v>
      </c>
      <c r="D96" s="3">
        <v>1</v>
      </c>
      <c r="E96" s="3" t="s">
        <v>16</v>
      </c>
      <c r="F96" s="3" t="s">
        <v>291</v>
      </c>
      <c r="G96" s="3" t="s">
        <v>26</v>
      </c>
      <c r="H96" s="3" t="s">
        <v>165</v>
      </c>
    </row>
    <row r="97" spans="1:8" x14ac:dyDescent="0.2">
      <c r="A97" s="3">
        <v>3030308013</v>
      </c>
      <c r="B97" s="4" t="s">
        <v>479</v>
      </c>
      <c r="C97" s="4" t="s">
        <v>478</v>
      </c>
      <c r="D97" s="3">
        <v>1</v>
      </c>
      <c r="E97" s="3" t="s">
        <v>16</v>
      </c>
      <c r="F97" s="3" t="s">
        <v>291</v>
      </c>
      <c r="G97" s="3" t="s">
        <v>26</v>
      </c>
      <c r="H97" s="3" t="s">
        <v>165</v>
      </c>
    </row>
    <row r="98" spans="1:8" x14ac:dyDescent="0.2">
      <c r="A98" s="3">
        <v>3050310030</v>
      </c>
      <c r="B98" s="4" t="s">
        <v>480</v>
      </c>
      <c r="C98" s="4" t="s">
        <v>469</v>
      </c>
      <c r="D98" s="3">
        <v>2</v>
      </c>
      <c r="E98" s="3" t="s">
        <v>16</v>
      </c>
      <c r="F98" s="3" t="s">
        <v>291</v>
      </c>
      <c r="G98" s="3" t="s">
        <v>26</v>
      </c>
      <c r="H98" s="3" t="s">
        <v>165</v>
      </c>
    </row>
    <row r="99" spans="1:8" x14ac:dyDescent="0.2">
      <c r="A99" s="3">
        <v>3060304005</v>
      </c>
      <c r="B99" s="4" t="s">
        <v>1194</v>
      </c>
      <c r="C99" s="4" t="s">
        <v>1196</v>
      </c>
      <c r="D99" s="3">
        <v>3</v>
      </c>
      <c r="E99" s="3" t="s">
        <v>16</v>
      </c>
      <c r="F99" s="3" t="s">
        <v>289</v>
      </c>
      <c r="G99" s="3" t="s">
        <v>23</v>
      </c>
      <c r="H99" s="3" t="s">
        <v>173</v>
      </c>
    </row>
    <row r="100" spans="1:8" x14ac:dyDescent="0.2">
      <c r="A100" s="3">
        <v>3050305013</v>
      </c>
      <c r="B100" s="4" t="s">
        <v>484</v>
      </c>
      <c r="C100" s="4" t="s">
        <v>485</v>
      </c>
      <c r="D100" s="3">
        <v>1</v>
      </c>
      <c r="E100" s="3" t="s">
        <v>16</v>
      </c>
      <c r="F100" s="3" t="s">
        <v>291</v>
      </c>
      <c r="G100" s="3" t="s">
        <v>26</v>
      </c>
      <c r="H100" s="3" t="s">
        <v>173</v>
      </c>
    </row>
    <row r="101" spans="1:8" x14ac:dyDescent="0.2">
      <c r="A101" s="3">
        <v>3040305002</v>
      </c>
      <c r="B101" s="4" t="s">
        <v>486</v>
      </c>
      <c r="C101" s="4" t="s">
        <v>487</v>
      </c>
      <c r="D101" s="3">
        <v>2</v>
      </c>
      <c r="E101" s="3" t="s">
        <v>16</v>
      </c>
      <c r="F101" s="3" t="s">
        <v>293</v>
      </c>
      <c r="G101" s="3" t="s">
        <v>29</v>
      </c>
      <c r="H101" s="3" t="s">
        <v>173</v>
      </c>
    </row>
    <row r="102" spans="1:8" x14ac:dyDescent="0.2">
      <c r="A102" s="3">
        <v>3040313002</v>
      </c>
      <c r="B102" s="4" t="s">
        <v>488</v>
      </c>
      <c r="C102" s="4" t="s">
        <v>489</v>
      </c>
      <c r="D102" s="3">
        <v>8</v>
      </c>
      <c r="E102" s="3" t="s">
        <v>16</v>
      </c>
      <c r="F102" s="3" t="s">
        <v>293</v>
      </c>
      <c r="G102" s="3" t="s">
        <v>29</v>
      </c>
      <c r="H102" s="3" t="s">
        <v>173</v>
      </c>
    </row>
    <row r="103" spans="1:8" x14ac:dyDescent="0.2">
      <c r="A103" s="3">
        <v>3040321001</v>
      </c>
      <c r="B103" s="4" t="s">
        <v>490</v>
      </c>
      <c r="C103" s="4" t="s">
        <v>347</v>
      </c>
      <c r="D103" s="3">
        <v>8</v>
      </c>
      <c r="E103" s="3" t="s">
        <v>16</v>
      </c>
      <c r="F103" s="3" t="s">
        <v>293</v>
      </c>
      <c r="G103" s="3" t="s">
        <v>29</v>
      </c>
      <c r="H103" s="3" t="s">
        <v>173</v>
      </c>
    </row>
    <row r="104" spans="1:8" x14ac:dyDescent="0.2">
      <c r="A104" s="3">
        <v>3040309001</v>
      </c>
      <c r="B104" s="4" t="s">
        <v>346</v>
      </c>
      <c r="C104" s="4" t="s">
        <v>347</v>
      </c>
      <c r="D104" s="3">
        <v>4</v>
      </c>
      <c r="E104" s="3" t="s">
        <v>16</v>
      </c>
      <c r="F104" s="3" t="s">
        <v>293</v>
      </c>
      <c r="G104" s="3" t="s">
        <v>29</v>
      </c>
      <c r="H104" s="3" t="s">
        <v>173</v>
      </c>
    </row>
    <row r="105" spans="1:8" x14ac:dyDescent="0.2">
      <c r="A105" s="3">
        <v>3050304007</v>
      </c>
      <c r="B105" s="4" t="s">
        <v>181</v>
      </c>
      <c r="C105" s="4" t="s">
        <v>1198</v>
      </c>
      <c r="D105" s="3">
        <v>1</v>
      </c>
      <c r="E105" s="3" t="s">
        <v>16</v>
      </c>
      <c r="F105" s="3" t="s">
        <v>291</v>
      </c>
      <c r="G105" s="3" t="s">
        <v>26</v>
      </c>
      <c r="H105" s="3" t="s">
        <v>173</v>
      </c>
    </row>
    <row r="106" spans="1:8" x14ac:dyDescent="0.2">
      <c r="A106" s="3">
        <v>3020501004</v>
      </c>
      <c r="B106" s="4" t="s">
        <v>183</v>
      </c>
      <c r="C106" s="4" t="s">
        <v>761</v>
      </c>
      <c r="D106" s="3">
        <v>1</v>
      </c>
      <c r="E106" s="3" t="s">
        <v>16</v>
      </c>
      <c r="F106" s="3" t="s">
        <v>291</v>
      </c>
      <c r="G106" s="3" t="s">
        <v>26</v>
      </c>
      <c r="H106" s="3" t="s">
        <v>185</v>
      </c>
    </row>
    <row r="107" spans="1:8" x14ac:dyDescent="0.2">
      <c r="A107" s="3">
        <v>3030204003</v>
      </c>
      <c r="B107" s="4" t="s">
        <v>492</v>
      </c>
      <c r="C107" s="4" t="s">
        <v>493</v>
      </c>
      <c r="D107" s="3">
        <v>2</v>
      </c>
      <c r="E107" s="3" t="s">
        <v>16</v>
      </c>
      <c r="F107" s="3" t="s">
        <v>295</v>
      </c>
      <c r="G107" s="3" t="s">
        <v>17</v>
      </c>
      <c r="H107" s="3" t="s">
        <v>494</v>
      </c>
    </row>
    <row r="108" spans="1:8" x14ac:dyDescent="0.2">
      <c r="A108" s="3">
        <v>3990201008</v>
      </c>
      <c r="B108" s="4" t="s">
        <v>186</v>
      </c>
      <c r="C108" s="4" t="s">
        <v>495</v>
      </c>
      <c r="D108" s="3">
        <v>1</v>
      </c>
      <c r="E108" s="3" t="s">
        <v>16</v>
      </c>
      <c r="F108" s="3" t="s">
        <v>295</v>
      </c>
      <c r="G108" s="3" t="s">
        <v>17</v>
      </c>
      <c r="H108" s="3" t="s">
        <v>187</v>
      </c>
    </row>
    <row r="109" spans="1:8" x14ac:dyDescent="0.2">
      <c r="A109" s="3">
        <v>3990202007</v>
      </c>
      <c r="B109" s="4" t="s">
        <v>188</v>
      </c>
      <c r="C109" s="4" t="s">
        <v>495</v>
      </c>
      <c r="D109" s="3">
        <v>1</v>
      </c>
      <c r="E109" s="3" t="s">
        <v>16</v>
      </c>
      <c r="F109" s="3" t="s">
        <v>295</v>
      </c>
      <c r="G109" s="3" t="s">
        <v>17</v>
      </c>
      <c r="H109" s="3" t="s">
        <v>187</v>
      </c>
    </row>
    <row r="110" spans="1:8" x14ac:dyDescent="0.2">
      <c r="A110" s="3">
        <v>3990203002</v>
      </c>
      <c r="B110" s="4" t="s">
        <v>189</v>
      </c>
      <c r="C110" s="4" t="s">
        <v>495</v>
      </c>
      <c r="D110" s="3">
        <v>1</v>
      </c>
      <c r="E110" s="3" t="s">
        <v>16</v>
      </c>
      <c r="F110" s="3" t="s">
        <v>295</v>
      </c>
      <c r="G110" s="3" t="s">
        <v>17</v>
      </c>
      <c r="H110" s="3" t="s">
        <v>187</v>
      </c>
    </row>
    <row r="111" spans="1:8" x14ac:dyDescent="0.2">
      <c r="A111" s="3">
        <v>3060403047</v>
      </c>
      <c r="B111" s="4" t="s">
        <v>190</v>
      </c>
      <c r="C111" s="4" t="s">
        <v>1242</v>
      </c>
      <c r="D111" s="3">
        <v>1</v>
      </c>
      <c r="E111" s="3" t="s">
        <v>16</v>
      </c>
      <c r="F111" s="3" t="s">
        <v>295</v>
      </c>
      <c r="G111" s="3" t="s">
        <v>17</v>
      </c>
      <c r="H111" s="3" t="s">
        <v>192</v>
      </c>
    </row>
    <row r="112" spans="1:8" x14ac:dyDescent="0.2">
      <c r="A112" s="3">
        <v>3050405002</v>
      </c>
      <c r="B112" s="4" t="s">
        <v>496</v>
      </c>
      <c r="C112" s="4" t="s">
        <v>1243</v>
      </c>
      <c r="D112" s="3">
        <v>1</v>
      </c>
      <c r="E112" s="3" t="s">
        <v>16</v>
      </c>
      <c r="F112" s="3" t="s">
        <v>291</v>
      </c>
      <c r="G112" s="3" t="s">
        <v>26</v>
      </c>
      <c r="H112" s="3" t="s">
        <v>192</v>
      </c>
    </row>
    <row r="113" spans="1:8" x14ac:dyDescent="0.2">
      <c r="A113" s="3">
        <v>3030402001</v>
      </c>
      <c r="B113" s="4" t="s">
        <v>498</v>
      </c>
      <c r="C113" s="4" t="s">
        <v>499</v>
      </c>
      <c r="D113" s="3">
        <v>1</v>
      </c>
      <c r="E113" s="3" t="s">
        <v>16</v>
      </c>
      <c r="F113" s="3" t="s">
        <v>295</v>
      </c>
      <c r="G113" s="3" t="s">
        <v>17</v>
      </c>
      <c r="H113" s="3" t="s">
        <v>192</v>
      </c>
    </row>
    <row r="114" spans="1:8" x14ac:dyDescent="0.2">
      <c r="A114" s="3">
        <v>3040402009</v>
      </c>
      <c r="B114" s="4" t="s">
        <v>500</v>
      </c>
      <c r="C114" s="4" t="s">
        <v>1244</v>
      </c>
      <c r="D114" s="3">
        <v>1</v>
      </c>
      <c r="E114" s="3" t="s">
        <v>16</v>
      </c>
      <c r="F114" s="3" t="s">
        <v>293</v>
      </c>
      <c r="G114" s="3" t="s">
        <v>29</v>
      </c>
      <c r="H114" s="3" t="s">
        <v>192</v>
      </c>
    </row>
    <row r="115" spans="1:8" x14ac:dyDescent="0.2">
      <c r="A115" s="3">
        <v>3040402010</v>
      </c>
      <c r="B115" s="4" t="s">
        <v>500</v>
      </c>
      <c r="C115" s="4" t="s">
        <v>1245</v>
      </c>
      <c r="D115" s="3">
        <v>1</v>
      </c>
      <c r="E115" s="3" t="s">
        <v>16</v>
      </c>
      <c r="F115" s="3" t="s">
        <v>293</v>
      </c>
      <c r="G115" s="3" t="s">
        <v>29</v>
      </c>
      <c r="H115" s="3" t="s">
        <v>192</v>
      </c>
    </row>
    <row r="116" spans="1:8" x14ac:dyDescent="0.2">
      <c r="A116" s="3">
        <v>404100037</v>
      </c>
      <c r="B116" s="4" t="s">
        <v>1201</v>
      </c>
      <c r="C116" s="4" t="s">
        <v>1202</v>
      </c>
      <c r="D116" s="3">
        <v>1</v>
      </c>
      <c r="E116" s="3" t="s">
        <v>16</v>
      </c>
      <c r="F116" s="3" t="s">
        <v>301</v>
      </c>
      <c r="G116" s="3" t="s">
        <v>32</v>
      </c>
      <c r="H116" s="3" t="s">
        <v>198</v>
      </c>
    </row>
    <row r="117" spans="1:8" x14ac:dyDescent="0.2">
      <c r="A117" s="3">
        <v>404100039</v>
      </c>
      <c r="B117" s="4" t="s">
        <v>196</v>
      </c>
      <c r="C117" s="4" t="s">
        <v>1203</v>
      </c>
      <c r="D117" s="3">
        <v>1</v>
      </c>
      <c r="E117" s="3" t="s">
        <v>16</v>
      </c>
      <c r="F117" s="3" t="s">
        <v>301</v>
      </c>
      <c r="G117" s="3" t="s">
        <v>32</v>
      </c>
      <c r="H117" s="3" t="s">
        <v>198</v>
      </c>
    </row>
    <row r="118" spans="1:8" x14ac:dyDescent="0.2">
      <c r="A118" s="3">
        <v>404110008</v>
      </c>
      <c r="B118" s="4" t="s">
        <v>504</v>
      </c>
      <c r="C118" s="4" t="s">
        <v>505</v>
      </c>
      <c r="D118" s="3">
        <v>2</v>
      </c>
      <c r="E118" s="3" t="s">
        <v>16</v>
      </c>
      <c r="F118" s="3" t="s">
        <v>291</v>
      </c>
      <c r="G118" s="3" t="s">
        <v>26</v>
      </c>
      <c r="H118" s="3" t="s">
        <v>198</v>
      </c>
    </row>
    <row r="119" spans="1:8" x14ac:dyDescent="0.2">
      <c r="A119" s="3">
        <v>404110001</v>
      </c>
      <c r="B119" s="4" t="s">
        <v>504</v>
      </c>
      <c r="C119" s="4" t="s">
        <v>506</v>
      </c>
      <c r="D119" s="3">
        <v>1</v>
      </c>
      <c r="E119" s="3" t="s">
        <v>16</v>
      </c>
      <c r="F119" s="3" t="s">
        <v>291</v>
      </c>
      <c r="G119" s="3" t="s">
        <v>26</v>
      </c>
      <c r="H119" s="3" t="s">
        <v>198</v>
      </c>
    </row>
    <row r="120" spans="1:8" x14ac:dyDescent="0.2">
      <c r="A120" s="3">
        <v>404100025</v>
      </c>
      <c r="B120" s="4" t="s">
        <v>1093</v>
      </c>
      <c r="C120" s="4" t="s">
        <v>1094</v>
      </c>
      <c r="D120" s="3">
        <v>1</v>
      </c>
      <c r="E120" s="3" t="s">
        <v>16</v>
      </c>
      <c r="F120" s="3" t="s">
        <v>301</v>
      </c>
      <c r="G120" s="3" t="s">
        <v>32</v>
      </c>
      <c r="H120" s="3" t="s">
        <v>198</v>
      </c>
    </row>
    <row r="121" spans="1:8" x14ac:dyDescent="0.2">
      <c r="A121" s="3">
        <v>403030054</v>
      </c>
      <c r="B121" s="4" t="s">
        <v>801</v>
      </c>
      <c r="C121" s="4" t="s">
        <v>1205</v>
      </c>
      <c r="D121" s="3">
        <v>1</v>
      </c>
      <c r="E121" s="3" t="s">
        <v>16</v>
      </c>
      <c r="F121" s="3" t="s">
        <v>301</v>
      </c>
      <c r="G121" s="3" t="s">
        <v>32</v>
      </c>
      <c r="H121" s="3" t="s">
        <v>198</v>
      </c>
    </row>
    <row r="122" spans="1:8" x14ac:dyDescent="0.2">
      <c r="A122" s="3">
        <v>403030012</v>
      </c>
      <c r="B122" s="4" t="s">
        <v>366</v>
      </c>
      <c r="C122" s="4" t="s">
        <v>507</v>
      </c>
      <c r="D122" s="3">
        <v>2</v>
      </c>
      <c r="E122" s="3" t="s">
        <v>16</v>
      </c>
      <c r="F122" s="3" t="s">
        <v>291</v>
      </c>
      <c r="G122" s="3" t="s">
        <v>26</v>
      </c>
      <c r="H122" s="3" t="s">
        <v>198</v>
      </c>
    </row>
    <row r="123" spans="1:8" x14ac:dyDescent="0.2">
      <c r="A123" s="3">
        <v>401070022</v>
      </c>
      <c r="B123" s="4" t="s">
        <v>35</v>
      </c>
      <c r="C123" s="4" t="s">
        <v>203</v>
      </c>
      <c r="D123" s="3">
        <v>1</v>
      </c>
      <c r="E123" s="3" t="s">
        <v>16</v>
      </c>
      <c r="F123" s="3" t="s">
        <v>301</v>
      </c>
      <c r="G123" s="3" t="s">
        <v>32</v>
      </c>
      <c r="H123" s="3" t="s">
        <v>198</v>
      </c>
    </row>
    <row r="124" spans="1:8" x14ac:dyDescent="0.2">
      <c r="A124" s="3">
        <v>401070018</v>
      </c>
      <c r="B124" s="4" t="s">
        <v>35</v>
      </c>
      <c r="C124" s="4" t="s">
        <v>202</v>
      </c>
      <c r="D124" s="3">
        <v>1</v>
      </c>
      <c r="E124" s="3" t="s">
        <v>16</v>
      </c>
      <c r="F124" s="3" t="s">
        <v>291</v>
      </c>
      <c r="G124" s="3" t="s">
        <v>26</v>
      </c>
      <c r="H124" s="3" t="s">
        <v>198</v>
      </c>
    </row>
    <row r="125" spans="1:8" x14ac:dyDescent="0.2">
      <c r="A125" s="3">
        <v>404100041</v>
      </c>
      <c r="B125" s="4" t="s">
        <v>205</v>
      </c>
      <c r="C125" s="4" t="s">
        <v>1206</v>
      </c>
      <c r="D125" s="3">
        <v>1</v>
      </c>
      <c r="E125" s="3" t="s">
        <v>16</v>
      </c>
      <c r="F125" s="3" t="s">
        <v>291</v>
      </c>
      <c r="G125" s="3" t="s">
        <v>26</v>
      </c>
      <c r="H125" s="3" t="s">
        <v>198</v>
      </c>
    </row>
    <row r="126" spans="1:8" x14ac:dyDescent="0.2">
      <c r="A126" s="3">
        <v>404100040</v>
      </c>
      <c r="B126" s="4" t="s">
        <v>207</v>
      </c>
      <c r="C126" s="4" t="s">
        <v>1207</v>
      </c>
      <c r="D126" s="3">
        <v>1</v>
      </c>
      <c r="E126" s="3" t="s">
        <v>16</v>
      </c>
      <c r="F126" s="3" t="s">
        <v>291</v>
      </c>
      <c r="G126" s="3" t="s">
        <v>26</v>
      </c>
      <c r="H126" s="3" t="s">
        <v>198</v>
      </c>
    </row>
    <row r="127" spans="1:8" x14ac:dyDescent="0.2">
      <c r="A127" s="3">
        <v>3030305007</v>
      </c>
      <c r="B127" s="4" t="s">
        <v>511</v>
      </c>
      <c r="C127" s="4" t="s">
        <v>512</v>
      </c>
      <c r="D127" s="3">
        <v>1</v>
      </c>
      <c r="E127" s="3" t="s">
        <v>16</v>
      </c>
      <c r="F127" s="3" t="s">
        <v>295</v>
      </c>
      <c r="G127" s="3" t="s">
        <v>17</v>
      </c>
      <c r="H127" s="3" t="s">
        <v>211</v>
      </c>
    </row>
    <row r="128" spans="1:8" x14ac:dyDescent="0.2">
      <c r="A128" s="3">
        <v>3030305006</v>
      </c>
      <c r="B128" s="4" t="s">
        <v>513</v>
      </c>
      <c r="C128" s="4" t="s">
        <v>512</v>
      </c>
      <c r="D128" s="3">
        <v>1</v>
      </c>
      <c r="E128" s="3" t="s">
        <v>16</v>
      </c>
      <c r="F128" s="3" t="s">
        <v>295</v>
      </c>
      <c r="G128" s="3" t="s">
        <v>17</v>
      </c>
      <c r="H128" s="3" t="s">
        <v>211</v>
      </c>
    </row>
    <row r="129" spans="1:8" x14ac:dyDescent="0.2">
      <c r="A129" s="3">
        <v>3069904001</v>
      </c>
      <c r="B129" s="4" t="s">
        <v>514</v>
      </c>
      <c r="C129" s="4" t="s">
        <v>355</v>
      </c>
      <c r="D129" s="3">
        <v>4</v>
      </c>
      <c r="E129" s="3" t="s">
        <v>16</v>
      </c>
      <c r="F129" s="3" t="s">
        <v>295</v>
      </c>
      <c r="G129" s="3" t="s">
        <v>17</v>
      </c>
      <c r="H129" s="3" t="s">
        <v>214</v>
      </c>
    </row>
    <row r="130" spans="1:8" x14ac:dyDescent="0.2">
      <c r="A130" s="3">
        <v>3030201003</v>
      </c>
      <c r="B130" s="4" t="s">
        <v>515</v>
      </c>
      <c r="C130" s="4" t="s">
        <v>516</v>
      </c>
      <c r="D130" s="3">
        <v>1</v>
      </c>
      <c r="E130" s="3" t="s">
        <v>16</v>
      </c>
      <c r="F130" s="3" t="s">
        <v>295</v>
      </c>
      <c r="G130" s="3" t="s">
        <v>17</v>
      </c>
      <c r="H130" s="3" t="s">
        <v>214</v>
      </c>
    </row>
    <row r="131" spans="1:8" x14ac:dyDescent="0.2">
      <c r="A131" s="3">
        <v>3049903001</v>
      </c>
      <c r="B131" s="4" t="s">
        <v>517</v>
      </c>
      <c r="C131" s="4" t="s">
        <v>355</v>
      </c>
      <c r="D131" s="3">
        <v>2</v>
      </c>
      <c r="E131" s="3" t="s">
        <v>16</v>
      </c>
      <c r="F131" s="3" t="s">
        <v>293</v>
      </c>
      <c r="G131" s="3" t="s">
        <v>29</v>
      </c>
      <c r="H131" s="3" t="s">
        <v>214</v>
      </c>
    </row>
    <row r="132" spans="1:8" x14ac:dyDescent="0.2">
      <c r="A132" s="3">
        <v>3049904001</v>
      </c>
      <c r="B132" s="4" t="s">
        <v>354</v>
      </c>
      <c r="C132" s="4" t="s">
        <v>355</v>
      </c>
      <c r="D132" s="3">
        <v>4</v>
      </c>
      <c r="E132" s="3" t="s">
        <v>16</v>
      </c>
      <c r="F132" s="3" t="s">
        <v>293</v>
      </c>
      <c r="G132" s="3" t="s">
        <v>29</v>
      </c>
      <c r="H132" s="3" t="s">
        <v>214</v>
      </c>
    </row>
    <row r="133" spans="1:8" x14ac:dyDescent="0.2">
      <c r="A133" s="3">
        <v>3049902001</v>
      </c>
      <c r="B133" s="4" t="s">
        <v>518</v>
      </c>
      <c r="C133" s="4" t="s">
        <v>355</v>
      </c>
      <c r="D133" s="3">
        <v>2</v>
      </c>
      <c r="E133" s="3" t="s">
        <v>16</v>
      </c>
      <c r="F133" s="3" t="s">
        <v>293</v>
      </c>
      <c r="G133" s="3" t="s">
        <v>29</v>
      </c>
      <c r="H133" s="3" t="s">
        <v>214</v>
      </c>
    </row>
    <row r="134" spans="1:8" x14ac:dyDescent="0.2">
      <c r="A134" s="3">
        <v>3050204001</v>
      </c>
      <c r="B134" s="4" t="s">
        <v>519</v>
      </c>
      <c r="C134" s="4" t="s">
        <v>355</v>
      </c>
      <c r="D134" s="3">
        <v>2</v>
      </c>
      <c r="E134" s="3" t="s">
        <v>16</v>
      </c>
      <c r="F134" s="3" t="s">
        <v>291</v>
      </c>
      <c r="G134" s="3" t="s">
        <v>26</v>
      </c>
      <c r="H134" s="3" t="s">
        <v>214</v>
      </c>
    </row>
    <row r="135" spans="1:8" x14ac:dyDescent="0.2">
      <c r="A135" s="3">
        <v>3050204002</v>
      </c>
      <c r="B135" s="4" t="s">
        <v>520</v>
      </c>
      <c r="C135" s="4" t="s">
        <v>355</v>
      </c>
      <c r="D135" s="3">
        <v>2</v>
      </c>
      <c r="E135" s="3" t="s">
        <v>16</v>
      </c>
      <c r="F135" s="3" t="s">
        <v>291</v>
      </c>
      <c r="G135" s="3" t="s">
        <v>26</v>
      </c>
      <c r="H135" s="3" t="s">
        <v>214</v>
      </c>
    </row>
    <row r="136" spans="1:8" x14ac:dyDescent="0.2">
      <c r="A136" s="3">
        <v>403030051</v>
      </c>
      <c r="B136" s="4" t="s">
        <v>366</v>
      </c>
      <c r="C136" s="4" t="s">
        <v>367</v>
      </c>
      <c r="D136" s="3">
        <v>3</v>
      </c>
      <c r="E136" s="3" t="s">
        <v>16</v>
      </c>
      <c r="F136" s="3" t="s">
        <v>301</v>
      </c>
      <c r="G136" s="3" t="s">
        <v>32</v>
      </c>
      <c r="H136" s="3" t="s">
        <v>221</v>
      </c>
    </row>
    <row r="137" spans="1:8" x14ac:dyDescent="0.2">
      <c r="A137" s="3">
        <v>403030005</v>
      </c>
      <c r="B137" s="4" t="s">
        <v>366</v>
      </c>
      <c r="C137" s="4" t="s">
        <v>368</v>
      </c>
      <c r="D137" s="3">
        <v>2</v>
      </c>
      <c r="E137" s="3" t="s">
        <v>16</v>
      </c>
      <c r="F137" s="3" t="s">
        <v>301</v>
      </c>
      <c r="G137" s="3" t="s">
        <v>32</v>
      </c>
      <c r="H137" s="3" t="s">
        <v>221</v>
      </c>
    </row>
    <row r="138" spans="1:8" x14ac:dyDescent="0.2">
      <c r="A138" s="3">
        <v>4081200011</v>
      </c>
      <c r="B138" s="4" t="s">
        <v>525</v>
      </c>
      <c r="C138" s="4" t="s">
        <v>1246</v>
      </c>
      <c r="D138" s="3">
        <v>2</v>
      </c>
      <c r="E138" s="3" t="s">
        <v>16</v>
      </c>
      <c r="F138" s="3" t="s">
        <v>289</v>
      </c>
      <c r="G138" s="3" t="s">
        <v>23</v>
      </c>
      <c r="H138" s="3" t="s">
        <v>524</v>
      </c>
    </row>
    <row r="139" spans="1:8" x14ac:dyDescent="0.2">
      <c r="A139" s="3">
        <v>408120032</v>
      </c>
      <c r="B139" s="4" t="s">
        <v>525</v>
      </c>
      <c r="C139" s="4" t="s">
        <v>1210</v>
      </c>
      <c r="D139" s="3">
        <v>23</v>
      </c>
      <c r="E139" s="3" t="s">
        <v>16</v>
      </c>
      <c r="F139" s="3" t="s">
        <v>289</v>
      </c>
      <c r="G139" s="3" t="s">
        <v>23</v>
      </c>
      <c r="H139" s="3" t="s">
        <v>524</v>
      </c>
    </row>
    <row r="140" spans="1:8" x14ac:dyDescent="0.2">
      <c r="A140" s="3">
        <v>408120038</v>
      </c>
      <c r="B140" s="4" t="s">
        <v>525</v>
      </c>
      <c r="C140" s="4" t="s">
        <v>1247</v>
      </c>
      <c r="D140" s="3">
        <v>1</v>
      </c>
      <c r="E140" s="3" t="s">
        <v>16</v>
      </c>
      <c r="F140" s="3" t="s">
        <v>289</v>
      </c>
      <c r="G140" s="3" t="s">
        <v>23</v>
      </c>
      <c r="H140" s="3" t="s">
        <v>524</v>
      </c>
    </row>
    <row r="141" spans="1:8" x14ac:dyDescent="0.2">
      <c r="A141" s="3">
        <v>408120036</v>
      </c>
      <c r="B141" s="4" t="s">
        <v>525</v>
      </c>
      <c r="C141" s="4" t="s">
        <v>526</v>
      </c>
      <c r="D141" s="3">
        <v>2</v>
      </c>
      <c r="E141" s="3" t="s">
        <v>16</v>
      </c>
      <c r="F141" s="3" t="s">
        <v>291</v>
      </c>
      <c r="G141" s="3" t="s">
        <v>26</v>
      </c>
      <c r="H141" s="3" t="s">
        <v>524</v>
      </c>
    </row>
    <row r="142" spans="1:8" x14ac:dyDescent="0.2">
      <c r="A142" s="3">
        <v>407010073</v>
      </c>
      <c r="B142" s="4" t="s">
        <v>149</v>
      </c>
      <c r="C142" s="4" t="s">
        <v>1212</v>
      </c>
      <c r="D142" s="3">
        <v>1</v>
      </c>
      <c r="E142" s="3" t="s">
        <v>16</v>
      </c>
      <c r="F142" s="3" t="s">
        <v>289</v>
      </c>
      <c r="G142" s="3" t="s">
        <v>23</v>
      </c>
      <c r="H142" s="3" t="s">
        <v>524</v>
      </c>
    </row>
    <row r="143" spans="1:8" x14ac:dyDescent="0.2">
      <c r="A143" s="3">
        <v>3060501009</v>
      </c>
      <c r="B143" s="4" t="s">
        <v>1213</v>
      </c>
      <c r="C143" s="4" t="s">
        <v>1248</v>
      </c>
      <c r="D143" s="3">
        <v>1</v>
      </c>
      <c r="E143" s="3" t="s">
        <v>16</v>
      </c>
      <c r="F143" s="3" t="s">
        <v>289</v>
      </c>
      <c r="G143" s="3" t="s">
        <v>23</v>
      </c>
      <c r="H143" s="3" t="s">
        <v>226</v>
      </c>
    </row>
    <row r="144" spans="1:8" x14ac:dyDescent="0.2">
      <c r="A144" s="3">
        <v>3060350003</v>
      </c>
      <c r="B144" s="4" t="s">
        <v>1215</v>
      </c>
      <c r="C144" s="4" t="s">
        <v>1216</v>
      </c>
      <c r="D144" s="3">
        <v>1</v>
      </c>
      <c r="E144" s="3" t="s">
        <v>16</v>
      </c>
      <c r="F144" s="3" t="s">
        <v>289</v>
      </c>
      <c r="G144" s="3" t="s">
        <v>23</v>
      </c>
      <c r="H144" s="3" t="s">
        <v>226</v>
      </c>
    </row>
    <row r="145" spans="1:8" x14ac:dyDescent="0.2">
      <c r="A145" s="3">
        <v>3060353006</v>
      </c>
      <c r="B145" s="4" t="s">
        <v>1217</v>
      </c>
      <c r="C145" s="4" t="s">
        <v>1232</v>
      </c>
      <c r="D145" s="3">
        <v>1</v>
      </c>
      <c r="E145" s="3" t="s">
        <v>16</v>
      </c>
      <c r="F145" s="3" t="s">
        <v>289</v>
      </c>
      <c r="G145" s="3" t="s">
        <v>23</v>
      </c>
      <c r="H145" s="3" t="s">
        <v>226</v>
      </c>
    </row>
    <row r="146" spans="1:8" x14ac:dyDescent="0.2">
      <c r="A146" s="3">
        <v>3060324003</v>
      </c>
      <c r="B146" s="4" t="s">
        <v>1185</v>
      </c>
      <c r="C146" s="4" t="s">
        <v>1249</v>
      </c>
      <c r="D146" s="3">
        <v>1</v>
      </c>
      <c r="E146" s="3" t="s">
        <v>16</v>
      </c>
      <c r="F146" s="3" t="s">
        <v>289</v>
      </c>
      <c r="G146" s="3" t="s">
        <v>23</v>
      </c>
      <c r="H146" s="3" t="s">
        <v>226</v>
      </c>
    </row>
    <row r="147" spans="1:8" x14ac:dyDescent="0.2">
      <c r="A147" s="3">
        <v>3060404053</v>
      </c>
      <c r="B147" s="4" t="s">
        <v>729</v>
      </c>
      <c r="C147" s="4" t="s">
        <v>1250</v>
      </c>
      <c r="D147" s="3">
        <v>1</v>
      </c>
      <c r="E147" s="3" t="s">
        <v>16</v>
      </c>
      <c r="F147" s="3" t="s">
        <v>289</v>
      </c>
      <c r="G147" s="3" t="s">
        <v>23</v>
      </c>
      <c r="H147" s="3" t="s">
        <v>226</v>
      </c>
    </row>
    <row r="148" spans="1:8" x14ac:dyDescent="0.2">
      <c r="A148" s="3">
        <v>3060316002</v>
      </c>
      <c r="B148" s="4" t="s">
        <v>1219</v>
      </c>
      <c r="C148" s="4" t="s">
        <v>1251</v>
      </c>
      <c r="D148" s="3">
        <v>1</v>
      </c>
      <c r="E148" s="3" t="s">
        <v>16</v>
      </c>
      <c r="F148" s="3" t="s">
        <v>289</v>
      </c>
      <c r="G148" s="3" t="s">
        <v>23</v>
      </c>
      <c r="H148" s="3" t="s">
        <v>226</v>
      </c>
    </row>
    <row r="149" spans="1:8" x14ac:dyDescent="0.2">
      <c r="A149" s="3">
        <v>3060313007</v>
      </c>
      <c r="B149" s="4" t="s">
        <v>1188</v>
      </c>
      <c r="C149" s="4" t="s">
        <v>1252</v>
      </c>
      <c r="D149" s="3">
        <v>1</v>
      </c>
      <c r="E149" s="3" t="s">
        <v>16</v>
      </c>
      <c r="F149" s="3" t="s">
        <v>289</v>
      </c>
      <c r="G149" s="3" t="s">
        <v>23</v>
      </c>
      <c r="H149" s="3" t="s">
        <v>226</v>
      </c>
    </row>
    <row r="150" spans="1:8" x14ac:dyDescent="0.2">
      <c r="A150" s="3">
        <v>3050305016</v>
      </c>
      <c r="B150" s="4" t="s">
        <v>527</v>
      </c>
      <c r="C150" s="4" t="s">
        <v>528</v>
      </c>
      <c r="D150" s="3">
        <v>1</v>
      </c>
      <c r="E150" s="3" t="s">
        <v>16</v>
      </c>
      <c r="F150" s="3" t="s">
        <v>291</v>
      </c>
      <c r="G150" s="3" t="s">
        <v>26</v>
      </c>
      <c r="H150" s="3" t="s">
        <v>226</v>
      </c>
    </row>
    <row r="151" spans="1:8" x14ac:dyDescent="0.2">
      <c r="A151" s="3">
        <v>3050305015</v>
      </c>
      <c r="B151" s="4" t="s">
        <v>529</v>
      </c>
      <c r="C151" s="4" t="s">
        <v>530</v>
      </c>
      <c r="D151" s="3">
        <v>1</v>
      </c>
      <c r="E151" s="3" t="s">
        <v>16</v>
      </c>
      <c r="F151" s="3" t="s">
        <v>291</v>
      </c>
      <c r="G151" s="3" t="s">
        <v>26</v>
      </c>
      <c r="H151" s="3" t="s">
        <v>226</v>
      </c>
    </row>
    <row r="152" spans="1:8" x14ac:dyDescent="0.2">
      <c r="A152" s="3">
        <v>3030309020</v>
      </c>
      <c r="B152" s="4" t="s">
        <v>531</v>
      </c>
      <c r="C152" s="4" t="s">
        <v>532</v>
      </c>
      <c r="D152" s="3">
        <v>1</v>
      </c>
      <c r="E152" s="3" t="s">
        <v>16</v>
      </c>
      <c r="F152" s="3" t="s">
        <v>291</v>
      </c>
      <c r="G152" s="3" t="s">
        <v>26</v>
      </c>
      <c r="H152" s="3" t="s">
        <v>226</v>
      </c>
    </row>
    <row r="153" spans="1:8" x14ac:dyDescent="0.2">
      <c r="A153" s="3">
        <v>3030302002</v>
      </c>
      <c r="B153" s="4" t="s">
        <v>533</v>
      </c>
      <c r="C153" s="4" t="s">
        <v>534</v>
      </c>
      <c r="D153" s="3">
        <v>1</v>
      </c>
      <c r="E153" s="3" t="s">
        <v>16</v>
      </c>
      <c r="F153" s="3" t="s">
        <v>295</v>
      </c>
      <c r="G153" s="3" t="s">
        <v>17</v>
      </c>
      <c r="H153" s="3" t="s">
        <v>226</v>
      </c>
    </row>
    <row r="154" spans="1:8" x14ac:dyDescent="0.2">
      <c r="A154" s="3">
        <v>3030306012</v>
      </c>
      <c r="B154" s="4" t="s">
        <v>535</v>
      </c>
      <c r="C154" s="4" t="s">
        <v>536</v>
      </c>
      <c r="D154" s="3">
        <v>1</v>
      </c>
      <c r="E154" s="3" t="s">
        <v>16</v>
      </c>
      <c r="F154" s="3" t="s">
        <v>295</v>
      </c>
      <c r="G154" s="3" t="s">
        <v>17</v>
      </c>
      <c r="H154" s="3" t="s">
        <v>226</v>
      </c>
    </row>
    <row r="155" spans="1:8" x14ac:dyDescent="0.2">
      <c r="A155" s="3">
        <v>3030306011</v>
      </c>
      <c r="B155" s="4" t="s">
        <v>537</v>
      </c>
      <c r="C155" s="4" t="s">
        <v>536</v>
      </c>
      <c r="D155" s="3">
        <v>1</v>
      </c>
      <c r="E155" s="3" t="s">
        <v>16</v>
      </c>
      <c r="F155" s="3" t="s">
        <v>295</v>
      </c>
      <c r="G155" s="3" t="s">
        <v>17</v>
      </c>
      <c r="H155" s="3" t="s">
        <v>226</v>
      </c>
    </row>
    <row r="156" spans="1:8" x14ac:dyDescent="0.2">
      <c r="A156" s="3">
        <v>3030303002</v>
      </c>
      <c r="B156" s="4" t="s">
        <v>175</v>
      </c>
      <c r="C156" s="4" t="s">
        <v>538</v>
      </c>
      <c r="D156" s="3">
        <v>1</v>
      </c>
      <c r="E156" s="3" t="s">
        <v>16</v>
      </c>
      <c r="F156" s="3" t="s">
        <v>295</v>
      </c>
      <c r="G156" s="3" t="s">
        <v>17</v>
      </c>
      <c r="H156" s="3" t="s">
        <v>226</v>
      </c>
    </row>
    <row r="157" spans="1:8" x14ac:dyDescent="0.2">
      <c r="A157" s="3">
        <v>3030303017</v>
      </c>
      <c r="B157" s="4" t="s">
        <v>539</v>
      </c>
      <c r="C157" s="4" t="s">
        <v>540</v>
      </c>
      <c r="D157" s="3">
        <v>1</v>
      </c>
      <c r="E157" s="3" t="s">
        <v>16</v>
      </c>
      <c r="F157" s="3" t="s">
        <v>295</v>
      </c>
      <c r="G157" s="3" t="s">
        <v>17</v>
      </c>
      <c r="H157" s="3" t="s">
        <v>226</v>
      </c>
    </row>
    <row r="158" spans="1:8" x14ac:dyDescent="0.2">
      <c r="A158" s="3">
        <v>3040312012</v>
      </c>
      <c r="B158" s="4" t="s">
        <v>263</v>
      </c>
      <c r="C158" s="4" t="s">
        <v>541</v>
      </c>
      <c r="D158" s="3">
        <v>2</v>
      </c>
      <c r="E158" s="3" t="s">
        <v>16</v>
      </c>
      <c r="F158" s="3" t="s">
        <v>293</v>
      </c>
      <c r="G158" s="3" t="s">
        <v>29</v>
      </c>
      <c r="H158" s="3" t="s">
        <v>226</v>
      </c>
    </row>
    <row r="159" spans="1:8" x14ac:dyDescent="0.2">
      <c r="A159" s="3">
        <v>3040320010</v>
      </c>
      <c r="B159" s="4" t="s">
        <v>269</v>
      </c>
      <c r="C159" s="4" t="s">
        <v>542</v>
      </c>
      <c r="D159" s="3">
        <v>1</v>
      </c>
      <c r="E159" s="3" t="s">
        <v>16</v>
      </c>
      <c r="F159" s="3" t="s">
        <v>293</v>
      </c>
      <c r="G159" s="3" t="s">
        <v>29</v>
      </c>
      <c r="H159" s="3" t="s">
        <v>226</v>
      </c>
    </row>
    <row r="160" spans="1:8" x14ac:dyDescent="0.2">
      <c r="A160" s="3">
        <v>3040320011</v>
      </c>
      <c r="B160" s="4" t="s">
        <v>269</v>
      </c>
      <c r="C160" s="4" t="s">
        <v>543</v>
      </c>
      <c r="D160" s="3">
        <v>1</v>
      </c>
      <c r="E160" s="3" t="s">
        <v>16</v>
      </c>
      <c r="F160" s="3" t="s">
        <v>293</v>
      </c>
      <c r="G160" s="3" t="s">
        <v>29</v>
      </c>
      <c r="H160" s="3" t="s">
        <v>226</v>
      </c>
    </row>
    <row r="161" spans="1:8" x14ac:dyDescent="0.2">
      <c r="A161" s="3">
        <v>3030313003</v>
      </c>
      <c r="B161" s="4" t="s">
        <v>217</v>
      </c>
      <c r="C161" s="4" t="s">
        <v>544</v>
      </c>
      <c r="D161" s="3">
        <v>8</v>
      </c>
      <c r="E161" s="3" t="s">
        <v>16</v>
      </c>
      <c r="F161" s="3" t="s">
        <v>291</v>
      </c>
      <c r="G161" s="3" t="s">
        <v>26</v>
      </c>
      <c r="H161" s="3" t="s">
        <v>226</v>
      </c>
    </row>
    <row r="162" spans="1:8" x14ac:dyDescent="0.2">
      <c r="A162" s="3">
        <v>3020199010</v>
      </c>
      <c r="B162" s="4" t="s">
        <v>239</v>
      </c>
      <c r="C162" s="4" t="s">
        <v>545</v>
      </c>
      <c r="D162" s="3">
        <v>5</v>
      </c>
      <c r="E162" s="3" t="s">
        <v>16</v>
      </c>
      <c r="F162" s="3" t="s">
        <v>301</v>
      </c>
      <c r="G162" s="3" t="s">
        <v>32</v>
      </c>
      <c r="H162" s="3" t="s">
        <v>226</v>
      </c>
    </row>
    <row r="163" spans="1:8" x14ac:dyDescent="0.2">
      <c r="A163" s="3">
        <v>3991601007</v>
      </c>
      <c r="B163" s="4" t="s">
        <v>585</v>
      </c>
      <c r="C163" s="4" t="s">
        <v>1229</v>
      </c>
      <c r="D163" s="3">
        <v>4</v>
      </c>
      <c r="E163" s="3" t="s">
        <v>16</v>
      </c>
      <c r="F163" s="3" t="s">
        <v>289</v>
      </c>
      <c r="G163" s="3" t="s">
        <v>23</v>
      </c>
      <c r="H163" s="3" t="s">
        <v>226</v>
      </c>
    </row>
    <row r="164" spans="1:8" x14ac:dyDescent="0.2">
      <c r="A164" s="3">
        <v>3991601009</v>
      </c>
      <c r="B164" s="4" t="s">
        <v>585</v>
      </c>
      <c r="C164" s="4" t="s">
        <v>1230</v>
      </c>
      <c r="D164" s="3">
        <v>2</v>
      </c>
      <c r="E164" s="3" t="s">
        <v>16</v>
      </c>
      <c r="F164" s="3" t="s">
        <v>289</v>
      </c>
      <c r="G164" s="3" t="s">
        <v>23</v>
      </c>
      <c r="H164" s="3" t="s">
        <v>226</v>
      </c>
    </row>
    <row r="165" spans="1:8" x14ac:dyDescent="0.2">
      <c r="A165" s="3">
        <v>3050305019</v>
      </c>
      <c r="B165" s="4" t="s">
        <v>549</v>
      </c>
      <c r="C165" s="4" t="s">
        <v>530</v>
      </c>
      <c r="D165" s="3">
        <v>1</v>
      </c>
      <c r="E165" s="3" t="s">
        <v>16</v>
      </c>
      <c r="F165" s="3" t="s">
        <v>291</v>
      </c>
      <c r="G165" s="3" t="s">
        <v>26</v>
      </c>
      <c r="H165" s="3" t="s">
        <v>226</v>
      </c>
    </row>
    <row r="166" spans="1:8" x14ac:dyDescent="0.2">
      <c r="A166" s="3">
        <v>3050401014</v>
      </c>
      <c r="B166" s="4" t="s">
        <v>222</v>
      </c>
      <c r="C166" s="4" t="s">
        <v>550</v>
      </c>
      <c r="D166" s="3">
        <v>1</v>
      </c>
      <c r="E166" s="3" t="s">
        <v>16</v>
      </c>
      <c r="F166" s="3" t="s">
        <v>291</v>
      </c>
      <c r="G166" s="3" t="s">
        <v>26</v>
      </c>
      <c r="H166" s="3" t="s">
        <v>226</v>
      </c>
    </row>
    <row r="167" spans="1:8" x14ac:dyDescent="0.2">
      <c r="A167" s="3">
        <v>3080401031</v>
      </c>
      <c r="B167" s="4" t="s">
        <v>41</v>
      </c>
      <c r="C167" s="4" t="s">
        <v>551</v>
      </c>
      <c r="D167" s="3">
        <v>1</v>
      </c>
      <c r="E167" s="3" t="s">
        <v>16</v>
      </c>
      <c r="F167" s="3" t="s">
        <v>291</v>
      </c>
      <c r="G167" s="3" t="s">
        <v>26</v>
      </c>
      <c r="H167" s="3" t="s">
        <v>249</v>
      </c>
    </row>
    <row r="168" spans="1:8" x14ac:dyDescent="0.2">
      <c r="A168" s="3">
        <v>3030211001</v>
      </c>
      <c r="B168" s="4" t="s">
        <v>552</v>
      </c>
      <c r="C168" s="4" t="s">
        <v>553</v>
      </c>
      <c r="D168" s="3">
        <v>1</v>
      </c>
      <c r="E168" s="3" t="s">
        <v>16</v>
      </c>
      <c r="F168" s="3" t="s">
        <v>295</v>
      </c>
      <c r="G168" s="3" t="s">
        <v>17</v>
      </c>
      <c r="H168" s="3" t="s">
        <v>249</v>
      </c>
    </row>
    <row r="169" spans="1:8" x14ac:dyDescent="0.2">
      <c r="A169" s="3">
        <v>3080309001</v>
      </c>
      <c r="B169" s="4" t="s">
        <v>554</v>
      </c>
      <c r="C169" s="4" t="s">
        <v>555</v>
      </c>
      <c r="D169" s="3">
        <v>1</v>
      </c>
      <c r="E169" s="3" t="s">
        <v>16</v>
      </c>
      <c r="F169" s="3" t="s">
        <v>295</v>
      </c>
      <c r="G169" s="3" t="s">
        <v>17</v>
      </c>
      <c r="H169" s="3" t="s">
        <v>249</v>
      </c>
    </row>
    <row r="170" spans="1:8" x14ac:dyDescent="0.2">
      <c r="A170" s="3">
        <v>3080107268</v>
      </c>
      <c r="B170" s="4" t="s">
        <v>69</v>
      </c>
      <c r="C170" s="4" t="s">
        <v>556</v>
      </c>
      <c r="D170" s="3">
        <v>2</v>
      </c>
      <c r="E170" s="3" t="s">
        <v>16</v>
      </c>
      <c r="F170" s="3" t="s">
        <v>291</v>
      </c>
      <c r="G170" s="3" t="s">
        <v>26</v>
      </c>
      <c r="H170" s="3" t="s">
        <v>249</v>
      </c>
    </row>
    <row r="171" spans="1:8" x14ac:dyDescent="0.2">
      <c r="A171" s="3">
        <v>3080107269</v>
      </c>
      <c r="B171" s="4" t="s">
        <v>69</v>
      </c>
      <c r="C171" s="4" t="s">
        <v>557</v>
      </c>
      <c r="D171" s="3">
        <v>2</v>
      </c>
      <c r="E171" s="3" t="s">
        <v>16</v>
      </c>
      <c r="F171" s="3" t="s">
        <v>291</v>
      </c>
      <c r="G171" s="3" t="s">
        <v>26</v>
      </c>
      <c r="H171" s="3" t="s">
        <v>249</v>
      </c>
    </row>
    <row r="172" spans="1:8" x14ac:dyDescent="0.2">
      <c r="A172" s="3">
        <v>3060333011</v>
      </c>
      <c r="B172" s="4" t="s">
        <v>227</v>
      </c>
      <c r="C172" s="4" t="s">
        <v>1231</v>
      </c>
      <c r="D172" s="3">
        <v>1</v>
      </c>
      <c r="E172" s="3" t="s">
        <v>16</v>
      </c>
      <c r="F172" s="3" t="s">
        <v>289</v>
      </c>
      <c r="G172" s="3" t="s">
        <v>23</v>
      </c>
      <c r="H172" s="3" t="s">
        <v>254</v>
      </c>
    </row>
    <row r="173" spans="1:8" x14ac:dyDescent="0.2">
      <c r="A173" s="3">
        <v>3060401003</v>
      </c>
      <c r="B173" s="4" t="s">
        <v>727</v>
      </c>
      <c r="C173" s="4" t="s">
        <v>1232</v>
      </c>
      <c r="D173" s="3">
        <v>1</v>
      </c>
      <c r="E173" s="3" t="s">
        <v>16</v>
      </c>
      <c r="F173" s="3" t="s">
        <v>289</v>
      </c>
      <c r="G173" s="3" t="s">
        <v>23</v>
      </c>
      <c r="H173" s="3" t="s">
        <v>254</v>
      </c>
    </row>
    <row r="174" spans="1:8" x14ac:dyDescent="0.2">
      <c r="A174" s="3">
        <v>3060335013</v>
      </c>
      <c r="B174" s="4" t="s">
        <v>233</v>
      </c>
      <c r="C174" s="4" t="s">
        <v>1253</v>
      </c>
      <c r="D174" s="3">
        <v>1</v>
      </c>
      <c r="E174" s="3" t="s">
        <v>16</v>
      </c>
      <c r="F174" s="3" t="s">
        <v>289</v>
      </c>
      <c r="G174" s="3" t="s">
        <v>23</v>
      </c>
      <c r="H174" s="3" t="s">
        <v>254</v>
      </c>
    </row>
    <row r="175" spans="1:8" x14ac:dyDescent="0.2">
      <c r="A175" s="3">
        <v>3030302001</v>
      </c>
      <c r="B175" s="4" t="s">
        <v>558</v>
      </c>
      <c r="C175" s="4" t="s">
        <v>534</v>
      </c>
      <c r="D175" s="3">
        <v>1</v>
      </c>
      <c r="E175" s="3" t="s">
        <v>16</v>
      </c>
      <c r="F175" s="3" t="s">
        <v>295</v>
      </c>
      <c r="G175" s="3" t="s">
        <v>17</v>
      </c>
      <c r="H175" s="3" t="s">
        <v>254</v>
      </c>
    </row>
    <row r="176" spans="1:8" x14ac:dyDescent="0.2">
      <c r="A176" s="3">
        <v>3030306031</v>
      </c>
      <c r="B176" s="4" t="s">
        <v>559</v>
      </c>
      <c r="C176" s="4" t="s">
        <v>560</v>
      </c>
      <c r="D176" s="3">
        <v>1</v>
      </c>
      <c r="E176" s="3" t="s">
        <v>16</v>
      </c>
      <c r="F176" s="3" t="s">
        <v>295</v>
      </c>
      <c r="G176" s="3" t="s">
        <v>17</v>
      </c>
      <c r="H176" s="3" t="s">
        <v>254</v>
      </c>
    </row>
    <row r="177" spans="1:8" x14ac:dyDescent="0.2">
      <c r="A177" s="3">
        <v>3080311002</v>
      </c>
      <c r="B177" s="4" t="s">
        <v>561</v>
      </c>
      <c r="C177" s="4" t="s">
        <v>536</v>
      </c>
      <c r="D177" s="3">
        <v>1</v>
      </c>
      <c r="E177" s="3" t="s">
        <v>16</v>
      </c>
      <c r="F177" s="3" t="s">
        <v>295</v>
      </c>
      <c r="G177" s="3" t="s">
        <v>17</v>
      </c>
      <c r="H177" s="3" t="s">
        <v>254</v>
      </c>
    </row>
    <row r="178" spans="1:8" x14ac:dyDescent="0.2">
      <c r="A178" s="3">
        <v>3030303016</v>
      </c>
      <c r="B178" s="4" t="s">
        <v>562</v>
      </c>
      <c r="C178" s="4" t="s">
        <v>563</v>
      </c>
      <c r="D178" s="3">
        <v>1</v>
      </c>
      <c r="E178" s="3" t="s">
        <v>16</v>
      </c>
      <c r="F178" s="3" t="s">
        <v>295</v>
      </c>
      <c r="G178" s="3" t="s">
        <v>17</v>
      </c>
      <c r="H178" s="3" t="s">
        <v>254</v>
      </c>
    </row>
    <row r="179" spans="1:8" x14ac:dyDescent="0.2">
      <c r="A179" s="3">
        <v>3030303015</v>
      </c>
      <c r="B179" s="4" t="s">
        <v>564</v>
      </c>
      <c r="C179" s="4" t="s">
        <v>563</v>
      </c>
      <c r="D179" s="3">
        <v>1</v>
      </c>
      <c r="E179" s="3" t="s">
        <v>16</v>
      </c>
      <c r="F179" s="3" t="s">
        <v>295</v>
      </c>
      <c r="G179" s="3" t="s">
        <v>17</v>
      </c>
      <c r="H179" s="3" t="s">
        <v>254</v>
      </c>
    </row>
    <row r="180" spans="1:8" x14ac:dyDescent="0.2">
      <c r="A180" s="3">
        <v>3040323001</v>
      </c>
      <c r="B180" s="4" t="s">
        <v>565</v>
      </c>
      <c r="C180" s="4" t="s">
        <v>566</v>
      </c>
      <c r="D180" s="3">
        <v>2</v>
      </c>
      <c r="E180" s="3" t="s">
        <v>16</v>
      </c>
      <c r="F180" s="3" t="s">
        <v>293</v>
      </c>
      <c r="G180" s="3" t="s">
        <v>29</v>
      </c>
      <c r="H180" s="3" t="s">
        <v>254</v>
      </c>
    </row>
    <row r="181" spans="1:8" x14ac:dyDescent="0.2">
      <c r="A181" s="3">
        <v>3040302001</v>
      </c>
      <c r="B181" s="4" t="s">
        <v>567</v>
      </c>
      <c r="C181" s="4" t="s">
        <v>568</v>
      </c>
      <c r="D181" s="3">
        <v>1</v>
      </c>
      <c r="E181" s="3" t="s">
        <v>16</v>
      </c>
      <c r="F181" s="3" t="s">
        <v>293</v>
      </c>
      <c r="G181" s="3" t="s">
        <v>29</v>
      </c>
      <c r="H181" s="3" t="s">
        <v>254</v>
      </c>
    </row>
    <row r="182" spans="1:8" x14ac:dyDescent="0.2">
      <c r="A182" s="3">
        <v>3040302002</v>
      </c>
      <c r="B182" s="4" t="s">
        <v>567</v>
      </c>
      <c r="C182" s="4" t="s">
        <v>569</v>
      </c>
      <c r="D182" s="3">
        <v>1</v>
      </c>
      <c r="E182" s="3" t="s">
        <v>16</v>
      </c>
      <c r="F182" s="3" t="s">
        <v>293</v>
      </c>
      <c r="G182" s="3" t="s">
        <v>29</v>
      </c>
      <c r="H182" s="3" t="s">
        <v>254</v>
      </c>
    </row>
    <row r="183" spans="1:8" x14ac:dyDescent="0.2">
      <c r="A183" s="3">
        <v>3040324004</v>
      </c>
      <c r="B183" s="4" t="s">
        <v>570</v>
      </c>
      <c r="C183" s="4" t="s">
        <v>536</v>
      </c>
      <c r="D183" s="3">
        <v>2</v>
      </c>
      <c r="E183" s="3" t="s">
        <v>16</v>
      </c>
      <c r="F183" s="3" t="s">
        <v>293</v>
      </c>
      <c r="G183" s="3" t="s">
        <v>29</v>
      </c>
      <c r="H183" s="3" t="s">
        <v>254</v>
      </c>
    </row>
    <row r="184" spans="1:8" x14ac:dyDescent="0.2">
      <c r="A184" s="3">
        <v>3030302008</v>
      </c>
      <c r="B184" s="4" t="s">
        <v>571</v>
      </c>
      <c r="C184" s="4" t="s">
        <v>572</v>
      </c>
      <c r="D184" s="3">
        <v>1</v>
      </c>
      <c r="E184" s="3" t="s">
        <v>16</v>
      </c>
      <c r="F184" s="3" t="s">
        <v>295</v>
      </c>
      <c r="G184" s="3" t="s">
        <v>17</v>
      </c>
      <c r="H184" s="3" t="s">
        <v>254</v>
      </c>
    </row>
    <row r="185" spans="1:8" x14ac:dyDescent="0.2">
      <c r="A185" s="3">
        <v>3030302009</v>
      </c>
      <c r="B185" s="4" t="s">
        <v>571</v>
      </c>
      <c r="C185" s="4" t="s">
        <v>573</v>
      </c>
      <c r="D185" s="3">
        <v>1</v>
      </c>
      <c r="E185" s="3" t="s">
        <v>16</v>
      </c>
      <c r="F185" s="3" t="s">
        <v>295</v>
      </c>
      <c r="G185" s="3" t="s">
        <v>17</v>
      </c>
      <c r="H185" s="3" t="s">
        <v>254</v>
      </c>
    </row>
    <row r="186" spans="1:8" x14ac:dyDescent="0.2">
      <c r="A186" s="3">
        <v>3030302004</v>
      </c>
      <c r="B186" s="4" t="s">
        <v>574</v>
      </c>
      <c r="C186" s="4" t="s">
        <v>575</v>
      </c>
      <c r="D186" s="3">
        <v>1</v>
      </c>
      <c r="E186" s="3" t="s">
        <v>16</v>
      </c>
      <c r="F186" s="3" t="s">
        <v>295</v>
      </c>
      <c r="G186" s="3" t="s">
        <v>17</v>
      </c>
      <c r="H186" s="3" t="s">
        <v>254</v>
      </c>
    </row>
    <row r="187" spans="1:8" x14ac:dyDescent="0.2">
      <c r="A187" s="3">
        <v>3030302006</v>
      </c>
      <c r="B187" s="4" t="s">
        <v>576</v>
      </c>
      <c r="C187" s="4" t="s">
        <v>575</v>
      </c>
      <c r="D187" s="3">
        <v>1</v>
      </c>
      <c r="E187" s="3" t="s">
        <v>16</v>
      </c>
      <c r="F187" s="3" t="s">
        <v>295</v>
      </c>
      <c r="G187" s="3" t="s">
        <v>17</v>
      </c>
      <c r="H187" s="3" t="s">
        <v>254</v>
      </c>
    </row>
    <row r="188" spans="1:8" x14ac:dyDescent="0.2">
      <c r="A188" s="3">
        <v>3030314004</v>
      </c>
      <c r="B188" s="4" t="s">
        <v>577</v>
      </c>
      <c r="C188" s="4" t="s">
        <v>575</v>
      </c>
      <c r="D188" s="3">
        <v>1</v>
      </c>
      <c r="E188" s="3" t="s">
        <v>16</v>
      </c>
      <c r="F188" s="3" t="s">
        <v>295</v>
      </c>
      <c r="G188" s="3" t="s">
        <v>17</v>
      </c>
      <c r="H188" s="3" t="s">
        <v>254</v>
      </c>
    </row>
    <row r="189" spans="1:8" x14ac:dyDescent="0.2">
      <c r="A189" s="3">
        <v>3030308001</v>
      </c>
      <c r="B189" s="4" t="s">
        <v>578</v>
      </c>
      <c r="C189" s="4" t="s">
        <v>575</v>
      </c>
      <c r="D189" s="3">
        <v>1</v>
      </c>
      <c r="E189" s="3" t="s">
        <v>16</v>
      </c>
      <c r="F189" s="3" t="s">
        <v>295</v>
      </c>
      <c r="G189" s="3" t="s">
        <v>17</v>
      </c>
      <c r="H189" s="3" t="s">
        <v>254</v>
      </c>
    </row>
    <row r="190" spans="1:8" x14ac:dyDescent="0.2">
      <c r="A190" s="3">
        <v>3030314003</v>
      </c>
      <c r="B190" s="4" t="s">
        <v>579</v>
      </c>
      <c r="C190" s="4" t="s">
        <v>575</v>
      </c>
      <c r="D190" s="3">
        <v>1</v>
      </c>
      <c r="E190" s="3" t="s">
        <v>16</v>
      </c>
      <c r="F190" s="3" t="s">
        <v>295</v>
      </c>
      <c r="G190" s="3" t="s">
        <v>17</v>
      </c>
      <c r="H190" s="3" t="s">
        <v>254</v>
      </c>
    </row>
    <row r="191" spans="1:8" x14ac:dyDescent="0.2">
      <c r="A191" s="3">
        <v>3030308003</v>
      </c>
      <c r="B191" s="4" t="s">
        <v>580</v>
      </c>
      <c r="C191" s="4" t="s">
        <v>581</v>
      </c>
      <c r="D191" s="3">
        <v>1</v>
      </c>
      <c r="E191" s="3" t="s">
        <v>16</v>
      </c>
      <c r="F191" s="3" t="s">
        <v>295</v>
      </c>
      <c r="G191" s="3" t="s">
        <v>17</v>
      </c>
      <c r="H191" s="3" t="s">
        <v>254</v>
      </c>
    </row>
    <row r="192" spans="1:8" x14ac:dyDescent="0.2">
      <c r="A192" s="3">
        <v>3040325007</v>
      </c>
      <c r="B192" s="4" t="s">
        <v>582</v>
      </c>
      <c r="C192" s="4" t="s">
        <v>543</v>
      </c>
      <c r="D192" s="3">
        <v>1</v>
      </c>
      <c r="E192" s="3" t="s">
        <v>16</v>
      </c>
      <c r="F192" s="3" t="s">
        <v>293</v>
      </c>
      <c r="G192" s="3" t="s">
        <v>29</v>
      </c>
      <c r="H192" s="3" t="s">
        <v>254</v>
      </c>
    </row>
    <row r="193" spans="1:8" x14ac:dyDescent="0.2">
      <c r="A193" s="3">
        <v>3040325008</v>
      </c>
      <c r="B193" s="4" t="s">
        <v>582</v>
      </c>
      <c r="C193" s="4" t="s">
        <v>542</v>
      </c>
      <c r="D193" s="3">
        <v>1</v>
      </c>
      <c r="E193" s="3" t="s">
        <v>16</v>
      </c>
      <c r="F193" s="3" t="s">
        <v>293</v>
      </c>
      <c r="G193" s="3" t="s">
        <v>29</v>
      </c>
      <c r="H193" s="3" t="s">
        <v>254</v>
      </c>
    </row>
    <row r="194" spans="1:8" x14ac:dyDescent="0.2">
      <c r="A194" s="3">
        <v>3040308003</v>
      </c>
      <c r="B194" s="4" t="s">
        <v>583</v>
      </c>
      <c r="C194" s="4" t="s">
        <v>536</v>
      </c>
      <c r="D194" s="3">
        <v>2</v>
      </c>
      <c r="E194" s="3" t="s">
        <v>16</v>
      </c>
      <c r="F194" s="3" t="s">
        <v>293</v>
      </c>
      <c r="G194" s="3" t="s">
        <v>29</v>
      </c>
      <c r="H194" s="3" t="s">
        <v>254</v>
      </c>
    </row>
    <row r="195" spans="1:8" x14ac:dyDescent="0.2">
      <c r="A195" s="3">
        <v>3030302007</v>
      </c>
      <c r="B195" s="4" t="s">
        <v>584</v>
      </c>
      <c r="C195" s="4" t="s">
        <v>575</v>
      </c>
      <c r="D195" s="3">
        <v>1</v>
      </c>
      <c r="E195" s="3" t="s">
        <v>16</v>
      </c>
      <c r="F195" s="3" t="s">
        <v>295</v>
      </c>
      <c r="G195" s="3" t="s">
        <v>17</v>
      </c>
      <c r="H195" s="3" t="s">
        <v>254</v>
      </c>
    </row>
    <row r="196" spans="1:8" x14ac:dyDescent="0.2">
      <c r="A196" s="3">
        <v>3111601004</v>
      </c>
      <c r="B196" s="4" t="s">
        <v>585</v>
      </c>
      <c r="C196" s="4" t="s">
        <v>1235</v>
      </c>
      <c r="D196" s="3">
        <v>4</v>
      </c>
      <c r="E196" s="3" t="s">
        <v>16</v>
      </c>
      <c r="F196" s="3" t="s">
        <v>289</v>
      </c>
      <c r="G196" s="3" t="s">
        <v>23</v>
      </c>
      <c r="H196" s="3" t="s">
        <v>254</v>
      </c>
    </row>
    <row r="197" spans="1:8" x14ac:dyDescent="0.2">
      <c r="A197" s="3">
        <v>3111601003</v>
      </c>
      <c r="B197" s="4" t="s">
        <v>585</v>
      </c>
      <c r="C197" s="4" t="s">
        <v>586</v>
      </c>
      <c r="D197" s="3">
        <v>13</v>
      </c>
      <c r="E197" s="3" t="s">
        <v>16</v>
      </c>
      <c r="F197" s="3" t="s">
        <v>289</v>
      </c>
      <c r="G197" s="3" t="s">
        <v>23</v>
      </c>
      <c r="H197" s="3" t="s">
        <v>254</v>
      </c>
    </row>
    <row r="198" spans="1:8" x14ac:dyDescent="0.2">
      <c r="A198" s="3">
        <v>3111601003</v>
      </c>
      <c r="B198" s="4" t="s">
        <v>585</v>
      </c>
      <c r="C198" s="4" t="s">
        <v>586</v>
      </c>
      <c r="D198" s="3">
        <v>2</v>
      </c>
      <c r="E198" s="3" t="s">
        <v>16</v>
      </c>
      <c r="F198" s="3" t="s">
        <v>291</v>
      </c>
      <c r="G198" s="3" t="s">
        <v>26</v>
      </c>
      <c r="H198" s="3" t="s">
        <v>254</v>
      </c>
    </row>
    <row r="199" spans="1:8" x14ac:dyDescent="0.2">
      <c r="A199" s="3">
        <v>3060340003</v>
      </c>
      <c r="B199" s="4" t="s">
        <v>725</v>
      </c>
      <c r="C199" s="4" t="s">
        <v>1236</v>
      </c>
      <c r="D199" s="3">
        <v>1</v>
      </c>
      <c r="E199" s="3" t="s">
        <v>16</v>
      </c>
      <c r="F199" s="3" t="s">
        <v>289</v>
      </c>
      <c r="G199" s="3" t="s">
        <v>23</v>
      </c>
      <c r="H199" s="3" t="s">
        <v>254</v>
      </c>
    </row>
    <row r="200" spans="1:8" x14ac:dyDescent="0.2">
      <c r="A200" s="3">
        <v>3060339004</v>
      </c>
      <c r="B200" s="4" t="s">
        <v>737</v>
      </c>
      <c r="C200" s="4" t="s">
        <v>1253</v>
      </c>
      <c r="D200" s="3">
        <v>1</v>
      </c>
      <c r="E200" s="3" t="s">
        <v>16</v>
      </c>
      <c r="F200" s="3" t="s">
        <v>289</v>
      </c>
      <c r="G200" s="3" t="s">
        <v>23</v>
      </c>
      <c r="H200" s="3" t="s">
        <v>254</v>
      </c>
    </row>
    <row r="201" spans="1:8" x14ac:dyDescent="0.2">
      <c r="A201" s="3">
        <v>3050303009</v>
      </c>
      <c r="B201" s="4" t="s">
        <v>245</v>
      </c>
      <c r="C201" s="4" t="s">
        <v>1253</v>
      </c>
      <c r="D201" s="3">
        <v>1</v>
      </c>
      <c r="E201" s="3" t="s">
        <v>16</v>
      </c>
      <c r="F201" s="3" t="s">
        <v>291</v>
      </c>
      <c r="G201" s="3" t="s">
        <v>26</v>
      </c>
      <c r="H201" s="3" t="s">
        <v>254</v>
      </c>
    </row>
    <row r="202" spans="1:8" x14ac:dyDescent="0.2">
      <c r="A202" s="3">
        <v>3080310002</v>
      </c>
      <c r="B202" s="4" t="s">
        <v>588</v>
      </c>
      <c r="C202" s="4" t="s">
        <v>589</v>
      </c>
      <c r="D202" s="3">
        <v>1</v>
      </c>
      <c r="E202" s="3" t="s">
        <v>16</v>
      </c>
      <c r="F202" s="3" t="s">
        <v>295</v>
      </c>
      <c r="G202" s="3" t="s">
        <v>17</v>
      </c>
      <c r="H202" s="3" t="s">
        <v>590</v>
      </c>
    </row>
    <row r="203" spans="1:8" x14ac:dyDescent="0.2">
      <c r="A203" s="3">
        <v>3020301012</v>
      </c>
      <c r="B203" s="4" t="s">
        <v>209</v>
      </c>
      <c r="C203" s="4" t="s">
        <v>768</v>
      </c>
      <c r="D203" s="3">
        <v>1</v>
      </c>
      <c r="E203" s="3" t="s">
        <v>16</v>
      </c>
      <c r="F203" s="3" t="s">
        <v>301</v>
      </c>
      <c r="G203" s="3" t="s">
        <v>32</v>
      </c>
      <c r="H203" s="3" t="s">
        <v>769</v>
      </c>
    </row>
  </sheetData>
  <phoneticPr fontId="2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E3AF4-BBE0-4C3F-A796-440BA0BF3C37}">
  <dimension ref="A1:H220"/>
  <sheetViews>
    <sheetView workbookViewId="0">
      <selection activeCell="J16" sqref="J16"/>
    </sheetView>
  </sheetViews>
  <sheetFormatPr defaultRowHeight="14.25" x14ac:dyDescent="0.2"/>
  <cols>
    <col min="1" max="1" width="13.625" customWidth="1"/>
    <col min="2" max="3" width="16" customWidth="1"/>
  </cols>
  <sheetData>
    <row r="1" spans="1:8" x14ac:dyDescent="0.2">
      <c r="A1" s="3" t="s">
        <v>1270</v>
      </c>
      <c r="B1" s="4"/>
      <c r="C1" s="4"/>
      <c r="D1" s="3"/>
      <c r="E1" s="3"/>
      <c r="F1" s="3"/>
      <c r="G1" s="3"/>
      <c r="H1" s="3"/>
    </row>
    <row r="2" spans="1:8" ht="28.5" x14ac:dyDescent="0.2">
      <c r="A2" s="1" t="s">
        <v>0</v>
      </c>
      <c r="B2" s="2" t="s">
        <v>1</v>
      </c>
      <c r="C2" s="2" t="s">
        <v>2</v>
      </c>
      <c r="D2" s="1" t="s">
        <v>4</v>
      </c>
      <c r="E2" s="1" t="s">
        <v>3</v>
      </c>
      <c r="F2" s="1" t="s">
        <v>5</v>
      </c>
      <c r="G2" s="1" t="s">
        <v>6</v>
      </c>
      <c r="H2" s="1" t="s">
        <v>7</v>
      </c>
    </row>
    <row r="3" spans="1:8" s="10" customFormat="1" x14ac:dyDescent="0.2">
      <c r="A3" s="8" t="s">
        <v>390</v>
      </c>
      <c r="B3" s="9" t="s">
        <v>8</v>
      </c>
      <c r="C3" s="9" t="s">
        <v>9</v>
      </c>
      <c r="D3" s="13">
        <f>0.3613/0.94</f>
        <v>0.38436170212765963</v>
      </c>
      <c r="E3" s="8" t="s">
        <v>596</v>
      </c>
      <c r="F3" s="8" t="s">
        <v>283</v>
      </c>
      <c r="G3" s="8" t="s">
        <v>13</v>
      </c>
      <c r="H3" s="8" t="s">
        <v>12</v>
      </c>
    </row>
    <row r="4" spans="1:8" x14ac:dyDescent="0.2">
      <c r="A4" s="3">
        <v>40901009</v>
      </c>
      <c r="B4" s="4" t="s">
        <v>801</v>
      </c>
      <c r="C4" s="4" t="s">
        <v>1153</v>
      </c>
      <c r="D4" s="3">
        <v>1</v>
      </c>
      <c r="E4" s="3" t="s">
        <v>16</v>
      </c>
      <c r="F4" s="3" t="s">
        <v>289</v>
      </c>
      <c r="G4" s="3" t="s">
        <v>23</v>
      </c>
      <c r="H4" s="3" t="s">
        <v>306</v>
      </c>
    </row>
    <row r="5" spans="1:8" x14ac:dyDescent="0.2">
      <c r="A5" s="3">
        <v>3099980014</v>
      </c>
      <c r="B5" s="4" t="s">
        <v>391</v>
      </c>
      <c r="C5" s="4" t="s">
        <v>392</v>
      </c>
      <c r="D5" s="3">
        <v>1</v>
      </c>
      <c r="E5" s="3" t="s">
        <v>16</v>
      </c>
      <c r="F5" s="3" t="s">
        <v>291</v>
      </c>
      <c r="G5" s="3" t="s">
        <v>26</v>
      </c>
      <c r="H5" s="3" t="s">
        <v>393</v>
      </c>
    </row>
    <row r="6" spans="1:8" x14ac:dyDescent="0.2">
      <c r="A6" s="3">
        <v>3030314005</v>
      </c>
      <c r="B6" s="4" t="s">
        <v>394</v>
      </c>
      <c r="C6" s="4" t="s">
        <v>395</v>
      </c>
      <c r="D6" s="3">
        <v>1</v>
      </c>
      <c r="E6" s="3" t="s">
        <v>16</v>
      </c>
      <c r="F6" s="3" t="s">
        <v>291</v>
      </c>
      <c r="G6" s="3" t="s">
        <v>26</v>
      </c>
      <c r="H6" s="3" t="s">
        <v>18</v>
      </c>
    </row>
    <row r="7" spans="1:8" x14ac:dyDescent="0.2">
      <c r="A7" s="3">
        <v>3030210001</v>
      </c>
      <c r="B7" s="4" t="s">
        <v>396</v>
      </c>
      <c r="C7" s="4" t="s">
        <v>397</v>
      </c>
      <c r="D7" s="3">
        <v>1</v>
      </c>
      <c r="E7" s="3" t="s">
        <v>16</v>
      </c>
      <c r="F7" s="3" t="s">
        <v>295</v>
      </c>
      <c r="G7" s="3" t="s">
        <v>17</v>
      </c>
      <c r="H7" s="3" t="s">
        <v>18</v>
      </c>
    </row>
    <row r="8" spans="1:8" x14ac:dyDescent="0.2">
      <c r="A8" s="3">
        <v>3080301001</v>
      </c>
      <c r="B8" s="4" t="s">
        <v>247</v>
      </c>
      <c r="C8" s="4" t="s">
        <v>398</v>
      </c>
      <c r="D8" s="3">
        <v>1</v>
      </c>
      <c r="E8" s="3" t="s">
        <v>16</v>
      </c>
      <c r="F8" s="3" t="s">
        <v>295</v>
      </c>
      <c r="G8" s="3" t="s">
        <v>17</v>
      </c>
      <c r="H8" s="3" t="s">
        <v>18</v>
      </c>
    </row>
    <row r="9" spans="1:8" x14ac:dyDescent="0.2">
      <c r="A9" s="3">
        <v>3040201001</v>
      </c>
      <c r="B9" s="4" t="s">
        <v>399</v>
      </c>
      <c r="C9" s="4" t="s">
        <v>400</v>
      </c>
      <c r="D9" s="3">
        <v>2</v>
      </c>
      <c r="E9" s="3" t="s">
        <v>16</v>
      </c>
      <c r="F9" s="3" t="s">
        <v>293</v>
      </c>
      <c r="G9" s="3" t="s">
        <v>29</v>
      </c>
      <c r="H9" s="3" t="s">
        <v>18</v>
      </c>
    </row>
    <row r="10" spans="1:8" x14ac:dyDescent="0.2">
      <c r="A10" s="3">
        <v>3030202002</v>
      </c>
      <c r="B10" s="4" t="s">
        <v>401</v>
      </c>
      <c r="C10" s="4" t="s">
        <v>402</v>
      </c>
      <c r="D10" s="3">
        <v>1</v>
      </c>
      <c r="E10" s="3" t="s">
        <v>16</v>
      </c>
      <c r="F10" s="3" t="s">
        <v>295</v>
      </c>
      <c r="G10" s="3" t="s">
        <v>17</v>
      </c>
      <c r="H10" s="3" t="s">
        <v>18</v>
      </c>
    </row>
    <row r="11" spans="1:8" x14ac:dyDescent="0.2">
      <c r="A11" s="3">
        <v>3030202003</v>
      </c>
      <c r="B11" s="4" t="s">
        <v>403</v>
      </c>
      <c r="C11" s="4" t="s">
        <v>404</v>
      </c>
      <c r="D11" s="3">
        <v>1</v>
      </c>
      <c r="E11" s="3" t="s">
        <v>16</v>
      </c>
      <c r="F11" s="3" t="s">
        <v>295</v>
      </c>
      <c r="G11" s="3" t="s">
        <v>17</v>
      </c>
      <c r="H11" s="3" t="s">
        <v>18</v>
      </c>
    </row>
    <row r="12" spans="1:8" x14ac:dyDescent="0.2">
      <c r="A12" s="3">
        <v>3030212001</v>
      </c>
      <c r="B12" s="4" t="s">
        <v>405</v>
      </c>
      <c r="C12" s="4" t="s">
        <v>406</v>
      </c>
      <c r="D12" s="3">
        <v>1</v>
      </c>
      <c r="E12" s="3" t="s">
        <v>16</v>
      </c>
      <c r="F12" s="3" t="s">
        <v>295</v>
      </c>
      <c r="G12" s="3" t="s">
        <v>17</v>
      </c>
      <c r="H12" s="3" t="s">
        <v>18</v>
      </c>
    </row>
    <row r="13" spans="1:8" x14ac:dyDescent="0.2">
      <c r="A13" s="3">
        <v>3030206003</v>
      </c>
      <c r="B13" s="4" t="s">
        <v>407</v>
      </c>
      <c r="C13" s="4" t="s">
        <v>408</v>
      </c>
      <c r="D13" s="3">
        <v>1</v>
      </c>
      <c r="E13" s="3" t="s">
        <v>16</v>
      </c>
      <c r="F13" s="3" t="s">
        <v>295</v>
      </c>
      <c r="G13" s="3" t="s">
        <v>17</v>
      </c>
      <c r="H13" s="3" t="s">
        <v>18</v>
      </c>
    </row>
    <row r="14" spans="1:8" x14ac:dyDescent="0.2">
      <c r="A14" s="3">
        <v>404020072</v>
      </c>
      <c r="B14" s="4" t="s">
        <v>30</v>
      </c>
      <c r="C14" s="4" t="s">
        <v>308</v>
      </c>
      <c r="D14" s="3">
        <v>1</v>
      </c>
      <c r="E14" s="3" t="s">
        <v>16</v>
      </c>
      <c r="F14" s="3" t="s">
        <v>291</v>
      </c>
      <c r="G14" s="3" t="s">
        <v>26</v>
      </c>
      <c r="H14" s="3" t="s">
        <v>33</v>
      </c>
    </row>
    <row r="15" spans="1:8" x14ac:dyDescent="0.2">
      <c r="A15" s="3">
        <v>401020110</v>
      </c>
      <c r="B15" s="4" t="s">
        <v>35</v>
      </c>
      <c r="C15" s="4" t="s">
        <v>1154</v>
      </c>
      <c r="D15" s="3">
        <v>1</v>
      </c>
      <c r="E15" s="3" t="s">
        <v>16</v>
      </c>
      <c r="F15" s="3" t="s">
        <v>301</v>
      </c>
      <c r="G15" s="3" t="s">
        <v>32</v>
      </c>
      <c r="H15" s="3" t="s">
        <v>33</v>
      </c>
    </row>
    <row r="16" spans="1:8" x14ac:dyDescent="0.2">
      <c r="A16" s="3">
        <v>409010002</v>
      </c>
      <c r="B16" s="4" t="s">
        <v>1255</v>
      </c>
      <c r="C16" s="4" t="s">
        <v>1256</v>
      </c>
      <c r="D16" s="3">
        <v>1</v>
      </c>
      <c r="E16" s="3" t="s">
        <v>16</v>
      </c>
      <c r="F16" s="3" t="s">
        <v>289</v>
      </c>
      <c r="G16" s="3" t="s">
        <v>23</v>
      </c>
      <c r="H16" s="3" t="s">
        <v>40</v>
      </c>
    </row>
    <row r="17" spans="1:8" x14ac:dyDescent="0.2">
      <c r="A17" s="3">
        <v>3080101002</v>
      </c>
      <c r="B17" s="4" t="s">
        <v>411</v>
      </c>
      <c r="C17" s="4" t="s">
        <v>413</v>
      </c>
      <c r="D17" s="3">
        <v>19</v>
      </c>
      <c r="E17" s="3" t="s">
        <v>16</v>
      </c>
      <c r="F17" s="3" t="s">
        <v>289</v>
      </c>
      <c r="G17" s="3" t="s">
        <v>23</v>
      </c>
      <c r="H17" s="3" t="s">
        <v>40</v>
      </c>
    </row>
    <row r="18" spans="1:8" x14ac:dyDescent="0.2">
      <c r="A18" s="3">
        <v>3080101015</v>
      </c>
      <c r="B18" s="4" t="s">
        <v>411</v>
      </c>
      <c r="C18" s="4" t="s">
        <v>412</v>
      </c>
      <c r="D18" s="3">
        <v>2</v>
      </c>
      <c r="E18" s="3" t="s">
        <v>16</v>
      </c>
      <c r="F18" s="3" t="s">
        <v>293</v>
      </c>
      <c r="G18" s="3" t="s">
        <v>29</v>
      </c>
      <c r="H18" s="3" t="s">
        <v>40</v>
      </c>
    </row>
    <row r="19" spans="1:8" x14ac:dyDescent="0.2">
      <c r="A19" s="3">
        <v>3080101002</v>
      </c>
      <c r="B19" s="4" t="s">
        <v>411</v>
      </c>
      <c r="C19" s="4" t="s">
        <v>413</v>
      </c>
      <c r="D19" s="3">
        <v>8</v>
      </c>
      <c r="E19" s="3" t="s">
        <v>16</v>
      </c>
      <c r="F19" s="3" t="s">
        <v>317</v>
      </c>
      <c r="G19" s="3" t="s">
        <v>318</v>
      </c>
      <c r="H19" s="3" t="s">
        <v>40</v>
      </c>
    </row>
    <row r="20" spans="1:8" x14ac:dyDescent="0.2">
      <c r="A20" s="3">
        <v>3080101002</v>
      </c>
      <c r="B20" s="4" t="s">
        <v>411</v>
      </c>
      <c r="C20" s="4" t="s">
        <v>413</v>
      </c>
      <c r="D20" s="3">
        <v>2</v>
      </c>
      <c r="E20" s="3" t="s">
        <v>16</v>
      </c>
      <c r="F20" s="3" t="s">
        <v>291</v>
      </c>
      <c r="G20" s="3" t="s">
        <v>26</v>
      </c>
      <c r="H20" s="3" t="s">
        <v>40</v>
      </c>
    </row>
    <row r="21" spans="1:8" x14ac:dyDescent="0.2">
      <c r="A21" s="3">
        <v>3080401064</v>
      </c>
      <c r="B21" s="4" t="s">
        <v>41</v>
      </c>
      <c r="C21" s="4" t="s">
        <v>414</v>
      </c>
      <c r="D21" s="3">
        <v>1</v>
      </c>
      <c r="E21" s="3" t="s">
        <v>16</v>
      </c>
      <c r="F21" s="3" t="s">
        <v>295</v>
      </c>
      <c r="G21" s="3" t="s">
        <v>17</v>
      </c>
      <c r="H21" s="3" t="s">
        <v>40</v>
      </c>
    </row>
    <row r="22" spans="1:8" x14ac:dyDescent="0.2">
      <c r="A22" s="3">
        <v>3080401016</v>
      </c>
      <c r="B22" s="4" t="s">
        <v>41</v>
      </c>
      <c r="C22" s="4" t="s">
        <v>415</v>
      </c>
      <c r="D22" s="3">
        <v>1</v>
      </c>
      <c r="E22" s="3" t="s">
        <v>16</v>
      </c>
      <c r="F22" s="3" t="s">
        <v>295</v>
      </c>
      <c r="G22" s="3" t="s">
        <v>17</v>
      </c>
      <c r="H22" s="3" t="s">
        <v>40</v>
      </c>
    </row>
    <row r="23" spans="1:8" x14ac:dyDescent="0.2">
      <c r="A23" s="3">
        <v>3080401007</v>
      </c>
      <c r="B23" s="4" t="s">
        <v>41</v>
      </c>
      <c r="C23" s="4" t="s">
        <v>416</v>
      </c>
      <c r="D23" s="3">
        <v>2</v>
      </c>
      <c r="E23" s="3" t="s">
        <v>16</v>
      </c>
      <c r="F23" s="3" t="s">
        <v>293</v>
      </c>
      <c r="G23" s="3" t="s">
        <v>29</v>
      </c>
      <c r="H23" s="3" t="s">
        <v>40</v>
      </c>
    </row>
    <row r="24" spans="1:8" x14ac:dyDescent="0.2">
      <c r="A24" s="3">
        <v>3080401014</v>
      </c>
      <c r="B24" s="4" t="s">
        <v>41</v>
      </c>
      <c r="C24" s="4" t="s">
        <v>417</v>
      </c>
      <c r="D24" s="3">
        <v>4</v>
      </c>
      <c r="E24" s="3" t="s">
        <v>16</v>
      </c>
      <c r="F24" s="3" t="s">
        <v>291</v>
      </c>
      <c r="G24" s="3" t="s">
        <v>26</v>
      </c>
      <c r="H24" s="3" t="s">
        <v>40</v>
      </c>
    </row>
    <row r="25" spans="1:8" x14ac:dyDescent="0.2">
      <c r="A25" s="3">
        <v>3080104073</v>
      </c>
      <c r="B25" s="4" t="s">
        <v>45</v>
      </c>
      <c r="C25" s="4" t="s">
        <v>1155</v>
      </c>
      <c r="D25" s="3">
        <v>3</v>
      </c>
      <c r="E25" s="3" t="s">
        <v>16</v>
      </c>
      <c r="F25" s="3" t="s">
        <v>289</v>
      </c>
      <c r="G25" s="3" t="s">
        <v>23</v>
      </c>
      <c r="H25" s="3" t="s">
        <v>40</v>
      </c>
    </row>
    <row r="26" spans="1:8" x14ac:dyDescent="0.2">
      <c r="A26" s="3">
        <v>3080104018</v>
      </c>
      <c r="B26" s="4" t="s">
        <v>45</v>
      </c>
      <c r="C26" s="4" t="s">
        <v>418</v>
      </c>
      <c r="D26" s="3">
        <v>2</v>
      </c>
      <c r="E26" s="3" t="s">
        <v>16</v>
      </c>
      <c r="F26" s="3" t="s">
        <v>293</v>
      </c>
      <c r="G26" s="3" t="s">
        <v>29</v>
      </c>
      <c r="H26" s="3" t="s">
        <v>40</v>
      </c>
    </row>
    <row r="27" spans="1:8" x14ac:dyDescent="0.2">
      <c r="A27" s="3">
        <v>3080104098</v>
      </c>
      <c r="B27" s="4" t="s">
        <v>45</v>
      </c>
      <c r="C27" s="4" t="s">
        <v>1156</v>
      </c>
      <c r="D27" s="3">
        <v>2</v>
      </c>
      <c r="E27" s="3" t="s">
        <v>16</v>
      </c>
      <c r="F27" s="3" t="s">
        <v>291</v>
      </c>
      <c r="G27" s="3" t="s">
        <v>26</v>
      </c>
      <c r="H27" s="3" t="s">
        <v>40</v>
      </c>
    </row>
    <row r="28" spans="1:8" x14ac:dyDescent="0.2">
      <c r="A28" s="3">
        <v>3080105006</v>
      </c>
      <c r="B28" s="4" t="s">
        <v>50</v>
      </c>
      <c r="C28" s="4" t="s">
        <v>1157</v>
      </c>
      <c r="D28" s="3">
        <v>8</v>
      </c>
      <c r="E28" s="3" t="s">
        <v>16</v>
      </c>
      <c r="F28" s="3" t="s">
        <v>289</v>
      </c>
      <c r="G28" s="3" t="s">
        <v>23</v>
      </c>
      <c r="H28" s="3" t="s">
        <v>40</v>
      </c>
    </row>
    <row r="29" spans="1:8" x14ac:dyDescent="0.2">
      <c r="A29" s="3">
        <v>3080105080</v>
      </c>
      <c r="B29" s="4" t="s">
        <v>50</v>
      </c>
      <c r="C29" s="4" t="s">
        <v>1158</v>
      </c>
      <c r="D29" s="3">
        <v>2</v>
      </c>
      <c r="E29" s="3" t="s">
        <v>16</v>
      </c>
      <c r="F29" s="3" t="s">
        <v>289</v>
      </c>
      <c r="G29" s="3" t="s">
        <v>23</v>
      </c>
      <c r="H29" s="3" t="s">
        <v>40</v>
      </c>
    </row>
    <row r="30" spans="1:8" x14ac:dyDescent="0.2">
      <c r="A30" s="3">
        <v>3080105023</v>
      </c>
      <c r="B30" s="4" t="s">
        <v>50</v>
      </c>
      <c r="C30" s="4" t="s">
        <v>1159</v>
      </c>
      <c r="D30" s="3">
        <v>4</v>
      </c>
      <c r="E30" s="3" t="s">
        <v>16</v>
      </c>
      <c r="F30" s="3" t="s">
        <v>289</v>
      </c>
      <c r="G30" s="3" t="s">
        <v>23</v>
      </c>
      <c r="H30" s="3" t="s">
        <v>40</v>
      </c>
    </row>
    <row r="31" spans="1:8" x14ac:dyDescent="0.2">
      <c r="A31" s="3">
        <v>3080105015</v>
      </c>
      <c r="B31" s="4" t="s">
        <v>50</v>
      </c>
      <c r="C31" s="4" t="s">
        <v>422</v>
      </c>
      <c r="D31" s="3">
        <v>8</v>
      </c>
      <c r="E31" s="3" t="s">
        <v>16</v>
      </c>
      <c r="F31" s="3" t="s">
        <v>293</v>
      </c>
      <c r="G31" s="3" t="s">
        <v>29</v>
      </c>
      <c r="H31" s="3" t="s">
        <v>40</v>
      </c>
    </row>
    <row r="32" spans="1:8" x14ac:dyDescent="0.2">
      <c r="A32" s="3">
        <v>3080105088</v>
      </c>
      <c r="B32" s="4" t="s">
        <v>50</v>
      </c>
      <c r="C32" s="4" t="s">
        <v>423</v>
      </c>
      <c r="D32" s="3">
        <v>2</v>
      </c>
      <c r="E32" s="3" t="s">
        <v>16</v>
      </c>
      <c r="F32" s="3" t="s">
        <v>293</v>
      </c>
      <c r="G32" s="3" t="s">
        <v>29</v>
      </c>
      <c r="H32" s="3" t="s">
        <v>40</v>
      </c>
    </row>
    <row r="33" spans="1:8" x14ac:dyDescent="0.2">
      <c r="A33" s="3">
        <v>3080105008</v>
      </c>
      <c r="B33" s="4" t="s">
        <v>50</v>
      </c>
      <c r="C33" s="4" t="s">
        <v>424</v>
      </c>
      <c r="D33" s="3">
        <v>8</v>
      </c>
      <c r="E33" s="3" t="s">
        <v>16</v>
      </c>
      <c r="F33" s="3" t="s">
        <v>293</v>
      </c>
      <c r="G33" s="3" t="s">
        <v>29</v>
      </c>
      <c r="H33" s="3" t="s">
        <v>40</v>
      </c>
    </row>
    <row r="34" spans="1:8" x14ac:dyDescent="0.2">
      <c r="A34" s="3">
        <v>3080105070</v>
      </c>
      <c r="B34" s="4" t="s">
        <v>50</v>
      </c>
      <c r="C34" s="4" t="s">
        <v>1160</v>
      </c>
      <c r="D34" s="3">
        <v>14</v>
      </c>
      <c r="E34" s="3" t="s">
        <v>16</v>
      </c>
      <c r="F34" s="3" t="s">
        <v>293</v>
      </c>
      <c r="G34" s="3" t="s">
        <v>29</v>
      </c>
      <c r="H34" s="3" t="s">
        <v>40</v>
      </c>
    </row>
    <row r="35" spans="1:8" x14ac:dyDescent="0.2">
      <c r="A35" s="3">
        <v>3080105121</v>
      </c>
      <c r="B35" s="4" t="s">
        <v>50</v>
      </c>
      <c r="C35" s="4" t="s">
        <v>316</v>
      </c>
      <c r="D35" s="3">
        <v>2</v>
      </c>
      <c r="E35" s="3" t="s">
        <v>16</v>
      </c>
      <c r="F35" s="3" t="s">
        <v>317</v>
      </c>
      <c r="G35" s="3" t="s">
        <v>318</v>
      </c>
      <c r="H35" s="3" t="s">
        <v>40</v>
      </c>
    </row>
    <row r="36" spans="1:8" x14ac:dyDescent="0.2">
      <c r="A36" s="3">
        <v>3080105073</v>
      </c>
      <c r="B36" s="4" t="s">
        <v>50</v>
      </c>
      <c r="C36" s="4" t="s">
        <v>1257</v>
      </c>
      <c r="D36" s="3">
        <v>2</v>
      </c>
      <c r="E36" s="3" t="s">
        <v>16</v>
      </c>
      <c r="F36" s="3" t="s">
        <v>317</v>
      </c>
      <c r="G36" s="3" t="s">
        <v>318</v>
      </c>
      <c r="H36" s="3" t="s">
        <v>40</v>
      </c>
    </row>
    <row r="37" spans="1:8" x14ac:dyDescent="0.2">
      <c r="A37" s="3">
        <v>3080104055</v>
      </c>
      <c r="B37" s="4" t="s">
        <v>50</v>
      </c>
      <c r="C37" s="4" t="s">
        <v>425</v>
      </c>
      <c r="D37" s="3">
        <v>2</v>
      </c>
      <c r="E37" s="3" t="s">
        <v>16</v>
      </c>
      <c r="F37" s="3" t="s">
        <v>291</v>
      </c>
      <c r="G37" s="3" t="s">
        <v>26</v>
      </c>
      <c r="H37" s="3" t="s">
        <v>40</v>
      </c>
    </row>
    <row r="38" spans="1:8" x14ac:dyDescent="0.2">
      <c r="A38" s="3">
        <v>3080105070</v>
      </c>
      <c r="B38" s="4" t="s">
        <v>50</v>
      </c>
      <c r="C38" s="4" t="s">
        <v>1160</v>
      </c>
      <c r="D38" s="3">
        <v>2</v>
      </c>
      <c r="E38" s="3" t="s">
        <v>16</v>
      </c>
      <c r="F38" s="3" t="s">
        <v>291</v>
      </c>
      <c r="G38" s="3" t="s">
        <v>26</v>
      </c>
      <c r="H38" s="3" t="s">
        <v>40</v>
      </c>
    </row>
    <row r="39" spans="1:8" x14ac:dyDescent="0.2">
      <c r="A39" s="3">
        <v>3080502003</v>
      </c>
      <c r="B39" s="4" t="s">
        <v>55</v>
      </c>
      <c r="C39" s="4" t="s">
        <v>426</v>
      </c>
      <c r="D39" s="3">
        <v>2</v>
      </c>
      <c r="E39" s="3" t="s">
        <v>16</v>
      </c>
      <c r="F39" s="3" t="s">
        <v>291</v>
      </c>
      <c r="G39" s="3" t="s">
        <v>26</v>
      </c>
      <c r="H39" s="3" t="s">
        <v>40</v>
      </c>
    </row>
    <row r="40" spans="1:8" x14ac:dyDescent="0.2">
      <c r="A40" s="3">
        <v>3080201005</v>
      </c>
      <c r="B40" s="4" t="s">
        <v>60</v>
      </c>
      <c r="C40" s="4" t="s">
        <v>427</v>
      </c>
      <c r="D40" s="3">
        <v>1</v>
      </c>
      <c r="E40" s="3" t="s">
        <v>16</v>
      </c>
      <c r="F40" s="3" t="s">
        <v>291</v>
      </c>
      <c r="G40" s="3" t="s">
        <v>26</v>
      </c>
      <c r="H40" s="3" t="s">
        <v>40</v>
      </c>
    </row>
    <row r="41" spans="1:8" x14ac:dyDescent="0.2">
      <c r="A41" s="3">
        <v>3080201006</v>
      </c>
      <c r="B41" s="4" t="s">
        <v>60</v>
      </c>
      <c r="C41" s="4" t="s">
        <v>428</v>
      </c>
      <c r="D41" s="3">
        <v>1</v>
      </c>
      <c r="E41" s="3" t="s">
        <v>16</v>
      </c>
      <c r="F41" s="3" t="s">
        <v>291</v>
      </c>
      <c r="G41" s="3" t="s">
        <v>26</v>
      </c>
      <c r="H41" s="3" t="s">
        <v>40</v>
      </c>
    </row>
    <row r="42" spans="1:8" x14ac:dyDescent="0.2">
      <c r="A42" s="3">
        <v>3080107271</v>
      </c>
      <c r="B42" s="4" t="s">
        <v>69</v>
      </c>
      <c r="C42" s="4" t="s">
        <v>1161</v>
      </c>
      <c r="D42" s="3">
        <v>2</v>
      </c>
      <c r="E42" s="3" t="s">
        <v>16</v>
      </c>
      <c r="F42" s="3" t="s">
        <v>289</v>
      </c>
      <c r="G42" s="3" t="s">
        <v>23</v>
      </c>
      <c r="H42" s="3" t="s">
        <v>40</v>
      </c>
    </row>
    <row r="43" spans="1:8" x14ac:dyDescent="0.2">
      <c r="A43" s="3">
        <v>3080107092</v>
      </c>
      <c r="B43" s="4" t="s">
        <v>69</v>
      </c>
      <c r="C43" s="4" t="s">
        <v>1162</v>
      </c>
      <c r="D43" s="3">
        <v>4</v>
      </c>
      <c r="E43" s="3" t="s">
        <v>16</v>
      </c>
      <c r="F43" s="3" t="s">
        <v>289</v>
      </c>
      <c r="G43" s="3" t="s">
        <v>23</v>
      </c>
      <c r="H43" s="3" t="s">
        <v>40</v>
      </c>
    </row>
    <row r="44" spans="1:8" x14ac:dyDescent="0.2">
      <c r="A44" s="3">
        <v>3080107034</v>
      </c>
      <c r="B44" s="4" t="s">
        <v>69</v>
      </c>
      <c r="C44" s="4" t="s">
        <v>429</v>
      </c>
      <c r="D44" s="3">
        <v>2</v>
      </c>
      <c r="E44" s="3" t="s">
        <v>16</v>
      </c>
      <c r="F44" s="3" t="s">
        <v>295</v>
      </c>
      <c r="G44" s="3" t="s">
        <v>17</v>
      </c>
      <c r="H44" s="3" t="s">
        <v>40</v>
      </c>
    </row>
    <row r="45" spans="1:8" x14ac:dyDescent="0.2">
      <c r="A45" s="3">
        <v>3080107034</v>
      </c>
      <c r="B45" s="4" t="s">
        <v>69</v>
      </c>
      <c r="C45" s="4" t="s">
        <v>429</v>
      </c>
      <c r="D45" s="3">
        <v>6</v>
      </c>
      <c r="E45" s="3" t="s">
        <v>16</v>
      </c>
      <c r="F45" s="3" t="s">
        <v>295</v>
      </c>
      <c r="G45" s="3" t="s">
        <v>17</v>
      </c>
      <c r="H45" s="3" t="s">
        <v>40</v>
      </c>
    </row>
    <row r="46" spans="1:8" x14ac:dyDescent="0.2">
      <c r="A46" s="3">
        <v>3080107002</v>
      </c>
      <c r="B46" s="4" t="s">
        <v>69</v>
      </c>
      <c r="C46" s="4" t="s">
        <v>430</v>
      </c>
      <c r="D46" s="3">
        <v>4</v>
      </c>
      <c r="E46" s="3" t="s">
        <v>16</v>
      </c>
      <c r="F46" s="3" t="s">
        <v>295</v>
      </c>
      <c r="G46" s="3" t="s">
        <v>17</v>
      </c>
      <c r="H46" s="3" t="s">
        <v>40</v>
      </c>
    </row>
    <row r="47" spans="1:8" x14ac:dyDescent="0.2">
      <c r="A47" s="3">
        <v>3080107052</v>
      </c>
      <c r="B47" s="4" t="s">
        <v>69</v>
      </c>
      <c r="C47" s="4" t="s">
        <v>431</v>
      </c>
      <c r="D47" s="3">
        <v>1</v>
      </c>
      <c r="E47" s="3" t="s">
        <v>16</v>
      </c>
      <c r="F47" s="3" t="s">
        <v>295</v>
      </c>
      <c r="G47" s="3" t="s">
        <v>17</v>
      </c>
      <c r="H47" s="3" t="s">
        <v>40</v>
      </c>
    </row>
    <row r="48" spans="1:8" x14ac:dyDescent="0.2">
      <c r="A48" s="3">
        <v>3080107160</v>
      </c>
      <c r="B48" s="4" t="s">
        <v>69</v>
      </c>
      <c r="C48" s="4" t="s">
        <v>432</v>
      </c>
      <c r="D48" s="3">
        <v>4</v>
      </c>
      <c r="E48" s="3" t="s">
        <v>16</v>
      </c>
      <c r="F48" s="3" t="s">
        <v>293</v>
      </c>
      <c r="G48" s="3" t="s">
        <v>29</v>
      </c>
      <c r="H48" s="3" t="s">
        <v>40</v>
      </c>
    </row>
    <row r="49" spans="1:8" x14ac:dyDescent="0.2">
      <c r="A49" s="3">
        <v>3080107308</v>
      </c>
      <c r="B49" s="4" t="s">
        <v>69</v>
      </c>
      <c r="C49" s="4" t="s">
        <v>433</v>
      </c>
      <c r="D49" s="3">
        <v>2</v>
      </c>
      <c r="E49" s="3" t="s">
        <v>16</v>
      </c>
      <c r="F49" s="3" t="s">
        <v>291</v>
      </c>
      <c r="G49" s="3" t="s">
        <v>26</v>
      </c>
      <c r="H49" s="3" t="s">
        <v>40</v>
      </c>
    </row>
    <row r="50" spans="1:8" x14ac:dyDescent="0.2">
      <c r="A50" s="3">
        <v>3080107305</v>
      </c>
      <c r="B50" s="4" t="s">
        <v>69</v>
      </c>
      <c r="C50" s="4" t="s">
        <v>434</v>
      </c>
      <c r="D50" s="3">
        <v>2</v>
      </c>
      <c r="E50" s="3" t="s">
        <v>16</v>
      </c>
      <c r="F50" s="3" t="s">
        <v>291</v>
      </c>
      <c r="G50" s="3" t="s">
        <v>26</v>
      </c>
      <c r="H50" s="3" t="s">
        <v>40</v>
      </c>
    </row>
    <row r="51" spans="1:8" x14ac:dyDescent="0.2">
      <c r="A51" s="3">
        <v>3080107072</v>
      </c>
      <c r="B51" s="4" t="s">
        <v>69</v>
      </c>
      <c r="C51" s="4" t="s">
        <v>435</v>
      </c>
      <c r="D51" s="3">
        <v>4</v>
      </c>
      <c r="E51" s="3" t="s">
        <v>16</v>
      </c>
      <c r="F51" s="3" t="s">
        <v>291</v>
      </c>
      <c r="G51" s="3" t="s">
        <v>26</v>
      </c>
      <c r="H51" s="3" t="s">
        <v>40</v>
      </c>
    </row>
    <row r="52" spans="1:8" x14ac:dyDescent="0.2">
      <c r="A52" s="3">
        <v>3080107076</v>
      </c>
      <c r="B52" s="4" t="s">
        <v>69</v>
      </c>
      <c r="C52" s="4" t="s">
        <v>1163</v>
      </c>
      <c r="D52" s="3">
        <v>2</v>
      </c>
      <c r="E52" s="3" t="s">
        <v>16</v>
      </c>
      <c r="F52" s="3" t="s">
        <v>291</v>
      </c>
      <c r="G52" s="3" t="s">
        <v>26</v>
      </c>
      <c r="H52" s="3" t="s">
        <v>40</v>
      </c>
    </row>
    <row r="53" spans="1:8" x14ac:dyDescent="0.2">
      <c r="A53" s="3">
        <v>3080108052</v>
      </c>
      <c r="B53" s="4" t="s">
        <v>77</v>
      </c>
      <c r="C53" s="4" t="s">
        <v>1164</v>
      </c>
      <c r="D53" s="3">
        <v>1</v>
      </c>
      <c r="E53" s="3" t="s">
        <v>16</v>
      </c>
      <c r="F53" s="3" t="s">
        <v>289</v>
      </c>
      <c r="G53" s="3" t="s">
        <v>23</v>
      </c>
      <c r="H53" s="3" t="s">
        <v>40</v>
      </c>
    </row>
    <row r="54" spans="1:8" x14ac:dyDescent="0.2">
      <c r="A54" s="3">
        <v>3080101008</v>
      </c>
      <c r="B54" s="4" t="s">
        <v>77</v>
      </c>
      <c r="C54" s="4" t="s">
        <v>1165</v>
      </c>
      <c r="D54" s="3">
        <v>4</v>
      </c>
      <c r="E54" s="3" t="s">
        <v>16</v>
      </c>
      <c r="F54" s="3" t="s">
        <v>289</v>
      </c>
      <c r="G54" s="3" t="s">
        <v>23</v>
      </c>
      <c r="H54" s="3" t="s">
        <v>40</v>
      </c>
    </row>
    <row r="55" spans="1:8" x14ac:dyDescent="0.2">
      <c r="A55" s="3">
        <v>3080108040</v>
      </c>
      <c r="B55" s="4" t="s">
        <v>77</v>
      </c>
      <c r="C55" s="4" t="s">
        <v>1166</v>
      </c>
      <c r="D55" s="3">
        <v>2</v>
      </c>
      <c r="E55" s="3" t="s">
        <v>16</v>
      </c>
      <c r="F55" s="3" t="s">
        <v>289</v>
      </c>
      <c r="G55" s="3" t="s">
        <v>23</v>
      </c>
      <c r="H55" s="3" t="s">
        <v>40</v>
      </c>
    </row>
    <row r="56" spans="1:8" x14ac:dyDescent="0.2">
      <c r="A56" s="3">
        <v>3080108025</v>
      </c>
      <c r="B56" s="4" t="s">
        <v>77</v>
      </c>
      <c r="C56" s="4" t="s">
        <v>437</v>
      </c>
      <c r="D56" s="3">
        <v>7</v>
      </c>
      <c r="E56" s="3" t="s">
        <v>16</v>
      </c>
      <c r="F56" s="3" t="s">
        <v>295</v>
      </c>
      <c r="G56" s="3" t="s">
        <v>17</v>
      </c>
      <c r="H56" s="3" t="s">
        <v>40</v>
      </c>
    </row>
    <row r="57" spans="1:8" x14ac:dyDescent="0.2">
      <c r="A57" s="3">
        <v>3080108025</v>
      </c>
      <c r="B57" s="4" t="s">
        <v>77</v>
      </c>
      <c r="C57" s="4" t="s">
        <v>437</v>
      </c>
      <c r="D57" s="3">
        <v>4</v>
      </c>
      <c r="E57" s="3" t="s">
        <v>16</v>
      </c>
      <c r="F57" s="3" t="s">
        <v>291</v>
      </c>
      <c r="G57" s="3" t="s">
        <v>26</v>
      </c>
      <c r="H57" s="3" t="s">
        <v>40</v>
      </c>
    </row>
    <row r="58" spans="1:8" x14ac:dyDescent="0.2">
      <c r="A58" s="3">
        <v>3080403001</v>
      </c>
      <c r="B58" s="4" t="s">
        <v>439</v>
      </c>
      <c r="C58" s="4" t="s">
        <v>440</v>
      </c>
      <c r="D58" s="3">
        <v>1</v>
      </c>
      <c r="E58" s="3" t="s">
        <v>16</v>
      </c>
      <c r="F58" s="3" t="s">
        <v>295</v>
      </c>
      <c r="G58" s="3" t="s">
        <v>17</v>
      </c>
      <c r="H58" s="3" t="s">
        <v>40</v>
      </c>
    </row>
    <row r="59" spans="1:8" x14ac:dyDescent="0.2">
      <c r="A59" s="3">
        <v>3080109002</v>
      </c>
      <c r="B59" s="4" t="s">
        <v>441</v>
      </c>
      <c r="C59" s="4" t="s">
        <v>442</v>
      </c>
      <c r="D59" s="3">
        <v>2</v>
      </c>
      <c r="E59" s="3" t="s">
        <v>16</v>
      </c>
      <c r="F59" s="3" t="s">
        <v>295</v>
      </c>
      <c r="G59" s="3" t="s">
        <v>17</v>
      </c>
      <c r="H59" s="3" t="s">
        <v>40</v>
      </c>
    </row>
    <row r="60" spans="1:8" x14ac:dyDescent="0.2">
      <c r="A60" s="3">
        <v>3080111012</v>
      </c>
      <c r="B60" s="4" t="s">
        <v>79</v>
      </c>
      <c r="C60" s="4" t="s">
        <v>443</v>
      </c>
      <c r="D60" s="3">
        <v>2</v>
      </c>
      <c r="E60" s="3" t="s">
        <v>16</v>
      </c>
      <c r="F60" s="3" t="s">
        <v>295</v>
      </c>
      <c r="G60" s="3" t="s">
        <v>17</v>
      </c>
      <c r="H60" s="3" t="s">
        <v>40</v>
      </c>
    </row>
    <row r="61" spans="1:8" x14ac:dyDescent="0.2">
      <c r="A61" s="3">
        <v>3080111006</v>
      </c>
      <c r="B61" s="4" t="s">
        <v>79</v>
      </c>
      <c r="C61" s="4" t="s">
        <v>444</v>
      </c>
      <c r="D61" s="3">
        <v>1</v>
      </c>
      <c r="E61" s="3" t="s">
        <v>16</v>
      </c>
      <c r="F61" s="3" t="s">
        <v>295</v>
      </c>
      <c r="G61" s="3" t="s">
        <v>17</v>
      </c>
      <c r="H61" s="3" t="s">
        <v>40</v>
      </c>
    </row>
    <row r="62" spans="1:8" x14ac:dyDescent="0.2">
      <c r="A62" s="3">
        <v>3080111004</v>
      </c>
      <c r="B62" s="4" t="s">
        <v>79</v>
      </c>
      <c r="C62" s="4" t="s">
        <v>445</v>
      </c>
      <c r="D62" s="3">
        <v>2</v>
      </c>
      <c r="E62" s="3" t="s">
        <v>16</v>
      </c>
      <c r="F62" s="3" t="s">
        <v>293</v>
      </c>
      <c r="G62" s="3" t="s">
        <v>29</v>
      </c>
      <c r="H62" s="3" t="s">
        <v>40</v>
      </c>
    </row>
    <row r="63" spans="1:8" x14ac:dyDescent="0.2">
      <c r="A63" s="3">
        <v>3080111086</v>
      </c>
      <c r="B63" s="4" t="s">
        <v>79</v>
      </c>
      <c r="C63" s="4" t="s">
        <v>1167</v>
      </c>
      <c r="D63" s="3">
        <v>15</v>
      </c>
      <c r="E63" s="3" t="s">
        <v>16</v>
      </c>
      <c r="F63" s="3" t="s">
        <v>291</v>
      </c>
      <c r="G63" s="3" t="s">
        <v>26</v>
      </c>
      <c r="H63" s="3" t="s">
        <v>40</v>
      </c>
    </row>
    <row r="64" spans="1:8" x14ac:dyDescent="0.2">
      <c r="A64" s="3">
        <v>3080111086</v>
      </c>
      <c r="B64" s="4" t="s">
        <v>79</v>
      </c>
      <c r="C64" s="4" t="s">
        <v>1167</v>
      </c>
      <c r="D64" s="3">
        <v>1</v>
      </c>
      <c r="E64" s="3" t="s">
        <v>16</v>
      </c>
      <c r="F64" s="3" t="s">
        <v>291</v>
      </c>
      <c r="G64" s="3" t="s">
        <v>26</v>
      </c>
      <c r="H64" s="3" t="s">
        <v>40</v>
      </c>
    </row>
    <row r="65" spans="1:8" x14ac:dyDescent="0.2">
      <c r="A65" s="3">
        <v>3080111015</v>
      </c>
      <c r="B65" s="4" t="s">
        <v>79</v>
      </c>
      <c r="C65" s="4" t="s">
        <v>446</v>
      </c>
      <c r="D65" s="3">
        <v>4</v>
      </c>
      <c r="E65" s="3" t="s">
        <v>16</v>
      </c>
      <c r="F65" s="3" t="s">
        <v>291</v>
      </c>
      <c r="G65" s="3" t="s">
        <v>26</v>
      </c>
      <c r="H65" s="3" t="s">
        <v>40</v>
      </c>
    </row>
    <row r="66" spans="1:8" x14ac:dyDescent="0.2">
      <c r="A66" s="3">
        <v>407030041</v>
      </c>
      <c r="B66" s="4" t="s">
        <v>81</v>
      </c>
      <c r="C66" s="4" t="s">
        <v>1168</v>
      </c>
      <c r="D66" s="3">
        <v>1</v>
      </c>
      <c r="E66" s="3" t="s">
        <v>16</v>
      </c>
      <c r="F66" s="3" t="s">
        <v>301</v>
      </c>
      <c r="G66" s="3" t="s">
        <v>32</v>
      </c>
      <c r="H66" s="3" t="s">
        <v>40</v>
      </c>
    </row>
    <row r="67" spans="1:8" x14ac:dyDescent="0.2">
      <c r="A67" s="3">
        <v>3099991005</v>
      </c>
      <c r="B67" s="4" t="s">
        <v>878</v>
      </c>
      <c r="C67" s="4" t="s">
        <v>1258</v>
      </c>
      <c r="D67" s="3">
        <v>1</v>
      </c>
      <c r="E67" s="3" t="s">
        <v>16</v>
      </c>
      <c r="F67" s="3" t="s">
        <v>317</v>
      </c>
      <c r="G67" s="3" t="s">
        <v>318</v>
      </c>
      <c r="H67" s="3" t="s">
        <v>103</v>
      </c>
    </row>
    <row r="68" spans="1:8" x14ac:dyDescent="0.2">
      <c r="A68" s="3">
        <v>3099991105</v>
      </c>
      <c r="B68" s="4" t="s">
        <v>1169</v>
      </c>
      <c r="C68" s="4" t="s">
        <v>1170</v>
      </c>
      <c r="D68" s="3">
        <v>1</v>
      </c>
      <c r="E68" s="3" t="s">
        <v>16</v>
      </c>
      <c r="F68" s="3" t="s">
        <v>299</v>
      </c>
      <c r="G68" s="3" t="s">
        <v>106</v>
      </c>
      <c r="H68" s="3" t="s">
        <v>103</v>
      </c>
    </row>
    <row r="69" spans="1:8" x14ac:dyDescent="0.2">
      <c r="A69" s="3">
        <v>3099990110</v>
      </c>
      <c r="B69" s="4" t="s">
        <v>104</v>
      </c>
      <c r="C69" s="4" t="s">
        <v>1170</v>
      </c>
      <c r="D69" s="3">
        <v>1</v>
      </c>
      <c r="E69" s="3" t="s">
        <v>16</v>
      </c>
      <c r="F69" s="3" t="s">
        <v>299</v>
      </c>
      <c r="G69" s="3" t="s">
        <v>106</v>
      </c>
      <c r="H69" s="3" t="s">
        <v>103</v>
      </c>
    </row>
    <row r="70" spans="1:8" x14ac:dyDescent="0.2">
      <c r="A70" s="3">
        <v>402030026</v>
      </c>
      <c r="B70" s="4" t="s">
        <v>107</v>
      </c>
      <c r="C70" s="4" t="s">
        <v>1171</v>
      </c>
      <c r="D70" s="3">
        <v>1</v>
      </c>
      <c r="E70" s="3" t="s">
        <v>16</v>
      </c>
      <c r="F70" s="3" t="s">
        <v>289</v>
      </c>
      <c r="G70" s="3" t="s">
        <v>23</v>
      </c>
      <c r="H70" s="3" t="s">
        <v>109</v>
      </c>
    </row>
    <row r="71" spans="1:8" x14ac:dyDescent="0.2">
      <c r="A71" s="3">
        <v>402030016</v>
      </c>
      <c r="B71" s="4" t="s">
        <v>107</v>
      </c>
      <c r="C71" s="4" t="s">
        <v>1259</v>
      </c>
      <c r="D71" s="3">
        <v>1</v>
      </c>
      <c r="E71" s="3" t="s">
        <v>16</v>
      </c>
      <c r="F71" s="3" t="s">
        <v>317</v>
      </c>
      <c r="G71" s="3" t="s">
        <v>318</v>
      </c>
      <c r="H71" s="3" t="s">
        <v>109</v>
      </c>
    </row>
    <row r="72" spans="1:8" x14ac:dyDescent="0.2">
      <c r="A72" s="3">
        <v>402030027</v>
      </c>
      <c r="B72" s="4" t="s">
        <v>107</v>
      </c>
      <c r="C72" s="4" t="s">
        <v>110</v>
      </c>
      <c r="D72" s="3">
        <v>1</v>
      </c>
      <c r="E72" s="3" t="s">
        <v>16</v>
      </c>
      <c r="F72" s="3" t="s">
        <v>291</v>
      </c>
      <c r="G72" s="3" t="s">
        <v>26</v>
      </c>
      <c r="H72" s="3" t="s">
        <v>109</v>
      </c>
    </row>
    <row r="73" spans="1:8" x14ac:dyDescent="0.2">
      <c r="A73" s="3">
        <v>402020002</v>
      </c>
      <c r="B73" s="4" t="s">
        <v>111</v>
      </c>
      <c r="C73" s="4" t="s">
        <v>452</v>
      </c>
      <c r="D73" s="3">
        <v>2</v>
      </c>
      <c r="E73" s="3" t="s">
        <v>16</v>
      </c>
      <c r="F73" s="3" t="s">
        <v>293</v>
      </c>
      <c r="G73" s="3" t="s">
        <v>29</v>
      </c>
      <c r="H73" s="3" t="s">
        <v>109</v>
      </c>
    </row>
    <row r="74" spans="1:8" x14ac:dyDescent="0.2">
      <c r="A74" s="3">
        <v>3060209002</v>
      </c>
      <c r="B74" s="4" t="s">
        <v>113</v>
      </c>
      <c r="C74" s="4" t="s">
        <v>114</v>
      </c>
      <c r="D74" s="3">
        <v>2</v>
      </c>
      <c r="E74" s="3" t="s">
        <v>16</v>
      </c>
      <c r="F74" s="3" t="s">
        <v>289</v>
      </c>
      <c r="G74" s="3" t="s">
        <v>23</v>
      </c>
      <c r="H74" s="3" t="s">
        <v>115</v>
      </c>
    </row>
    <row r="75" spans="1:8" x14ac:dyDescent="0.2">
      <c r="A75" s="3">
        <v>3040216001</v>
      </c>
      <c r="B75" s="4" t="s">
        <v>328</v>
      </c>
      <c r="C75" s="4" t="s">
        <v>329</v>
      </c>
      <c r="D75" s="3">
        <v>4</v>
      </c>
      <c r="E75" s="3" t="s">
        <v>16</v>
      </c>
      <c r="F75" s="3" t="s">
        <v>293</v>
      </c>
      <c r="G75" s="3" t="s">
        <v>29</v>
      </c>
      <c r="H75" s="3" t="s">
        <v>115</v>
      </c>
    </row>
    <row r="76" spans="1:8" x14ac:dyDescent="0.2">
      <c r="A76" s="3">
        <v>3030204017</v>
      </c>
      <c r="B76" s="4" t="s">
        <v>453</v>
      </c>
      <c r="C76" s="4" t="s">
        <v>454</v>
      </c>
      <c r="D76" s="3">
        <v>1</v>
      </c>
      <c r="E76" s="3" t="s">
        <v>16</v>
      </c>
      <c r="F76" s="3" t="s">
        <v>295</v>
      </c>
      <c r="G76" s="3" t="s">
        <v>17</v>
      </c>
      <c r="H76" s="3" t="s">
        <v>115</v>
      </c>
    </row>
    <row r="77" spans="1:8" x14ac:dyDescent="0.2">
      <c r="A77" s="3">
        <v>3030204005</v>
      </c>
      <c r="B77" s="4" t="s">
        <v>455</v>
      </c>
      <c r="C77" s="4" t="s">
        <v>456</v>
      </c>
      <c r="D77" s="3">
        <v>1</v>
      </c>
      <c r="E77" s="3" t="s">
        <v>16</v>
      </c>
      <c r="F77" s="3" t="s">
        <v>295</v>
      </c>
      <c r="G77" s="3" t="s">
        <v>17</v>
      </c>
      <c r="H77" s="3" t="s">
        <v>115</v>
      </c>
    </row>
    <row r="78" spans="1:8" x14ac:dyDescent="0.2">
      <c r="A78" s="3">
        <v>3050203003</v>
      </c>
      <c r="B78" s="4" t="s">
        <v>120</v>
      </c>
      <c r="C78" s="4" t="s">
        <v>457</v>
      </c>
      <c r="D78" s="3">
        <v>2</v>
      </c>
      <c r="E78" s="3" t="s">
        <v>16</v>
      </c>
      <c r="F78" s="3" t="s">
        <v>291</v>
      </c>
      <c r="G78" s="3" t="s">
        <v>26</v>
      </c>
      <c r="H78" s="3" t="s">
        <v>115</v>
      </c>
    </row>
    <row r="79" spans="1:8" x14ac:dyDescent="0.2">
      <c r="A79" s="3">
        <v>3030204008</v>
      </c>
      <c r="B79" s="4" t="s">
        <v>122</v>
      </c>
      <c r="C79" s="4" t="s">
        <v>123</v>
      </c>
      <c r="D79" s="3">
        <v>1</v>
      </c>
      <c r="E79" s="3" t="s">
        <v>16</v>
      </c>
      <c r="F79" s="3" t="s">
        <v>291</v>
      </c>
      <c r="G79" s="3" t="s">
        <v>26</v>
      </c>
      <c r="H79" s="3" t="s">
        <v>115</v>
      </c>
    </row>
    <row r="80" spans="1:8" x14ac:dyDescent="0.2">
      <c r="A80" s="3">
        <v>3070104005</v>
      </c>
      <c r="B80" s="4" t="s">
        <v>128</v>
      </c>
      <c r="C80" s="4" t="s">
        <v>330</v>
      </c>
      <c r="D80" s="3">
        <v>1</v>
      </c>
      <c r="E80" s="3" t="s">
        <v>16</v>
      </c>
      <c r="F80" s="3" t="s">
        <v>317</v>
      </c>
      <c r="G80" s="3" t="s">
        <v>318</v>
      </c>
      <c r="H80" s="3" t="s">
        <v>115</v>
      </c>
    </row>
    <row r="81" spans="1:8" x14ac:dyDescent="0.2">
      <c r="A81" s="3">
        <v>3030206001</v>
      </c>
      <c r="B81" s="4" t="s">
        <v>458</v>
      </c>
      <c r="C81" s="4" t="s">
        <v>404</v>
      </c>
      <c r="D81" s="3">
        <v>1</v>
      </c>
      <c r="E81" s="3" t="s">
        <v>16</v>
      </c>
      <c r="F81" s="3" t="s">
        <v>295</v>
      </c>
      <c r="G81" s="3" t="s">
        <v>17</v>
      </c>
      <c r="H81" s="3" t="s">
        <v>132</v>
      </c>
    </row>
    <row r="82" spans="1:8" x14ac:dyDescent="0.2">
      <c r="A82" s="3">
        <v>404020082</v>
      </c>
      <c r="B82" s="4" t="s">
        <v>30</v>
      </c>
      <c r="C82" s="4" t="s">
        <v>1260</v>
      </c>
      <c r="D82" s="3">
        <v>1</v>
      </c>
      <c r="E82" s="3" t="s">
        <v>16</v>
      </c>
      <c r="F82" s="3" t="s">
        <v>301</v>
      </c>
      <c r="G82" s="3" t="s">
        <v>32</v>
      </c>
      <c r="H82" s="3" t="s">
        <v>134</v>
      </c>
    </row>
    <row r="83" spans="1:8" x14ac:dyDescent="0.2">
      <c r="A83" s="3">
        <v>401020109</v>
      </c>
      <c r="B83" s="4" t="s">
        <v>35</v>
      </c>
      <c r="C83" s="4" t="s">
        <v>1172</v>
      </c>
      <c r="D83" s="3">
        <v>1</v>
      </c>
      <c r="E83" s="3" t="s">
        <v>16</v>
      </c>
      <c r="F83" s="3" t="s">
        <v>291</v>
      </c>
      <c r="G83" s="3" t="s">
        <v>26</v>
      </c>
      <c r="H83" s="3" t="s">
        <v>134</v>
      </c>
    </row>
    <row r="84" spans="1:8" x14ac:dyDescent="0.2">
      <c r="A84" s="3">
        <v>3040502053</v>
      </c>
      <c r="B84" s="4" t="s">
        <v>136</v>
      </c>
      <c r="C84" s="4" t="s">
        <v>1117</v>
      </c>
      <c r="D84" s="3">
        <v>1</v>
      </c>
      <c r="E84" s="3" t="s">
        <v>16</v>
      </c>
      <c r="F84" s="3" t="s">
        <v>293</v>
      </c>
      <c r="G84" s="3" t="s">
        <v>29</v>
      </c>
      <c r="H84" s="3" t="s">
        <v>138</v>
      </c>
    </row>
    <row r="85" spans="1:8" x14ac:dyDescent="0.2">
      <c r="A85" s="3">
        <v>3040502052</v>
      </c>
      <c r="B85" s="4" t="s">
        <v>136</v>
      </c>
      <c r="C85" s="4" t="s">
        <v>1118</v>
      </c>
      <c r="D85" s="3">
        <v>1</v>
      </c>
      <c r="E85" s="3" t="s">
        <v>16</v>
      </c>
      <c r="F85" s="3" t="s">
        <v>293</v>
      </c>
      <c r="G85" s="3" t="s">
        <v>29</v>
      </c>
      <c r="H85" s="3" t="s">
        <v>138</v>
      </c>
    </row>
    <row r="86" spans="1:8" x14ac:dyDescent="0.2">
      <c r="A86" s="3">
        <v>3110207001</v>
      </c>
      <c r="B86" s="4" t="s">
        <v>140</v>
      </c>
      <c r="C86" s="4" t="s">
        <v>1173</v>
      </c>
      <c r="D86" s="3">
        <v>1</v>
      </c>
      <c r="E86" s="3" t="s">
        <v>16</v>
      </c>
      <c r="F86" s="3" t="s">
        <v>285</v>
      </c>
      <c r="G86" s="3" t="s">
        <v>142</v>
      </c>
      <c r="H86" s="3" t="s">
        <v>143</v>
      </c>
    </row>
    <row r="87" spans="1:8" x14ac:dyDescent="0.2">
      <c r="A87" s="3">
        <v>3030301007</v>
      </c>
      <c r="B87" s="4" t="s">
        <v>144</v>
      </c>
      <c r="C87" s="4" t="s">
        <v>1174</v>
      </c>
      <c r="D87" s="3">
        <v>2</v>
      </c>
      <c r="E87" s="3" t="s">
        <v>16</v>
      </c>
      <c r="F87" s="3" t="s">
        <v>291</v>
      </c>
      <c r="G87" s="3" t="s">
        <v>26</v>
      </c>
      <c r="H87" s="3" t="s">
        <v>143</v>
      </c>
    </row>
    <row r="88" spans="1:8" x14ac:dyDescent="0.2">
      <c r="A88" s="3">
        <v>3110204002</v>
      </c>
      <c r="B88" s="4" t="s">
        <v>333</v>
      </c>
      <c r="C88" s="4" t="s">
        <v>1261</v>
      </c>
      <c r="D88" s="3">
        <v>1</v>
      </c>
      <c r="E88" s="3" t="s">
        <v>16</v>
      </c>
      <c r="F88" s="3" t="s">
        <v>335</v>
      </c>
      <c r="G88" s="3" t="s">
        <v>336</v>
      </c>
      <c r="H88" s="3" t="s">
        <v>143</v>
      </c>
    </row>
    <row r="89" spans="1:8" x14ac:dyDescent="0.2">
      <c r="A89" s="3">
        <v>3110206001</v>
      </c>
      <c r="B89" s="4" t="s">
        <v>715</v>
      </c>
      <c r="C89" s="4" t="s">
        <v>1175</v>
      </c>
      <c r="D89" s="3">
        <v>1</v>
      </c>
      <c r="E89" s="3" t="s">
        <v>16</v>
      </c>
      <c r="F89" s="3" t="s">
        <v>285</v>
      </c>
      <c r="G89" s="3" t="s">
        <v>142</v>
      </c>
      <c r="H89" s="3" t="s">
        <v>143</v>
      </c>
    </row>
    <row r="90" spans="1:8" x14ac:dyDescent="0.2">
      <c r="A90" s="3">
        <v>3990205003</v>
      </c>
      <c r="B90" s="4" t="s">
        <v>146</v>
      </c>
      <c r="C90" s="4" t="s">
        <v>460</v>
      </c>
      <c r="D90" s="3">
        <v>1</v>
      </c>
      <c r="E90" s="3" t="s">
        <v>16</v>
      </c>
      <c r="F90" s="3" t="s">
        <v>287</v>
      </c>
      <c r="G90" s="3" t="s">
        <v>148</v>
      </c>
      <c r="H90" s="3" t="s">
        <v>143</v>
      </c>
    </row>
    <row r="91" spans="1:8" x14ac:dyDescent="0.2">
      <c r="A91" s="3">
        <v>408090008</v>
      </c>
      <c r="B91" s="4" t="s">
        <v>461</v>
      </c>
      <c r="C91" s="4" t="s">
        <v>462</v>
      </c>
      <c r="D91" s="3">
        <v>1</v>
      </c>
      <c r="E91" s="3" t="s">
        <v>16</v>
      </c>
      <c r="F91" s="3" t="s">
        <v>293</v>
      </c>
      <c r="G91" s="3" t="s">
        <v>29</v>
      </c>
      <c r="H91" s="3" t="s">
        <v>151</v>
      </c>
    </row>
    <row r="92" spans="1:8" x14ac:dyDescent="0.2">
      <c r="A92" s="3">
        <v>408090007</v>
      </c>
      <c r="B92" s="4" t="s">
        <v>463</v>
      </c>
      <c r="C92" s="4" t="s">
        <v>464</v>
      </c>
      <c r="D92" s="3">
        <v>1</v>
      </c>
      <c r="E92" s="3" t="s">
        <v>16</v>
      </c>
      <c r="F92" s="3" t="s">
        <v>293</v>
      </c>
      <c r="G92" s="3" t="s">
        <v>29</v>
      </c>
      <c r="H92" s="3" t="s">
        <v>151</v>
      </c>
    </row>
    <row r="93" spans="1:8" x14ac:dyDescent="0.2">
      <c r="A93" s="3">
        <v>3060204002</v>
      </c>
      <c r="B93" s="4" t="s">
        <v>1176</v>
      </c>
      <c r="C93" s="4" t="s">
        <v>1177</v>
      </c>
      <c r="D93" s="3">
        <v>1</v>
      </c>
      <c r="E93" s="3" t="s">
        <v>16</v>
      </c>
      <c r="F93" s="3" t="s">
        <v>289</v>
      </c>
      <c r="G93" s="3" t="s">
        <v>23</v>
      </c>
      <c r="H93" s="3" t="s">
        <v>154</v>
      </c>
    </row>
    <row r="94" spans="1:8" x14ac:dyDescent="0.2">
      <c r="A94" s="3">
        <v>3060206002</v>
      </c>
      <c r="B94" s="4" t="s">
        <v>1178</v>
      </c>
      <c r="C94" s="4" t="s">
        <v>1179</v>
      </c>
      <c r="D94" s="3">
        <v>1</v>
      </c>
      <c r="E94" s="3" t="s">
        <v>16</v>
      </c>
      <c r="F94" s="3" t="s">
        <v>289</v>
      </c>
      <c r="G94" s="3" t="s">
        <v>23</v>
      </c>
      <c r="H94" s="3" t="s">
        <v>154</v>
      </c>
    </row>
    <row r="95" spans="1:8" x14ac:dyDescent="0.2">
      <c r="A95" s="3">
        <v>3060211003</v>
      </c>
      <c r="B95" s="4" t="s">
        <v>1180</v>
      </c>
      <c r="C95" s="4" t="s">
        <v>1181</v>
      </c>
      <c r="D95" s="3">
        <v>1</v>
      </c>
      <c r="E95" s="3" t="s">
        <v>16</v>
      </c>
      <c r="F95" s="3" t="s">
        <v>289</v>
      </c>
      <c r="G95" s="3" t="s">
        <v>23</v>
      </c>
      <c r="H95" s="3" t="s">
        <v>154</v>
      </c>
    </row>
    <row r="96" spans="1:8" x14ac:dyDescent="0.2">
      <c r="A96" s="3">
        <v>3060328001</v>
      </c>
      <c r="B96" s="4" t="s">
        <v>1182</v>
      </c>
      <c r="C96" s="4" t="s">
        <v>1183</v>
      </c>
      <c r="D96" s="3">
        <v>1</v>
      </c>
      <c r="E96" s="3" t="s">
        <v>16</v>
      </c>
      <c r="F96" s="3" t="s">
        <v>289</v>
      </c>
      <c r="G96" s="3" t="s">
        <v>23</v>
      </c>
      <c r="H96" s="3" t="s">
        <v>165</v>
      </c>
    </row>
    <row r="97" spans="1:8" x14ac:dyDescent="0.2">
      <c r="A97" s="3">
        <v>3060328002</v>
      </c>
      <c r="B97" s="4" t="s">
        <v>1182</v>
      </c>
      <c r="C97" s="4" t="s">
        <v>1184</v>
      </c>
      <c r="D97" s="3">
        <v>1</v>
      </c>
      <c r="E97" s="3" t="s">
        <v>16</v>
      </c>
      <c r="F97" s="3" t="s">
        <v>289</v>
      </c>
      <c r="G97" s="3" t="s">
        <v>23</v>
      </c>
      <c r="H97" s="3" t="s">
        <v>165</v>
      </c>
    </row>
    <row r="98" spans="1:8" x14ac:dyDescent="0.2">
      <c r="A98" s="3">
        <v>3030301010</v>
      </c>
      <c r="B98" s="4" t="s">
        <v>468</v>
      </c>
      <c r="C98" s="4" t="s">
        <v>469</v>
      </c>
      <c r="D98" s="3">
        <v>4</v>
      </c>
      <c r="E98" s="3" t="s">
        <v>16</v>
      </c>
      <c r="F98" s="3" t="s">
        <v>295</v>
      </c>
      <c r="G98" s="3" t="s">
        <v>17</v>
      </c>
      <c r="H98" s="3" t="s">
        <v>165</v>
      </c>
    </row>
    <row r="99" spans="1:8" x14ac:dyDescent="0.2">
      <c r="A99" s="3">
        <v>3060347005</v>
      </c>
      <c r="B99" s="4" t="s">
        <v>470</v>
      </c>
      <c r="C99" s="4" t="s">
        <v>471</v>
      </c>
      <c r="D99" s="3">
        <v>1</v>
      </c>
      <c r="E99" s="3" t="s">
        <v>16</v>
      </c>
      <c r="F99" s="3" t="s">
        <v>291</v>
      </c>
      <c r="G99" s="3" t="s">
        <v>26</v>
      </c>
      <c r="H99" s="3" t="s">
        <v>165</v>
      </c>
    </row>
    <row r="100" spans="1:8" x14ac:dyDescent="0.2">
      <c r="A100" s="3">
        <v>3060347006</v>
      </c>
      <c r="B100" s="4" t="s">
        <v>470</v>
      </c>
      <c r="C100" s="4" t="s">
        <v>472</v>
      </c>
      <c r="D100" s="3">
        <v>1</v>
      </c>
      <c r="E100" s="3" t="s">
        <v>16</v>
      </c>
      <c r="F100" s="3" t="s">
        <v>291</v>
      </c>
      <c r="G100" s="3" t="s">
        <v>26</v>
      </c>
      <c r="H100" s="3" t="s">
        <v>165</v>
      </c>
    </row>
    <row r="101" spans="1:8" x14ac:dyDescent="0.2">
      <c r="A101" s="3">
        <v>3060324004</v>
      </c>
      <c r="B101" s="4" t="s">
        <v>1185</v>
      </c>
      <c r="C101" s="4" t="s">
        <v>1186</v>
      </c>
      <c r="D101" s="3">
        <v>1</v>
      </c>
      <c r="E101" s="3" t="s">
        <v>16</v>
      </c>
      <c r="F101" s="3" t="s">
        <v>289</v>
      </c>
      <c r="G101" s="3" t="s">
        <v>23</v>
      </c>
      <c r="H101" s="3" t="s">
        <v>165</v>
      </c>
    </row>
    <row r="102" spans="1:8" x14ac:dyDescent="0.2">
      <c r="A102" s="3">
        <v>3060404052</v>
      </c>
      <c r="B102" s="4" t="s">
        <v>729</v>
      </c>
      <c r="C102" s="4" t="s">
        <v>1187</v>
      </c>
      <c r="D102" s="3">
        <v>1</v>
      </c>
      <c r="E102" s="3" t="s">
        <v>16</v>
      </c>
      <c r="F102" s="3" t="s">
        <v>289</v>
      </c>
      <c r="G102" s="3" t="s">
        <v>23</v>
      </c>
      <c r="H102" s="3" t="s">
        <v>165</v>
      </c>
    </row>
    <row r="103" spans="1:8" x14ac:dyDescent="0.2">
      <c r="A103" s="3">
        <v>3050305022</v>
      </c>
      <c r="B103" s="4" t="s">
        <v>527</v>
      </c>
      <c r="C103" s="4" t="s">
        <v>1190</v>
      </c>
      <c r="D103" s="3">
        <v>1</v>
      </c>
      <c r="E103" s="3" t="s">
        <v>16</v>
      </c>
      <c r="F103" s="3" t="s">
        <v>291</v>
      </c>
      <c r="G103" s="3" t="s">
        <v>26</v>
      </c>
      <c r="H103" s="3" t="s">
        <v>165</v>
      </c>
    </row>
    <row r="104" spans="1:8" x14ac:dyDescent="0.2">
      <c r="A104" s="3">
        <v>3050305021</v>
      </c>
      <c r="B104" s="4" t="s">
        <v>529</v>
      </c>
      <c r="C104" s="4" t="s">
        <v>1191</v>
      </c>
      <c r="D104" s="3">
        <v>1</v>
      </c>
      <c r="E104" s="3" t="s">
        <v>16</v>
      </c>
      <c r="F104" s="3" t="s">
        <v>291</v>
      </c>
      <c r="G104" s="3" t="s">
        <v>26</v>
      </c>
      <c r="H104" s="3" t="s">
        <v>165</v>
      </c>
    </row>
    <row r="105" spans="1:8" x14ac:dyDescent="0.2">
      <c r="A105" s="3">
        <v>3110103002</v>
      </c>
      <c r="B105" s="4" t="s">
        <v>473</v>
      </c>
      <c r="C105" s="4" t="s">
        <v>474</v>
      </c>
      <c r="D105" s="3">
        <v>1</v>
      </c>
      <c r="E105" s="3" t="s">
        <v>16</v>
      </c>
      <c r="F105" s="3" t="s">
        <v>291</v>
      </c>
      <c r="G105" s="3" t="s">
        <v>26</v>
      </c>
      <c r="H105" s="3" t="s">
        <v>165</v>
      </c>
    </row>
    <row r="106" spans="1:8" x14ac:dyDescent="0.2">
      <c r="A106" s="3">
        <v>3030316006</v>
      </c>
      <c r="B106" s="4" t="s">
        <v>475</v>
      </c>
      <c r="C106" s="4" t="s">
        <v>476</v>
      </c>
      <c r="D106" s="3">
        <v>1</v>
      </c>
      <c r="E106" s="3" t="s">
        <v>16</v>
      </c>
      <c r="F106" s="3" t="s">
        <v>295</v>
      </c>
      <c r="G106" s="3" t="s">
        <v>17</v>
      </c>
      <c r="H106" s="3" t="s">
        <v>165</v>
      </c>
    </row>
    <row r="107" spans="1:8" x14ac:dyDescent="0.2">
      <c r="A107" s="3">
        <v>3030314007</v>
      </c>
      <c r="B107" s="4" t="s">
        <v>477</v>
      </c>
      <c r="C107" s="4" t="s">
        <v>478</v>
      </c>
      <c r="D107" s="3">
        <v>1</v>
      </c>
      <c r="E107" s="3" t="s">
        <v>16</v>
      </c>
      <c r="F107" s="3" t="s">
        <v>291</v>
      </c>
      <c r="G107" s="3" t="s">
        <v>26</v>
      </c>
      <c r="H107" s="3" t="s">
        <v>165</v>
      </c>
    </row>
    <row r="108" spans="1:8" x14ac:dyDescent="0.2">
      <c r="A108" s="3">
        <v>3030308014</v>
      </c>
      <c r="B108" s="4" t="s">
        <v>479</v>
      </c>
      <c r="C108" s="4" t="s">
        <v>1192</v>
      </c>
      <c r="D108" s="3">
        <v>1</v>
      </c>
      <c r="E108" s="3" t="s">
        <v>16</v>
      </c>
      <c r="F108" s="3" t="s">
        <v>291</v>
      </c>
      <c r="G108" s="3" t="s">
        <v>26</v>
      </c>
      <c r="H108" s="3" t="s">
        <v>165</v>
      </c>
    </row>
    <row r="109" spans="1:8" x14ac:dyDescent="0.2">
      <c r="A109" s="3">
        <v>3050305023</v>
      </c>
      <c r="B109" s="4" t="s">
        <v>549</v>
      </c>
      <c r="C109" s="4" t="s">
        <v>1191</v>
      </c>
      <c r="D109" s="3">
        <v>1</v>
      </c>
      <c r="E109" s="3" t="s">
        <v>16</v>
      </c>
      <c r="F109" s="3" t="s">
        <v>291</v>
      </c>
      <c r="G109" s="3" t="s">
        <v>26</v>
      </c>
      <c r="H109" s="3" t="s">
        <v>165</v>
      </c>
    </row>
    <row r="110" spans="1:8" x14ac:dyDescent="0.2">
      <c r="A110" s="3">
        <v>3050401016</v>
      </c>
      <c r="B110" s="4" t="s">
        <v>222</v>
      </c>
      <c r="C110" s="4" t="s">
        <v>1193</v>
      </c>
      <c r="D110" s="3">
        <v>1</v>
      </c>
      <c r="E110" s="3" t="s">
        <v>16</v>
      </c>
      <c r="F110" s="3" t="s">
        <v>291</v>
      </c>
      <c r="G110" s="3" t="s">
        <v>26</v>
      </c>
      <c r="H110" s="3" t="s">
        <v>165</v>
      </c>
    </row>
    <row r="111" spans="1:8" x14ac:dyDescent="0.2">
      <c r="A111" s="3">
        <v>3050310030</v>
      </c>
      <c r="B111" s="4" t="s">
        <v>480</v>
      </c>
      <c r="C111" s="4" t="s">
        <v>469</v>
      </c>
      <c r="D111" s="3">
        <v>2</v>
      </c>
      <c r="E111" s="3" t="s">
        <v>16</v>
      </c>
      <c r="F111" s="3" t="s">
        <v>291</v>
      </c>
      <c r="G111" s="3" t="s">
        <v>26</v>
      </c>
      <c r="H111" s="3" t="s">
        <v>165</v>
      </c>
    </row>
    <row r="112" spans="1:8" x14ac:dyDescent="0.2">
      <c r="A112" s="3">
        <v>3060304006</v>
      </c>
      <c r="B112" s="4" t="s">
        <v>1194</v>
      </c>
      <c r="C112" s="4" t="s">
        <v>1195</v>
      </c>
      <c r="D112" s="3">
        <v>2</v>
      </c>
      <c r="E112" s="3" t="s">
        <v>16</v>
      </c>
      <c r="F112" s="3" t="s">
        <v>289</v>
      </c>
      <c r="G112" s="3" t="s">
        <v>23</v>
      </c>
      <c r="H112" s="3" t="s">
        <v>173</v>
      </c>
    </row>
    <row r="113" spans="1:8" x14ac:dyDescent="0.2">
      <c r="A113" s="3">
        <v>3060304005</v>
      </c>
      <c r="B113" s="4" t="s">
        <v>1194</v>
      </c>
      <c r="C113" s="4" t="s">
        <v>1196</v>
      </c>
      <c r="D113" s="3">
        <v>1</v>
      </c>
      <c r="E113" s="3" t="s">
        <v>16</v>
      </c>
      <c r="F113" s="3" t="s">
        <v>289</v>
      </c>
      <c r="G113" s="3" t="s">
        <v>23</v>
      </c>
      <c r="H113" s="3" t="s">
        <v>173</v>
      </c>
    </row>
    <row r="114" spans="1:8" x14ac:dyDescent="0.2">
      <c r="A114" s="3">
        <v>3050305013</v>
      </c>
      <c r="B114" s="4" t="s">
        <v>484</v>
      </c>
      <c r="C114" s="4" t="s">
        <v>485</v>
      </c>
      <c r="D114" s="3">
        <v>1</v>
      </c>
      <c r="E114" s="3" t="s">
        <v>16</v>
      </c>
      <c r="F114" s="3" t="s">
        <v>291</v>
      </c>
      <c r="G114" s="3" t="s">
        <v>26</v>
      </c>
      <c r="H114" s="3" t="s">
        <v>173</v>
      </c>
    </row>
    <row r="115" spans="1:8" x14ac:dyDescent="0.2">
      <c r="A115" s="3">
        <v>3040305001</v>
      </c>
      <c r="B115" s="4" t="s">
        <v>486</v>
      </c>
      <c r="C115" s="4" t="s">
        <v>1197</v>
      </c>
      <c r="D115" s="3">
        <v>2</v>
      </c>
      <c r="E115" s="3" t="s">
        <v>16</v>
      </c>
      <c r="F115" s="3" t="s">
        <v>293</v>
      </c>
      <c r="G115" s="3" t="s">
        <v>29</v>
      </c>
      <c r="H115" s="3" t="s">
        <v>173</v>
      </c>
    </row>
    <row r="116" spans="1:8" x14ac:dyDescent="0.2">
      <c r="A116" s="3">
        <v>3040313002</v>
      </c>
      <c r="B116" s="4" t="s">
        <v>488</v>
      </c>
      <c r="C116" s="4" t="s">
        <v>489</v>
      </c>
      <c r="D116" s="3">
        <v>8</v>
      </c>
      <c r="E116" s="3" t="s">
        <v>16</v>
      </c>
      <c r="F116" s="3" t="s">
        <v>293</v>
      </c>
      <c r="G116" s="3" t="s">
        <v>29</v>
      </c>
      <c r="H116" s="3" t="s">
        <v>173</v>
      </c>
    </row>
    <row r="117" spans="1:8" x14ac:dyDescent="0.2">
      <c r="A117" s="3">
        <v>3040321001</v>
      </c>
      <c r="B117" s="4" t="s">
        <v>490</v>
      </c>
      <c r="C117" s="4" t="s">
        <v>347</v>
      </c>
      <c r="D117" s="3">
        <v>8</v>
      </c>
      <c r="E117" s="3" t="s">
        <v>16</v>
      </c>
      <c r="F117" s="3" t="s">
        <v>293</v>
      </c>
      <c r="G117" s="3" t="s">
        <v>29</v>
      </c>
      <c r="H117" s="3" t="s">
        <v>173</v>
      </c>
    </row>
    <row r="118" spans="1:8" x14ac:dyDescent="0.2">
      <c r="A118" s="3">
        <v>3040309001</v>
      </c>
      <c r="B118" s="4" t="s">
        <v>346</v>
      </c>
      <c r="C118" s="4" t="s">
        <v>347</v>
      </c>
      <c r="D118" s="3">
        <v>4</v>
      </c>
      <c r="E118" s="3" t="s">
        <v>16</v>
      </c>
      <c r="F118" s="3" t="s">
        <v>293</v>
      </c>
      <c r="G118" s="3" t="s">
        <v>29</v>
      </c>
      <c r="H118" s="3" t="s">
        <v>173</v>
      </c>
    </row>
    <row r="119" spans="1:8" x14ac:dyDescent="0.2">
      <c r="A119" s="3">
        <v>3050304007</v>
      </c>
      <c r="B119" s="4" t="s">
        <v>181</v>
      </c>
      <c r="C119" s="4" t="s">
        <v>1198</v>
      </c>
      <c r="D119" s="3">
        <v>1</v>
      </c>
      <c r="E119" s="3" t="s">
        <v>16</v>
      </c>
      <c r="F119" s="3" t="s">
        <v>291</v>
      </c>
      <c r="G119" s="3" t="s">
        <v>26</v>
      </c>
      <c r="H119" s="3" t="s">
        <v>173</v>
      </c>
    </row>
    <row r="120" spans="1:8" x14ac:dyDescent="0.2">
      <c r="A120" s="3">
        <v>3020501004</v>
      </c>
      <c r="B120" s="4" t="s">
        <v>183</v>
      </c>
      <c r="C120" s="4" t="s">
        <v>761</v>
      </c>
      <c r="D120" s="3">
        <v>1</v>
      </c>
      <c r="E120" s="3" t="s">
        <v>16</v>
      </c>
      <c r="F120" s="3" t="s">
        <v>291</v>
      </c>
      <c r="G120" s="3" t="s">
        <v>26</v>
      </c>
      <c r="H120" s="3" t="s">
        <v>185</v>
      </c>
    </row>
    <row r="121" spans="1:8" x14ac:dyDescent="0.2">
      <c r="A121" s="3">
        <v>3030204003</v>
      </c>
      <c r="B121" s="4" t="s">
        <v>492</v>
      </c>
      <c r="C121" s="4" t="s">
        <v>493</v>
      </c>
      <c r="D121" s="3">
        <v>2</v>
      </c>
      <c r="E121" s="3" t="s">
        <v>16</v>
      </c>
      <c r="F121" s="3" t="s">
        <v>295</v>
      </c>
      <c r="G121" s="3" t="s">
        <v>17</v>
      </c>
      <c r="H121" s="3" t="s">
        <v>494</v>
      </c>
    </row>
    <row r="122" spans="1:8" x14ac:dyDescent="0.2">
      <c r="A122" s="3">
        <v>3110201001</v>
      </c>
      <c r="B122" s="4" t="s">
        <v>186</v>
      </c>
      <c r="C122" s="4" t="s">
        <v>1199</v>
      </c>
      <c r="D122" s="3">
        <v>1</v>
      </c>
      <c r="E122" s="3" t="s">
        <v>16</v>
      </c>
      <c r="F122" s="3" t="s">
        <v>295</v>
      </c>
      <c r="G122" s="3" t="s">
        <v>17</v>
      </c>
      <c r="H122" s="3" t="s">
        <v>187</v>
      </c>
    </row>
    <row r="123" spans="1:8" x14ac:dyDescent="0.2">
      <c r="A123" s="3">
        <v>3110202001</v>
      </c>
      <c r="B123" s="4" t="s">
        <v>188</v>
      </c>
      <c r="C123" s="4" t="s">
        <v>1199</v>
      </c>
      <c r="D123" s="3">
        <v>1</v>
      </c>
      <c r="E123" s="3" t="s">
        <v>16</v>
      </c>
      <c r="F123" s="3" t="s">
        <v>295</v>
      </c>
      <c r="G123" s="3" t="s">
        <v>17</v>
      </c>
      <c r="H123" s="3" t="s">
        <v>187</v>
      </c>
    </row>
    <row r="124" spans="1:8" x14ac:dyDescent="0.2">
      <c r="A124" s="3">
        <v>3110203001</v>
      </c>
      <c r="B124" s="4" t="s">
        <v>189</v>
      </c>
      <c r="C124" s="4" t="s">
        <v>1199</v>
      </c>
      <c r="D124" s="3">
        <v>1</v>
      </c>
      <c r="E124" s="3" t="s">
        <v>16</v>
      </c>
      <c r="F124" s="3" t="s">
        <v>295</v>
      </c>
      <c r="G124" s="3" t="s">
        <v>17</v>
      </c>
      <c r="H124" s="3" t="s">
        <v>187</v>
      </c>
    </row>
    <row r="125" spans="1:8" x14ac:dyDescent="0.2">
      <c r="A125" s="3">
        <v>3050405001</v>
      </c>
      <c r="B125" s="4" t="s">
        <v>496</v>
      </c>
      <c r="C125" s="4" t="s">
        <v>497</v>
      </c>
      <c r="D125" s="3">
        <v>1</v>
      </c>
      <c r="E125" s="3" t="s">
        <v>16</v>
      </c>
      <c r="F125" s="3" t="s">
        <v>291</v>
      </c>
      <c r="G125" s="3" t="s">
        <v>26</v>
      </c>
      <c r="H125" s="3" t="s">
        <v>192</v>
      </c>
    </row>
    <row r="126" spans="1:8" x14ac:dyDescent="0.2">
      <c r="A126" s="3">
        <v>3030402006</v>
      </c>
      <c r="B126" s="4" t="s">
        <v>498</v>
      </c>
      <c r="C126" s="4" t="s">
        <v>1124</v>
      </c>
      <c r="D126" s="3">
        <v>1</v>
      </c>
      <c r="E126" s="3" t="s">
        <v>16</v>
      </c>
      <c r="F126" s="3" t="s">
        <v>295</v>
      </c>
      <c r="G126" s="3" t="s">
        <v>17</v>
      </c>
      <c r="H126" s="3" t="s">
        <v>192</v>
      </c>
    </row>
    <row r="127" spans="1:8" x14ac:dyDescent="0.2">
      <c r="A127" s="3">
        <v>3040402005</v>
      </c>
      <c r="B127" s="4" t="s">
        <v>500</v>
      </c>
      <c r="C127" s="4" t="s">
        <v>501</v>
      </c>
      <c r="D127" s="3">
        <v>1</v>
      </c>
      <c r="E127" s="3" t="s">
        <v>16</v>
      </c>
      <c r="F127" s="3" t="s">
        <v>293</v>
      </c>
      <c r="G127" s="3" t="s">
        <v>29</v>
      </c>
      <c r="H127" s="3" t="s">
        <v>192</v>
      </c>
    </row>
    <row r="128" spans="1:8" x14ac:dyDescent="0.2">
      <c r="A128" s="3">
        <v>3040402006</v>
      </c>
      <c r="B128" s="4" t="s">
        <v>500</v>
      </c>
      <c r="C128" s="4" t="s">
        <v>502</v>
      </c>
      <c r="D128" s="3">
        <v>1</v>
      </c>
      <c r="E128" s="3" t="s">
        <v>16</v>
      </c>
      <c r="F128" s="3" t="s">
        <v>293</v>
      </c>
      <c r="G128" s="3" t="s">
        <v>29</v>
      </c>
      <c r="H128" s="3" t="s">
        <v>192</v>
      </c>
    </row>
    <row r="129" spans="1:8" x14ac:dyDescent="0.2">
      <c r="A129" s="3">
        <v>404100037</v>
      </c>
      <c r="B129" s="4" t="s">
        <v>1201</v>
      </c>
      <c r="C129" s="4" t="s">
        <v>1202</v>
      </c>
      <c r="D129" s="3">
        <v>1</v>
      </c>
      <c r="E129" s="3" t="s">
        <v>16</v>
      </c>
      <c r="F129" s="3" t="s">
        <v>301</v>
      </c>
      <c r="G129" s="3" t="s">
        <v>32</v>
      </c>
      <c r="H129" s="3" t="s">
        <v>198</v>
      </c>
    </row>
    <row r="130" spans="1:8" x14ac:dyDescent="0.2">
      <c r="A130" s="3">
        <v>404100039</v>
      </c>
      <c r="B130" s="4" t="s">
        <v>196</v>
      </c>
      <c r="C130" s="4" t="s">
        <v>1203</v>
      </c>
      <c r="D130" s="3">
        <v>1</v>
      </c>
      <c r="E130" s="3" t="s">
        <v>16</v>
      </c>
      <c r="F130" s="3" t="s">
        <v>301</v>
      </c>
      <c r="G130" s="3" t="s">
        <v>32</v>
      </c>
      <c r="H130" s="3" t="s">
        <v>198</v>
      </c>
    </row>
    <row r="131" spans="1:8" x14ac:dyDescent="0.2">
      <c r="A131" s="3">
        <v>404110008</v>
      </c>
      <c r="B131" s="4" t="s">
        <v>504</v>
      </c>
      <c r="C131" s="4" t="s">
        <v>505</v>
      </c>
      <c r="D131" s="3">
        <v>2</v>
      </c>
      <c r="E131" s="3" t="s">
        <v>16</v>
      </c>
      <c r="F131" s="3" t="s">
        <v>291</v>
      </c>
      <c r="G131" s="3" t="s">
        <v>26</v>
      </c>
      <c r="H131" s="3" t="s">
        <v>198</v>
      </c>
    </row>
    <row r="132" spans="1:8" x14ac:dyDescent="0.2">
      <c r="A132" s="3">
        <v>404110001</v>
      </c>
      <c r="B132" s="4" t="s">
        <v>504</v>
      </c>
      <c r="C132" s="4" t="s">
        <v>506</v>
      </c>
      <c r="D132" s="3">
        <v>1</v>
      </c>
      <c r="E132" s="3" t="s">
        <v>16</v>
      </c>
      <c r="F132" s="3" t="s">
        <v>291</v>
      </c>
      <c r="G132" s="3" t="s">
        <v>26</v>
      </c>
      <c r="H132" s="3" t="s">
        <v>198</v>
      </c>
    </row>
    <row r="133" spans="1:8" x14ac:dyDescent="0.2">
      <c r="A133" s="3">
        <v>404100025</v>
      </c>
      <c r="B133" s="4" t="s">
        <v>1093</v>
      </c>
      <c r="C133" s="4" t="s">
        <v>1094</v>
      </c>
      <c r="D133" s="3">
        <v>1</v>
      </c>
      <c r="E133" s="3" t="s">
        <v>16</v>
      </c>
      <c r="F133" s="3" t="s">
        <v>301</v>
      </c>
      <c r="G133" s="3" t="s">
        <v>32</v>
      </c>
      <c r="H133" s="3" t="s">
        <v>198</v>
      </c>
    </row>
    <row r="134" spans="1:8" x14ac:dyDescent="0.2">
      <c r="A134" s="3">
        <v>403030054</v>
      </c>
      <c r="B134" s="4" t="s">
        <v>801</v>
      </c>
      <c r="C134" s="4" t="s">
        <v>1205</v>
      </c>
      <c r="D134" s="3">
        <v>1</v>
      </c>
      <c r="E134" s="3" t="s">
        <v>16</v>
      </c>
      <c r="F134" s="3" t="s">
        <v>301</v>
      </c>
      <c r="G134" s="3" t="s">
        <v>32</v>
      </c>
      <c r="H134" s="3" t="s">
        <v>198</v>
      </c>
    </row>
    <row r="135" spans="1:8" x14ac:dyDescent="0.2">
      <c r="A135" s="3">
        <v>403030012</v>
      </c>
      <c r="B135" s="4" t="s">
        <v>366</v>
      </c>
      <c r="C135" s="4" t="s">
        <v>507</v>
      </c>
      <c r="D135" s="3">
        <v>2</v>
      </c>
      <c r="E135" s="3" t="s">
        <v>16</v>
      </c>
      <c r="F135" s="3" t="s">
        <v>291</v>
      </c>
      <c r="G135" s="3" t="s">
        <v>26</v>
      </c>
      <c r="H135" s="3" t="s">
        <v>198</v>
      </c>
    </row>
    <row r="136" spans="1:8" x14ac:dyDescent="0.2">
      <c r="A136" s="3">
        <v>401070022</v>
      </c>
      <c r="B136" s="4" t="s">
        <v>35</v>
      </c>
      <c r="C136" s="4" t="s">
        <v>203</v>
      </c>
      <c r="D136" s="3">
        <v>1</v>
      </c>
      <c r="E136" s="3" t="s">
        <v>16</v>
      </c>
      <c r="F136" s="3" t="s">
        <v>301</v>
      </c>
      <c r="G136" s="3" t="s">
        <v>32</v>
      </c>
      <c r="H136" s="3" t="s">
        <v>198</v>
      </c>
    </row>
    <row r="137" spans="1:8" x14ac:dyDescent="0.2">
      <c r="A137" s="3">
        <v>401070018</v>
      </c>
      <c r="B137" s="4" t="s">
        <v>35</v>
      </c>
      <c r="C137" s="4" t="s">
        <v>202</v>
      </c>
      <c r="D137" s="3">
        <v>1</v>
      </c>
      <c r="E137" s="3" t="s">
        <v>16</v>
      </c>
      <c r="F137" s="3" t="s">
        <v>291</v>
      </c>
      <c r="G137" s="3" t="s">
        <v>26</v>
      </c>
      <c r="H137" s="3" t="s">
        <v>198</v>
      </c>
    </row>
    <row r="138" spans="1:8" x14ac:dyDescent="0.2">
      <c r="A138" s="3">
        <v>404100041</v>
      </c>
      <c r="B138" s="4" t="s">
        <v>205</v>
      </c>
      <c r="C138" s="4" t="s">
        <v>1206</v>
      </c>
      <c r="D138" s="3">
        <v>1</v>
      </c>
      <c r="E138" s="3" t="s">
        <v>16</v>
      </c>
      <c r="F138" s="3" t="s">
        <v>291</v>
      </c>
      <c r="G138" s="3" t="s">
        <v>26</v>
      </c>
      <c r="H138" s="3" t="s">
        <v>198</v>
      </c>
    </row>
    <row r="139" spans="1:8" x14ac:dyDescent="0.2">
      <c r="A139" s="3">
        <v>404100040</v>
      </c>
      <c r="B139" s="4" t="s">
        <v>207</v>
      </c>
      <c r="C139" s="4" t="s">
        <v>1207</v>
      </c>
      <c r="D139" s="3">
        <v>1</v>
      </c>
      <c r="E139" s="3" t="s">
        <v>16</v>
      </c>
      <c r="F139" s="3" t="s">
        <v>291</v>
      </c>
      <c r="G139" s="3" t="s">
        <v>26</v>
      </c>
      <c r="H139" s="3" t="s">
        <v>198</v>
      </c>
    </row>
    <row r="140" spans="1:8" x14ac:dyDescent="0.2">
      <c r="A140" s="3">
        <v>3069904001</v>
      </c>
      <c r="B140" s="4" t="s">
        <v>514</v>
      </c>
      <c r="C140" s="4" t="s">
        <v>355</v>
      </c>
      <c r="D140" s="3">
        <v>4</v>
      </c>
      <c r="E140" s="3" t="s">
        <v>16</v>
      </c>
      <c r="F140" s="3" t="s">
        <v>295</v>
      </c>
      <c r="G140" s="3" t="s">
        <v>17</v>
      </c>
      <c r="H140" s="3" t="s">
        <v>214</v>
      </c>
    </row>
    <row r="141" spans="1:8" x14ac:dyDescent="0.2">
      <c r="A141" s="3">
        <v>3030201003</v>
      </c>
      <c r="B141" s="4" t="s">
        <v>515</v>
      </c>
      <c r="C141" s="4" t="s">
        <v>516</v>
      </c>
      <c r="D141" s="3">
        <v>1</v>
      </c>
      <c r="E141" s="3" t="s">
        <v>16</v>
      </c>
      <c r="F141" s="3" t="s">
        <v>295</v>
      </c>
      <c r="G141" s="3" t="s">
        <v>17</v>
      </c>
      <c r="H141" s="3" t="s">
        <v>214</v>
      </c>
    </row>
    <row r="142" spans="1:8" x14ac:dyDescent="0.2">
      <c r="A142" s="3">
        <v>3049903001</v>
      </c>
      <c r="B142" s="4" t="s">
        <v>517</v>
      </c>
      <c r="C142" s="4" t="s">
        <v>355</v>
      </c>
      <c r="D142" s="3">
        <v>2</v>
      </c>
      <c r="E142" s="3" t="s">
        <v>16</v>
      </c>
      <c r="F142" s="3" t="s">
        <v>293</v>
      </c>
      <c r="G142" s="3" t="s">
        <v>29</v>
      </c>
      <c r="H142" s="3" t="s">
        <v>214</v>
      </c>
    </row>
    <row r="143" spans="1:8" x14ac:dyDescent="0.2">
      <c r="A143" s="3">
        <v>3049904001</v>
      </c>
      <c r="B143" s="4" t="s">
        <v>354</v>
      </c>
      <c r="C143" s="4" t="s">
        <v>355</v>
      </c>
      <c r="D143" s="3">
        <v>4</v>
      </c>
      <c r="E143" s="3" t="s">
        <v>16</v>
      </c>
      <c r="F143" s="3" t="s">
        <v>293</v>
      </c>
      <c r="G143" s="3" t="s">
        <v>29</v>
      </c>
      <c r="H143" s="3" t="s">
        <v>214</v>
      </c>
    </row>
    <row r="144" spans="1:8" x14ac:dyDescent="0.2">
      <c r="A144" s="3">
        <v>3049902001</v>
      </c>
      <c r="B144" s="4" t="s">
        <v>518</v>
      </c>
      <c r="C144" s="4" t="s">
        <v>355</v>
      </c>
      <c r="D144" s="3">
        <v>2</v>
      </c>
      <c r="E144" s="3" t="s">
        <v>16</v>
      </c>
      <c r="F144" s="3" t="s">
        <v>293</v>
      </c>
      <c r="G144" s="3" t="s">
        <v>29</v>
      </c>
      <c r="H144" s="3" t="s">
        <v>214</v>
      </c>
    </row>
    <row r="145" spans="1:8" x14ac:dyDescent="0.2">
      <c r="A145" s="3">
        <v>3050204001</v>
      </c>
      <c r="B145" s="4" t="s">
        <v>519</v>
      </c>
      <c r="C145" s="4" t="s">
        <v>355</v>
      </c>
      <c r="D145" s="3">
        <v>2</v>
      </c>
      <c r="E145" s="3" t="s">
        <v>16</v>
      </c>
      <c r="F145" s="3" t="s">
        <v>291</v>
      </c>
      <c r="G145" s="3" t="s">
        <v>26</v>
      </c>
      <c r="H145" s="3" t="s">
        <v>214</v>
      </c>
    </row>
    <row r="146" spans="1:8" x14ac:dyDescent="0.2">
      <c r="A146" s="3">
        <v>3050204002</v>
      </c>
      <c r="B146" s="4" t="s">
        <v>520</v>
      </c>
      <c r="C146" s="4" t="s">
        <v>355</v>
      </c>
      <c r="D146" s="3">
        <v>2</v>
      </c>
      <c r="E146" s="3" t="s">
        <v>16</v>
      </c>
      <c r="F146" s="3" t="s">
        <v>291</v>
      </c>
      <c r="G146" s="3" t="s">
        <v>26</v>
      </c>
      <c r="H146" s="3" t="s">
        <v>214</v>
      </c>
    </row>
    <row r="147" spans="1:8" x14ac:dyDescent="0.2">
      <c r="A147" s="3">
        <v>3060403034</v>
      </c>
      <c r="B147" s="4" t="s">
        <v>190</v>
      </c>
      <c r="C147" s="4" t="s">
        <v>521</v>
      </c>
      <c r="D147" s="3">
        <v>1</v>
      </c>
      <c r="E147" s="3" t="s">
        <v>16</v>
      </c>
      <c r="F147" s="3" t="s">
        <v>295</v>
      </c>
      <c r="G147" s="3" t="s">
        <v>17</v>
      </c>
      <c r="H147" s="3" t="s">
        <v>221</v>
      </c>
    </row>
    <row r="148" spans="1:8" x14ac:dyDescent="0.2">
      <c r="A148" s="3">
        <v>403030051</v>
      </c>
      <c r="B148" s="4" t="s">
        <v>366</v>
      </c>
      <c r="C148" s="4" t="s">
        <v>367</v>
      </c>
      <c r="D148" s="3">
        <v>3</v>
      </c>
      <c r="E148" s="3" t="s">
        <v>16</v>
      </c>
      <c r="F148" s="3" t="s">
        <v>301</v>
      </c>
      <c r="G148" s="3" t="s">
        <v>32</v>
      </c>
      <c r="H148" s="3" t="s">
        <v>221</v>
      </c>
    </row>
    <row r="149" spans="1:8" x14ac:dyDescent="0.2">
      <c r="A149" s="3">
        <v>403030005</v>
      </c>
      <c r="B149" s="4" t="s">
        <v>366</v>
      </c>
      <c r="C149" s="4" t="s">
        <v>368</v>
      </c>
      <c r="D149" s="3">
        <v>2</v>
      </c>
      <c r="E149" s="3" t="s">
        <v>16</v>
      </c>
      <c r="F149" s="3" t="s">
        <v>301</v>
      </c>
      <c r="G149" s="3" t="s">
        <v>32</v>
      </c>
      <c r="H149" s="3" t="s">
        <v>221</v>
      </c>
    </row>
    <row r="150" spans="1:8" x14ac:dyDescent="0.2">
      <c r="A150" s="3">
        <v>408120041</v>
      </c>
      <c r="B150" s="4" t="s">
        <v>525</v>
      </c>
      <c r="C150" s="4" t="s">
        <v>1208</v>
      </c>
      <c r="D150" s="3">
        <v>2</v>
      </c>
      <c r="E150" s="3" t="s">
        <v>16</v>
      </c>
      <c r="F150" s="3" t="s">
        <v>289</v>
      </c>
      <c r="G150" s="3" t="s">
        <v>23</v>
      </c>
      <c r="H150" s="3" t="s">
        <v>524</v>
      </c>
    </row>
    <row r="151" spans="1:8" x14ac:dyDescent="0.2">
      <c r="A151" s="3">
        <v>408120039</v>
      </c>
      <c r="B151" s="4" t="s">
        <v>525</v>
      </c>
      <c r="C151" s="4" t="s">
        <v>1209</v>
      </c>
      <c r="D151" s="3">
        <v>1</v>
      </c>
      <c r="E151" s="3" t="s">
        <v>16</v>
      </c>
      <c r="F151" s="3" t="s">
        <v>289</v>
      </c>
      <c r="G151" s="3" t="s">
        <v>23</v>
      </c>
      <c r="H151" s="3" t="s">
        <v>524</v>
      </c>
    </row>
    <row r="152" spans="1:8" x14ac:dyDescent="0.2">
      <c r="A152" s="3">
        <v>408120032</v>
      </c>
      <c r="B152" s="4" t="s">
        <v>525</v>
      </c>
      <c r="C152" s="4" t="s">
        <v>1210</v>
      </c>
      <c r="D152" s="3">
        <v>23</v>
      </c>
      <c r="E152" s="3" t="s">
        <v>16</v>
      </c>
      <c r="F152" s="3" t="s">
        <v>289</v>
      </c>
      <c r="G152" s="3" t="s">
        <v>23</v>
      </c>
      <c r="H152" s="3" t="s">
        <v>524</v>
      </c>
    </row>
    <row r="153" spans="1:8" x14ac:dyDescent="0.2">
      <c r="A153" s="3">
        <v>408120032</v>
      </c>
      <c r="B153" s="4" t="s">
        <v>525</v>
      </c>
      <c r="C153" s="4" t="s">
        <v>1210</v>
      </c>
      <c r="D153" s="3">
        <v>6</v>
      </c>
      <c r="E153" s="3" t="s">
        <v>16</v>
      </c>
      <c r="F153" s="3" t="s">
        <v>317</v>
      </c>
      <c r="G153" s="3" t="s">
        <v>318</v>
      </c>
      <c r="H153" s="3" t="s">
        <v>524</v>
      </c>
    </row>
    <row r="154" spans="1:8" x14ac:dyDescent="0.2">
      <c r="A154" s="3">
        <v>408120037</v>
      </c>
      <c r="B154" s="4" t="s">
        <v>525</v>
      </c>
      <c r="C154" s="4" t="s">
        <v>1211</v>
      </c>
      <c r="D154" s="3">
        <v>2</v>
      </c>
      <c r="E154" s="3" t="s">
        <v>16</v>
      </c>
      <c r="F154" s="3" t="s">
        <v>291</v>
      </c>
      <c r="G154" s="3" t="s">
        <v>26</v>
      </c>
      <c r="H154" s="3" t="s">
        <v>524</v>
      </c>
    </row>
    <row r="155" spans="1:8" x14ac:dyDescent="0.2">
      <c r="A155" s="3">
        <v>407010082</v>
      </c>
      <c r="B155" s="4" t="s">
        <v>149</v>
      </c>
      <c r="C155" s="4" t="s">
        <v>1262</v>
      </c>
      <c r="D155" s="3">
        <v>1</v>
      </c>
      <c r="E155" s="3" t="s">
        <v>16</v>
      </c>
      <c r="F155" s="3" t="s">
        <v>289</v>
      </c>
      <c r="G155" s="3" t="s">
        <v>23</v>
      </c>
      <c r="H155" s="3" t="s">
        <v>524</v>
      </c>
    </row>
    <row r="156" spans="1:8" x14ac:dyDescent="0.2">
      <c r="A156" s="3">
        <v>3060501010</v>
      </c>
      <c r="B156" s="4" t="s">
        <v>1213</v>
      </c>
      <c r="C156" s="4" t="s">
        <v>1214</v>
      </c>
      <c r="D156" s="3">
        <v>1</v>
      </c>
      <c r="E156" s="3" t="s">
        <v>16</v>
      </c>
      <c r="F156" s="3" t="s">
        <v>289</v>
      </c>
      <c r="G156" s="3" t="s">
        <v>23</v>
      </c>
      <c r="H156" s="3" t="s">
        <v>226</v>
      </c>
    </row>
    <row r="157" spans="1:8" x14ac:dyDescent="0.2">
      <c r="A157" s="3">
        <v>3060350003</v>
      </c>
      <c r="B157" s="4" t="s">
        <v>1215</v>
      </c>
      <c r="C157" s="4" t="s">
        <v>1216</v>
      </c>
      <c r="D157" s="3">
        <v>1</v>
      </c>
      <c r="E157" s="3" t="s">
        <v>16</v>
      </c>
      <c r="F157" s="3" t="s">
        <v>289</v>
      </c>
      <c r="G157" s="3" t="s">
        <v>23</v>
      </c>
      <c r="H157" s="3" t="s">
        <v>226</v>
      </c>
    </row>
    <row r="158" spans="1:8" x14ac:dyDescent="0.2">
      <c r="A158" s="3">
        <v>3060353007</v>
      </c>
      <c r="B158" s="4" t="s">
        <v>1217</v>
      </c>
      <c r="C158" s="4" t="s">
        <v>1218</v>
      </c>
      <c r="D158" s="3">
        <v>1</v>
      </c>
      <c r="E158" s="3" t="s">
        <v>16</v>
      </c>
      <c r="F158" s="3" t="s">
        <v>289</v>
      </c>
      <c r="G158" s="3" t="s">
        <v>23</v>
      </c>
      <c r="H158" s="3" t="s">
        <v>226</v>
      </c>
    </row>
    <row r="159" spans="1:8" x14ac:dyDescent="0.2">
      <c r="A159" s="3">
        <v>3060316001</v>
      </c>
      <c r="B159" s="4" t="s">
        <v>1219</v>
      </c>
      <c r="C159" s="4" t="s">
        <v>1220</v>
      </c>
      <c r="D159" s="3">
        <v>1</v>
      </c>
      <c r="E159" s="3" t="s">
        <v>16</v>
      </c>
      <c r="F159" s="3" t="s">
        <v>289</v>
      </c>
      <c r="G159" s="3" t="s">
        <v>23</v>
      </c>
      <c r="H159" s="3" t="s">
        <v>226</v>
      </c>
    </row>
    <row r="160" spans="1:8" x14ac:dyDescent="0.2">
      <c r="A160" s="3">
        <v>3030309016</v>
      </c>
      <c r="B160" s="4" t="s">
        <v>531</v>
      </c>
      <c r="C160" s="4" t="s">
        <v>1221</v>
      </c>
      <c r="D160" s="3">
        <v>1</v>
      </c>
      <c r="E160" s="3" t="s">
        <v>16</v>
      </c>
      <c r="F160" s="3" t="s">
        <v>291</v>
      </c>
      <c r="G160" s="3" t="s">
        <v>26</v>
      </c>
      <c r="H160" s="3" t="s">
        <v>226</v>
      </c>
    </row>
    <row r="161" spans="1:8" x14ac:dyDescent="0.2">
      <c r="A161" s="3">
        <v>3030302002</v>
      </c>
      <c r="B161" s="4" t="s">
        <v>533</v>
      </c>
      <c r="C161" s="4" t="s">
        <v>534</v>
      </c>
      <c r="D161" s="3">
        <v>1</v>
      </c>
      <c r="E161" s="3" t="s">
        <v>16</v>
      </c>
      <c r="F161" s="3" t="s">
        <v>295</v>
      </c>
      <c r="G161" s="3" t="s">
        <v>17</v>
      </c>
      <c r="H161" s="3" t="s">
        <v>226</v>
      </c>
    </row>
    <row r="162" spans="1:8" x14ac:dyDescent="0.2">
      <c r="A162" s="3">
        <v>3030306012</v>
      </c>
      <c r="B162" s="4" t="s">
        <v>535</v>
      </c>
      <c r="C162" s="4" t="s">
        <v>536</v>
      </c>
      <c r="D162" s="3">
        <v>1</v>
      </c>
      <c r="E162" s="3" t="s">
        <v>16</v>
      </c>
      <c r="F162" s="3" t="s">
        <v>295</v>
      </c>
      <c r="G162" s="3" t="s">
        <v>17</v>
      </c>
      <c r="H162" s="3" t="s">
        <v>226</v>
      </c>
    </row>
    <row r="163" spans="1:8" x14ac:dyDescent="0.2">
      <c r="A163" s="3">
        <v>3030306011</v>
      </c>
      <c r="B163" s="4" t="s">
        <v>537</v>
      </c>
      <c r="C163" s="4" t="s">
        <v>536</v>
      </c>
      <c r="D163" s="3">
        <v>1</v>
      </c>
      <c r="E163" s="3" t="s">
        <v>16</v>
      </c>
      <c r="F163" s="3" t="s">
        <v>295</v>
      </c>
      <c r="G163" s="3" t="s">
        <v>17</v>
      </c>
      <c r="H163" s="3" t="s">
        <v>226</v>
      </c>
    </row>
    <row r="164" spans="1:8" x14ac:dyDescent="0.2">
      <c r="A164" s="3">
        <v>3030303024</v>
      </c>
      <c r="B164" s="4" t="s">
        <v>175</v>
      </c>
      <c r="C164" s="4" t="s">
        <v>1222</v>
      </c>
      <c r="D164" s="3">
        <v>1</v>
      </c>
      <c r="E164" s="3" t="s">
        <v>16</v>
      </c>
      <c r="F164" s="3" t="s">
        <v>295</v>
      </c>
      <c r="G164" s="3" t="s">
        <v>17</v>
      </c>
      <c r="H164" s="3" t="s">
        <v>226</v>
      </c>
    </row>
    <row r="165" spans="1:8" x14ac:dyDescent="0.2">
      <c r="A165" s="3">
        <v>3030305002</v>
      </c>
      <c r="B165" s="4" t="s">
        <v>511</v>
      </c>
      <c r="C165" s="4" t="s">
        <v>1223</v>
      </c>
      <c r="D165" s="3">
        <v>1</v>
      </c>
      <c r="E165" s="3" t="s">
        <v>16</v>
      </c>
      <c r="F165" s="3" t="s">
        <v>295</v>
      </c>
      <c r="G165" s="3" t="s">
        <v>17</v>
      </c>
      <c r="H165" s="3" t="s">
        <v>226</v>
      </c>
    </row>
    <row r="166" spans="1:8" x14ac:dyDescent="0.2">
      <c r="A166" s="3">
        <v>3030305004</v>
      </c>
      <c r="B166" s="4" t="s">
        <v>513</v>
      </c>
      <c r="C166" s="4" t="s">
        <v>1223</v>
      </c>
      <c r="D166" s="3">
        <v>1</v>
      </c>
      <c r="E166" s="3" t="s">
        <v>16</v>
      </c>
      <c r="F166" s="3" t="s">
        <v>295</v>
      </c>
      <c r="G166" s="3" t="s">
        <v>17</v>
      </c>
      <c r="H166" s="3" t="s">
        <v>226</v>
      </c>
    </row>
    <row r="167" spans="1:8" x14ac:dyDescent="0.2">
      <c r="A167" s="3">
        <v>3030305005</v>
      </c>
      <c r="B167" s="4" t="s">
        <v>539</v>
      </c>
      <c r="C167" s="4" t="s">
        <v>1224</v>
      </c>
      <c r="D167" s="3">
        <v>1</v>
      </c>
      <c r="E167" s="3" t="s">
        <v>16</v>
      </c>
      <c r="F167" s="3" t="s">
        <v>295</v>
      </c>
      <c r="G167" s="3" t="s">
        <v>17</v>
      </c>
      <c r="H167" s="3" t="s">
        <v>226</v>
      </c>
    </row>
    <row r="168" spans="1:8" x14ac:dyDescent="0.2">
      <c r="A168" s="3">
        <v>3040312012</v>
      </c>
      <c r="B168" s="4" t="s">
        <v>263</v>
      </c>
      <c r="C168" s="4" t="s">
        <v>541</v>
      </c>
      <c r="D168" s="3">
        <v>2</v>
      </c>
      <c r="E168" s="3" t="s">
        <v>16</v>
      </c>
      <c r="F168" s="3" t="s">
        <v>293</v>
      </c>
      <c r="G168" s="3" t="s">
        <v>29</v>
      </c>
      <c r="H168" s="3" t="s">
        <v>226</v>
      </c>
    </row>
    <row r="169" spans="1:8" x14ac:dyDescent="0.2">
      <c r="A169" s="3">
        <v>3040320012</v>
      </c>
      <c r="B169" s="4" t="s">
        <v>269</v>
      </c>
      <c r="C169" s="4" t="s">
        <v>1225</v>
      </c>
      <c r="D169" s="3">
        <v>1</v>
      </c>
      <c r="E169" s="3" t="s">
        <v>16</v>
      </c>
      <c r="F169" s="3" t="s">
        <v>293</v>
      </c>
      <c r="G169" s="3" t="s">
        <v>29</v>
      </c>
      <c r="H169" s="3" t="s">
        <v>226</v>
      </c>
    </row>
    <row r="170" spans="1:8" x14ac:dyDescent="0.2">
      <c r="A170" s="3">
        <v>3040320013</v>
      </c>
      <c r="B170" s="4" t="s">
        <v>269</v>
      </c>
      <c r="C170" s="4" t="s">
        <v>1226</v>
      </c>
      <c r="D170" s="3">
        <v>1</v>
      </c>
      <c r="E170" s="3" t="s">
        <v>16</v>
      </c>
      <c r="F170" s="3" t="s">
        <v>293</v>
      </c>
      <c r="G170" s="3" t="s">
        <v>29</v>
      </c>
      <c r="H170" s="3" t="s">
        <v>226</v>
      </c>
    </row>
    <row r="171" spans="1:8" x14ac:dyDescent="0.2">
      <c r="A171" s="3">
        <v>3030313003</v>
      </c>
      <c r="B171" s="4" t="s">
        <v>217</v>
      </c>
      <c r="C171" s="4" t="s">
        <v>544</v>
      </c>
      <c r="D171" s="3">
        <v>8</v>
      </c>
      <c r="E171" s="3" t="s">
        <v>16</v>
      </c>
      <c r="F171" s="3" t="s">
        <v>291</v>
      </c>
      <c r="G171" s="3" t="s">
        <v>26</v>
      </c>
      <c r="H171" s="3" t="s">
        <v>226</v>
      </c>
    </row>
    <row r="172" spans="1:8" x14ac:dyDescent="0.2">
      <c r="A172" s="3">
        <v>3020199010</v>
      </c>
      <c r="B172" s="4" t="s">
        <v>239</v>
      </c>
      <c r="C172" s="4" t="s">
        <v>545</v>
      </c>
      <c r="D172" s="3">
        <v>5</v>
      </c>
      <c r="E172" s="3" t="s">
        <v>16</v>
      </c>
      <c r="F172" s="3" t="s">
        <v>297</v>
      </c>
      <c r="G172" s="3" t="s">
        <v>204</v>
      </c>
      <c r="H172" s="3" t="s">
        <v>226</v>
      </c>
    </row>
    <row r="173" spans="1:8" x14ac:dyDescent="0.2">
      <c r="A173" s="3">
        <v>3040326020</v>
      </c>
      <c r="B173" s="4" t="s">
        <v>546</v>
      </c>
      <c r="C173" s="4" t="s">
        <v>1227</v>
      </c>
      <c r="D173" s="3">
        <v>1</v>
      </c>
      <c r="E173" s="3" t="s">
        <v>16</v>
      </c>
      <c r="F173" s="3" t="s">
        <v>293</v>
      </c>
      <c r="G173" s="3" t="s">
        <v>29</v>
      </c>
      <c r="H173" s="3" t="s">
        <v>226</v>
      </c>
    </row>
    <row r="174" spans="1:8" x14ac:dyDescent="0.2">
      <c r="A174" s="3">
        <v>3040326019</v>
      </c>
      <c r="B174" s="4" t="s">
        <v>546</v>
      </c>
      <c r="C174" s="4" t="s">
        <v>1228</v>
      </c>
      <c r="D174" s="3">
        <v>1</v>
      </c>
      <c r="E174" s="3" t="s">
        <v>16</v>
      </c>
      <c r="F174" s="3" t="s">
        <v>293</v>
      </c>
      <c r="G174" s="3" t="s">
        <v>29</v>
      </c>
      <c r="H174" s="3" t="s">
        <v>226</v>
      </c>
    </row>
    <row r="175" spans="1:8" x14ac:dyDescent="0.2">
      <c r="A175" s="3">
        <v>3070212001</v>
      </c>
      <c r="B175" s="4" t="s">
        <v>377</v>
      </c>
      <c r="C175" s="4" t="s">
        <v>378</v>
      </c>
      <c r="D175" s="3">
        <v>1</v>
      </c>
      <c r="E175" s="3" t="s">
        <v>16</v>
      </c>
      <c r="F175" s="3" t="s">
        <v>317</v>
      </c>
      <c r="G175" s="3" t="s">
        <v>318</v>
      </c>
      <c r="H175" s="3" t="s">
        <v>226</v>
      </c>
    </row>
    <row r="176" spans="1:8" x14ac:dyDescent="0.2">
      <c r="A176" s="3">
        <v>3070210001</v>
      </c>
      <c r="B176" s="4" t="s">
        <v>379</v>
      </c>
      <c r="C176" s="4" t="s">
        <v>280</v>
      </c>
      <c r="D176" s="3">
        <v>1</v>
      </c>
      <c r="E176" s="3" t="s">
        <v>16</v>
      </c>
      <c r="F176" s="3" t="s">
        <v>317</v>
      </c>
      <c r="G176" s="3" t="s">
        <v>318</v>
      </c>
      <c r="H176" s="3" t="s">
        <v>226</v>
      </c>
    </row>
    <row r="177" spans="1:8" x14ac:dyDescent="0.2">
      <c r="A177" s="3">
        <v>3991601007</v>
      </c>
      <c r="B177" s="4" t="s">
        <v>585</v>
      </c>
      <c r="C177" s="4" t="s">
        <v>1229</v>
      </c>
      <c r="D177" s="3">
        <v>4</v>
      </c>
      <c r="E177" s="3" t="s">
        <v>16</v>
      </c>
      <c r="F177" s="3" t="s">
        <v>289</v>
      </c>
      <c r="G177" s="3" t="s">
        <v>23</v>
      </c>
      <c r="H177" s="3" t="s">
        <v>226</v>
      </c>
    </row>
    <row r="178" spans="1:8" x14ac:dyDescent="0.2">
      <c r="A178" s="3">
        <v>3991601009</v>
      </c>
      <c r="B178" s="4" t="s">
        <v>585</v>
      </c>
      <c r="C178" s="4" t="s">
        <v>1230</v>
      </c>
      <c r="D178" s="3">
        <v>2</v>
      </c>
      <c r="E178" s="3" t="s">
        <v>16</v>
      </c>
      <c r="F178" s="3" t="s">
        <v>289</v>
      </c>
      <c r="G178" s="3" t="s">
        <v>23</v>
      </c>
      <c r="H178" s="3" t="s">
        <v>226</v>
      </c>
    </row>
    <row r="179" spans="1:8" x14ac:dyDescent="0.2">
      <c r="A179" s="3">
        <v>3080401031</v>
      </c>
      <c r="B179" s="4" t="s">
        <v>41</v>
      </c>
      <c r="C179" s="4" t="s">
        <v>551</v>
      </c>
      <c r="D179" s="3">
        <v>1</v>
      </c>
      <c r="E179" s="3" t="s">
        <v>16</v>
      </c>
      <c r="F179" s="3" t="s">
        <v>291</v>
      </c>
      <c r="G179" s="3" t="s">
        <v>26</v>
      </c>
      <c r="H179" s="3" t="s">
        <v>249</v>
      </c>
    </row>
    <row r="180" spans="1:8" x14ac:dyDescent="0.2">
      <c r="A180" s="3">
        <v>3030211001</v>
      </c>
      <c r="B180" s="4" t="s">
        <v>552</v>
      </c>
      <c r="C180" s="4" t="s">
        <v>553</v>
      </c>
      <c r="D180" s="3">
        <v>1</v>
      </c>
      <c r="E180" s="3" t="s">
        <v>16</v>
      </c>
      <c r="F180" s="3" t="s">
        <v>295</v>
      </c>
      <c r="G180" s="3" t="s">
        <v>17</v>
      </c>
      <c r="H180" s="3" t="s">
        <v>249</v>
      </c>
    </row>
    <row r="181" spans="1:8" x14ac:dyDescent="0.2">
      <c r="A181" s="3">
        <v>3080309001</v>
      </c>
      <c r="B181" s="4" t="s">
        <v>554</v>
      </c>
      <c r="C181" s="4" t="s">
        <v>555</v>
      </c>
      <c r="D181" s="3">
        <v>1</v>
      </c>
      <c r="E181" s="3" t="s">
        <v>16</v>
      </c>
      <c r="F181" s="3" t="s">
        <v>295</v>
      </c>
      <c r="G181" s="3" t="s">
        <v>17</v>
      </c>
      <c r="H181" s="3" t="s">
        <v>249</v>
      </c>
    </row>
    <row r="182" spans="1:8" x14ac:dyDescent="0.2">
      <c r="A182" s="3">
        <v>3080107268</v>
      </c>
      <c r="B182" s="4" t="s">
        <v>69</v>
      </c>
      <c r="C182" s="4" t="s">
        <v>556</v>
      </c>
      <c r="D182" s="3">
        <v>2</v>
      </c>
      <c r="E182" s="3" t="s">
        <v>16</v>
      </c>
      <c r="F182" s="3" t="s">
        <v>291</v>
      </c>
      <c r="G182" s="3" t="s">
        <v>26</v>
      </c>
      <c r="H182" s="3" t="s">
        <v>249</v>
      </c>
    </row>
    <row r="183" spans="1:8" x14ac:dyDescent="0.2">
      <c r="A183" s="3">
        <v>3080107269</v>
      </c>
      <c r="B183" s="4" t="s">
        <v>69</v>
      </c>
      <c r="C183" s="4" t="s">
        <v>557</v>
      </c>
      <c r="D183" s="3">
        <v>2</v>
      </c>
      <c r="E183" s="3" t="s">
        <v>16</v>
      </c>
      <c r="F183" s="3" t="s">
        <v>291</v>
      </c>
      <c r="G183" s="3" t="s">
        <v>26</v>
      </c>
      <c r="H183" s="3" t="s">
        <v>249</v>
      </c>
    </row>
    <row r="184" spans="1:8" x14ac:dyDescent="0.2">
      <c r="A184" s="3">
        <v>3060333011</v>
      </c>
      <c r="B184" s="4" t="s">
        <v>227</v>
      </c>
      <c r="C184" s="4" t="s">
        <v>1231</v>
      </c>
      <c r="D184" s="3">
        <v>1</v>
      </c>
      <c r="E184" s="3" t="s">
        <v>16</v>
      </c>
      <c r="F184" s="3" t="s">
        <v>289</v>
      </c>
      <c r="G184" s="3" t="s">
        <v>23</v>
      </c>
      <c r="H184" s="3" t="s">
        <v>254</v>
      </c>
    </row>
    <row r="185" spans="1:8" x14ac:dyDescent="0.2">
      <c r="A185" s="3">
        <v>3060401003</v>
      </c>
      <c r="B185" s="4" t="s">
        <v>727</v>
      </c>
      <c r="C185" s="4" t="s">
        <v>1232</v>
      </c>
      <c r="D185" s="3">
        <v>1</v>
      </c>
      <c r="E185" s="3" t="s">
        <v>16</v>
      </c>
      <c r="F185" s="3" t="s">
        <v>289</v>
      </c>
      <c r="G185" s="3" t="s">
        <v>23</v>
      </c>
      <c r="H185" s="3" t="s">
        <v>254</v>
      </c>
    </row>
    <row r="186" spans="1:8" x14ac:dyDescent="0.2">
      <c r="A186" s="3">
        <v>3060335014</v>
      </c>
      <c r="B186" s="4" t="s">
        <v>233</v>
      </c>
      <c r="C186" s="4" t="s">
        <v>1233</v>
      </c>
      <c r="D186" s="3">
        <v>1</v>
      </c>
      <c r="E186" s="3" t="s">
        <v>16</v>
      </c>
      <c r="F186" s="3" t="s">
        <v>289</v>
      </c>
      <c r="G186" s="3" t="s">
        <v>23</v>
      </c>
      <c r="H186" s="3" t="s">
        <v>254</v>
      </c>
    </row>
    <row r="187" spans="1:8" x14ac:dyDescent="0.2">
      <c r="A187" s="3">
        <v>3030302001</v>
      </c>
      <c r="B187" s="4" t="s">
        <v>558</v>
      </c>
      <c r="C187" s="4" t="s">
        <v>534</v>
      </c>
      <c r="D187" s="3">
        <v>1</v>
      </c>
      <c r="E187" s="3" t="s">
        <v>16</v>
      </c>
      <c r="F187" s="3" t="s">
        <v>295</v>
      </c>
      <c r="G187" s="3" t="s">
        <v>17</v>
      </c>
      <c r="H187" s="3" t="s">
        <v>254</v>
      </c>
    </row>
    <row r="188" spans="1:8" x14ac:dyDescent="0.2">
      <c r="A188" s="3">
        <v>3030306031</v>
      </c>
      <c r="B188" s="4" t="s">
        <v>559</v>
      </c>
      <c r="C188" s="4" t="s">
        <v>560</v>
      </c>
      <c r="D188" s="3">
        <v>1</v>
      </c>
      <c r="E188" s="3" t="s">
        <v>16</v>
      </c>
      <c r="F188" s="3" t="s">
        <v>295</v>
      </c>
      <c r="G188" s="3" t="s">
        <v>17</v>
      </c>
      <c r="H188" s="3" t="s">
        <v>254</v>
      </c>
    </row>
    <row r="189" spans="1:8" x14ac:dyDescent="0.2">
      <c r="A189" s="3">
        <v>3080311001</v>
      </c>
      <c r="B189" s="4" t="s">
        <v>561</v>
      </c>
      <c r="C189" s="4" t="s">
        <v>1223</v>
      </c>
      <c r="D189" s="3">
        <v>1</v>
      </c>
      <c r="E189" s="3" t="s">
        <v>16</v>
      </c>
      <c r="F189" s="3" t="s">
        <v>295</v>
      </c>
      <c r="G189" s="3" t="s">
        <v>17</v>
      </c>
      <c r="H189" s="3" t="s">
        <v>254</v>
      </c>
    </row>
    <row r="190" spans="1:8" x14ac:dyDescent="0.2">
      <c r="A190" s="3">
        <v>3030303022</v>
      </c>
      <c r="B190" s="4" t="s">
        <v>562</v>
      </c>
      <c r="C190" s="4" t="s">
        <v>1234</v>
      </c>
      <c r="D190" s="3">
        <v>1</v>
      </c>
      <c r="E190" s="3" t="s">
        <v>16</v>
      </c>
      <c r="F190" s="3" t="s">
        <v>295</v>
      </c>
      <c r="G190" s="3" t="s">
        <v>17</v>
      </c>
      <c r="H190" s="3" t="s">
        <v>254</v>
      </c>
    </row>
    <row r="191" spans="1:8" x14ac:dyDescent="0.2">
      <c r="A191" s="3">
        <v>3030303023</v>
      </c>
      <c r="B191" s="4" t="s">
        <v>564</v>
      </c>
      <c r="C191" s="4" t="s">
        <v>1234</v>
      </c>
      <c r="D191" s="3">
        <v>1</v>
      </c>
      <c r="E191" s="3" t="s">
        <v>16</v>
      </c>
      <c r="F191" s="3" t="s">
        <v>295</v>
      </c>
      <c r="G191" s="3" t="s">
        <v>17</v>
      </c>
      <c r="H191" s="3" t="s">
        <v>254</v>
      </c>
    </row>
    <row r="192" spans="1:8" x14ac:dyDescent="0.2">
      <c r="A192" s="3">
        <v>3040323001</v>
      </c>
      <c r="B192" s="4" t="s">
        <v>565</v>
      </c>
      <c r="C192" s="4" t="s">
        <v>566</v>
      </c>
      <c r="D192" s="3">
        <v>2</v>
      </c>
      <c r="E192" s="3" t="s">
        <v>16</v>
      </c>
      <c r="F192" s="3" t="s">
        <v>293</v>
      </c>
      <c r="G192" s="3" t="s">
        <v>29</v>
      </c>
      <c r="H192" s="3" t="s">
        <v>254</v>
      </c>
    </row>
    <row r="193" spans="1:8" x14ac:dyDescent="0.2">
      <c r="A193" s="3">
        <v>3040302001</v>
      </c>
      <c r="B193" s="4" t="s">
        <v>567</v>
      </c>
      <c r="C193" s="4" t="s">
        <v>568</v>
      </c>
      <c r="D193" s="3">
        <v>1</v>
      </c>
      <c r="E193" s="3" t="s">
        <v>16</v>
      </c>
      <c r="F193" s="3" t="s">
        <v>293</v>
      </c>
      <c r="G193" s="3" t="s">
        <v>29</v>
      </c>
      <c r="H193" s="3" t="s">
        <v>254</v>
      </c>
    </row>
    <row r="194" spans="1:8" x14ac:dyDescent="0.2">
      <c r="A194" s="3">
        <v>3040302002</v>
      </c>
      <c r="B194" s="4" t="s">
        <v>567</v>
      </c>
      <c r="C194" s="4" t="s">
        <v>569</v>
      </c>
      <c r="D194" s="3">
        <v>1</v>
      </c>
      <c r="E194" s="3" t="s">
        <v>16</v>
      </c>
      <c r="F194" s="3" t="s">
        <v>293</v>
      </c>
      <c r="G194" s="3" t="s">
        <v>29</v>
      </c>
      <c r="H194" s="3" t="s">
        <v>254</v>
      </c>
    </row>
    <row r="195" spans="1:8" x14ac:dyDescent="0.2">
      <c r="A195" s="3">
        <v>3040324001</v>
      </c>
      <c r="B195" s="4" t="s">
        <v>570</v>
      </c>
      <c r="C195" s="4" t="s">
        <v>1223</v>
      </c>
      <c r="D195" s="3">
        <v>2</v>
      </c>
      <c r="E195" s="3" t="s">
        <v>16</v>
      </c>
      <c r="F195" s="3" t="s">
        <v>293</v>
      </c>
      <c r="G195" s="3" t="s">
        <v>29</v>
      </c>
      <c r="H195" s="3" t="s">
        <v>254</v>
      </c>
    </row>
    <row r="196" spans="1:8" x14ac:dyDescent="0.2">
      <c r="A196" s="3">
        <v>3030302008</v>
      </c>
      <c r="B196" s="4" t="s">
        <v>571</v>
      </c>
      <c r="C196" s="4" t="s">
        <v>572</v>
      </c>
      <c r="D196" s="3">
        <v>1</v>
      </c>
      <c r="E196" s="3" t="s">
        <v>16</v>
      </c>
      <c r="F196" s="3" t="s">
        <v>295</v>
      </c>
      <c r="G196" s="3" t="s">
        <v>17</v>
      </c>
      <c r="H196" s="3" t="s">
        <v>254</v>
      </c>
    </row>
    <row r="197" spans="1:8" x14ac:dyDescent="0.2">
      <c r="A197" s="3">
        <v>3030302009</v>
      </c>
      <c r="B197" s="4" t="s">
        <v>571</v>
      </c>
      <c r="C197" s="4" t="s">
        <v>573</v>
      </c>
      <c r="D197" s="3">
        <v>1</v>
      </c>
      <c r="E197" s="3" t="s">
        <v>16</v>
      </c>
      <c r="F197" s="3" t="s">
        <v>295</v>
      </c>
      <c r="G197" s="3" t="s">
        <v>17</v>
      </c>
      <c r="H197" s="3" t="s">
        <v>254</v>
      </c>
    </row>
    <row r="198" spans="1:8" x14ac:dyDescent="0.2">
      <c r="A198" s="3">
        <v>3030302004</v>
      </c>
      <c r="B198" s="4" t="s">
        <v>574</v>
      </c>
      <c r="C198" s="4" t="s">
        <v>575</v>
      </c>
      <c r="D198" s="3">
        <v>1</v>
      </c>
      <c r="E198" s="3" t="s">
        <v>16</v>
      </c>
      <c r="F198" s="3" t="s">
        <v>295</v>
      </c>
      <c r="G198" s="3" t="s">
        <v>17</v>
      </c>
      <c r="H198" s="3" t="s">
        <v>254</v>
      </c>
    </row>
    <row r="199" spans="1:8" x14ac:dyDescent="0.2">
      <c r="A199" s="3">
        <v>3030302006</v>
      </c>
      <c r="B199" s="4" t="s">
        <v>576</v>
      </c>
      <c r="C199" s="4" t="s">
        <v>575</v>
      </c>
      <c r="D199" s="3">
        <v>1</v>
      </c>
      <c r="E199" s="3" t="s">
        <v>16</v>
      </c>
      <c r="F199" s="3" t="s">
        <v>295</v>
      </c>
      <c r="G199" s="3" t="s">
        <v>17</v>
      </c>
      <c r="H199" s="3" t="s">
        <v>254</v>
      </c>
    </row>
    <row r="200" spans="1:8" x14ac:dyDescent="0.2">
      <c r="A200" s="3">
        <v>3030314004</v>
      </c>
      <c r="B200" s="4" t="s">
        <v>577</v>
      </c>
      <c r="C200" s="4" t="s">
        <v>575</v>
      </c>
      <c r="D200" s="3">
        <v>1</v>
      </c>
      <c r="E200" s="3" t="s">
        <v>16</v>
      </c>
      <c r="F200" s="3" t="s">
        <v>295</v>
      </c>
      <c r="G200" s="3" t="s">
        <v>17</v>
      </c>
      <c r="H200" s="3" t="s">
        <v>254</v>
      </c>
    </row>
    <row r="201" spans="1:8" x14ac:dyDescent="0.2">
      <c r="A201" s="3">
        <v>3030308001</v>
      </c>
      <c r="B201" s="4" t="s">
        <v>578</v>
      </c>
      <c r="C201" s="4" t="s">
        <v>575</v>
      </c>
      <c r="D201" s="3">
        <v>1</v>
      </c>
      <c r="E201" s="3" t="s">
        <v>16</v>
      </c>
      <c r="F201" s="3" t="s">
        <v>295</v>
      </c>
      <c r="G201" s="3" t="s">
        <v>17</v>
      </c>
      <c r="H201" s="3" t="s">
        <v>254</v>
      </c>
    </row>
    <row r="202" spans="1:8" x14ac:dyDescent="0.2">
      <c r="A202" s="3">
        <v>3030314003</v>
      </c>
      <c r="B202" s="4" t="s">
        <v>579</v>
      </c>
      <c r="C202" s="4" t="s">
        <v>575</v>
      </c>
      <c r="D202" s="3">
        <v>1</v>
      </c>
      <c r="E202" s="3" t="s">
        <v>16</v>
      </c>
      <c r="F202" s="3" t="s">
        <v>295</v>
      </c>
      <c r="G202" s="3" t="s">
        <v>17</v>
      </c>
      <c r="H202" s="3" t="s">
        <v>254</v>
      </c>
    </row>
    <row r="203" spans="1:8" x14ac:dyDescent="0.2">
      <c r="A203" s="3">
        <v>3030308003</v>
      </c>
      <c r="B203" s="4" t="s">
        <v>580</v>
      </c>
      <c r="C203" s="4" t="s">
        <v>581</v>
      </c>
      <c r="D203" s="3">
        <v>1</v>
      </c>
      <c r="E203" s="3" t="s">
        <v>16</v>
      </c>
      <c r="F203" s="3" t="s">
        <v>295</v>
      </c>
      <c r="G203" s="3" t="s">
        <v>17</v>
      </c>
      <c r="H203" s="3" t="s">
        <v>254</v>
      </c>
    </row>
    <row r="204" spans="1:8" x14ac:dyDescent="0.2">
      <c r="A204" s="3">
        <v>3040325008</v>
      </c>
      <c r="B204" s="4" t="s">
        <v>582</v>
      </c>
      <c r="C204" s="4" t="s">
        <v>542</v>
      </c>
      <c r="D204" s="3">
        <v>1</v>
      </c>
      <c r="E204" s="3" t="s">
        <v>16</v>
      </c>
      <c r="F204" s="3" t="s">
        <v>293</v>
      </c>
      <c r="G204" s="3" t="s">
        <v>29</v>
      </c>
      <c r="H204" s="3" t="s">
        <v>254</v>
      </c>
    </row>
    <row r="205" spans="1:8" x14ac:dyDescent="0.2">
      <c r="A205" s="3">
        <v>3040325007</v>
      </c>
      <c r="B205" s="4" t="s">
        <v>582</v>
      </c>
      <c r="C205" s="4" t="s">
        <v>543</v>
      </c>
      <c r="D205" s="3">
        <v>1</v>
      </c>
      <c r="E205" s="3" t="s">
        <v>16</v>
      </c>
      <c r="F205" s="3" t="s">
        <v>293</v>
      </c>
      <c r="G205" s="3" t="s">
        <v>29</v>
      </c>
      <c r="H205" s="3" t="s">
        <v>254</v>
      </c>
    </row>
    <row r="206" spans="1:8" x14ac:dyDescent="0.2">
      <c r="A206" s="3">
        <v>3040308003</v>
      </c>
      <c r="B206" s="4" t="s">
        <v>583</v>
      </c>
      <c r="C206" s="4" t="s">
        <v>536</v>
      </c>
      <c r="D206" s="3">
        <v>2</v>
      </c>
      <c r="E206" s="3" t="s">
        <v>16</v>
      </c>
      <c r="F206" s="3" t="s">
        <v>293</v>
      </c>
      <c r="G206" s="3" t="s">
        <v>29</v>
      </c>
      <c r="H206" s="3" t="s">
        <v>254</v>
      </c>
    </row>
    <row r="207" spans="1:8" x14ac:dyDescent="0.2">
      <c r="A207" s="3">
        <v>3030302007</v>
      </c>
      <c r="B207" s="4" t="s">
        <v>584</v>
      </c>
      <c r="C207" s="4" t="s">
        <v>575</v>
      </c>
      <c r="D207" s="3">
        <v>1</v>
      </c>
      <c r="E207" s="3" t="s">
        <v>16</v>
      </c>
      <c r="F207" s="3" t="s">
        <v>295</v>
      </c>
      <c r="G207" s="3" t="s">
        <v>17</v>
      </c>
      <c r="H207" s="3" t="s">
        <v>254</v>
      </c>
    </row>
    <row r="208" spans="1:8" x14ac:dyDescent="0.2">
      <c r="A208" s="3">
        <v>3070201008</v>
      </c>
      <c r="B208" s="4" t="s">
        <v>348</v>
      </c>
      <c r="C208" s="4" t="s">
        <v>1263</v>
      </c>
      <c r="D208" s="3">
        <v>1</v>
      </c>
      <c r="E208" s="3" t="s">
        <v>16</v>
      </c>
      <c r="F208" s="3" t="s">
        <v>317</v>
      </c>
      <c r="G208" s="3" t="s">
        <v>318</v>
      </c>
      <c r="H208" s="3" t="s">
        <v>254</v>
      </c>
    </row>
    <row r="209" spans="1:8" x14ac:dyDescent="0.2">
      <c r="A209" s="3">
        <v>3070216004</v>
      </c>
      <c r="B209" s="4" t="s">
        <v>1264</v>
      </c>
      <c r="C209" s="4" t="s">
        <v>1265</v>
      </c>
      <c r="D209" s="3">
        <v>1</v>
      </c>
      <c r="E209" s="3" t="s">
        <v>16</v>
      </c>
      <c r="F209" s="3" t="s">
        <v>317</v>
      </c>
      <c r="G209" s="3" t="s">
        <v>318</v>
      </c>
      <c r="H209" s="3" t="s">
        <v>254</v>
      </c>
    </row>
    <row r="210" spans="1:8" x14ac:dyDescent="0.2">
      <c r="A210" s="3">
        <v>3070214003</v>
      </c>
      <c r="B210" s="4" t="s">
        <v>1266</v>
      </c>
      <c r="C210" s="4" t="s">
        <v>1265</v>
      </c>
      <c r="D210" s="3">
        <v>1</v>
      </c>
      <c r="E210" s="3" t="s">
        <v>16</v>
      </c>
      <c r="F210" s="3" t="s">
        <v>317</v>
      </c>
      <c r="G210" s="3" t="s">
        <v>318</v>
      </c>
      <c r="H210" s="3" t="s">
        <v>254</v>
      </c>
    </row>
    <row r="211" spans="1:8" x14ac:dyDescent="0.2">
      <c r="A211" s="3">
        <v>3070202018</v>
      </c>
      <c r="B211" s="4" t="s">
        <v>1267</v>
      </c>
      <c r="C211" s="4" t="s">
        <v>1268</v>
      </c>
      <c r="D211" s="3">
        <v>1</v>
      </c>
      <c r="E211" s="3" t="s">
        <v>16</v>
      </c>
      <c r="F211" s="3" t="s">
        <v>317</v>
      </c>
      <c r="G211" s="3" t="s">
        <v>318</v>
      </c>
      <c r="H211" s="3" t="s">
        <v>254</v>
      </c>
    </row>
    <row r="212" spans="1:8" x14ac:dyDescent="0.2">
      <c r="A212" s="3">
        <v>3111601004</v>
      </c>
      <c r="B212" s="4" t="s">
        <v>585</v>
      </c>
      <c r="C212" s="4" t="s">
        <v>1235</v>
      </c>
      <c r="D212" s="3">
        <v>4</v>
      </c>
      <c r="E212" s="3" t="s">
        <v>16</v>
      </c>
      <c r="F212" s="3" t="s">
        <v>289</v>
      </c>
      <c r="G212" s="3" t="s">
        <v>23</v>
      </c>
      <c r="H212" s="3" t="s">
        <v>254</v>
      </c>
    </row>
    <row r="213" spans="1:8" x14ac:dyDescent="0.2">
      <c r="A213" s="3">
        <v>3111601003</v>
      </c>
      <c r="B213" s="4" t="s">
        <v>585</v>
      </c>
      <c r="C213" s="4" t="s">
        <v>586</v>
      </c>
      <c r="D213" s="3">
        <v>13</v>
      </c>
      <c r="E213" s="3" t="s">
        <v>16</v>
      </c>
      <c r="F213" s="3" t="s">
        <v>289</v>
      </c>
      <c r="G213" s="3" t="s">
        <v>23</v>
      </c>
      <c r="H213" s="3" t="s">
        <v>254</v>
      </c>
    </row>
    <row r="214" spans="1:8" x14ac:dyDescent="0.2">
      <c r="A214" s="3">
        <v>3111601001</v>
      </c>
      <c r="B214" s="4" t="s">
        <v>585</v>
      </c>
      <c r="C214" s="4" t="s">
        <v>1269</v>
      </c>
      <c r="D214" s="3">
        <v>8</v>
      </c>
      <c r="E214" s="3" t="s">
        <v>16</v>
      </c>
      <c r="F214" s="3" t="s">
        <v>317</v>
      </c>
      <c r="G214" s="3" t="s">
        <v>318</v>
      </c>
      <c r="H214" s="3" t="s">
        <v>254</v>
      </c>
    </row>
    <row r="215" spans="1:8" x14ac:dyDescent="0.2">
      <c r="A215" s="3">
        <v>3111601003</v>
      </c>
      <c r="B215" s="4" t="s">
        <v>585</v>
      </c>
      <c r="C215" s="4" t="s">
        <v>586</v>
      </c>
      <c r="D215" s="3">
        <v>2</v>
      </c>
      <c r="E215" s="3" t="s">
        <v>16</v>
      </c>
      <c r="F215" s="3" t="s">
        <v>291</v>
      </c>
      <c r="G215" s="3" t="s">
        <v>26</v>
      </c>
      <c r="H215" s="3" t="s">
        <v>254</v>
      </c>
    </row>
    <row r="216" spans="1:8" x14ac:dyDescent="0.2">
      <c r="A216" s="3">
        <v>3060340003</v>
      </c>
      <c r="B216" s="4" t="s">
        <v>725</v>
      </c>
      <c r="C216" s="4" t="s">
        <v>1236</v>
      </c>
      <c r="D216" s="3">
        <v>1</v>
      </c>
      <c r="E216" s="3" t="s">
        <v>16</v>
      </c>
      <c r="F216" s="3" t="s">
        <v>289</v>
      </c>
      <c r="G216" s="3" t="s">
        <v>23</v>
      </c>
      <c r="H216" s="3" t="s">
        <v>254</v>
      </c>
    </row>
    <row r="217" spans="1:8" x14ac:dyDescent="0.2">
      <c r="A217" s="3">
        <v>3060339005</v>
      </c>
      <c r="B217" s="4" t="s">
        <v>737</v>
      </c>
      <c r="C217" s="4" t="s">
        <v>1233</v>
      </c>
      <c r="D217" s="3">
        <v>1</v>
      </c>
      <c r="E217" s="3" t="s">
        <v>16</v>
      </c>
      <c r="F217" s="3" t="s">
        <v>289</v>
      </c>
      <c r="G217" s="3" t="s">
        <v>23</v>
      </c>
      <c r="H217" s="3" t="s">
        <v>254</v>
      </c>
    </row>
    <row r="218" spans="1:8" x14ac:dyDescent="0.2">
      <c r="A218" s="3">
        <v>3050303010</v>
      </c>
      <c r="B218" s="4" t="s">
        <v>245</v>
      </c>
      <c r="C218" s="4" t="s">
        <v>1233</v>
      </c>
      <c r="D218" s="3">
        <v>1</v>
      </c>
      <c r="E218" s="3" t="s">
        <v>16</v>
      </c>
      <c r="F218" s="3" t="s">
        <v>291</v>
      </c>
      <c r="G218" s="3" t="s">
        <v>26</v>
      </c>
      <c r="H218" s="3" t="s">
        <v>254</v>
      </c>
    </row>
    <row r="219" spans="1:8" x14ac:dyDescent="0.2">
      <c r="A219" s="3">
        <v>3080310002</v>
      </c>
      <c r="B219" s="4" t="s">
        <v>588</v>
      </c>
      <c r="C219" s="4" t="s">
        <v>589</v>
      </c>
      <c r="D219" s="3">
        <v>1</v>
      </c>
      <c r="E219" s="3" t="s">
        <v>16</v>
      </c>
      <c r="F219" s="3" t="s">
        <v>295</v>
      </c>
      <c r="G219" s="3" t="s">
        <v>17</v>
      </c>
      <c r="H219" s="3" t="s">
        <v>590</v>
      </c>
    </row>
    <row r="220" spans="1:8" x14ac:dyDescent="0.2">
      <c r="A220" s="3">
        <v>3020301012</v>
      </c>
      <c r="B220" s="4" t="s">
        <v>209</v>
      </c>
      <c r="C220" s="4" t="s">
        <v>768</v>
      </c>
      <c r="D220" s="3">
        <v>1</v>
      </c>
      <c r="E220" s="3" t="s">
        <v>16</v>
      </c>
      <c r="F220" s="3" t="s">
        <v>301</v>
      </c>
      <c r="G220" s="3" t="s">
        <v>32</v>
      </c>
      <c r="H220" s="3" t="s">
        <v>769</v>
      </c>
    </row>
  </sheetData>
  <phoneticPr fontId="2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AFE69-CA99-4DE0-B118-919695643A25}">
  <dimension ref="A1:H245"/>
  <sheetViews>
    <sheetView workbookViewId="0">
      <selection activeCell="H19" sqref="H19"/>
    </sheetView>
  </sheetViews>
  <sheetFormatPr defaultRowHeight="14.25" x14ac:dyDescent="0.2"/>
  <cols>
    <col min="1" max="1" width="12.5" customWidth="1"/>
    <col min="2" max="3" width="15.25" customWidth="1"/>
    <col min="4" max="4" width="8.875" customWidth="1"/>
  </cols>
  <sheetData>
    <row r="1" spans="1:8" x14ac:dyDescent="0.2">
      <c r="A1" s="3" t="s">
        <v>1277</v>
      </c>
      <c r="B1" s="4"/>
      <c r="C1" s="4"/>
      <c r="D1" s="3"/>
      <c r="E1" s="3"/>
      <c r="F1" s="3"/>
      <c r="G1" s="3"/>
      <c r="H1" s="3"/>
    </row>
    <row r="2" spans="1:8" ht="28.5" x14ac:dyDescent="0.2">
      <c r="A2" s="1" t="s">
        <v>0</v>
      </c>
      <c r="B2" s="2" t="s">
        <v>1</v>
      </c>
      <c r="C2" s="2" t="s">
        <v>2</v>
      </c>
      <c r="D2" s="1" t="s">
        <v>4</v>
      </c>
      <c r="E2" s="1" t="s">
        <v>3</v>
      </c>
      <c r="F2" s="1" t="s">
        <v>5</v>
      </c>
      <c r="G2" s="1" t="s">
        <v>6</v>
      </c>
      <c r="H2" s="1" t="s">
        <v>7</v>
      </c>
    </row>
    <row r="3" spans="1:8" s="10" customFormat="1" x14ac:dyDescent="0.2">
      <c r="A3" s="8" t="s">
        <v>390</v>
      </c>
      <c r="B3" s="9" t="s">
        <v>8</v>
      </c>
      <c r="C3" s="9" t="s">
        <v>9</v>
      </c>
      <c r="D3" s="13">
        <f>0.408/0.94</f>
        <v>0.43404255319148938</v>
      </c>
      <c r="E3" s="8" t="s">
        <v>596</v>
      </c>
      <c r="F3" s="8" t="s">
        <v>283</v>
      </c>
      <c r="G3" s="8" t="s">
        <v>13</v>
      </c>
      <c r="H3" s="8" t="s">
        <v>12</v>
      </c>
    </row>
    <row r="4" spans="1:8" x14ac:dyDescent="0.2">
      <c r="A4" s="3">
        <v>40901009</v>
      </c>
      <c r="B4" s="4" t="s">
        <v>801</v>
      </c>
      <c r="C4" s="4" t="s">
        <v>1153</v>
      </c>
      <c r="D4" s="3">
        <v>1</v>
      </c>
      <c r="E4" s="3" t="s">
        <v>16</v>
      </c>
      <c r="F4" s="3" t="s">
        <v>289</v>
      </c>
      <c r="G4" s="3" t="s">
        <v>23</v>
      </c>
      <c r="H4" s="3" t="s">
        <v>306</v>
      </c>
    </row>
    <row r="5" spans="1:8" x14ac:dyDescent="0.2">
      <c r="A5" s="3">
        <v>3099980014</v>
      </c>
      <c r="B5" s="4" t="s">
        <v>391</v>
      </c>
      <c r="C5" s="4" t="s">
        <v>392</v>
      </c>
      <c r="D5" s="3">
        <v>1</v>
      </c>
      <c r="E5" s="3" t="s">
        <v>16</v>
      </c>
      <c r="F5" s="3" t="s">
        <v>291</v>
      </c>
      <c r="G5" s="3" t="s">
        <v>26</v>
      </c>
      <c r="H5" s="3" t="s">
        <v>393</v>
      </c>
    </row>
    <row r="6" spans="1:8" x14ac:dyDescent="0.2">
      <c r="A6" s="3">
        <v>3030314005</v>
      </c>
      <c r="B6" s="4" t="s">
        <v>394</v>
      </c>
      <c r="C6" s="4" t="s">
        <v>395</v>
      </c>
      <c r="D6" s="3">
        <v>1</v>
      </c>
      <c r="E6" s="3" t="s">
        <v>16</v>
      </c>
      <c r="F6" s="3" t="s">
        <v>291</v>
      </c>
      <c r="G6" s="3" t="s">
        <v>26</v>
      </c>
      <c r="H6" s="3" t="s">
        <v>18</v>
      </c>
    </row>
    <row r="7" spans="1:8" x14ac:dyDescent="0.2">
      <c r="A7" s="3">
        <v>3030210001</v>
      </c>
      <c r="B7" s="4" t="s">
        <v>396</v>
      </c>
      <c r="C7" s="4" t="s">
        <v>397</v>
      </c>
      <c r="D7" s="3">
        <v>1</v>
      </c>
      <c r="E7" s="3" t="s">
        <v>16</v>
      </c>
      <c r="F7" s="3" t="s">
        <v>295</v>
      </c>
      <c r="G7" s="3" t="s">
        <v>17</v>
      </c>
      <c r="H7" s="3" t="s">
        <v>18</v>
      </c>
    </row>
    <row r="8" spans="1:8" x14ac:dyDescent="0.2">
      <c r="A8" s="3">
        <v>3080301001</v>
      </c>
      <c r="B8" s="4" t="s">
        <v>247</v>
      </c>
      <c r="C8" s="4" t="s">
        <v>398</v>
      </c>
      <c r="D8" s="3">
        <v>1</v>
      </c>
      <c r="E8" s="3" t="s">
        <v>16</v>
      </c>
      <c r="F8" s="3" t="s">
        <v>295</v>
      </c>
      <c r="G8" s="3" t="s">
        <v>17</v>
      </c>
      <c r="H8" s="3" t="s">
        <v>18</v>
      </c>
    </row>
    <row r="9" spans="1:8" x14ac:dyDescent="0.2">
      <c r="A9" s="3">
        <v>3040201001</v>
      </c>
      <c r="B9" s="4" t="s">
        <v>399</v>
      </c>
      <c r="C9" s="4" t="s">
        <v>400</v>
      </c>
      <c r="D9" s="3">
        <v>2</v>
      </c>
      <c r="E9" s="3" t="s">
        <v>16</v>
      </c>
      <c r="F9" s="3" t="s">
        <v>293</v>
      </c>
      <c r="G9" s="3" t="s">
        <v>29</v>
      </c>
      <c r="H9" s="3" t="s">
        <v>18</v>
      </c>
    </row>
    <row r="10" spans="1:8" x14ac:dyDescent="0.2">
      <c r="A10" s="3">
        <v>3030202002</v>
      </c>
      <c r="B10" s="4" t="s">
        <v>401</v>
      </c>
      <c r="C10" s="4" t="s">
        <v>402</v>
      </c>
      <c r="D10" s="3">
        <v>1</v>
      </c>
      <c r="E10" s="3" t="s">
        <v>16</v>
      </c>
      <c r="F10" s="3" t="s">
        <v>295</v>
      </c>
      <c r="G10" s="3" t="s">
        <v>17</v>
      </c>
      <c r="H10" s="3" t="s">
        <v>18</v>
      </c>
    </row>
    <row r="11" spans="1:8" x14ac:dyDescent="0.2">
      <c r="A11" s="3">
        <v>3030202003</v>
      </c>
      <c r="B11" s="4" t="s">
        <v>403</v>
      </c>
      <c r="C11" s="4" t="s">
        <v>404</v>
      </c>
      <c r="D11" s="3">
        <v>1</v>
      </c>
      <c r="E11" s="3" t="s">
        <v>16</v>
      </c>
      <c r="F11" s="3" t="s">
        <v>295</v>
      </c>
      <c r="G11" s="3" t="s">
        <v>17</v>
      </c>
      <c r="H11" s="3" t="s">
        <v>18</v>
      </c>
    </row>
    <row r="12" spans="1:8" x14ac:dyDescent="0.2">
      <c r="A12" s="3">
        <v>3030212001</v>
      </c>
      <c r="B12" s="4" t="s">
        <v>405</v>
      </c>
      <c r="C12" s="4" t="s">
        <v>406</v>
      </c>
      <c r="D12" s="3">
        <v>1</v>
      </c>
      <c r="E12" s="3" t="s">
        <v>16</v>
      </c>
      <c r="F12" s="3" t="s">
        <v>295</v>
      </c>
      <c r="G12" s="3" t="s">
        <v>17</v>
      </c>
      <c r="H12" s="3" t="s">
        <v>18</v>
      </c>
    </row>
    <row r="13" spans="1:8" x14ac:dyDescent="0.2">
      <c r="A13" s="3">
        <v>3030206003</v>
      </c>
      <c r="B13" s="4" t="s">
        <v>407</v>
      </c>
      <c r="C13" s="4" t="s">
        <v>408</v>
      </c>
      <c r="D13" s="3">
        <v>1</v>
      </c>
      <c r="E13" s="3" t="s">
        <v>16</v>
      </c>
      <c r="F13" s="3" t="s">
        <v>295</v>
      </c>
      <c r="G13" s="3" t="s">
        <v>17</v>
      </c>
      <c r="H13" s="3" t="s">
        <v>18</v>
      </c>
    </row>
    <row r="14" spans="1:8" x14ac:dyDescent="0.2">
      <c r="A14" s="3">
        <v>404020072</v>
      </c>
      <c r="B14" s="4" t="s">
        <v>30</v>
      </c>
      <c r="C14" s="4" t="s">
        <v>308</v>
      </c>
      <c r="D14" s="3">
        <v>1</v>
      </c>
      <c r="E14" s="3" t="s">
        <v>16</v>
      </c>
      <c r="F14" s="3" t="s">
        <v>291</v>
      </c>
      <c r="G14" s="3" t="s">
        <v>26</v>
      </c>
      <c r="H14" s="3" t="s">
        <v>33</v>
      </c>
    </row>
    <row r="15" spans="1:8" x14ac:dyDescent="0.2">
      <c r="A15" s="3">
        <v>401020110</v>
      </c>
      <c r="B15" s="4" t="s">
        <v>35</v>
      </c>
      <c r="C15" s="4" t="s">
        <v>1154</v>
      </c>
      <c r="D15" s="3">
        <v>1</v>
      </c>
      <c r="E15" s="3" t="s">
        <v>16</v>
      </c>
      <c r="F15" s="3" t="s">
        <v>301</v>
      </c>
      <c r="G15" s="3" t="s">
        <v>32</v>
      </c>
      <c r="H15" s="3" t="s">
        <v>33</v>
      </c>
    </row>
    <row r="16" spans="1:8" x14ac:dyDescent="0.2">
      <c r="A16" s="3">
        <v>409010002</v>
      </c>
      <c r="B16" s="4" t="s">
        <v>1255</v>
      </c>
      <c r="C16" s="4" t="s">
        <v>1256</v>
      </c>
      <c r="D16" s="3">
        <v>1</v>
      </c>
      <c r="E16" s="3" t="s">
        <v>16</v>
      </c>
      <c r="F16" s="3" t="s">
        <v>289</v>
      </c>
      <c r="G16" s="3" t="s">
        <v>23</v>
      </c>
      <c r="H16" s="3" t="s">
        <v>40</v>
      </c>
    </row>
    <row r="17" spans="1:8" x14ac:dyDescent="0.2">
      <c r="A17" s="3">
        <v>3080101002</v>
      </c>
      <c r="B17" s="4" t="s">
        <v>411</v>
      </c>
      <c r="C17" s="4" t="s">
        <v>413</v>
      </c>
      <c r="D17" s="3">
        <v>19</v>
      </c>
      <c r="E17" s="3" t="s">
        <v>16</v>
      </c>
      <c r="F17" s="3" t="s">
        <v>289</v>
      </c>
      <c r="G17" s="3" t="s">
        <v>23</v>
      </c>
      <c r="H17" s="3" t="s">
        <v>40</v>
      </c>
    </row>
    <row r="18" spans="1:8" x14ac:dyDescent="0.2">
      <c r="A18" s="3">
        <v>3080101015</v>
      </c>
      <c r="B18" s="4" t="s">
        <v>411</v>
      </c>
      <c r="C18" s="4" t="s">
        <v>412</v>
      </c>
      <c r="D18" s="3">
        <v>2</v>
      </c>
      <c r="E18" s="3" t="s">
        <v>16</v>
      </c>
      <c r="F18" s="3" t="s">
        <v>293</v>
      </c>
      <c r="G18" s="3" t="s">
        <v>29</v>
      </c>
      <c r="H18" s="3" t="s">
        <v>40</v>
      </c>
    </row>
    <row r="19" spans="1:8" x14ac:dyDescent="0.2">
      <c r="A19" s="3">
        <v>3080101002</v>
      </c>
      <c r="B19" s="4" t="s">
        <v>411</v>
      </c>
      <c r="C19" s="4" t="s">
        <v>413</v>
      </c>
      <c r="D19" s="3">
        <v>8</v>
      </c>
      <c r="E19" s="3" t="s">
        <v>16</v>
      </c>
      <c r="F19" s="3" t="s">
        <v>317</v>
      </c>
      <c r="G19" s="3" t="s">
        <v>318</v>
      </c>
      <c r="H19" s="3" t="s">
        <v>40</v>
      </c>
    </row>
    <row r="20" spans="1:8" x14ac:dyDescent="0.2">
      <c r="A20" s="3">
        <v>3080101002</v>
      </c>
      <c r="B20" s="4" t="s">
        <v>411</v>
      </c>
      <c r="C20" s="4" t="s">
        <v>413</v>
      </c>
      <c r="D20" s="3">
        <v>2</v>
      </c>
      <c r="E20" s="3" t="s">
        <v>16</v>
      </c>
      <c r="F20" s="3" t="s">
        <v>291</v>
      </c>
      <c r="G20" s="3" t="s">
        <v>26</v>
      </c>
      <c r="H20" s="3" t="s">
        <v>40</v>
      </c>
    </row>
    <row r="21" spans="1:8" x14ac:dyDescent="0.2">
      <c r="A21" s="3">
        <v>3080401064</v>
      </c>
      <c r="B21" s="4" t="s">
        <v>41</v>
      </c>
      <c r="C21" s="4" t="s">
        <v>414</v>
      </c>
      <c r="D21" s="3">
        <v>1</v>
      </c>
      <c r="E21" s="3" t="s">
        <v>16</v>
      </c>
      <c r="F21" s="3" t="s">
        <v>295</v>
      </c>
      <c r="G21" s="3" t="s">
        <v>17</v>
      </c>
      <c r="H21" s="3" t="s">
        <v>40</v>
      </c>
    </row>
    <row r="22" spans="1:8" x14ac:dyDescent="0.2">
      <c r="A22" s="3">
        <v>3080401016</v>
      </c>
      <c r="B22" s="4" t="s">
        <v>41</v>
      </c>
      <c r="C22" s="4" t="s">
        <v>415</v>
      </c>
      <c r="D22" s="3">
        <v>1</v>
      </c>
      <c r="E22" s="3" t="s">
        <v>16</v>
      </c>
      <c r="F22" s="3" t="s">
        <v>295</v>
      </c>
      <c r="G22" s="3" t="s">
        <v>17</v>
      </c>
      <c r="H22" s="3" t="s">
        <v>40</v>
      </c>
    </row>
    <row r="23" spans="1:8" x14ac:dyDescent="0.2">
      <c r="A23" s="3">
        <v>3080401007</v>
      </c>
      <c r="B23" s="4" t="s">
        <v>41</v>
      </c>
      <c r="C23" s="4" t="s">
        <v>416</v>
      </c>
      <c r="D23" s="3">
        <v>2</v>
      </c>
      <c r="E23" s="3" t="s">
        <v>16</v>
      </c>
      <c r="F23" s="3" t="s">
        <v>293</v>
      </c>
      <c r="G23" s="3" t="s">
        <v>29</v>
      </c>
      <c r="H23" s="3" t="s">
        <v>40</v>
      </c>
    </row>
    <row r="24" spans="1:8" x14ac:dyDescent="0.2">
      <c r="A24" s="3">
        <v>3080401048</v>
      </c>
      <c r="B24" s="4" t="s">
        <v>41</v>
      </c>
      <c r="C24" s="4" t="s">
        <v>793</v>
      </c>
      <c r="D24" s="3">
        <v>2</v>
      </c>
      <c r="E24" s="3" t="s">
        <v>16</v>
      </c>
      <c r="F24" s="3" t="s">
        <v>794</v>
      </c>
      <c r="G24" s="3" t="s">
        <v>795</v>
      </c>
      <c r="H24" s="3" t="s">
        <v>40</v>
      </c>
    </row>
    <row r="25" spans="1:8" x14ac:dyDescent="0.2">
      <c r="A25" s="3">
        <v>3080401047</v>
      </c>
      <c r="B25" s="4" t="s">
        <v>41</v>
      </c>
      <c r="C25" s="4" t="s">
        <v>796</v>
      </c>
      <c r="D25" s="3">
        <v>1</v>
      </c>
      <c r="E25" s="3" t="s">
        <v>16</v>
      </c>
      <c r="F25" s="3" t="s">
        <v>794</v>
      </c>
      <c r="G25" s="3" t="s">
        <v>795</v>
      </c>
      <c r="H25" s="3" t="s">
        <v>40</v>
      </c>
    </row>
    <row r="26" spans="1:8" x14ac:dyDescent="0.2">
      <c r="A26" s="3">
        <v>3080401014</v>
      </c>
      <c r="B26" s="4" t="s">
        <v>41</v>
      </c>
      <c r="C26" s="4" t="s">
        <v>417</v>
      </c>
      <c r="D26" s="3">
        <v>4</v>
      </c>
      <c r="E26" s="3" t="s">
        <v>16</v>
      </c>
      <c r="F26" s="3" t="s">
        <v>291</v>
      </c>
      <c r="G26" s="3" t="s">
        <v>26</v>
      </c>
      <c r="H26" s="3" t="s">
        <v>40</v>
      </c>
    </row>
    <row r="27" spans="1:8" x14ac:dyDescent="0.2">
      <c r="A27" s="3">
        <v>3080104073</v>
      </c>
      <c r="B27" s="4" t="s">
        <v>45</v>
      </c>
      <c r="C27" s="4" t="s">
        <v>1155</v>
      </c>
      <c r="D27" s="3">
        <v>3</v>
      </c>
      <c r="E27" s="3" t="s">
        <v>16</v>
      </c>
      <c r="F27" s="3" t="s">
        <v>289</v>
      </c>
      <c r="G27" s="3" t="s">
        <v>23</v>
      </c>
      <c r="H27" s="3" t="s">
        <v>40</v>
      </c>
    </row>
    <row r="28" spans="1:8" x14ac:dyDescent="0.2">
      <c r="A28" s="3">
        <v>3080104018</v>
      </c>
      <c r="B28" s="4" t="s">
        <v>45</v>
      </c>
      <c r="C28" s="4" t="s">
        <v>418</v>
      </c>
      <c r="D28" s="3">
        <v>2</v>
      </c>
      <c r="E28" s="3" t="s">
        <v>16</v>
      </c>
      <c r="F28" s="3" t="s">
        <v>293</v>
      </c>
      <c r="G28" s="3" t="s">
        <v>29</v>
      </c>
      <c r="H28" s="3" t="s">
        <v>40</v>
      </c>
    </row>
    <row r="29" spans="1:8" x14ac:dyDescent="0.2">
      <c r="A29" s="3">
        <v>3080104098</v>
      </c>
      <c r="B29" s="4" t="s">
        <v>45</v>
      </c>
      <c r="C29" s="4" t="s">
        <v>1156</v>
      </c>
      <c r="D29" s="3">
        <v>2</v>
      </c>
      <c r="E29" s="3" t="s">
        <v>16</v>
      </c>
      <c r="F29" s="3" t="s">
        <v>291</v>
      </c>
      <c r="G29" s="3" t="s">
        <v>26</v>
      </c>
      <c r="H29" s="3" t="s">
        <v>40</v>
      </c>
    </row>
    <row r="30" spans="1:8" x14ac:dyDescent="0.2">
      <c r="A30" s="3">
        <v>3080105006</v>
      </c>
      <c r="B30" s="4" t="s">
        <v>50</v>
      </c>
      <c r="C30" s="4" t="s">
        <v>1157</v>
      </c>
      <c r="D30" s="3">
        <v>8</v>
      </c>
      <c r="E30" s="3" t="s">
        <v>16</v>
      </c>
      <c r="F30" s="3" t="s">
        <v>289</v>
      </c>
      <c r="G30" s="3" t="s">
        <v>23</v>
      </c>
      <c r="H30" s="3" t="s">
        <v>40</v>
      </c>
    </row>
    <row r="31" spans="1:8" x14ac:dyDescent="0.2">
      <c r="A31" s="3">
        <v>3080105080</v>
      </c>
      <c r="B31" s="4" t="s">
        <v>50</v>
      </c>
      <c r="C31" s="4" t="s">
        <v>1158</v>
      </c>
      <c r="D31" s="3">
        <v>2</v>
      </c>
      <c r="E31" s="3" t="s">
        <v>16</v>
      </c>
      <c r="F31" s="3" t="s">
        <v>289</v>
      </c>
      <c r="G31" s="3" t="s">
        <v>23</v>
      </c>
      <c r="H31" s="3" t="s">
        <v>40</v>
      </c>
    </row>
    <row r="32" spans="1:8" x14ac:dyDescent="0.2">
      <c r="A32" s="3">
        <v>3080105023</v>
      </c>
      <c r="B32" s="4" t="s">
        <v>50</v>
      </c>
      <c r="C32" s="4" t="s">
        <v>1159</v>
      </c>
      <c r="D32" s="3">
        <v>4</v>
      </c>
      <c r="E32" s="3" t="s">
        <v>16</v>
      </c>
      <c r="F32" s="3" t="s">
        <v>289</v>
      </c>
      <c r="G32" s="3" t="s">
        <v>23</v>
      </c>
      <c r="H32" s="3" t="s">
        <v>40</v>
      </c>
    </row>
    <row r="33" spans="1:8" x14ac:dyDescent="0.2">
      <c r="A33" s="3">
        <v>3080105015</v>
      </c>
      <c r="B33" s="4" t="s">
        <v>50</v>
      </c>
      <c r="C33" s="4" t="s">
        <v>422</v>
      </c>
      <c r="D33" s="3">
        <v>8</v>
      </c>
      <c r="E33" s="3" t="s">
        <v>16</v>
      </c>
      <c r="F33" s="3" t="s">
        <v>293</v>
      </c>
      <c r="G33" s="3" t="s">
        <v>29</v>
      </c>
      <c r="H33" s="3" t="s">
        <v>40</v>
      </c>
    </row>
    <row r="34" spans="1:8" x14ac:dyDescent="0.2">
      <c r="A34" s="3">
        <v>3080105088</v>
      </c>
      <c r="B34" s="4" t="s">
        <v>50</v>
      </c>
      <c r="C34" s="4" t="s">
        <v>423</v>
      </c>
      <c r="D34" s="3">
        <v>2</v>
      </c>
      <c r="E34" s="3" t="s">
        <v>16</v>
      </c>
      <c r="F34" s="3" t="s">
        <v>293</v>
      </c>
      <c r="G34" s="3" t="s">
        <v>29</v>
      </c>
      <c r="H34" s="3" t="s">
        <v>40</v>
      </c>
    </row>
    <row r="35" spans="1:8" x14ac:dyDescent="0.2">
      <c r="A35" s="3">
        <v>3080105008</v>
      </c>
      <c r="B35" s="4" t="s">
        <v>50</v>
      </c>
      <c r="C35" s="4" t="s">
        <v>424</v>
      </c>
      <c r="D35" s="3">
        <v>8</v>
      </c>
      <c r="E35" s="3" t="s">
        <v>16</v>
      </c>
      <c r="F35" s="3" t="s">
        <v>293</v>
      </c>
      <c r="G35" s="3" t="s">
        <v>29</v>
      </c>
      <c r="H35" s="3" t="s">
        <v>40</v>
      </c>
    </row>
    <row r="36" spans="1:8" x14ac:dyDescent="0.2">
      <c r="A36" s="3">
        <v>3080105070</v>
      </c>
      <c r="B36" s="4" t="s">
        <v>50</v>
      </c>
      <c r="C36" s="4" t="s">
        <v>1160</v>
      </c>
      <c r="D36" s="3">
        <v>14</v>
      </c>
      <c r="E36" s="3" t="s">
        <v>16</v>
      </c>
      <c r="F36" s="3" t="s">
        <v>293</v>
      </c>
      <c r="G36" s="3" t="s">
        <v>29</v>
      </c>
      <c r="H36" s="3" t="s">
        <v>40</v>
      </c>
    </row>
    <row r="37" spans="1:8" x14ac:dyDescent="0.2">
      <c r="A37" s="3">
        <v>3080105094</v>
      </c>
      <c r="B37" s="4" t="s">
        <v>50</v>
      </c>
      <c r="C37" s="4" t="s">
        <v>1271</v>
      </c>
      <c r="D37" s="3">
        <v>6</v>
      </c>
      <c r="E37" s="3" t="s">
        <v>16</v>
      </c>
      <c r="F37" s="3" t="s">
        <v>794</v>
      </c>
      <c r="G37" s="3" t="s">
        <v>795</v>
      </c>
      <c r="H37" s="3" t="s">
        <v>40</v>
      </c>
    </row>
    <row r="38" spans="1:8" x14ac:dyDescent="0.2">
      <c r="A38" s="3">
        <v>3080105074</v>
      </c>
      <c r="B38" s="4" t="s">
        <v>50</v>
      </c>
      <c r="C38" s="4" t="s">
        <v>1272</v>
      </c>
      <c r="D38" s="3">
        <v>8</v>
      </c>
      <c r="E38" s="3" t="s">
        <v>16</v>
      </c>
      <c r="F38" s="3" t="s">
        <v>794</v>
      </c>
      <c r="G38" s="3" t="s">
        <v>795</v>
      </c>
      <c r="H38" s="3" t="s">
        <v>40</v>
      </c>
    </row>
    <row r="39" spans="1:8" x14ac:dyDescent="0.2">
      <c r="A39" s="3">
        <v>3080105121</v>
      </c>
      <c r="B39" s="4" t="s">
        <v>50</v>
      </c>
      <c r="C39" s="4" t="s">
        <v>316</v>
      </c>
      <c r="D39" s="3">
        <v>2</v>
      </c>
      <c r="E39" s="3" t="s">
        <v>16</v>
      </c>
      <c r="F39" s="3" t="s">
        <v>317</v>
      </c>
      <c r="G39" s="3" t="s">
        <v>318</v>
      </c>
      <c r="H39" s="3" t="s">
        <v>40</v>
      </c>
    </row>
    <row r="40" spans="1:8" x14ac:dyDescent="0.2">
      <c r="A40" s="3">
        <v>3080105073</v>
      </c>
      <c r="B40" s="4" t="s">
        <v>50</v>
      </c>
      <c r="C40" s="4" t="s">
        <v>1257</v>
      </c>
      <c r="D40" s="3">
        <v>2</v>
      </c>
      <c r="E40" s="3" t="s">
        <v>16</v>
      </c>
      <c r="F40" s="3" t="s">
        <v>317</v>
      </c>
      <c r="G40" s="3" t="s">
        <v>318</v>
      </c>
      <c r="H40" s="3" t="s">
        <v>40</v>
      </c>
    </row>
    <row r="41" spans="1:8" x14ac:dyDescent="0.2">
      <c r="A41" s="3">
        <v>3080104055</v>
      </c>
      <c r="B41" s="4" t="s">
        <v>50</v>
      </c>
      <c r="C41" s="4" t="s">
        <v>425</v>
      </c>
      <c r="D41" s="3">
        <v>2</v>
      </c>
      <c r="E41" s="3" t="s">
        <v>16</v>
      </c>
      <c r="F41" s="3" t="s">
        <v>291</v>
      </c>
      <c r="G41" s="3" t="s">
        <v>26</v>
      </c>
      <c r="H41" s="3" t="s">
        <v>40</v>
      </c>
    </row>
    <row r="42" spans="1:8" x14ac:dyDescent="0.2">
      <c r="A42" s="3">
        <v>3080105070</v>
      </c>
      <c r="B42" s="4" t="s">
        <v>50</v>
      </c>
      <c r="C42" s="4" t="s">
        <v>1160</v>
      </c>
      <c r="D42" s="3">
        <v>2</v>
      </c>
      <c r="E42" s="3" t="s">
        <v>16</v>
      </c>
      <c r="F42" s="3" t="s">
        <v>291</v>
      </c>
      <c r="G42" s="3" t="s">
        <v>26</v>
      </c>
      <c r="H42" s="3" t="s">
        <v>40</v>
      </c>
    </row>
    <row r="43" spans="1:8" x14ac:dyDescent="0.2">
      <c r="A43" s="3">
        <v>3080502003</v>
      </c>
      <c r="B43" s="4" t="s">
        <v>55</v>
      </c>
      <c r="C43" s="4" t="s">
        <v>426</v>
      </c>
      <c r="D43" s="3">
        <v>2</v>
      </c>
      <c r="E43" s="3" t="s">
        <v>16</v>
      </c>
      <c r="F43" s="3" t="s">
        <v>291</v>
      </c>
      <c r="G43" s="3" t="s">
        <v>26</v>
      </c>
      <c r="H43" s="3" t="s">
        <v>40</v>
      </c>
    </row>
    <row r="44" spans="1:8" x14ac:dyDescent="0.2">
      <c r="A44" s="3">
        <v>3080201005</v>
      </c>
      <c r="B44" s="4" t="s">
        <v>60</v>
      </c>
      <c r="C44" s="4" t="s">
        <v>427</v>
      </c>
      <c r="D44" s="3">
        <v>1</v>
      </c>
      <c r="E44" s="3" t="s">
        <v>16</v>
      </c>
      <c r="F44" s="3" t="s">
        <v>291</v>
      </c>
      <c r="G44" s="3" t="s">
        <v>26</v>
      </c>
      <c r="H44" s="3" t="s">
        <v>40</v>
      </c>
    </row>
    <row r="45" spans="1:8" x14ac:dyDescent="0.2">
      <c r="A45" s="3">
        <v>3080201006</v>
      </c>
      <c r="B45" s="4" t="s">
        <v>60</v>
      </c>
      <c r="C45" s="4" t="s">
        <v>428</v>
      </c>
      <c r="D45" s="3">
        <v>1</v>
      </c>
      <c r="E45" s="3" t="s">
        <v>16</v>
      </c>
      <c r="F45" s="3" t="s">
        <v>291</v>
      </c>
      <c r="G45" s="3" t="s">
        <v>26</v>
      </c>
      <c r="H45" s="3" t="s">
        <v>40</v>
      </c>
    </row>
    <row r="46" spans="1:8" x14ac:dyDescent="0.2">
      <c r="A46" s="3">
        <v>3080107271</v>
      </c>
      <c r="B46" s="4" t="s">
        <v>69</v>
      </c>
      <c r="C46" s="4" t="s">
        <v>1161</v>
      </c>
      <c r="D46" s="3">
        <v>2</v>
      </c>
      <c r="E46" s="3" t="s">
        <v>16</v>
      </c>
      <c r="F46" s="3" t="s">
        <v>289</v>
      </c>
      <c r="G46" s="3" t="s">
        <v>23</v>
      </c>
      <c r="H46" s="3" t="s">
        <v>40</v>
      </c>
    </row>
    <row r="47" spans="1:8" x14ac:dyDescent="0.2">
      <c r="A47" s="3">
        <v>3080107092</v>
      </c>
      <c r="B47" s="4" t="s">
        <v>69</v>
      </c>
      <c r="C47" s="4" t="s">
        <v>1162</v>
      </c>
      <c r="D47" s="3">
        <v>4</v>
      </c>
      <c r="E47" s="3" t="s">
        <v>16</v>
      </c>
      <c r="F47" s="3" t="s">
        <v>289</v>
      </c>
      <c r="G47" s="3" t="s">
        <v>23</v>
      </c>
      <c r="H47" s="3" t="s">
        <v>40</v>
      </c>
    </row>
    <row r="48" spans="1:8" x14ac:dyDescent="0.2">
      <c r="A48" s="3">
        <v>3080107034</v>
      </c>
      <c r="B48" s="4" t="s">
        <v>69</v>
      </c>
      <c r="C48" s="4" t="s">
        <v>429</v>
      </c>
      <c r="D48" s="3">
        <v>2</v>
      </c>
      <c r="E48" s="3" t="s">
        <v>16</v>
      </c>
      <c r="F48" s="3" t="s">
        <v>295</v>
      </c>
      <c r="G48" s="3" t="s">
        <v>17</v>
      </c>
      <c r="H48" s="3" t="s">
        <v>40</v>
      </c>
    </row>
    <row r="49" spans="1:8" x14ac:dyDescent="0.2">
      <c r="A49" s="3">
        <v>3080107034</v>
      </c>
      <c r="B49" s="4" t="s">
        <v>69</v>
      </c>
      <c r="C49" s="4" t="s">
        <v>429</v>
      </c>
      <c r="D49" s="3">
        <v>6</v>
      </c>
      <c r="E49" s="3" t="s">
        <v>16</v>
      </c>
      <c r="F49" s="3" t="s">
        <v>295</v>
      </c>
      <c r="G49" s="3" t="s">
        <v>17</v>
      </c>
      <c r="H49" s="3" t="s">
        <v>40</v>
      </c>
    </row>
    <row r="50" spans="1:8" x14ac:dyDescent="0.2">
      <c r="A50" s="3">
        <v>3080107002</v>
      </c>
      <c r="B50" s="4" t="s">
        <v>69</v>
      </c>
      <c r="C50" s="4" t="s">
        <v>430</v>
      </c>
      <c r="D50" s="3">
        <v>4</v>
      </c>
      <c r="E50" s="3" t="s">
        <v>16</v>
      </c>
      <c r="F50" s="3" t="s">
        <v>295</v>
      </c>
      <c r="G50" s="3" t="s">
        <v>17</v>
      </c>
      <c r="H50" s="3" t="s">
        <v>40</v>
      </c>
    </row>
    <row r="51" spans="1:8" x14ac:dyDescent="0.2">
      <c r="A51" s="3">
        <v>3080107052</v>
      </c>
      <c r="B51" s="4" t="s">
        <v>69</v>
      </c>
      <c r="C51" s="4" t="s">
        <v>431</v>
      </c>
      <c r="D51" s="3">
        <v>1</v>
      </c>
      <c r="E51" s="3" t="s">
        <v>16</v>
      </c>
      <c r="F51" s="3" t="s">
        <v>295</v>
      </c>
      <c r="G51" s="3" t="s">
        <v>17</v>
      </c>
      <c r="H51" s="3" t="s">
        <v>40</v>
      </c>
    </row>
    <row r="52" spans="1:8" x14ac:dyDescent="0.2">
      <c r="A52" s="3">
        <v>3080107160</v>
      </c>
      <c r="B52" s="4" t="s">
        <v>69</v>
      </c>
      <c r="C52" s="4" t="s">
        <v>432</v>
      </c>
      <c r="D52" s="3">
        <v>4</v>
      </c>
      <c r="E52" s="3" t="s">
        <v>16</v>
      </c>
      <c r="F52" s="3" t="s">
        <v>293</v>
      </c>
      <c r="G52" s="3" t="s">
        <v>29</v>
      </c>
      <c r="H52" s="3" t="s">
        <v>40</v>
      </c>
    </row>
    <row r="53" spans="1:8" x14ac:dyDescent="0.2">
      <c r="A53" s="3">
        <v>3080107149</v>
      </c>
      <c r="B53" s="4" t="s">
        <v>69</v>
      </c>
      <c r="C53" s="4" t="s">
        <v>799</v>
      </c>
      <c r="D53" s="3">
        <v>2</v>
      </c>
      <c r="E53" s="3" t="s">
        <v>16</v>
      </c>
      <c r="F53" s="3" t="s">
        <v>794</v>
      </c>
      <c r="G53" s="3" t="s">
        <v>795</v>
      </c>
      <c r="H53" s="3" t="s">
        <v>40</v>
      </c>
    </row>
    <row r="54" spans="1:8" x14ac:dyDescent="0.2">
      <c r="A54" s="3">
        <v>3080107308</v>
      </c>
      <c r="B54" s="4" t="s">
        <v>69</v>
      </c>
      <c r="C54" s="4" t="s">
        <v>433</v>
      </c>
      <c r="D54" s="3">
        <v>2</v>
      </c>
      <c r="E54" s="3" t="s">
        <v>16</v>
      </c>
      <c r="F54" s="3" t="s">
        <v>291</v>
      </c>
      <c r="G54" s="3" t="s">
        <v>26</v>
      </c>
      <c r="H54" s="3" t="s">
        <v>40</v>
      </c>
    </row>
    <row r="55" spans="1:8" x14ac:dyDescent="0.2">
      <c r="A55" s="3">
        <v>3080107305</v>
      </c>
      <c r="B55" s="4" t="s">
        <v>69</v>
      </c>
      <c r="C55" s="4" t="s">
        <v>434</v>
      </c>
      <c r="D55" s="3">
        <v>2</v>
      </c>
      <c r="E55" s="3" t="s">
        <v>16</v>
      </c>
      <c r="F55" s="3" t="s">
        <v>291</v>
      </c>
      <c r="G55" s="3" t="s">
        <v>26</v>
      </c>
      <c r="H55" s="3" t="s">
        <v>40</v>
      </c>
    </row>
    <row r="56" spans="1:8" x14ac:dyDescent="0.2">
      <c r="A56" s="3">
        <v>3080107072</v>
      </c>
      <c r="B56" s="4" t="s">
        <v>69</v>
      </c>
      <c r="C56" s="4" t="s">
        <v>435</v>
      </c>
      <c r="D56" s="3">
        <v>4</v>
      </c>
      <c r="E56" s="3" t="s">
        <v>16</v>
      </c>
      <c r="F56" s="3" t="s">
        <v>291</v>
      </c>
      <c r="G56" s="3" t="s">
        <v>26</v>
      </c>
      <c r="H56" s="3" t="s">
        <v>40</v>
      </c>
    </row>
    <row r="57" spans="1:8" x14ac:dyDescent="0.2">
      <c r="A57" s="3">
        <v>3080107076</v>
      </c>
      <c r="B57" s="4" t="s">
        <v>69</v>
      </c>
      <c r="C57" s="4" t="s">
        <v>1163</v>
      </c>
      <c r="D57" s="3">
        <v>2</v>
      </c>
      <c r="E57" s="3" t="s">
        <v>16</v>
      </c>
      <c r="F57" s="3" t="s">
        <v>291</v>
      </c>
      <c r="G57" s="3" t="s">
        <v>26</v>
      </c>
      <c r="H57" s="3" t="s">
        <v>40</v>
      </c>
    </row>
    <row r="58" spans="1:8" x14ac:dyDescent="0.2">
      <c r="A58" s="3">
        <v>3080108052</v>
      </c>
      <c r="B58" s="4" t="s">
        <v>77</v>
      </c>
      <c r="C58" s="4" t="s">
        <v>1164</v>
      </c>
      <c r="D58" s="3">
        <v>1</v>
      </c>
      <c r="E58" s="3" t="s">
        <v>16</v>
      </c>
      <c r="F58" s="3" t="s">
        <v>289</v>
      </c>
      <c r="G58" s="3" t="s">
        <v>23</v>
      </c>
      <c r="H58" s="3" t="s">
        <v>40</v>
      </c>
    </row>
    <row r="59" spans="1:8" x14ac:dyDescent="0.2">
      <c r="A59" s="3">
        <v>3080101008</v>
      </c>
      <c r="B59" s="4" t="s">
        <v>77</v>
      </c>
      <c r="C59" s="4" t="s">
        <v>1165</v>
      </c>
      <c r="D59" s="3">
        <v>4</v>
      </c>
      <c r="E59" s="3" t="s">
        <v>16</v>
      </c>
      <c r="F59" s="3" t="s">
        <v>289</v>
      </c>
      <c r="G59" s="3" t="s">
        <v>23</v>
      </c>
      <c r="H59" s="3" t="s">
        <v>40</v>
      </c>
    </row>
    <row r="60" spans="1:8" x14ac:dyDescent="0.2">
      <c r="A60" s="3">
        <v>3080108040</v>
      </c>
      <c r="B60" s="4" t="s">
        <v>77</v>
      </c>
      <c r="C60" s="4" t="s">
        <v>1166</v>
      </c>
      <c r="D60" s="3">
        <v>2</v>
      </c>
      <c r="E60" s="3" t="s">
        <v>16</v>
      </c>
      <c r="F60" s="3" t="s">
        <v>289</v>
      </c>
      <c r="G60" s="3" t="s">
        <v>23</v>
      </c>
      <c r="H60" s="3" t="s">
        <v>40</v>
      </c>
    </row>
    <row r="61" spans="1:8" x14ac:dyDescent="0.2">
      <c r="A61" s="3">
        <v>3080108025</v>
      </c>
      <c r="B61" s="4" t="s">
        <v>77</v>
      </c>
      <c r="C61" s="4" t="s">
        <v>437</v>
      </c>
      <c r="D61" s="3">
        <v>7</v>
      </c>
      <c r="E61" s="3" t="s">
        <v>16</v>
      </c>
      <c r="F61" s="3" t="s">
        <v>295</v>
      </c>
      <c r="G61" s="3" t="s">
        <v>17</v>
      </c>
      <c r="H61" s="3" t="s">
        <v>40</v>
      </c>
    </row>
    <row r="62" spans="1:8" x14ac:dyDescent="0.2">
      <c r="A62" s="3">
        <v>3080108025</v>
      </c>
      <c r="B62" s="4" t="s">
        <v>77</v>
      </c>
      <c r="C62" s="4" t="s">
        <v>437</v>
      </c>
      <c r="D62" s="3">
        <v>4</v>
      </c>
      <c r="E62" s="3" t="s">
        <v>16</v>
      </c>
      <c r="F62" s="3" t="s">
        <v>291</v>
      </c>
      <c r="G62" s="3" t="s">
        <v>26</v>
      </c>
      <c r="H62" s="3" t="s">
        <v>40</v>
      </c>
    </row>
    <row r="63" spans="1:8" x14ac:dyDescent="0.2">
      <c r="A63" s="3">
        <v>3080403001</v>
      </c>
      <c r="B63" s="4" t="s">
        <v>439</v>
      </c>
      <c r="C63" s="4" t="s">
        <v>440</v>
      </c>
      <c r="D63" s="3">
        <v>1</v>
      </c>
      <c r="E63" s="3" t="s">
        <v>16</v>
      </c>
      <c r="F63" s="3" t="s">
        <v>295</v>
      </c>
      <c r="G63" s="3" t="s">
        <v>17</v>
      </c>
      <c r="H63" s="3" t="s">
        <v>40</v>
      </c>
    </row>
    <row r="64" spans="1:8" x14ac:dyDescent="0.2">
      <c r="A64" s="3">
        <v>3080109002</v>
      </c>
      <c r="B64" s="4" t="s">
        <v>441</v>
      </c>
      <c r="C64" s="4" t="s">
        <v>442</v>
      </c>
      <c r="D64" s="3">
        <v>2</v>
      </c>
      <c r="E64" s="3" t="s">
        <v>16</v>
      </c>
      <c r="F64" s="3" t="s">
        <v>295</v>
      </c>
      <c r="G64" s="3" t="s">
        <v>17</v>
      </c>
      <c r="H64" s="3" t="s">
        <v>40</v>
      </c>
    </row>
    <row r="65" spans="1:8" x14ac:dyDescent="0.2">
      <c r="A65" s="3">
        <v>3080111012</v>
      </c>
      <c r="B65" s="4" t="s">
        <v>79</v>
      </c>
      <c r="C65" s="4" t="s">
        <v>443</v>
      </c>
      <c r="D65" s="3">
        <v>2</v>
      </c>
      <c r="E65" s="3" t="s">
        <v>16</v>
      </c>
      <c r="F65" s="3" t="s">
        <v>295</v>
      </c>
      <c r="G65" s="3" t="s">
        <v>17</v>
      </c>
      <c r="H65" s="3" t="s">
        <v>40</v>
      </c>
    </row>
    <row r="66" spans="1:8" x14ac:dyDescent="0.2">
      <c r="A66" s="3">
        <v>3080111006</v>
      </c>
      <c r="B66" s="4" t="s">
        <v>79</v>
      </c>
      <c r="C66" s="4" t="s">
        <v>444</v>
      </c>
      <c r="D66" s="3">
        <v>1</v>
      </c>
      <c r="E66" s="3" t="s">
        <v>16</v>
      </c>
      <c r="F66" s="3" t="s">
        <v>295</v>
      </c>
      <c r="G66" s="3" t="s">
        <v>17</v>
      </c>
      <c r="H66" s="3" t="s">
        <v>40</v>
      </c>
    </row>
    <row r="67" spans="1:8" x14ac:dyDescent="0.2">
      <c r="A67" s="3">
        <v>3080111004</v>
      </c>
      <c r="B67" s="4" t="s">
        <v>79</v>
      </c>
      <c r="C67" s="4" t="s">
        <v>445</v>
      </c>
      <c r="D67" s="3">
        <v>2</v>
      </c>
      <c r="E67" s="3" t="s">
        <v>16</v>
      </c>
      <c r="F67" s="3" t="s">
        <v>293</v>
      </c>
      <c r="G67" s="3" t="s">
        <v>29</v>
      </c>
      <c r="H67" s="3" t="s">
        <v>40</v>
      </c>
    </row>
    <row r="68" spans="1:8" x14ac:dyDescent="0.2">
      <c r="A68" s="3">
        <v>3080111063</v>
      </c>
      <c r="B68" s="4" t="s">
        <v>79</v>
      </c>
      <c r="C68" s="4" t="s">
        <v>1273</v>
      </c>
      <c r="D68" s="3">
        <v>4</v>
      </c>
      <c r="E68" s="3" t="s">
        <v>16</v>
      </c>
      <c r="F68" s="3" t="s">
        <v>794</v>
      </c>
      <c r="G68" s="3" t="s">
        <v>795</v>
      </c>
      <c r="H68" s="3" t="s">
        <v>40</v>
      </c>
    </row>
    <row r="69" spans="1:8" x14ac:dyDescent="0.2">
      <c r="A69" s="3">
        <v>3080111086</v>
      </c>
      <c r="B69" s="4" t="s">
        <v>79</v>
      </c>
      <c r="C69" s="4" t="s">
        <v>1167</v>
      </c>
      <c r="D69" s="3">
        <v>15</v>
      </c>
      <c r="E69" s="3" t="s">
        <v>16</v>
      </c>
      <c r="F69" s="3" t="s">
        <v>291</v>
      </c>
      <c r="G69" s="3" t="s">
        <v>26</v>
      </c>
      <c r="H69" s="3" t="s">
        <v>40</v>
      </c>
    </row>
    <row r="70" spans="1:8" x14ac:dyDescent="0.2">
      <c r="A70" s="3">
        <v>3080111086</v>
      </c>
      <c r="B70" s="4" t="s">
        <v>79</v>
      </c>
      <c r="C70" s="4" t="s">
        <v>1167</v>
      </c>
      <c r="D70" s="3">
        <v>1</v>
      </c>
      <c r="E70" s="3" t="s">
        <v>16</v>
      </c>
      <c r="F70" s="3" t="s">
        <v>291</v>
      </c>
      <c r="G70" s="3" t="s">
        <v>26</v>
      </c>
      <c r="H70" s="3" t="s">
        <v>40</v>
      </c>
    </row>
    <row r="71" spans="1:8" x14ac:dyDescent="0.2">
      <c r="A71" s="3">
        <v>3080111015</v>
      </c>
      <c r="B71" s="4" t="s">
        <v>79</v>
      </c>
      <c r="C71" s="4" t="s">
        <v>446</v>
      </c>
      <c r="D71" s="3">
        <v>4</v>
      </c>
      <c r="E71" s="3" t="s">
        <v>16</v>
      </c>
      <c r="F71" s="3" t="s">
        <v>291</v>
      </c>
      <c r="G71" s="3" t="s">
        <v>26</v>
      </c>
      <c r="H71" s="3" t="s">
        <v>40</v>
      </c>
    </row>
    <row r="72" spans="1:8" x14ac:dyDescent="0.2">
      <c r="A72" s="3">
        <v>407030041</v>
      </c>
      <c r="B72" s="4" t="s">
        <v>81</v>
      </c>
      <c r="C72" s="4" t="s">
        <v>1168</v>
      </c>
      <c r="D72" s="3">
        <v>1</v>
      </c>
      <c r="E72" s="3" t="s">
        <v>16</v>
      </c>
      <c r="F72" s="3" t="s">
        <v>301</v>
      </c>
      <c r="G72" s="3" t="s">
        <v>32</v>
      </c>
      <c r="H72" s="3" t="s">
        <v>40</v>
      </c>
    </row>
    <row r="73" spans="1:8" x14ac:dyDescent="0.2">
      <c r="A73" s="3">
        <v>3099991005</v>
      </c>
      <c r="B73" s="4" t="s">
        <v>878</v>
      </c>
      <c r="C73" s="4" t="s">
        <v>1258</v>
      </c>
      <c r="D73" s="3">
        <v>1</v>
      </c>
      <c r="E73" s="3" t="s">
        <v>16</v>
      </c>
      <c r="F73" s="3" t="s">
        <v>317</v>
      </c>
      <c r="G73" s="3" t="s">
        <v>318</v>
      </c>
      <c r="H73" s="3" t="s">
        <v>103</v>
      </c>
    </row>
    <row r="74" spans="1:8" x14ac:dyDescent="0.2">
      <c r="A74" s="3">
        <v>3099991105</v>
      </c>
      <c r="B74" s="4" t="s">
        <v>1169</v>
      </c>
      <c r="C74" s="4" t="s">
        <v>1170</v>
      </c>
      <c r="D74" s="3">
        <v>1</v>
      </c>
      <c r="E74" s="3" t="s">
        <v>16</v>
      </c>
      <c r="F74" s="3" t="s">
        <v>299</v>
      </c>
      <c r="G74" s="3" t="s">
        <v>106</v>
      </c>
      <c r="H74" s="3" t="s">
        <v>103</v>
      </c>
    </row>
    <row r="75" spans="1:8" x14ac:dyDescent="0.2">
      <c r="A75" s="3">
        <v>3099990110</v>
      </c>
      <c r="B75" s="4" t="s">
        <v>104</v>
      </c>
      <c r="C75" s="4" t="s">
        <v>1170</v>
      </c>
      <c r="D75" s="3">
        <v>1</v>
      </c>
      <c r="E75" s="3" t="s">
        <v>16</v>
      </c>
      <c r="F75" s="3" t="s">
        <v>299</v>
      </c>
      <c r="G75" s="3" t="s">
        <v>106</v>
      </c>
      <c r="H75" s="3" t="s">
        <v>103</v>
      </c>
    </row>
    <row r="76" spans="1:8" x14ac:dyDescent="0.2">
      <c r="A76" s="3">
        <v>402030026</v>
      </c>
      <c r="B76" s="4" t="s">
        <v>107</v>
      </c>
      <c r="C76" s="4" t="s">
        <v>1171</v>
      </c>
      <c r="D76" s="3">
        <v>1</v>
      </c>
      <c r="E76" s="3" t="s">
        <v>16</v>
      </c>
      <c r="F76" s="3" t="s">
        <v>289</v>
      </c>
      <c r="G76" s="3" t="s">
        <v>23</v>
      </c>
      <c r="H76" s="3" t="s">
        <v>109</v>
      </c>
    </row>
    <row r="77" spans="1:8" x14ac:dyDescent="0.2">
      <c r="A77" s="3">
        <v>402030016</v>
      </c>
      <c r="B77" s="4" t="s">
        <v>107</v>
      </c>
      <c r="C77" s="4" t="s">
        <v>1259</v>
      </c>
      <c r="D77" s="3">
        <v>1</v>
      </c>
      <c r="E77" s="3" t="s">
        <v>16</v>
      </c>
      <c r="F77" s="3" t="s">
        <v>317</v>
      </c>
      <c r="G77" s="3" t="s">
        <v>318</v>
      </c>
      <c r="H77" s="3" t="s">
        <v>109</v>
      </c>
    </row>
    <row r="78" spans="1:8" x14ac:dyDescent="0.2">
      <c r="A78" s="3">
        <v>402030027</v>
      </c>
      <c r="B78" s="4" t="s">
        <v>107</v>
      </c>
      <c r="C78" s="4" t="s">
        <v>110</v>
      </c>
      <c r="D78" s="3">
        <v>1</v>
      </c>
      <c r="E78" s="3" t="s">
        <v>16</v>
      </c>
      <c r="F78" s="3" t="s">
        <v>291</v>
      </c>
      <c r="G78" s="3" t="s">
        <v>26</v>
      </c>
      <c r="H78" s="3" t="s">
        <v>109</v>
      </c>
    </row>
    <row r="79" spans="1:8" x14ac:dyDescent="0.2">
      <c r="A79" s="3">
        <v>403030033</v>
      </c>
      <c r="B79" s="4" t="s">
        <v>801</v>
      </c>
      <c r="C79" s="4" t="s">
        <v>802</v>
      </c>
      <c r="D79" s="3">
        <v>1</v>
      </c>
      <c r="E79" s="3" t="s">
        <v>16</v>
      </c>
      <c r="F79" s="3" t="s">
        <v>291</v>
      </c>
      <c r="G79" s="3" t="s">
        <v>26</v>
      </c>
      <c r="H79" s="3" t="s">
        <v>109</v>
      </c>
    </row>
    <row r="80" spans="1:8" x14ac:dyDescent="0.2">
      <c r="A80" s="3">
        <v>402020002</v>
      </c>
      <c r="B80" s="4" t="s">
        <v>111</v>
      </c>
      <c r="C80" s="4" t="s">
        <v>452</v>
      </c>
      <c r="D80" s="3">
        <v>2</v>
      </c>
      <c r="E80" s="3" t="s">
        <v>16</v>
      </c>
      <c r="F80" s="3" t="s">
        <v>293</v>
      </c>
      <c r="G80" s="3" t="s">
        <v>29</v>
      </c>
      <c r="H80" s="3" t="s">
        <v>109</v>
      </c>
    </row>
    <row r="81" spans="1:8" x14ac:dyDescent="0.2">
      <c r="A81" s="3">
        <v>3060209002</v>
      </c>
      <c r="B81" s="4" t="s">
        <v>113</v>
      </c>
      <c r="C81" s="4" t="s">
        <v>114</v>
      </c>
      <c r="D81" s="3">
        <v>2</v>
      </c>
      <c r="E81" s="3" t="s">
        <v>16</v>
      </c>
      <c r="F81" s="3" t="s">
        <v>289</v>
      </c>
      <c r="G81" s="3" t="s">
        <v>23</v>
      </c>
      <c r="H81" s="3" t="s">
        <v>115</v>
      </c>
    </row>
    <row r="82" spans="1:8" x14ac:dyDescent="0.2">
      <c r="A82" s="3">
        <v>3040216001</v>
      </c>
      <c r="B82" s="4" t="s">
        <v>328</v>
      </c>
      <c r="C82" s="4" t="s">
        <v>329</v>
      </c>
      <c r="D82" s="3">
        <v>4</v>
      </c>
      <c r="E82" s="3" t="s">
        <v>16</v>
      </c>
      <c r="F82" s="3" t="s">
        <v>293</v>
      </c>
      <c r="G82" s="3" t="s">
        <v>29</v>
      </c>
      <c r="H82" s="3" t="s">
        <v>115</v>
      </c>
    </row>
    <row r="83" spans="1:8" x14ac:dyDescent="0.2">
      <c r="A83" s="3">
        <v>3030204017</v>
      </c>
      <c r="B83" s="4" t="s">
        <v>453</v>
      </c>
      <c r="C83" s="4" t="s">
        <v>454</v>
      </c>
      <c r="D83" s="3">
        <v>1</v>
      </c>
      <c r="E83" s="3" t="s">
        <v>16</v>
      </c>
      <c r="F83" s="3" t="s">
        <v>295</v>
      </c>
      <c r="G83" s="3" t="s">
        <v>17</v>
      </c>
      <c r="H83" s="3" t="s">
        <v>115</v>
      </c>
    </row>
    <row r="84" spans="1:8" x14ac:dyDescent="0.2">
      <c r="A84" s="3">
        <v>3030204005</v>
      </c>
      <c r="B84" s="4" t="s">
        <v>455</v>
      </c>
      <c r="C84" s="4" t="s">
        <v>456</v>
      </c>
      <c r="D84" s="3">
        <v>1</v>
      </c>
      <c r="E84" s="3" t="s">
        <v>16</v>
      </c>
      <c r="F84" s="3" t="s">
        <v>295</v>
      </c>
      <c r="G84" s="3" t="s">
        <v>17</v>
      </c>
      <c r="H84" s="3" t="s">
        <v>115</v>
      </c>
    </row>
    <row r="85" spans="1:8" x14ac:dyDescent="0.2">
      <c r="A85" s="3">
        <v>3050203003</v>
      </c>
      <c r="B85" s="4" t="s">
        <v>120</v>
      </c>
      <c r="C85" s="4" t="s">
        <v>457</v>
      </c>
      <c r="D85" s="3">
        <v>2</v>
      </c>
      <c r="E85" s="3" t="s">
        <v>16</v>
      </c>
      <c r="F85" s="3" t="s">
        <v>291</v>
      </c>
      <c r="G85" s="3" t="s">
        <v>26</v>
      </c>
      <c r="H85" s="3" t="s">
        <v>115</v>
      </c>
    </row>
    <row r="86" spans="1:8" x14ac:dyDescent="0.2">
      <c r="A86" s="3">
        <v>3050203007</v>
      </c>
      <c r="B86" s="4" t="s">
        <v>803</v>
      </c>
      <c r="C86" s="4" t="s">
        <v>804</v>
      </c>
      <c r="D86" s="3">
        <v>2</v>
      </c>
      <c r="E86" s="3" t="s">
        <v>16</v>
      </c>
      <c r="F86" s="3" t="s">
        <v>794</v>
      </c>
      <c r="G86" s="3" t="s">
        <v>795</v>
      </c>
      <c r="H86" s="3" t="s">
        <v>115</v>
      </c>
    </row>
    <row r="87" spans="1:8" x14ac:dyDescent="0.2">
      <c r="A87" s="3">
        <v>3030204008</v>
      </c>
      <c r="B87" s="4" t="s">
        <v>122</v>
      </c>
      <c r="C87" s="4" t="s">
        <v>123</v>
      </c>
      <c r="D87" s="3">
        <v>1</v>
      </c>
      <c r="E87" s="3" t="s">
        <v>16</v>
      </c>
      <c r="F87" s="3" t="s">
        <v>291</v>
      </c>
      <c r="G87" s="3" t="s">
        <v>26</v>
      </c>
      <c r="H87" s="3" t="s">
        <v>115</v>
      </c>
    </row>
    <row r="88" spans="1:8" x14ac:dyDescent="0.2">
      <c r="A88" s="3">
        <v>3070104005</v>
      </c>
      <c r="B88" s="4" t="s">
        <v>128</v>
      </c>
      <c r="C88" s="4" t="s">
        <v>330</v>
      </c>
      <c r="D88" s="3">
        <v>1</v>
      </c>
      <c r="E88" s="3" t="s">
        <v>16</v>
      </c>
      <c r="F88" s="3" t="s">
        <v>317</v>
      </c>
      <c r="G88" s="3" t="s">
        <v>318</v>
      </c>
      <c r="H88" s="3" t="s">
        <v>115</v>
      </c>
    </row>
    <row r="89" spans="1:8" x14ac:dyDescent="0.2">
      <c r="A89" s="3">
        <v>3030206001</v>
      </c>
      <c r="B89" s="4" t="s">
        <v>458</v>
      </c>
      <c r="C89" s="4" t="s">
        <v>404</v>
      </c>
      <c r="D89" s="3">
        <v>1</v>
      </c>
      <c r="E89" s="3" t="s">
        <v>16</v>
      </c>
      <c r="F89" s="3" t="s">
        <v>295</v>
      </c>
      <c r="G89" s="3" t="s">
        <v>17</v>
      </c>
      <c r="H89" s="3" t="s">
        <v>132</v>
      </c>
    </row>
    <row r="90" spans="1:8" x14ac:dyDescent="0.2">
      <c r="A90" s="3">
        <v>3080199003</v>
      </c>
      <c r="B90" s="4" t="s">
        <v>805</v>
      </c>
      <c r="C90" s="4" t="s">
        <v>806</v>
      </c>
      <c r="D90" s="3">
        <v>2</v>
      </c>
      <c r="E90" s="3" t="s">
        <v>16</v>
      </c>
      <c r="F90" s="3" t="s">
        <v>794</v>
      </c>
      <c r="G90" s="3" t="s">
        <v>795</v>
      </c>
      <c r="H90" s="3" t="s">
        <v>807</v>
      </c>
    </row>
    <row r="91" spans="1:8" x14ac:dyDescent="0.2">
      <c r="A91" s="3">
        <v>404020082</v>
      </c>
      <c r="B91" s="4" t="s">
        <v>30</v>
      </c>
      <c r="C91" s="4" t="s">
        <v>1260</v>
      </c>
      <c r="D91" s="3">
        <v>1</v>
      </c>
      <c r="E91" s="3" t="s">
        <v>16</v>
      </c>
      <c r="F91" s="3" t="s">
        <v>301</v>
      </c>
      <c r="G91" s="3" t="s">
        <v>32</v>
      </c>
      <c r="H91" s="3" t="s">
        <v>134</v>
      </c>
    </row>
    <row r="92" spans="1:8" x14ac:dyDescent="0.2">
      <c r="A92" s="3">
        <v>401020109</v>
      </c>
      <c r="B92" s="4" t="s">
        <v>35</v>
      </c>
      <c r="C92" s="4" t="s">
        <v>1172</v>
      </c>
      <c r="D92" s="3">
        <v>1</v>
      </c>
      <c r="E92" s="3" t="s">
        <v>16</v>
      </c>
      <c r="F92" s="3" t="s">
        <v>291</v>
      </c>
      <c r="G92" s="3" t="s">
        <v>26</v>
      </c>
      <c r="H92" s="3" t="s">
        <v>134</v>
      </c>
    </row>
    <row r="93" spans="1:8" x14ac:dyDescent="0.2">
      <c r="A93" s="3">
        <v>3040502053</v>
      </c>
      <c r="B93" s="4" t="s">
        <v>136</v>
      </c>
      <c r="C93" s="4" t="s">
        <v>1117</v>
      </c>
      <c r="D93" s="3">
        <v>1</v>
      </c>
      <c r="E93" s="3" t="s">
        <v>16</v>
      </c>
      <c r="F93" s="3" t="s">
        <v>293</v>
      </c>
      <c r="G93" s="3" t="s">
        <v>29</v>
      </c>
      <c r="H93" s="3" t="s">
        <v>138</v>
      </c>
    </row>
    <row r="94" spans="1:8" x14ac:dyDescent="0.2">
      <c r="A94" s="3">
        <v>3040502052</v>
      </c>
      <c r="B94" s="4" t="s">
        <v>136</v>
      </c>
      <c r="C94" s="4" t="s">
        <v>1118</v>
      </c>
      <c r="D94" s="3">
        <v>1</v>
      </c>
      <c r="E94" s="3" t="s">
        <v>16</v>
      </c>
      <c r="F94" s="3" t="s">
        <v>293</v>
      </c>
      <c r="G94" s="3" t="s">
        <v>29</v>
      </c>
      <c r="H94" s="3" t="s">
        <v>138</v>
      </c>
    </row>
    <row r="95" spans="1:8" x14ac:dyDescent="0.2">
      <c r="A95" s="3">
        <v>3110207001</v>
      </c>
      <c r="B95" s="4" t="s">
        <v>140</v>
      </c>
      <c r="C95" s="4" t="s">
        <v>1173</v>
      </c>
      <c r="D95" s="3">
        <v>1</v>
      </c>
      <c r="E95" s="3" t="s">
        <v>16</v>
      </c>
      <c r="F95" s="3" t="s">
        <v>285</v>
      </c>
      <c r="G95" s="3" t="s">
        <v>142</v>
      </c>
      <c r="H95" s="3" t="s">
        <v>143</v>
      </c>
    </row>
    <row r="96" spans="1:8" x14ac:dyDescent="0.2">
      <c r="A96" s="3">
        <v>3030301007</v>
      </c>
      <c r="B96" s="4" t="s">
        <v>144</v>
      </c>
      <c r="C96" s="4" t="s">
        <v>1174</v>
      </c>
      <c r="D96" s="3">
        <v>2</v>
      </c>
      <c r="E96" s="3" t="s">
        <v>16</v>
      </c>
      <c r="F96" s="3" t="s">
        <v>291</v>
      </c>
      <c r="G96" s="3" t="s">
        <v>26</v>
      </c>
      <c r="H96" s="3" t="s">
        <v>143</v>
      </c>
    </row>
    <row r="97" spans="1:8" x14ac:dyDescent="0.2">
      <c r="A97" s="3">
        <v>3110204002</v>
      </c>
      <c r="B97" s="4" t="s">
        <v>333</v>
      </c>
      <c r="C97" s="4" t="s">
        <v>1261</v>
      </c>
      <c r="D97" s="3">
        <v>1</v>
      </c>
      <c r="E97" s="3" t="s">
        <v>16</v>
      </c>
      <c r="F97" s="3" t="s">
        <v>335</v>
      </c>
      <c r="G97" s="3" t="s">
        <v>336</v>
      </c>
      <c r="H97" s="3" t="s">
        <v>143</v>
      </c>
    </row>
    <row r="98" spans="1:8" x14ac:dyDescent="0.2">
      <c r="A98" s="3">
        <v>3110206001</v>
      </c>
      <c r="B98" s="4" t="s">
        <v>715</v>
      </c>
      <c r="C98" s="4" t="s">
        <v>1175</v>
      </c>
      <c r="D98" s="3">
        <v>1</v>
      </c>
      <c r="E98" s="3" t="s">
        <v>16</v>
      </c>
      <c r="F98" s="3" t="s">
        <v>285</v>
      </c>
      <c r="G98" s="3" t="s">
        <v>142</v>
      </c>
      <c r="H98" s="3" t="s">
        <v>143</v>
      </c>
    </row>
    <row r="99" spans="1:8" x14ac:dyDescent="0.2">
      <c r="A99" s="3">
        <v>3990205003</v>
      </c>
      <c r="B99" s="4" t="s">
        <v>146</v>
      </c>
      <c r="C99" s="4" t="s">
        <v>460</v>
      </c>
      <c r="D99" s="3">
        <v>1</v>
      </c>
      <c r="E99" s="3" t="s">
        <v>16</v>
      </c>
      <c r="F99" s="3" t="s">
        <v>287</v>
      </c>
      <c r="G99" s="3" t="s">
        <v>148</v>
      </c>
      <c r="H99" s="3" t="s">
        <v>143</v>
      </c>
    </row>
    <row r="100" spans="1:8" x14ac:dyDescent="0.2">
      <c r="A100" s="3">
        <v>408090008</v>
      </c>
      <c r="B100" s="4" t="s">
        <v>461</v>
      </c>
      <c r="C100" s="4" t="s">
        <v>462</v>
      </c>
      <c r="D100" s="3">
        <v>1</v>
      </c>
      <c r="E100" s="3" t="s">
        <v>16</v>
      </c>
      <c r="F100" s="3" t="s">
        <v>293</v>
      </c>
      <c r="G100" s="3" t="s">
        <v>29</v>
      </c>
      <c r="H100" s="3" t="s">
        <v>151</v>
      </c>
    </row>
    <row r="101" spans="1:8" x14ac:dyDescent="0.2">
      <c r="A101" s="3">
        <v>408090007</v>
      </c>
      <c r="B101" s="4" t="s">
        <v>463</v>
      </c>
      <c r="C101" s="4" t="s">
        <v>464</v>
      </c>
      <c r="D101" s="3">
        <v>1</v>
      </c>
      <c r="E101" s="3" t="s">
        <v>16</v>
      </c>
      <c r="F101" s="3" t="s">
        <v>293</v>
      </c>
      <c r="G101" s="3" t="s">
        <v>29</v>
      </c>
      <c r="H101" s="3" t="s">
        <v>151</v>
      </c>
    </row>
    <row r="102" spans="1:8" x14ac:dyDescent="0.2">
      <c r="A102" s="3">
        <v>407010201</v>
      </c>
      <c r="B102" s="4" t="s">
        <v>808</v>
      </c>
      <c r="C102" s="4" t="s">
        <v>1274</v>
      </c>
      <c r="D102" s="3">
        <v>1</v>
      </c>
      <c r="E102" s="3" t="s">
        <v>16</v>
      </c>
      <c r="F102" s="3" t="s">
        <v>794</v>
      </c>
      <c r="G102" s="3" t="s">
        <v>795</v>
      </c>
      <c r="H102" s="3" t="s">
        <v>151</v>
      </c>
    </row>
    <row r="103" spans="1:8" x14ac:dyDescent="0.2">
      <c r="A103" s="3">
        <v>408050029</v>
      </c>
      <c r="B103" s="4" t="s">
        <v>810</v>
      </c>
      <c r="C103" s="4" t="s">
        <v>811</v>
      </c>
      <c r="D103" s="3">
        <v>1</v>
      </c>
      <c r="E103" s="3" t="s">
        <v>16</v>
      </c>
      <c r="F103" s="3" t="s">
        <v>794</v>
      </c>
      <c r="G103" s="3" t="s">
        <v>795</v>
      </c>
      <c r="H103" s="3" t="s">
        <v>151</v>
      </c>
    </row>
    <row r="104" spans="1:8" x14ac:dyDescent="0.2">
      <c r="A104" s="3">
        <v>3060204002</v>
      </c>
      <c r="B104" s="4" t="s">
        <v>1176</v>
      </c>
      <c r="C104" s="4" t="s">
        <v>1177</v>
      </c>
      <c r="D104" s="3">
        <v>1</v>
      </c>
      <c r="E104" s="3" t="s">
        <v>16</v>
      </c>
      <c r="F104" s="3" t="s">
        <v>289</v>
      </c>
      <c r="G104" s="3" t="s">
        <v>23</v>
      </c>
      <c r="H104" s="3" t="s">
        <v>154</v>
      </c>
    </row>
    <row r="105" spans="1:8" x14ac:dyDescent="0.2">
      <c r="A105" s="3">
        <v>3060206002</v>
      </c>
      <c r="B105" s="4" t="s">
        <v>1178</v>
      </c>
      <c r="C105" s="4" t="s">
        <v>1179</v>
      </c>
      <c r="D105" s="3">
        <v>1</v>
      </c>
      <c r="E105" s="3" t="s">
        <v>16</v>
      </c>
      <c r="F105" s="3" t="s">
        <v>289</v>
      </c>
      <c r="G105" s="3" t="s">
        <v>23</v>
      </c>
      <c r="H105" s="3" t="s">
        <v>154</v>
      </c>
    </row>
    <row r="106" spans="1:8" x14ac:dyDescent="0.2">
      <c r="A106" s="3">
        <v>3060211003</v>
      </c>
      <c r="B106" s="4" t="s">
        <v>1180</v>
      </c>
      <c r="C106" s="4" t="s">
        <v>1181</v>
      </c>
      <c r="D106" s="3">
        <v>1</v>
      </c>
      <c r="E106" s="3" t="s">
        <v>16</v>
      </c>
      <c r="F106" s="3" t="s">
        <v>289</v>
      </c>
      <c r="G106" s="3" t="s">
        <v>23</v>
      </c>
      <c r="H106" s="3" t="s">
        <v>154</v>
      </c>
    </row>
    <row r="107" spans="1:8" x14ac:dyDescent="0.2">
      <c r="A107" s="3">
        <v>3050307049</v>
      </c>
      <c r="B107" s="4" t="s">
        <v>812</v>
      </c>
      <c r="C107" s="4" t="s">
        <v>813</v>
      </c>
      <c r="D107" s="3">
        <v>2</v>
      </c>
      <c r="E107" s="3" t="s">
        <v>16</v>
      </c>
      <c r="F107" s="3" t="s">
        <v>794</v>
      </c>
      <c r="G107" s="3" t="s">
        <v>795</v>
      </c>
      <c r="H107" s="3" t="s">
        <v>154</v>
      </c>
    </row>
    <row r="108" spans="1:8" x14ac:dyDescent="0.2">
      <c r="A108" s="3">
        <v>3060328001</v>
      </c>
      <c r="B108" s="4" t="s">
        <v>1182</v>
      </c>
      <c r="C108" s="4" t="s">
        <v>1183</v>
      </c>
      <c r="D108" s="3">
        <v>1</v>
      </c>
      <c r="E108" s="3" t="s">
        <v>16</v>
      </c>
      <c r="F108" s="3" t="s">
        <v>289</v>
      </c>
      <c r="G108" s="3" t="s">
        <v>23</v>
      </c>
      <c r="H108" s="3" t="s">
        <v>165</v>
      </c>
    </row>
    <row r="109" spans="1:8" x14ac:dyDescent="0.2">
      <c r="A109" s="3">
        <v>3060328002</v>
      </c>
      <c r="B109" s="4" t="s">
        <v>1182</v>
      </c>
      <c r="C109" s="4" t="s">
        <v>1184</v>
      </c>
      <c r="D109" s="3">
        <v>1</v>
      </c>
      <c r="E109" s="3" t="s">
        <v>16</v>
      </c>
      <c r="F109" s="3" t="s">
        <v>289</v>
      </c>
      <c r="G109" s="3" t="s">
        <v>23</v>
      </c>
      <c r="H109" s="3" t="s">
        <v>165</v>
      </c>
    </row>
    <row r="110" spans="1:8" x14ac:dyDescent="0.2">
      <c r="A110" s="3">
        <v>3030301010</v>
      </c>
      <c r="B110" s="4" t="s">
        <v>468</v>
      </c>
      <c r="C110" s="4" t="s">
        <v>469</v>
      </c>
      <c r="D110" s="3">
        <v>4</v>
      </c>
      <c r="E110" s="3" t="s">
        <v>16</v>
      </c>
      <c r="F110" s="3" t="s">
        <v>295</v>
      </c>
      <c r="G110" s="3" t="s">
        <v>17</v>
      </c>
      <c r="H110" s="3" t="s">
        <v>165</v>
      </c>
    </row>
    <row r="111" spans="1:8" x14ac:dyDescent="0.2">
      <c r="A111" s="3">
        <v>3060347005</v>
      </c>
      <c r="B111" s="4" t="s">
        <v>470</v>
      </c>
      <c r="C111" s="4" t="s">
        <v>471</v>
      </c>
      <c r="D111" s="3">
        <v>1</v>
      </c>
      <c r="E111" s="3" t="s">
        <v>16</v>
      </c>
      <c r="F111" s="3" t="s">
        <v>291</v>
      </c>
      <c r="G111" s="3" t="s">
        <v>26</v>
      </c>
      <c r="H111" s="3" t="s">
        <v>165</v>
      </c>
    </row>
    <row r="112" spans="1:8" x14ac:dyDescent="0.2">
      <c r="A112" s="3">
        <v>3060347006</v>
      </c>
      <c r="B112" s="4" t="s">
        <v>470</v>
      </c>
      <c r="C112" s="4" t="s">
        <v>472</v>
      </c>
      <c r="D112" s="3">
        <v>1</v>
      </c>
      <c r="E112" s="3" t="s">
        <v>16</v>
      </c>
      <c r="F112" s="3" t="s">
        <v>291</v>
      </c>
      <c r="G112" s="3" t="s">
        <v>26</v>
      </c>
      <c r="H112" s="3" t="s">
        <v>165</v>
      </c>
    </row>
    <row r="113" spans="1:8" x14ac:dyDescent="0.2">
      <c r="A113" s="3">
        <v>3060324004</v>
      </c>
      <c r="B113" s="4" t="s">
        <v>1185</v>
      </c>
      <c r="C113" s="4" t="s">
        <v>1186</v>
      </c>
      <c r="D113" s="3">
        <v>1</v>
      </c>
      <c r="E113" s="3" t="s">
        <v>16</v>
      </c>
      <c r="F113" s="3" t="s">
        <v>289</v>
      </c>
      <c r="G113" s="3" t="s">
        <v>23</v>
      </c>
      <c r="H113" s="3" t="s">
        <v>165</v>
      </c>
    </row>
    <row r="114" spans="1:8" x14ac:dyDescent="0.2">
      <c r="A114" s="3">
        <v>3060404052</v>
      </c>
      <c r="B114" s="4" t="s">
        <v>729</v>
      </c>
      <c r="C114" s="4" t="s">
        <v>1187</v>
      </c>
      <c r="D114" s="3">
        <v>1</v>
      </c>
      <c r="E114" s="3" t="s">
        <v>16</v>
      </c>
      <c r="F114" s="3" t="s">
        <v>289</v>
      </c>
      <c r="G114" s="3" t="s">
        <v>23</v>
      </c>
      <c r="H114" s="3" t="s">
        <v>165</v>
      </c>
    </row>
    <row r="115" spans="1:8" x14ac:dyDescent="0.2">
      <c r="A115" s="3">
        <v>3050305022</v>
      </c>
      <c r="B115" s="4" t="s">
        <v>527</v>
      </c>
      <c r="C115" s="4" t="s">
        <v>1190</v>
      </c>
      <c r="D115" s="3">
        <v>1</v>
      </c>
      <c r="E115" s="3" t="s">
        <v>16</v>
      </c>
      <c r="F115" s="3" t="s">
        <v>291</v>
      </c>
      <c r="G115" s="3" t="s">
        <v>26</v>
      </c>
      <c r="H115" s="3" t="s">
        <v>165</v>
      </c>
    </row>
    <row r="116" spans="1:8" x14ac:dyDescent="0.2">
      <c r="A116" s="3">
        <v>3050305021</v>
      </c>
      <c r="B116" s="4" t="s">
        <v>529</v>
      </c>
      <c r="C116" s="4" t="s">
        <v>1191</v>
      </c>
      <c r="D116" s="3">
        <v>1</v>
      </c>
      <c r="E116" s="3" t="s">
        <v>16</v>
      </c>
      <c r="F116" s="3" t="s">
        <v>291</v>
      </c>
      <c r="G116" s="3" t="s">
        <v>26</v>
      </c>
      <c r="H116" s="3" t="s">
        <v>165</v>
      </c>
    </row>
    <row r="117" spans="1:8" x14ac:dyDescent="0.2">
      <c r="A117" s="3">
        <v>3110103002</v>
      </c>
      <c r="B117" s="4" t="s">
        <v>473</v>
      </c>
      <c r="C117" s="4" t="s">
        <v>474</v>
      </c>
      <c r="D117" s="3">
        <v>1</v>
      </c>
      <c r="E117" s="3" t="s">
        <v>16</v>
      </c>
      <c r="F117" s="3" t="s">
        <v>291</v>
      </c>
      <c r="G117" s="3" t="s">
        <v>26</v>
      </c>
      <c r="H117" s="3" t="s">
        <v>165</v>
      </c>
    </row>
    <row r="118" spans="1:8" x14ac:dyDescent="0.2">
      <c r="A118" s="3">
        <v>3030316006</v>
      </c>
      <c r="B118" s="4" t="s">
        <v>475</v>
      </c>
      <c r="C118" s="4" t="s">
        <v>476</v>
      </c>
      <c r="D118" s="3">
        <v>1</v>
      </c>
      <c r="E118" s="3" t="s">
        <v>16</v>
      </c>
      <c r="F118" s="3" t="s">
        <v>295</v>
      </c>
      <c r="G118" s="3" t="s">
        <v>17</v>
      </c>
      <c r="H118" s="3" t="s">
        <v>165</v>
      </c>
    </row>
    <row r="119" spans="1:8" x14ac:dyDescent="0.2">
      <c r="A119" s="3">
        <v>3050304010</v>
      </c>
      <c r="B119" s="4" t="s">
        <v>814</v>
      </c>
      <c r="C119" s="4" t="s">
        <v>815</v>
      </c>
      <c r="D119" s="3">
        <v>1</v>
      </c>
      <c r="E119" s="3" t="s">
        <v>16</v>
      </c>
      <c r="F119" s="3" t="s">
        <v>794</v>
      </c>
      <c r="G119" s="3" t="s">
        <v>795</v>
      </c>
      <c r="H119" s="3" t="s">
        <v>165</v>
      </c>
    </row>
    <row r="120" spans="1:8" x14ac:dyDescent="0.2">
      <c r="A120" s="3">
        <v>3050303014</v>
      </c>
      <c r="B120" s="4" t="s">
        <v>828</v>
      </c>
      <c r="C120" s="4" t="s">
        <v>1275</v>
      </c>
      <c r="D120" s="3">
        <v>1</v>
      </c>
      <c r="E120" s="3" t="s">
        <v>16</v>
      </c>
      <c r="F120" s="3" t="s">
        <v>794</v>
      </c>
      <c r="G120" s="3" t="s">
        <v>795</v>
      </c>
      <c r="H120" s="3" t="s">
        <v>165</v>
      </c>
    </row>
    <row r="121" spans="1:8" x14ac:dyDescent="0.2">
      <c r="A121" s="3">
        <v>3050310003</v>
      </c>
      <c r="B121" s="4" t="s">
        <v>816</v>
      </c>
      <c r="C121" s="4" t="s">
        <v>817</v>
      </c>
      <c r="D121" s="3">
        <v>1</v>
      </c>
      <c r="E121" s="3" t="s">
        <v>16</v>
      </c>
      <c r="F121" s="3" t="s">
        <v>794</v>
      </c>
      <c r="G121" s="3" t="s">
        <v>795</v>
      </c>
      <c r="H121" s="3" t="s">
        <v>165</v>
      </c>
    </row>
    <row r="122" spans="1:8" x14ac:dyDescent="0.2">
      <c r="A122" s="3">
        <v>3030314007</v>
      </c>
      <c r="B122" s="4" t="s">
        <v>477</v>
      </c>
      <c r="C122" s="4" t="s">
        <v>478</v>
      </c>
      <c r="D122" s="3">
        <v>1</v>
      </c>
      <c r="E122" s="3" t="s">
        <v>16</v>
      </c>
      <c r="F122" s="3" t="s">
        <v>291</v>
      </c>
      <c r="G122" s="3" t="s">
        <v>26</v>
      </c>
      <c r="H122" s="3" t="s">
        <v>165</v>
      </c>
    </row>
    <row r="123" spans="1:8" x14ac:dyDescent="0.2">
      <c r="A123" s="3">
        <v>3030308014</v>
      </c>
      <c r="B123" s="4" t="s">
        <v>479</v>
      </c>
      <c r="C123" s="4" t="s">
        <v>1192</v>
      </c>
      <c r="D123" s="3">
        <v>1</v>
      </c>
      <c r="E123" s="3" t="s">
        <v>16</v>
      </c>
      <c r="F123" s="3" t="s">
        <v>291</v>
      </c>
      <c r="G123" s="3" t="s">
        <v>26</v>
      </c>
      <c r="H123" s="3" t="s">
        <v>165</v>
      </c>
    </row>
    <row r="124" spans="1:8" x14ac:dyDescent="0.2">
      <c r="A124" s="3">
        <v>3050305023</v>
      </c>
      <c r="B124" s="4" t="s">
        <v>549</v>
      </c>
      <c r="C124" s="4" t="s">
        <v>1191</v>
      </c>
      <c r="D124" s="3">
        <v>1</v>
      </c>
      <c r="E124" s="3" t="s">
        <v>16</v>
      </c>
      <c r="F124" s="3" t="s">
        <v>291</v>
      </c>
      <c r="G124" s="3" t="s">
        <v>26</v>
      </c>
      <c r="H124" s="3" t="s">
        <v>165</v>
      </c>
    </row>
    <row r="125" spans="1:8" x14ac:dyDescent="0.2">
      <c r="A125" s="3">
        <v>3050401016</v>
      </c>
      <c r="B125" s="4" t="s">
        <v>222</v>
      </c>
      <c r="C125" s="4" t="s">
        <v>1193</v>
      </c>
      <c r="D125" s="3">
        <v>1</v>
      </c>
      <c r="E125" s="3" t="s">
        <v>16</v>
      </c>
      <c r="F125" s="3" t="s">
        <v>291</v>
      </c>
      <c r="G125" s="3" t="s">
        <v>26</v>
      </c>
      <c r="H125" s="3" t="s">
        <v>165</v>
      </c>
    </row>
    <row r="126" spans="1:8" x14ac:dyDescent="0.2">
      <c r="A126" s="3">
        <v>3050310030</v>
      </c>
      <c r="B126" s="4" t="s">
        <v>480</v>
      </c>
      <c r="C126" s="4" t="s">
        <v>469</v>
      </c>
      <c r="D126" s="3">
        <v>2</v>
      </c>
      <c r="E126" s="3" t="s">
        <v>16</v>
      </c>
      <c r="F126" s="3" t="s">
        <v>291</v>
      </c>
      <c r="G126" s="3" t="s">
        <v>26</v>
      </c>
      <c r="H126" s="3" t="s">
        <v>165</v>
      </c>
    </row>
    <row r="127" spans="1:8" x14ac:dyDescent="0.2">
      <c r="A127" s="3">
        <v>3060304006</v>
      </c>
      <c r="B127" s="4" t="s">
        <v>1194</v>
      </c>
      <c r="C127" s="4" t="s">
        <v>1195</v>
      </c>
      <c r="D127" s="3">
        <v>2</v>
      </c>
      <c r="E127" s="3" t="s">
        <v>16</v>
      </c>
      <c r="F127" s="3" t="s">
        <v>289</v>
      </c>
      <c r="G127" s="3" t="s">
        <v>23</v>
      </c>
      <c r="H127" s="3" t="s">
        <v>173</v>
      </c>
    </row>
    <row r="128" spans="1:8" x14ac:dyDescent="0.2">
      <c r="A128" s="3">
        <v>3060304005</v>
      </c>
      <c r="B128" s="4" t="s">
        <v>1194</v>
      </c>
      <c r="C128" s="4" t="s">
        <v>1196</v>
      </c>
      <c r="D128" s="3">
        <v>1</v>
      </c>
      <c r="E128" s="3" t="s">
        <v>16</v>
      </c>
      <c r="F128" s="3" t="s">
        <v>289</v>
      </c>
      <c r="G128" s="3" t="s">
        <v>23</v>
      </c>
      <c r="H128" s="3" t="s">
        <v>173</v>
      </c>
    </row>
    <row r="129" spans="1:8" x14ac:dyDescent="0.2">
      <c r="A129" s="3">
        <v>3050305013</v>
      </c>
      <c r="B129" s="4" t="s">
        <v>484</v>
      </c>
      <c r="C129" s="4" t="s">
        <v>485</v>
      </c>
      <c r="D129" s="3">
        <v>1</v>
      </c>
      <c r="E129" s="3" t="s">
        <v>16</v>
      </c>
      <c r="F129" s="3" t="s">
        <v>291</v>
      </c>
      <c r="G129" s="3" t="s">
        <v>26</v>
      </c>
      <c r="H129" s="3" t="s">
        <v>173</v>
      </c>
    </row>
    <row r="130" spans="1:8" x14ac:dyDescent="0.2">
      <c r="A130" s="3">
        <v>3040305001</v>
      </c>
      <c r="B130" s="4" t="s">
        <v>486</v>
      </c>
      <c r="C130" s="4" t="s">
        <v>1197</v>
      </c>
      <c r="D130" s="3">
        <v>2</v>
      </c>
      <c r="E130" s="3" t="s">
        <v>16</v>
      </c>
      <c r="F130" s="3" t="s">
        <v>293</v>
      </c>
      <c r="G130" s="3" t="s">
        <v>29</v>
      </c>
      <c r="H130" s="3" t="s">
        <v>173</v>
      </c>
    </row>
    <row r="131" spans="1:8" x14ac:dyDescent="0.2">
      <c r="A131" s="3">
        <v>3040313002</v>
      </c>
      <c r="B131" s="4" t="s">
        <v>488</v>
      </c>
      <c r="C131" s="4" t="s">
        <v>489</v>
      </c>
      <c r="D131" s="3">
        <v>8</v>
      </c>
      <c r="E131" s="3" t="s">
        <v>16</v>
      </c>
      <c r="F131" s="3" t="s">
        <v>293</v>
      </c>
      <c r="G131" s="3" t="s">
        <v>29</v>
      </c>
      <c r="H131" s="3" t="s">
        <v>173</v>
      </c>
    </row>
    <row r="132" spans="1:8" x14ac:dyDescent="0.2">
      <c r="A132" s="3">
        <v>3040321001</v>
      </c>
      <c r="B132" s="4" t="s">
        <v>490</v>
      </c>
      <c r="C132" s="4" t="s">
        <v>347</v>
      </c>
      <c r="D132" s="3">
        <v>8</v>
      </c>
      <c r="E132" s="3" t="s">
        <v>16</v>
      </c>
      <c r="F132" s="3" t="s">
        <v>293</v>
      </c>
      <c r="G132" s="3" t="s">
        <v>29</v>
      </c>
      <c r="H132" s="3" t="s">
        <v>173</v>
      </c>
    </row>
    <row r="133" spans="1:8" x14ac:dyDescent="0.2">
      <c r="A133" s="3">
        <v>3040309001</v>
      </c>
      <c r="B133" s="4" t="s">
        <v>346</v>
      </c>
      <c r="C133" s="4" t="s">
        <v>347</v>
      </c>
      <c r="D133" s="3">
        <v>4</v>
      </c>
      <c r="E133" s="3" t="s">
        <v>16</v>
      </c>
      <c r="F133" s="3" t="s">
        <v>293</v>
      </c>
      <c r="G133" s="3" t="s">
        <v>29</v>
      </c>
      <c r="H133" s="3" t="s">
        <v>173</v>
      </c>
    </row>
    <row r="134" spans="1:8" x14ac:dyDescent="0.2">
      <c r="A134" s="3">
        <v>3050304007</v>
      </c>
      <c r="B134" s="4" t="s">
        <v>181</v>
      </c>
      <c r="C134" s="4" t="s">
        <v>1198</v>
      </c>
      <c r="D134" s="3">
        <v>1</v>
      </c>
      <c r="E134" s="3" t="s">
        <v>16</v>
      </c>
      <c r="F134" s="3" t="s">
        <v>291</v>
      </c>
      <c r="G134" s="3" t="s">
        <v>26</v>
      </c>
      <c r="H134" s="3" t="s">
        <v>173</v>
      </c>
    </row>
    <row r="135" spans="1:8" x14ac:dyDescent="0.2">
      <c r="A135" s="3">
        <v>3020501004</v>
      </c>
      <c r="B135" s="4" t="s">
        <v>183</v>
      </c>
      <c r="C135" s="4" t="s">
        <v>761</v>
      </c>
      <c r="D135" s="3">
        <v>1</v>
      </c>
      <c r="E135" s="3" t="s">
        <v>16</v>
      </c>
      <c r="F135" s="3" t="s">
        <v>291</v>
      </c>
      <c r="G135" s="3" t="s">
        <v>26</v>
      </c>
      <c r="H135" s="3" t="s">
        <v>185</v>
      </c>
    </row>
    <row r="136" spans="1:8" x14ac:dyDescent="0.2">
      <c r="A136" s="3">
        <v>3030204003</v>
      </c>
      <c r="B136" s="4" t="s">
        <v>492</v>
      </c>
      <c r="C136" s="4" t="s">
        <v>493</v>
      </c>
      <c r="D136" s="3">
        <v>2</v>
      </c>
      <c r="E136" s="3" t="s">
        <v>16</v>
      </c>
      <c r="F136" s="3" t="s">
        <v>295</v>
      </c>
      <c r="G136" s="3" t="s">
        <v>17</v>
      </c>
      <c r="H136" s="3" t="s">
        <v>494</v>
      </c>
    </row>
    <row r="137" spans="1:8" x14ac:dyDescent="0.2">
      <c r="A137" s="3">
        <v>3110201001</v>
      </c>
      <c r="B137" s="4" t="s">
        <v>186</v>
      </c>
      <c r="C137" s="4" t="s">
        <v>1199</v>
      </c>
      <c r="D137" s="3">
        <v>1</v>
      </c>
      <c r="E137" s="3" t="s">
        <v>16</v>
      </c>
      <c r="F137" s="3" t="s">
        <v>295</v>
      </c>
      <c r="G137" s="3" t="s">
        <v>17</v>
      </c>
      <c r="H137" s="3" t="s">
        <v>187</v>
      </c>
    </row>
    <row r="138" spans="1:8" x14ac:dyDescent="0.2">
      <c r="A138" s="3">
        <v>3110202001</v>
      </c>
      <c r="B138" s="4" t="s">
        <v>188</v>
      </c>
      <c r="C138" s="4" t="s">
        <v>1199</v>
      </c>
      <c r="D138" s="3">
        <v>1</v>
      </c>
      <c r="E138" s="3" t="s">
        <v>16</v>
      </c>
      <c r="F138" s="3" t="s">
        <v>295</v>
      </c>
      <c r="G138" s="3" t="s">
        <v>17</v>
      </c>
      <c r="H138" s="3" t="s">
        <v>187</v>
      </c>
    </row>
    <row r="139" spans="1:8" x14ac:dyDescent="0.2">
      <c r="A139" s="3">
        <v>3110203001</v>
      </c>
      <c r="B139" s="4" t="s">
        <v>189</v>
      </c>
      <c r="C139" s="4" t="s">
        <v>1199</v>
      </c>
      <c r="D139" s="3">
        <v>1</v>
      </c>
      <c r="E139" s="3" t="s">
        <v>16</v>
      </c>
      <c r="F139" s="3" t="s">
        <v>295</v>
      </c>
      <c r="G139" s="3" t="s">
        <v>17</v>
      </c>
      <c r="H139" s="3" t="s">
        <v>187</v>
      </c>
    </row>
    <row r="140" spans="1:8" x14ac:dyDescent="0.2">
      <c r="A140" s="3">
        <v>3050405001</v>
      </c>
      <c r="B140" s="4" t="s">
        <v>496</v>
      </c>
      <c r="C140" s="4" t="s">
        <v>497</v>
      </c>
      <c r="D140" s="3">
        <v>1</v>
      </c>
      <c r="E140" s="3" t="s">
        <v>16</v>
      </c>
      <c r="F140" s="3" t="s">
        <v>291</v>
      </c>
      <c r="G140" s="3" t="s">
        <v>26</v>
      </c>
      <c r="H140" s="3" t="s">
        <v>192</v>
      </c>
    </row>
    <row r="141" spans="1:8" x14ac:dyDescent="0.2">
      <c r="A141" s="3">
        <v>3030402006</v>
      </c>
      <c r="B141" s="4" t="s">
        <v>498</v>
      </c>
      <c r="C141" s="4" t="s">
        <v>1124</v>
      </c>
      <c r="D141" s="3">
        <v>1</v>
      </c>
      <c r="E141" s="3" t="s">
        <v>16</v>
      </c>
      <c r="F141" s="3" t="s">
        <v>295</v>
      </c>
      <c r="G141" s="3" t="s">
        <v>17</v>
      </c>
      <c r="H141" s="3" t="s">
        <v>192</v>
      </c>
    </row>
    <row r="142" spans="1:8" x14ac:dyDescent="0.2">
      <c r="A142" s="3">
        <v>3040402005</v>
      </c>
      <c r="B142" s="4" t="s">
        <v>500</v>
      </c>
      <c r="C142" s="4" t="s">
        <v>501</v>
      </c>
      <c r="D142" s="3">
        <v>1</v>
      </c>
      <c r="E142" s="3" t="s">
        <v>16</v>
      </c>
      <c r="F142" s="3" t="s">
        <v>293</v>
      </c>
      <c r="G142" s="3" t="s">
        <v>29</v>
      </c>
      <c r="H142" s="3" t="s">
        <v>192</v>
      </c>
    </row>
    <row r="143" spans="1:8" x14ac:dyDescent="0.2">
      <c r="A143" s="3">
        <v>3040402006</v>
      </c>
      <c r="B143" s="4" t="s">
        <v>500</v>
      </c>
      <c r="C143" s="4" t="s">
        <v>502</v>
      </c>
      <c r="D143" s="3">
        <v>1</v>
      </c>
      <c r="E143" s="3" t="s">
        <v>16</v>
      </c>
      <c r="F143" s="3" t="s">
        <v>293</v>
      </c>
      <c r="G143" s="3" t="s">
        <v>29</v>
      </c>
      <c r="H143" s="3" t="s">
        <v>192</v>
      </c>
    </row>
    <row r="144" spans="1:8" x14ac:dyDescent="0.2">
      <c r="A144" s="3">
        <v>3050402026</v>
      </c>
      <c r="B144" s="4" t="s">
        <v>818</v>
      </c>
      <c r="C144" s="4" t="s">
        <v>1276</v>
      </c>
      <c r="D144" s="3">
        <v>1</v>
      </c>
      <c r="E144" s="3" t="s">
        <v>16</v>
      </c>
      <c r="F144" s="3" t="s">
        <v>794</v>
      </c>
      <c r="G144" s="3" t="s">
        <v>795</v>
      </c>
      <c r="H144" s="3" t="s">
        <v>192</v>
      </c>
    </row>
    <row r="145" spans="1:8" x14ac:dyDescent="0.2">
      <c r="A145" s="3">
        <v>3050401029</v>
      </c>
      <c r="B145" s="4" t="s">
        <v>820</v>
      </c>
      <c r="C145" s="4" t="s">
        <v>821</v>
      </c>
      <c r="D145" s="3">
        <v>1</v>
      </c>
      <c r="E145" s="3" t="s">
        <v>16</v>
      </c>
      <c r="F145" s="3" t="s">
        <v>794</v>
      </c>
      <c r="G145" s="3" t="s">
        <v>795</v>
      </c>
      <c r="H145" s="3" t="s">
        <v>192</v>
      </c>
    </row>
    <row r="146" spans="1:8" x14ac:dyDescent="0.2">
      <c r="A146" s="3">
        <v>3050401030</v>
      </c>
      <c r="B146" s="4" t="s">
        <v>820</v>
      </c>
      <c r="C146" s="4" t="s">
        <v>822</v>
      </c>
      <c r="D146" s="3">
        <v>1</v>
      </c>
      <c r="E146" s="3" t="s">
        <v>16</v>
      </c>
      <c r="F146" s="3" t="s">
        <v>794</v>
      </c>
      <c r="G146" s="3" t="s">
        <v>795</v>
      </c>
      <c r="H146" s="3" t="s">
        <v>192</v>
      </c>
    </row>
    <row r="147" spans="1:8" x14ac:dyDescent="0.2">
      <c r="A147" s="3">
        <v>404100037</v>
      </c>
      <c r="B147" s="4" t="s">
        <v>1201</v>
      </c>
      <c r="C147" s="4" t="s">
        <v>1202</v>
      </c>
      <c r="D147" s="3">
        <v>1</v>
      </c>
      <c r="E147" s="3" t="s">
        <v>16</v>
      </c>
      <c r="F147" s="3" t="s">
        <v>301</v>
      </c>
      <c r="G147" s="3" t="s">
        <v>32</v>
      </c>
      <c r="H147" s="3" t="s">
        <v>198</v>
      </c>
    </row>
    <row r="148" spans="1:8" x14ac:dyDescent="0.2">
      <c r="A148" s="3">
        <v>404100039</v>
      </c>
      <c r="B148" s="4" t="s">
        <v>196</v>
      </c>
      <c r="C148" s="4" t="s">
        <v>1203</v>
      </c>
      <c r="D148" s="3">
        <v>1</v>
      </c>
      <c r="E148" s="3" t="s">
        <v>16</v>
      </c>
      <c r="F148" s="3" t="s">
        <v>301</v>
      </c>
      <c r="G148" s="3" t="s">
        <v>32</v>
      </c>
      <c r="H148" s="3" t="s">
        <v>198</v>
      </c>
    </row>
    <row r="149" spans="1:8" x14ac:dyDescent="0.2">
      <c r="A149" s="3">
        <v>404110008</v>
      </c>
      <c r="B149" s="4" t="s">
        <v>504</v>
      </c>
      <c r="C149" s="4" t="s">
        <v>505</v>
      </c>
      <c r="D149" s="3">
        <v>2</v>
      </c>
      <c r="E149" s="3" t="s">
        <v>16</v>
      </c>
      <c r="F149" s="3" t="s">
        <v>291</v>
      </c>
      <c r="G149" s="3" t="s">
        <v>26</v>
      </c>
      <c r="H149" s="3" t="s">
        <v>198</v>
      </c>
    </row>
    <row r="150" spans="1:8" x14ac:dyDescent="0.2">
      <c r="A150" s="3">
        <v>404100025</v>
      </c>
      <c r="B150" s="4" t="s">
        <v>1093</v>
      </c>
      <c r="C150" s="4" t="s">
        <v>1094</v>
      </c>
      <c r="D150" s="3">
        <v>1</v>
      </c>
      <c r="E150" s="3" t="s">
        <v>16</v>
      </c>
      <c r="F150" s="3" t="s">
        <v>301</v>
      </c>
      <c r="G150" s="3" t="s">
        <v>32</v>
      </c>
      <c r="H150" s="3" t="s">
        <v>198</v>
      </c>
    </row>
    <row r="151" spans="1:8" x14ac:dyDescent="0.2">
      <c r="A151" s="3">
        <v>403030054</v>
      </c>
      <c r="B151" s="4" t="s">
        <v>801</v>
      </c>
      <c r="C151" s="4" t="s">
        <v>1205</v>
      </c>
      <c r="D151" s="3">
        <v>1</v>
      </c>
      <c r="E151" s="3" t="s">
        <v>16</v>
      </c>
      <c r="F151" s="3" t="s">
        <v>301</v>
      </c>
      <c r="G151" s="3" t="s">
        <v>32</v>
      </c>
      <c r="H151" s="3" t="s">
        <v>198</v>
      </c>
    </row>
    <row r="152" spans="1:8" x14ac:dyDescent="0.2">
      <c r="A152" s="3">
        <v>403030012</v>
      </c>
      <c r="B152" s="4" t="s">
        <v>366</v>
      </c>
      <c r="C152" s="4" t="s">
        <v>507</v>
      </c>
      <c r="D152" s="3">
        <v>2</v>
      </c>
      <c r="E152" s="3" t="s">
        <v>16</v>
      </c>
      <c r="F152" s="3" t="s">
        <v>291</v>
      </c>
      <c r="G152" s="3" t="s">
        <v>26</v>
      </c>
      <c r="H152" s="3" t="s">
        <v>198</v>
      </c>
    </row>
    <row r="153" spans="1:8" x14ac:dyDescent="0.2">
      <c r="A153" s="3">
        <v>401070022</v>
      </c>
      <c r="B153" s="4" t="s">
        <v>35</v>
      </c>
      <c r="C153" s="4" t="s">
        <v>203</v>
      </c>
      <c r="D153" s="3">
        <v>1</v>
      </c>
      <c r="E153" s="3" t="s">
        <v>16</v>
      </c>
      <c r="F153" s="3" t="s">
        <v>301</v>
      </c>
      <c r="G153" s="3" t="s">
        <v>32</v>
      </c>
      <c r="H153" s="3" t="s">
        <v>198</v>
      </c>
    </row>
    <row r="154" spans="1:8" x14ac:dyDescent="0.2">
      <c r="A154" s="3">
        <v>401070018</v>
      </c>
      <c r="B154" s="4" t="s">
        <v>35</v>
      </c>
      <c r="C154" s="4" t="s">
        <v>202</v>
      </c>
      <c r="D154" s="3">
        <v>1</v>
      </c>
      <c r="E154" s="3" t="s">
        <v>16</v>
      </c>
      <c r="F154" s="3" t="s">
        <v>291</v>
      </c>
      <c r="G154" s="3" t="s">
        <v>26</v>
      </c>
      <c r="H154" s="3" t="s">
        <v>198</v>
      </c>
    </row>
    <row r="155" spans="1:8" x14ac:dyDescent="0.2">
      <c r="A155" s="3">
        <v>404100041</v>
      </c>
      <c r="B155" s="4" t="s">
        <v>205</v>
      </c>
      <c r="C155" s="4" t="s">
        <v>1206</v>
      </c>
      <c r="D155" s="3">
        <v>1</v>
      </c>
      <c r="E155" s="3" t="s">
        <v>16</v>
      </c>
      <c r="F155" s="3" t="s">
        <v>291</v>
      </c>
      <c r="G155" s="3" t="s">
        <v>26</v>
      </c>
      <c r="H155" s="3" t="s">
        <v>198</v>
      </c>
    </row>
    <row r="156" spans="1:8" x14ac:dyDescent="0.2">
      <c r="A156" s="3">
        <v>404100040</v>
      </c>
      <c r="B156" s="4" t="s">
        <v>207</v>
      </c>
      <c r="C156" s="4" t="s">
        <v>1207</v>
      </c>
      <c r="D156" s="3">
        <v>1</v>
      </c>
      <c r="E156" s="3" t="s">
        <v>16</v>
      </c>
      <c r="F156" s="3" t="s">
        <v>291</v>
      </c>
      <c r="G156" s="3" t="s">
        <v>26</v>
      </c>
      <c r="H156" s="3" t="s">
        <v>198</v>
      </c>
    </row>
    <row r="157" spans="1:8" x14ac:dyDescent="0.2">
      <c r="A157" s="3">
        <v>3069904001</v>
      </c>
      <c r="B157" s="4" t="s">
        <v>514</v>
      </c>
      <c r="C157" s="4" t="s">
        <v>355</v>
      </c>
      <c r="D157" s="3">
        <v>4</v>
      </c>
      <c r="E157" s="3" t="s">
        <v>16</v>
      </c>
      <c r="F157" s="3" t="s">
        <v>295</v>
      </c>
      <c r="G157" s="3" t="s">
        <v>17</v>
      </c>
      <c r="H157" s="3" t="s">
        <v>214</v>
      </c>
    </row>
    <row r="158" spans="1:8" x14ac:dyDescent="0.2">
      <c r="A158" s="3">
        <v>3030201003</v>
      </c>
      <c r="B158" s="4" t="s">
        <v>515</v>
      </c>
      <c r="C158" s="4" t="s">
        <v>516</v>
      </c>
      <c r="D158" s="3">
        <v>1</v>
      </c>
      <c r="E158" s="3" t="s">
        <v>16</v>
      </c>
      <c r="F158" s="3" t="s">
        <v>295</v>
      </c>
      <c r="G158" s="3" t="s">
        <v>17</v>
      </c>
      <c r="H158" s="3" t="s">
        <v>214</v>
      </c>
    </row>
    <row r="159" spans="1:8" x14ac:dyDescent="0.2">
      <c r="A159" s="3">
        <v>3049903001</v>
      </c>
      <c r="B159" s="4" t="s">
        <v>517</v>
      </c>
      <c r="C159" s="4" t="s">
        <v>355</v>
      </c>
      <c r="D159" s="3">
        <v>2</v>
      </c>
      <c r="E159" s="3" t="s">
        <v>16</v>
      </c>
      <c r="F159" s="3" t="s">
        <v>293</v>
      </c>
      <c r="G159" s="3" t="s">
        <v>29</v>
      </c>
      <c r="H159" s="3" t="s">
        <v>214</v>
      </c>
    </row>
    <row r="160" spans="1:8" x14ac:dyDescent="0.2">
      <c r="A160" s="3">
        <v>3049904001</v>
      </c>
      <c r="B160" s="4" t="s">
        <v>354</v>
      </c>
      <c r="C160" s="4" t="s">
        <v>355</v>
      </c>
      <c r="D160" s="3">
        <v>4</v>
      </c>
      <c r="E160" s="3" t="s">
        <v>16</v>
      </c>
      <c r="F160" s="3" t="s">
        <v>293</v>
      </c>
      <c r="G160" s="3" t="s">
        <v>29</v>
      </c>
      <c r="H160" s="3" t="s">
        <v>214</v>
      </c>
    </row>
    <row r="161" spans="1:8" x14ac:dyDescent="0.2">
      <c r="A161" s="3">
        <v>3049902001</v>
      </c>
      <c r="B161" s="4" t="s">
        <v>518</v>
      </c>
      <c r="C161" s="4" t="s">
        <v>355</v>
      </c>
      <c r="D161" s="3">
        <v>2</v>
      </c>
      <c r="E161" s="3" t="s">
        <v>16</v>
      </c>
      <c r="F161" s="3" t="s">
        <v>293</v>
      </c>
      <c r="G161" s="3" t="s">
        <v>29</v>
      </c>
      <c r="H161" s="3" t="s">
        <v>214</v>
      </c>
    </row>
    <row r="162" spans="1:8" x14ac:dyDescent="0.2">
      <c r="A162" s="3">
        <v>3050206010</v>
      </c>
      <c r="B162" s="4" t="s">
        <v>823</v>
      </c>
      <c r="C162" s="4" t="s">
        <v>824</v>
      </c>
      <c r="D162" s="3">
        <v>2</v>
      </c>
      <c r="E162" s="3" t="s">
        <v>16</v>
      </c>
      <c r="F162" s="3" t="s">
        <v>794</v>
      </c>
      <c r="G162" s="3" t="s">
        <v>795</v>
      </c>
      <c r="H162" s="3" t="s">
        <v>214</v>
      </c>
    </row>
    <row r="163" spans="1:8" x14ac:dyDescent="0.2">
      <c r="A163" s="3">
        <v>3050206012</v>
      </c>
      <c r="B163" s="4" t="s">
        <v>825</v>
      </c>
      <c r="C163" s="4" t="s">
        <v>826</v>
      </c>
      <c r="D163" s="3">
        <v>2</v>
      </c>
      <c r="E163" s="3" t="s">
        <v>16</v>
      </c>
      <c r="F163" s="3" t="s">
        <v>794</v>
      </c>
      <c r="G163" s="3" t="s">
        <v>795</v>
      </c>
      <c r="H163" s="3" t="s">
        <v>214</v>
      </c>
    </row>
    <row r="164" spans="1:8" x14ac:dyDescent="0.2">
      <c r="A164" s="3">
        <v>3050204001</v>
      </c>
      <c r="B164" s="4" t="s">
        <v>519</v>
      </c>
      <c r="C164" s="4" t="s">
        <v>355</v>
      </c>
      <c r="D164" s="3">
        <v>2</v>
      </c>
      <c r="E164" s="3" t="s">
        <v>16</v>
      </c>
      <c r="F164" s="3" t="s">
        <v>291</v>
      </c>
      <c r="G164" s="3" t="s">
        <v>26</v>
      </c>
      <c r="H164" s="3" t="s">
        <v>214</v>
      </c>
    </row>
    <row r="165" spans="1:8" x14ac:dyDescent="0.2">
      <c r="A165" s="3">
        <v>3050204002</v>
      </c>
      <c r="B165" s="4" t="s">
        <v>520</v>
      </c>
      <c r="C165" s="4" t="s">
        <v>355</v>
      </c>
      <c r="D165" s="3">
        <v>2</v>
      </c>
      <c r="E165" s="3" t="s">
        <v>16</v>
      </c>
      <c r="F165" s="3" t="s">
        <v>291</v>
      </c>
      <c r="G165" s="3" t="s">
        <v>26</v>
      </c>
      <c r="H165" s="3" t="s">
        <v>214</v>
      </c>
    </row>
    <row r="166" spans="1:8" x14ac:dyDescent="0.2">
      <c r="A166" s="3">
        <v>3060403034</v>
      </c>
      <c r="B166" s="4" t="s">
        <v>190</v>
      </c>
      <c r="C166" s="4" t="s">
        <v>521</v>
      </c>
      <c r="D166" s="3">
        <v>1</v>
      </c>
      <c r="E166" s="3" t="s">
        <v>16</v>
      </c>
      <c r="F166" s="3" t="s">
        <v>295</v>
      </c>
      <c r="G166" s="3" t="s">
        <v>17</v>
      </c>
      <c r="H166" s="3" t="s">
        <v>221</v>
      </c>
    </row>
    <row r="167" spans="1:8" x14ac:dyDescent="0.2">
      <c r="A167" s="3">
        <v>403030051</v>
      </c>
      <c r="B167" s="4" t="s">
        <v>366</v>
      </c>
      <c r="C167" s="4" t="s">
        <v>367</v>
      </c>
      <c r="D167" s="3">
        <v>3</v>
      </c>
      <c r="E167" s="3" t="s">
        <v>16</v>
      </c>
      <c r="F167" s="3" t="s">
        <v>301</v>
      </c>
      <c r="G167" s="3" t="s">
        <v>32</v>
      </c>
      <c r="H167" s="3" t="s">
        <v>221</v>
      </c>
    </row>
    <row r="168" spans="1:8" x14ac:dyDescent="0.2">
      <c r="A168" s="3">
        <v>403030005</v>
      </c>
      <c r="B168" s="4" t="s">
        <v>366</v>
      </c>
      <c r="C168" s="4" t="s">
        <v>368</v>
      </c>
      <c r="D168" s="3">
        <v>2</v>
      </c>
      <c r="E168" s="3" t="s">
        <v>16</v>
      </c>
      <c r="F168" s="3" t="s">
        <v>301</v>
      </c>
      <c r="G168" s="3" t="s">
        <v>32</v>
      </c>
      <c r="H168" s="3" t="s">
        <v>221</v>
      </c>
    </row>
    <row r="169" spans="1:8" x14ac:dyDescent="0.2">
      <c r="A169" s="3">
        <v>402050001</v>
      </c>
      <c r="B169" s="4" t="s">
        <v>522</v>
      </c>
      <c r="C169" s="4" t="s">
        <v>523</v>
      </c>
      <c r="D169" s="3">
        <v>1</v>
      </c>
      <c r="E169" s="3" t="s">
        <v>16</v>
      </c>
      <c r="F169" s="3" t="s">
        <v>794</v>
      </c>
      <c r="G169" s="3" t="s">
        <v>795</v>
      </c>
      <c r="H169" s="3" t="s">
        <v>524</v>
      </c>
    </row>
    <row r="170" spans="1:8" x14ac:dyDescent="0.2">
      <c r="A170" s="3">
        <v>408120041</v>
      </c>
      <c r="B170" s="4" t="s">
        <v>525</v>
      </c>
      <c r="C170" s="4" t="s">
        <v>1208</v>
      </c>
      <c r="D170" s="3">
        <v>2</v>
      </c>
      <c r="E170" s="3" t="s">
        <v>16</v>
      </c>
      <c r="F170" s="3" t="s">
        <v>289</v>
      </c>
      <c r="G170" s="3" t="s">
        <v>23</v>
      </c>
      <c r="H170" s="3" t="s">
        <v>524</v>
      </c>
    </row>
    <row r="171" spans="1:8" x14ac:dyDescent="0.2">
      <c r="A171" s="3">
        <v>408120039</v>
      </c>
      <c r="B171" s="4" t="s">
        <v>525</v>
      </c>
      <c r="C171" s="4" t="s">
        <v>1209</v>
      </c>
      <c r="D171" s="3">
        <v>1</v>
      </c>
      <c r="E171" s="3" t="s">
        <v>16</v>
      </c>
      <c r="F171" s="3" t="s">
        <v>289</v>
      </c>
      <c r="G171" s="3" t="s">
        <v>23</v>
      </c>
      <c r="H171" s="3" t="s">
        <v>524</v>
      </c>
    </row>
    <row r="172" spans="1:8" x14ac:dyDescent="0.2">
      <c r="A172" s="3">
        <v>408120032</v>
      </c>
      <c r="B172" s="4" t="s">
        <v>525</v>
      </c>
      <c r="C172" s="4" t="s">
        <v>1210</v>
      </c>
      <c r="D172" s="3">
        <v>23</v>
      </c>
      <c r="E172" s="3" t="s">
        <v>16</v>
      </c>
      <c r="F172" s="3" t="s">
        <v>289</v>
      </c>
      <c r="G172" s="3" t="s">
        <v>23</v>
      </c>
      <c r="H172" s="3" t="s">
        <v>524</v>
      </c>
    </row>
    <row r="173" spans="1:8" x14ac:dyDescent="0.2">
      <c r="A173" s="3">
        <v>408120032</v>
      </c>
      <c r="B173" s="4" t="s">
        <v>525</v>
      </c>
      <c r="C173" s="4" t="s">
        <v>1210</v>
      </c>
      <c r="D173" s="3">
        <v>6</v>
      </c>
      <c r="E173" s="3" t="s">
        <v>16</v>
      </c>
      <c r="F173" s="3" t="s">
        <v>317</v>
      </c>
      <c r="G173" s="3" t="s">
        <v>318</v>
      </c>
      <c r="H173" s="3" t="s">
        <v>524</v>
      </c>
    </row>
    <row r="174" spans="1:8" x14ac:dyDescent="0.2">
      <c r="A174" s="3">
        <v>408120037</v>
      </c>
      <c r="B174" s="4" t="s">
        <v>525</v>
      </c>
      <c r="C174" s="4" t="s">
        <v>1211</v>
      </c>
      <c r="D174" s="3">
        <v>2</v>
      </c>
      <c r="E174" s="3" t="s">
        <v>16</v>
      </c>
      <c r="F174" s="3" t="s">
        <v>291</v>
      </c>
      <c r="G174" s="3" t="s">
        <v>26</v>
      </c>
      <c r="H174" s="3" t="s">
        <v>524</v>
      </c>
    </row>
    <row r="175" spans="1:8" x14ac:dyDescent="0.2">
      <c r="A175" s="3">
        <v>407010082</v>
      </c>
      <c r="B175" s="4" t="s">
        <v>149</v>
      </c>
      <c r="C175" s="4" t="s">
        <v>1262</v>
      </c>
      <c r="D175" s="3">
        <v>1</v>
      </c>
      <c r="E175" s="3" t="s">
        <v>16</v>
      </c>
      <c r="F175" s="3" t="s">
        <v>289</v>
      </c>
      <c r="G175" s="3" t="s">
        <v>23</v>
      </c>
      <c r="H175" s="3" t="s">
        <v>524</v>
      </c>
    </row>
    <row r="176" spans="1:8" x14ac:dyDescent="0.2">
      <c r="A176" s="3">
        <v>3060501010</v>
      </c>
      <c r="B176" s="4" t="s">
        <v>1213</v>
      </c>
      <c r="C176" s="4" t="s">
        <v>1214</v>
      </c>
      <c r="D176" s="3">
        <v>1</v>
      </c>
      <c r="E176" s="3" t="s">
        <v>16</v>
      </c>
      <c r="F176" s="3" t="s">
        <v>289</v>
      </c>
      <c r="G176" s="3" t="s">
        <v>23</v>
      </c>
      <c r="H176" s="3" t="s">
        <v>226</v>
      </c>
    </row>
    <row r="177" spans="1:8" x14ac:dyDescent="0.2">
      <c r="A177" s="3">
        <v>3060350003</v>
      </c>
      <c r="B177" s="4" t="s">
        <v>1215</v>
      </c>
      <c r="C177" s="4" t="s">
        <v>1216</v>
      </c>
      <c r="D177" s="3">
        <v>1</v>
      </c>
      <c r="E177" s="3" t="s">
        <v>16</v>
      </c>
      <c r="F177" s="3" t="s">
        <v>289</v>
      </c>
      <c r="G177" s="3" t="s">
        <v>23</v>
      </c>
      <c r="H177" s="3" t="s">
        <v>226</v>
      </c>
    </row>
    <row r="178" spans="1:8" x14ac:dyDescent="0.2">
      <c r="A178" s="3">
        <v>3060353007</v>
      </c>
      <c r="B178" s="4" t="s">
        <v>1217</v>
      </c>
      <c r="C178" s="4" t="s">
        <v>1218</v>
      </c>
      <c r="D178" s="3">
        <v>1</v>
      </c>
      <c r="E178" s="3" t="s">
        <v>16</v>
      </c>
      <c r="F178" s="3" t="s">
        <v>289</v>
      </c>
      <c r="G178" s="3" t="s">
        <v>23</v>
      </c>
      <c r="H178" s="3" t="s">
        <v>226</v>
      </c>
    </row>
    <row r="179" spans="1:8" x14ac:dyDescent="0.2">
      <c r="A179" s="3">
        <v>3060316001</v>
      </c>
      <c r="B179" s="4" t="s">
        <v>1219</v>
      </c>
      <c r="C179" s="4" t="s">
        <v>1220</v>
      </c>
      <c r="D179" s="3">
        <v>1</v>
      </c>
      <c r="E179" s="3" t="s">
        <v>16</v>
      </c>
      <c r="F179" s="3" t="s">
        <v>289</v>
      </c>
      <c r="G179" s="3" t="s">
        <v>23</v>
      </c>
      <c r="H179" s="3" t="s">
        <v>226</v>
      </c>
    </row>
    <row r="180" spans="1:8" x14ac:dyDescent="0.2">
      <c r="A180" s="3">
        <v>3030309016</v>
      </c>
      <c r="B180" s="4" t="s">
        <v>531</v>
      </c>
      <c r="C180" s="4" t="s">
        <v>1221</v>
      </c>
      <c r="D180" s="3">
        <v>1</v>
      </c>
      <c r="E180" s="3" t="s">
        <v>16</v>
      </c>
      <c r="F180" s="3" t="s">
        <v>291</v>
      </c>
      <c r="G180" s="3" t="s">
        <v>26</v>
      </c>
      <c r="H180" s="3" t="s">
        <v>226</v>
      </c>
    </row>
    <row r="181" spans="1:8" x14ac:dyDescent="0.2">
      <c r="A181" s="3">
        <v>3030302002</v>
      </c>
      <c r="B181" s="4" t="s">
        <v>533</v>
      </c>
      <c r="C181" s="4" t="s">
        <v>534</v>
      </c>
      <c r="D181" s="3">
        <v>1</v>
      </c>
      <c r="E181" s="3" t="s">
        <v>16</v>
      </c>
      <c r="F181" s="3" t="s">
        <v>295</v>
      </c>
      <c r="G181" s="3" t="s">
        <v>17</v>
      </c>
      <c r="H181" s="3" t="s">
        <v>226</v>
      </c>
    </row>
    <row r="182" spans="1:8" x14ac:dyDescent="0.2">
      <c r="A182" s="3">
        <v>3030306012</v>
      </c>
      <c r="B182" s="4" t="s">
        <v>535</v>
      </c>
      <c r="C182" s="4" t="s">
        <v>536</v>
      </c>
      <c r="D182" s="3">
        <v>1</v>
      </c>
      <c r="E182" s="3" t="s">
        <v>16</v>
      </c>
      <c r="F182" s="3" t="s">
        <v>295</v>
      </c>
      <c r="G182" s="3" t="s">
        <v>17</v>
      </c>
      <c r="H182" s="3" t="s">
        <v>226</v>
      </c>
    </row>
    <row r="183" spans="1:8" x14ac:dyDescent="0.2">
      <c r="A183" s="3">
        <v>3030306011</v>
      </c>
      <c r="B183" s="4" t="s">
        <v>537</v>
      </c>
      <c r="C183" s="4" t="s">
        <v>536</v>
      </c>
      <c r="D183" s="3">
        <v>1</v>
      </c>
      <c r="E183" s="3" t="s">
        <v>16</v>
      </c>
      <c r="F183" s="3" t="s">
        <v>295</v>
      </c>
      <c r="G183" s="3" t="s">
        <v>17</v>
      </c>
      <c r="H183" s="3" t="s">
        <v>226</v>
      </c>
    </row>
    <row r="184" spans="1:8" x14ac:dyDescent="0.2">
      <c r="A184" s="3">
        <v>3030303024</v>
      </c>
      <c r="B184" s="4" t="s">
        <v>175</v>
      </c>
      <c r="C184" s="4" t="s">
        <v>1222</v>
      </c>
      <c r="D184" s="3">
        <v>1</v>
      </c>
      <c r="E184" s="3" t="s">
        <v>16</v>
      </c>
      <c r="F184" s="3" t="s">
        <v>295</v>
      </c>
      <c r="G184" s="3" t="s">
        <v>17</v>
      </c>
      <c r="H184" s="3" t="s">
        <v>226</v>
      </c>
    </row>
    <row r="185" spans="1:8" x14ac:dyDescent="0.2">
      <c r="A185" s="3">
        <v>3030305002</v>
      </c>
      <c r="B185" s="4" t="s">
        <v>511</v>
      </c>
      <c r="C185" s="4" t="s">
        <v>1223</v>
      </c>
      <c r="D185" s="3">
        <v>1</v>
      </c>
      <c r="E185" s="3" t="s">
        <v>16</v>
      </c>
      <c r="F185" s="3" t="s">
        <v>295</v>
      </c>
      <c r="G185" s="3" t="s">
        <v>17</v>
      </c>
      <c r="H185" s="3" t="s">
        <v>226</v>
      </c>
    </row>
    <row r="186" spans="1:8" x14ac:dyDescent="0.2">
      <c r="A186" s="3">
        <v>3030305004</v>
      </c>
      <c r="B186" s="4" t="s">
        <v>513</v>
      </c>
      <c r="C186" s="4" t="s">
        <v>1223</v>
      </c>
      <c r="D186" s="3">
        <v>1</v>
      </c>
      <c r="E186" s="3" t="s">
        <v>16</v>
      </c>
      <c r="F186" s="3" t="s">
        <v>295</v>
      </c>
      <c r="G186" s="3" t="s">
        <v>17</v>
      </c>
      <c r="H186" s="3" t="s">
        <v>226</v>
      </c>
    </row>
    <row r="187" spans="1:8" x14ac:dyDescent="0.2">
      <c r="A187" s="3">
        <v>3030305005</v>
      </c>
      <c r="B187" s="4" t="s">
        <v>539</v>
      </c>
      <c r="C187" s="4" t="s">
        <v>1224</v>
      </c>
      <c r="D187" s="3">
        <v>1</v>
      </c>
      <c r="E187" s="3" t="s">
        <v>16</v>
      </c>
      <c r="F187" s="3" t="s">
        <v>295</v>
      </c>
      <c r="G187" s="3" t="s">
        <v>17</v>
      </c>
      <c r="H187" s="3" t="s">
        <v>226</v>
      </c>
    </row>
    <row r="188" spans="1:8" x14ac:dyDescent="0.2">
      <c r="A188" s="3">
        <v>3040312012</v>
      </c>
      <c r="B188" s="4" t="s">
        <v>263</v>
      </c>
      <c r="C188" s="4" t="s">
        <v>541</v>
      </c>
      <c r="D188" s="3">
        <v>2</v>
      </c>
      <c r="E188" s="3" t="s">
        <v>16</v>
      </c>
      <c r="F188" s="3" t="s">
        <v>293</v>
      </c>
      <c r="G188" s="3" t="s">
        <v>29</v>
      </c>
      <c r="H188" s="3" t="s">
        <v>226</v>
      </c>
    </row>
    <row r="189" spans="1:8" x14ac:dyDescent="0.2">
      <c r="A189" s="3">
        <v>3040320012</v>
      </c>
      <c r="B189" s="4" t="s">
        <v>269</v>
      </c>
      <c r="C189" s="4" t="s">
        <v>1225</v>
      </c>
      <c r="D189" s="3">
        <v>1</v>
      </c>
      <c r="E189" s="3" t="s">
        <v>16</v>
      </c>
      <c r="F189" s="3" t="s">
        <v>293</v>
      </c>
      <c r="G189" s="3" t="s">
        <v>29</v>
      </c>
      <c r="H189" s="3" t="s">
        <v>226</v>
      </c>
    </row>
    <row r="190" spans="1:8" x14ac:dyDescent="0.2">
      <c r="A190" s="3">
        <v>3040320013</v>
      </c>
      <c r="B190" s="4" t="s">
        <v>269</v>
      </c>
      <c r="C190" s="4" t="s">
        <v>1226</v>
      </c>
      <c r="D190" s="3">
        <v>1</v>
      </c>
      <c r="E190" s="3" t="s">
        <v>16</v>
      </c>
      <c r="F190" s="3" t="s">
        <v>293</v>
      </c>
      <c r="G190" s="3" t="s">
        <v>29</v>
      </c>
      <c r="H190" s="3" t="s">
        <v>226</v>
      </c>
    </row>
    <row r="191" spans="1:8" x14ac:dyDescent="0.2">
      <c r="A191" s="3">
        <v>3030313003</v>
      </c>
      <c r="B191" s="4" t="s">
        <v>217</v>
      </c>
      <c r="C191" s="4" t="s">
        <v>544</v>
      </c>
      <c r="D191" s="3">
        <v>8</v>
      </c>
      <c r="E191" s="3" t="s">
        <v>16</v>
      </c>
      <c r="F191" s="3" t="s">
        <v>291</v>
      </c>
      <c r="G191" s="3" t="s">
        <v>26</v>
      </c>
      <c r="H191" s="3" t="s">
        <v>226</v>
      </c>
    </row>
    <row r="192" spans="1:8" x14ac:dyDescent="0.2">
      <c r="A192" s="3">
        <v>3020199010</v>
      </c>
      <c r="B192" s="4" t="s">
        <v>239</v>
      </c>
      <c r="C192" s="4" t="s">
        <v>545</v>
      </c>
      <c r="D192" s="3">
        <v>5</v>
      </c>
      <c r="E192" s="3" t="s">
        <v>16</v>
      </c>
      <c r="F192" s="3" t="s">
        <v>301</v>
      </c>
      <c r="G192" s="3" t="s">
        <v>32</v>
      </c>
      <c r="H192" s="3" t="s">
        <v>226</v>
      </c>
    </row>
    <row r="193" spans="1:8" x14ac:dyDescent="0.2">
      <c r="A193" s="3">
        <v>3050304011</v>
      </c>
      <c r="B193" s="4" t="s">
        <v>827</v>
      </c>
      <c r="C193" s="4" t="s">
        <v>815</v>
      </c>
      <c r="D193" s="3">
        <v>1</v>
      </c>
      <c r="E193" s="3" t="s">
        <v>16</v>
      </c>
      <c r="F193" s="3" t="s">
        <v>794</v>
      </c>
      <c r="G193" s="3" t="s">
        <v>795</v>
      </c>
      <c r="H193" s="3" t="s">
        <v>226</v>
      </c>
    </row>
    <row r="194" spans="1:8" x14ac:dyDescent="0.2">
      <c r="A194" s="3">
        <v>3050403015</v>
      </c>
      <c r="B194" s="4" t="s">
        <v>830</v>
      </c>
      <c r="C194" s="4" t="s">
        <v>832</v>
      </c>
      <c r="D194" s="3">
        <v>1</v>
      </c>
      <c r="E194" s="3" t="s">
        <v>16</v>
      </c>
      <c r="F194" s="3" t="s">
        <v>794</v>
      </c>
      <c r="G194" s="3" t="s">
        <v>795</v>
      </c>
      <c r="H194" s="3" t="s">
        <v>226</v>
      </c>
    </row>
    <row r="195" spans="1:8" x14ac:dyDescent="0.2">
      <c r="A195" s="3">
        <v>3050403014</v>
      </c>
      <c r="B195" s="4" t="s">
        <v>830</v>
      </c>
      <c r="C195" s="4" t="s">
        <v>831</v>
      </c>
      <c r="D195" s="3">
        <v>1</v>
      </c>
      <c r="E195" s="3" t="s">
        <v>16</v>
      </c>
      <c r="F195" s="3" t="s">
        <v>794</v>
      </c>
      <c r="G195" s="3" t="s">
        <v>795</v>
      </c>
      <c r="H195" s="3" t="s">
        <v>226</v>
      </c>
    </row>
    <row r="196" spans="1:8" x14ac:dyDescent="0.2">
      <c r="A196" s="3">
        <v>3050310001</v>
      </c>
      <c r="B196" s="4" t="s">
        <v>833</v>
      </c>
      <c r="C196" s="4" t="s">
        <v>834</v>
      </c>
      <c r="D196" s="3">
        <v>1</v>
      </c>
      <c r="E196" s="3" t="s">
        <v>16</v>
      </c>
      <c r="F196" s="3" t="s">
        <v>794</v>
      </c>
      <c r="G196" s="3" t="s">
        <v>795</v>
      </c>
      <c r="H196" s="3" t="s">
        <v>226</v>
      </c>
    </row>
    <row r="197" spans="1:8" x14ac:dyDescent="0.2">
      <c r="A197" s="3">
        <v>3050310002</v>
      </c>
      <c r="B197" s="4" t="s">
        <v>833</v>
      </c>
      <c r="C197" s="4" t="s">
        <v>835</v>
      </c>
      <c r="D197" s="3">
        <v>1</v>
      </c>
      <c r="E197" s="3" t="s">
        <v>16</v>
      </c>
      <c r="F197" s="3" t="s">
        <v>794</v>
      </c>
      <c r="G197" s="3" t="s">
        <v>795</v>
      </c>
      <c r="H197" s="3" t="s">
        <v>226</v>
      </c>
    </row>
    <row r="198" spans="1:8" x14ac:dyDescent="0.2">
      <c r="A198" s="3">
        <v>3040326020</v>
      </c>
      <c r="B198" s="4" t="s">
        <v>546</v>
      </c>
      <c r="C198" s="4" t="s">
        <v>1227</v>
      </c>
      <c r="D198" s="3">
        <v>1</v>
      </c>
      <c r="E198" s="3" t="s">
        <v>16</v>
      </c>
      <c r="F198" s="3" t="s">
        <v>293</v>
      </c>
      <c r="G198" s="3" t="s">
        <v>29</v>
      </c>
      <c r="H198" s="3" t="s">
        <v>226</v>
      </c>
    </row>
    <row r="199" spans="1:8" x14ac:dyDescent="0.2">
      <c r="A199" s="3">
        <v>3040326019</v>
      </c>
      <c r="B199" s="4" t="s">
        <v>546</v>
      </c>
      <c r="C199" s="4" t="s">
        <v>1228</v>
      </c>
      <c r="D199" s="3">
        <v>1</v>
      </c>
      <c r="E199" s="3" t="s">
        <v>16</v>
      </c>
      <c r="F199" s="3" t="s">
        <v>293</v>
      </c>
      <c r="G199" s="3" t="s">
        <v>29</v>
      </c>
      <c r="H199" s="3" t="s">
        <v>226</v>
      </c>
    </row>
    <row r="200" spans="1:8" x14ac:dyDescent="0.2">
      <c r="A200" s="3">
        <v>3070212001</v>
      </c>
      <c r="B200" s="4" t="s">
        <v>377</v>
      </c>
      <c r="C200" s="4" t="s">
        <v>378</v>
      </c>
      <c r="D200" s="3">
        <v>1</v>
      </c>
      <c r="E200" s="3" t="s">
        <v>16</v>
      </c>
      <c r="F200" s="3" t="s">
        <v>317</v>
      </c>
      <c r="G200" s="3" t="s">
        <v>318</v>
      </c>
      <c r="H200" s="3" t="s">
        <v>226</v>
      </c>
    </row>
    <row r="201" spans="1:8" x14ac:dyDescent="0.2">
      <c r="A201" s="3">
        <v>3070210001</v>
      </c>
      <c r="B201" s="4" t="s">
        <v>379</v>
      </c>
      <c r="C201" s="4" t="s">
        <v>280</v>
      </c>
      <c r="D201" s="3">
        <v>1</v>
      </c>
      <c r="E201" s="3" t="s">
        <v>16</v>
      </c>
      <c r="F201" s="3" t="s">
        <v>317</v>
      </c>
      <c r="G201" s="3" t="s">
        <v>318</v>
      </c>
      <c r="H201" s="3" t="s">
        <v>226</v>
      </c>
    </row>
    <row r="202" spans="1:8" x14ac:dyDescent="0.2">
      <c r="A202" s="3">
        <v>3991601007</v>
      </c>
      <c r="B202" s="4" t="s">
        <v>585</v>
      </c>
      <c r="C202" s="4" t="s">
        <v>1229</v>
      </c>
      <c r="D202" s="3">
        <v>4</v>
      </c>
      <c r="E202" s="3" t="s">
        <v>16</v>
      </c>
      <c r="F202" s="3" t="s">
        <v>289</v>
      </c>
      <c r="G202" s="3" t="s">
        <v>23</v>
      </c>
      <c r="H202" s="3" t="s">
        <v>226</v>
      </c>
    </row>
    <row r="203" spans="1:8" x14ac:dyDescent="0.2">
      <c r="A203" s="3">
        <v>3991601009</v>
      </c>
      <c r="B203" s="4" t="s">
        <v>585</v>
      </c>
      <c r="C203" s="4" t="s">
        <v>1230</v>
      </c>
      <c r="D203" s="3">
        <v>2</v>
      </c>
      <c r="E203" s="3" t="s">
        <v>16</v>
      </c>
      <c r="F203" s="3" t="s">
        <v>289</v>
      </c>
      <c r="G203" s="3" t="s">
        <v>23</v>
      </c>
      <c r="H203" s="3" t="s">
        <v>226</v>
      </c>
    </row>
    <row r="204" spans="1:8" x14ac:dyDescent="0.2">
      <c r="A204" s="3">
        <v>3080401031</v>
      </c>
      <c r="B204" s="4" t="s">
        <v>41</v>
      </c>
      <c r="C204" s="4" t="s">
        <v>551</v>
      </c>
      <c r="D204" s="3">
        <v>1</v>
      </c>
      <c r="E204" s="3" t="s">
        <v>16</v>
      </c>
      <c r="F204" s="3" t="s">
        <v>291</v>
      </c>
      <c r="G204" s="3" t="s">
        <v>26</v>
      </c>
      <c r="H204" s="3" t="s">
        <v>249</v>
      </c>
    </row>
    <row r="205" spans="1:8" x14ac:dyDescent="0.2">
      <c r="A205" s="3">
        <v>3030211001</v>
      </c>
      <c r="B205" s="4" t="s">
        <v>552</v>
      </c>
      <c r="C205" s="4" t="s">
        <v>553</v>
      </c>
      <c r="D205" s="3">
        <v>1</v>
      </c>
      <c r="E205" s="3" t="s">
        <v>16</v>
      </c>
      <c r="F205" s="3" t="s">
        <v>295</v>
      </c>
      <c r="G205" s="3" t="s">
        <v>17</v>
      </c>
      <c r="H205" s="3" t="s">
        <v>249</v>
      </c>
    </row>
    <row r="206" spans="1:8" x14ac:dyDescent="0.2">
      <c r="A206" s="3">
        <v>3080309001</v>
      </c>
      <c r="B206" s="4" t="s">
        <v>554</v>
      </c>
      <c r="C206" s="4" t="s">
        <v>555</v>
      </c>
      <c r="D206" s="3">
        <v>1</v>
      </c>
      <c r="E206" s="3" t="s">
        <v>16</v>
      </c>
      <c r="F206" s="3" t="s">
        <v>295</v>
      </c>
      <c r="G206" s="3" t="s">
        <v>17</v>
      </c>
      <c r="H206" s="3" t="s">
        <v>249</v>
      </c>
    </row>
    <row r="207" spans="1:8" x14ac:dyDescent="0.2">
      <c r="A207" s="3">
        <v>3080107268</v>
      </c>
      <c r="B207" s="4" t="s">
        <v>69</v>
      </c>
      <c r="C207" s="4" t="s">
        <v>556</v>
      </c>
      <c r="D207" s="3">
        <v>2</v>
      </c>
      <c r="E207" s="3" t="s">
        <v>16</v>
      </c>
      <c r="F207" s="3" t="s">
        <v>291</v>
      </c>
      <c r="G207" s="3" t="s">
        <v>26</v>
      </c>
      <c r="H207" s="3" t="s">
        <v>249</v>
      </c>
    </row>
    <row r="208" spans="1:8" x14ac:dyDescent="0.2">
      <c r="A208" s="3">
        <v>3080107269</v>
      </c>
      <c r="B208" s="4" t="s">
        <v>69</v>
      </c>
      <c r="C208" s="4" t="s">
        <v>557</v>
      </c>
      <c r="D208" s="3">
        <v>2</v>
      </c>
      <c r="E208" s="3" t="s">
        <v>16</v>
      </c>
      <c r="F208" s="3" t="s">
        <v>291</v>
      </c>
      <c r="G208" s="3" t="s">
        <v>26</v>
      </c>
      <c r="H208" s="3" t="s">
        <v>249</v>
      </c>
    </row>
    <row r="209" spans="1:8" x14ac:dyDescent="0.2">
      <c r="A209" s="3">
        <v>3060333011</v>
      </c>
      <c r="B209" s="4" t="s">
        <v>227</v>
      </c>
      <c r="C209" s="4" t="s">
        <v>1231</v>
      </c>
      <c r="D209" s="3">
        <v>1</v>
      </c>
      <c r="E209" s="3" t="s">
        <v>16</v>
      </c>
      <c r="F209" s="3" t="s">
        <v>289</v>
      </c>
      <c r="G209" s="3" t="s">
        <v>23</v>
      </c>
      <c r="H209" s="3" t="s">
        <v>254</v>
      </c>
    </row>
    <row r="210" spans="1:8" x14ac:dyDescent="0.2">
      <c r="A210" s="3">
        <v>3060401003</v>
      </c>
      <c r="B210" s="4" t="s">
        <v>727</v>
      </c>
      <c r="C210" s="4" t="s">
        <v>1232</v>
      </c>
      <c r="D210" s="3">
        <v>1</v>
      </c>
      <c r="E210" s="3" t="s">
        <v>16</v>
      </c>
      <c r="F210" s="3" t="s">
        <v>289</v>
      </c>
      <c r="G210" s="3" t="s">
        <v>23</v>
      </c>
      <c r="H210" s="3" t="s">
        <v>254</v>
      </c>
    </row>
    <row r="211" spans="1:8" x14ac:dyDescent="0.2">
      <c r="A211" s="3">
        <v>3060335014</v>
      </c>
      <c r="B211" s="4" t="s">
        <v>233</v>
      </c>
      <c r="C211" s="4" t="s">
        <v>1233</v>
      </c>
      <c r="D211" s="3">
        <v>1</v>
      </c>
      <c r="E211" s="3" t="s">
        <v>16</v>
      </c>
      <c r="F211" s="3" t="s">
        <v>289</v>
      </c>
      <c r="G211" s="3" t="s">
        <v>23</v>
      </c>
      <c r="H211" s="3" t="s">
        <v>254</v>
      </c>
    </row>
    <row r="212" spans="1:8" x14ac:dyDescent="0.2">
      <c r="A212" s="3">
        <v>3030302001</v>
      </c>
      <c r="B212" s="4" t="s">
        <v>558</v>
      </c>
      <c r="C212" s="4" t="s">
        <v>534</v>
      </c>
      <c r="D212" s="3">
        <v>1</v>
      </c>
      <c r="E212" s="3" t="s">
        <v>16</v>
      </c>
      <c r="F212" s="3" t="s">
        <v>295</v>
      </c>
      <c r="G212" s="3" t="s">
        <v>17</v>
      </c>
      <c r="H212" s="3" t="s">
        <v>254</v>
      </c>
    </row>
    <row r="213" spans="1:8" x14ac:dyDescent="0.2">
      <c r="A213" s="3">
        <v>3030306031</v>
      </c>
      <c r="B213" s="4" t="s">
        <v>559</v>
      </c>
      <c r="C213" s="4" t="s">
        <v>560</v>
      </c>
      <c r="D213" s="3">
        <v>1</v>
      </c>
      <c r="E213" s="3" t="s">
        <v>16</v>
      </c>
      <c r="F213" s="3" t="s">
        <v>295</v>
      </c>
      <c r="G213" s="3" t="s">
        <v>17</v>
      </c>
      <c r="H213" s="3" t="s">
        <v>254</v>
      </c>
    </row>
    <row r="214" spans="1:8" x14ac:dyDescent="0.2">
      <c r="A214" s="3">
        <v>3080311001</v>
      </c>
      <c r="B214" s="4" t="s">
        <v>561</v>
      </c>
      <c r="C214" s="4" t="s">
        <v>1223</v>
      </c>
      <c r="D214" s="3">
        <v>1</v>
      </c>
      <c r="E214" s="3" t="s">
        <v>16</v>
      </c>
      <c r="F214" s="3" t="s">
        <v>295</v>
      </c>
      <c r="G214" s="3" t="s">
        <v>17</v>
      </c>
      <c r="H214" s="3" t="s">
        <v>254</v>
      </c>
    </row>
    <row r="215" spans="1:8" x14ac:dyDescent="0.2">
      <c r="A215" s="3">
        <v>3030303022</v>
      </c>
      <c r="B215" s="4" t="s">
        <v>562</v>
      </c>
      <c r="C215" s="4" t="s">
        <v>1234</v>
      </c>
      <c r="D215" s="3">
        <v>1</v>
      </c>
      <c r="E215" s="3" t="s">
        <v>16</v>
      </c>
      <c r="F215" s="3" t="s">
        <v>295</v>
      </c>
      <c r="G215" s="3" t="s">
        <v>17</v>
      </c>
      <c r="H215" s="3" t="s">
        <v>254</v>
      </c>
    </row>
    <row r="216" spans="1:8" x14ac:dyDescent="0.2">
      <c r="A216" s="3">
        <v>3030303023</v>
      </c>
      <c r="B216" s="4" t="s">
        <v>564</v>
      </c>
      <c r="C216" s="4" t="s">
        <v>1234</v>
      </c>
      <c r="D216" s="3">
        <v>1</v>
      </c>
      <c r="E216" s="3" t="s">
        <v>16</v>
      </c>
      <c r="F216" s="3" t="s">
        <v>295</v>
      </c>
      <c r="G216" s="3" t="s">
        <v>17</v>
      </c>
      <c r="H216" s="3" t="s">
        <v>254</v>
      </c>
    </row>
    <row r="217" spans="1:8" x14ac:dyDescent="0.2">
      <c r="A217" s="3">
        <v>3040323001</v>
      </c>
      <c r="B217" s="4" t="s">
        <v>565</v>
      </c>
      <c r="C217" s="4" t="s">
        <v>566</v>
      </c>
      <c r="D217" s="3">
        <v>2</v>
      </c>
      <c r="E217" s="3" t="s">
        <v>16</v>
      </c>
      <c r="F217" s="3" t="s">
        <v>293</v>
      </c>
      <c r="G217" s="3" t="s">
        <v>29</v>
      </c>
      <c r="H217" s="3" t="s">
        <v>254</v>
      </c>
    </row>
    <row r="218" spans="1:8" x14ac:dyDescent="0.2">
      <c r="A218" s="3">
        <v>3040302001</v>
      </c>
      <c r="B218" s="4" t="s">
        <v>567</v>
      </c>
      <c r="C218" s="4" t="s">
        <v>568</v>
      </c>
      <c r="D218" s="3">
        <v>1</v>
      </c>
      <c r="E218" s="3" t="s">
        <v>16</v>
      </c>
      <c r="F218" s="3" t="s">
        <v>293</v>
      </c>
      <c r="G218" s="3" t="s">
        <v>29</v>
      </c>
      <c r="H218" s="3" t="s">
        <v>254</v>
      </c>
    </row>
    <row r="219" spans="1:8" x14ac:dyDescent="0.2">
      <c r="A219" s="3">
        <v>3040302002</v>
      </c>
      <c r="B219" s="4" t="s">
        <v>567</v>
      </c>
      <c r="C219" s="4" t="s">
        <v>569</v>
      </c>
      <c r="D219" s="3">
        <v>1</v>
      </c>
      <c r="E219" s="3" t="s">
        <v>16</v>
      </c>
      <c r="F219" s="3" t="s">
        <v>293</v>
      </c>
      <c r="G219" s="3" t="s">
        <v>29</v>
      </c>
      <c r="H219" s="3" t="s">
        <v>254</v>
      </c>
    </row>
    <row r="220" spans="1:8" x14ac:dyDescent="0.2">
      <c r="A220" s="3">
        <v>3040324001</v>
      </c>
      <c r="B220" s="4" t="s">
        <v>570</v>
      </c>
      <c r="C220" s="4" t="s">
        <v>1223</v>
      </c>
      <c r="D220" s="3">
        <v>2</v>
      </c>
      <c r="E220" s="3" t="s">
        <v>16</v>
      </c>
      <c r="F220" s="3" t="s">
        <v>293</v>
      </c>
      <c r="G220" s="3" t="s">
        <v>29</v>
      </c>
      <c r="H220" s="3" t="s">
        <v>254</v>
      </c>
    </row>
    <row r="221" spans="1:8" x14ac:dyDescent="0.2">
      <c r="A221" s="3">
        <v>3030302008</v>
      </c>
      <c r="B221" s="4" t="s">
        <v>571</v>
      </c>
      <c r="C221" s="4" t="s">
        <v>572</v>
      </c>
      <c r="D221" s="3">
        <v>1</v>
      </c>
      <c r="E221" s="3" t="s">
        <v>16</v>
      </c>
      <c r="F221" s="3" t="s">
        <v>295</v>
      </c>
      <c r="G221" s="3" t="s">
        <v>17</v>
      </c>
      <c r="H221" s="3" t="s">
        <v>254</v>
      </c>
    </row>
    <row r="222" spans="1:8" x14ac:dyDescent="0.2">
      <c r="A222" s="3">
        <v>3030302009</v>
      </c>
      <c r="B222" s="4" t="s">
        <v>571</v>
      </c>
      <c r="C222" s="4" t="s">
        <v>573</v>
      </c>
      <c r="D222" s="3">
        <v>1</v>
      </c>
      <c r="E222" s="3" t="s">
        <v>16</v>
      </c>
      <c r="F222" s="3" t="s">
        <v>295</v>
      </c>
      <c r="G222" s="3" t="s">
        <v>17</v>
      </c>
      <c r="H222" s="3" t="s">
        <v>254</v>
      </c>
    </row>
    <row r="223" spans="1:8" x14ac:dyDescent="0.2">
      <c r="A223" s="3">
        <v>3030302004</v>
      </c>
      <c r="B223" s="4" t="s">
        <v>574</v>
      </c>
      <c r="C223" s="4" t="s">
        <v>575</v>
      </c>
      <c r="D223" s="3">
        <v>1</v>
      </c>
      <c r="E223" s="3" t="s">
        <v>16</v>
      </c>
      <c r="F223" s="3" t="s">
        <v>295</v>
      </c>
      <c r="G223" s="3" t="s">
        <v>17</v>
      </c>
      <c r="H223" s="3" t="s">
        <v>254</v>
      </c>
    </row>
    <row r="224" spans="1:8" x14ac:dyDescent="0.2">
      <c r="A224" s="3">
        <v>3030302006</v>
      </c>
      <c r="B224" s="4" t="s">
        <v>576</v>
      </c>
      <c r="C224" s="4" t="s">
        <v>575</v>
      </c>
      <c r="D224" s="3">
        <v>1</v>
      </c>
      <c r="E224" s="3" t="s">
        <v>16</v>
      </c>
      <c r="F224" s="3" t="s">
        <v>295</v>
      </c>
      <c r="G224" s="3" t="s">
        <v>17</v>
      </c>
      <c r="H224" s="3" t="s">
        <v>254</v>
      </c>
    </row>
    <row r="225" spans="1:8" x14ac:dyDescent="0.2">
      <c r="A225" s="3">
        <v>3030314004</v>
      </c>
      <c r="B225" s="4" t="s">
        <v>577</v>
      </c>
      <c r="C225" s="4" t="s">
        <v>575</v>
      </c>
      <c r="D225" s="3">
        <v>1</v>
      </c>
      <c r="E225" s="3" t="s">
        <v>16</v>
      </c>
      <c r="F225" s="3" t="s">
        <v>295</v>
      </c>
      <c r="G225" s="3" t="s">
        <v>17</v>
      </c>
      <c r="H225" s="3" t="s">
        <v>254</v>
      </c>
    </row>
    <row r="226" spans="1:8" x14ac:dyDescent="0.2">
      <c r="A226" s="3">
        <v>3030308001</v>
      </c>
      <c r="B226" s="4" t="s">
        <v>578</v>
      </c>
      <c r="C226" s="4" t="s">
        <v>575</v>
      </c>
      <c r="D226" s="3">
        <v>1</v>
      </c>
      <c r="E226" s="3" t="s">
        <v>16</v>
      </c>
      <c r="F226" s="3" t="s">
        <v>295</v>
      </c>
      <c r="G226" s="3" t="s">
        <v>17</v>
      </c>
      <c r="H226" s="3" t="s">
        <v>254</v>
      </c>
    </row>
    <row r="227" spans="1:8" x14ac:dyDescent="0.2">
      <c r="A227" s="3">
        <v>3030314003</v>
      </c>
      <c r="B227" s="4" t="s">
        <v>579</v>
      </c>
      <c r="C227" s="4" t="s">
        <v>575</v>
      </c>
      <c r="D227" s="3">
        <v>1</v>
      </c>
      <c r="E227" s="3" t="s">
        <v>16</v>
      </c>
      <c r="F227" s="3" t="s">
        <v>295</v>
      </c>
      <c r="G227" s="3" t="s">
        <v>17</v>
      </c>
      <c r="H227" s="3" t="s">
        <v>254</v>
      </c>
    </row>
    <row r="228" spans="1:8" x14ac:dyDescent="0.2">
      <c r="A228" s="3">
        <v>3030308003</v>
      </c>
      <c r="B228" s="4" t="s">
        <v>580</v>
      </c>
      <c r="C228" s="4" t="s">
        <v>581</v>
      </c>
      <c r="D228" s="3">
        <v>1</v>
      </c>
      <c r="E228" s="3" t="s">
        <v>16</v>
      </c>
      <c r="F228" s="3" t="s">
        <v>295</v>
      </c>
      <c r="G228" s="3" t="s">
        <v>17</v>
      </c>
      <c r="H228" s="3" t="s">
        <v>254</v>
      </c>
    </row>
    <row r="229" spans="1:8" x14ac:dyDescent="0.2">
      <c r="A229" s="3">
        <v>3040325008</v>
      </c>
      <c r="B229" s="4" t="s">
        <v>582</v>
      </c>
      <c r="C229" s="4" t="s">
        <v>542</v>
      </c>
      <c r="D229" s="3">
        <v>1</v>
      </c>
      <c r="E229" s="3" t="s">
        <v>16</v>
      </c>
      <c r="F229" s="3" t="s">
        <v>293</v>
      </c>
      <c r="G229" s="3" t="s">
        <v>29</v>
      </c>
      <c r="H229" s="3" t="s">
        <v>254</v>
      </c>
    </row>
    <row r="230" spans="1:8" x14ac:dyDescent="0.2">
      <c r="A230" s="3">
        <v>3040325007</v>
      </c>
      <c r="B230" s="4" t="s">
        <v>582</v>
      </c>
      <c r="C230" s="4" t="s">
        <v>543</v>
      </c>
      <c r="D230" s="3">
        <v>1</v>
      </c>
      <c r="E230" s="3" t="s">
        <v>16</v>
      </c>
      <c r="F230" s="3" t="s">
        <v>293</v>
      </c>
      <c r="G230" s="3" t="s">
        <v>29</v>
      </c>
      <c r="H230" s="3" t="s">
        <v>254</v>
      </c>
    </row>
    <row r="231" spans="1:8" x14ac:dyDescent="0.2">
      <c r="A231" s="3">
        <v>3040308003</v>
      </c>
      <c r="B231" s="4" t="s">
        <v>583</v>
      </c>
      <c r="C231" s="4" t="s">
        <v>536</v>
      </c>
      <c r="D231" s="3">
        <v>2</v>
      </c>
      <c r="E231" s="3" t="s">
        <v>16</v>
      </c>
      <c r="F231" s="3" t="s">
        <v>293</v>
      </c>
      <c r="G231" s="3" t="s">
        <v>29</v>
      </c>
      <c r="H231" s="3" t="s">
        <v>254</v>
      </c>
    </row>
    <row r="232" spans="1:8" x14ac:dyDescent="0.2">
      <c r="A232" s="3">
        <v>3030302007</v>
      </c>
      <c r="B232" s="4" t="s">
        <v>584</v>
      </c>
      <c r="C232" s="4" t="s">
        <v>575</v>
      </c>
      <c r="D232" s="3">
        <v>1</v>
      </c>
      <c r="E232" s="3" t="s">
        <v>16</v>
      </c>
      <c r="F232" s="3" t="s">
        <v>295</v>
      </c>
      <c r="G232" s="3" t="s">
        <v>17</v>
      </c>
      <c r="H232" s="3" t="s">
        <v>254</v>
      </c>
    </row>
    <row r="233" spans="1:8" x14ac:dyDescent="0.2">
      <c r="A233" s="3">
        <v>3070201008</v>
      </c>
      <c r="B233" s="4" t="s">
        <v>348</v>
      </c>
      <c r="C233" s="4" t="s">
        <v>1263</v>
      </c>
      <c r="D233" s="3">
        <v>1</v>
      </c>
      <c r="E233" s="3" t="s">
        <v>16</v>
      </c>
      <c r="F233" s="3" t="s">
        <v>317</v>
      </c>
      <c r="G233" s="3" t="s">
        <v>318</v>
      </c>
      <c r="H233" s="3" t="s">
        <v>254</v>
      </c>
    </row>
    <row r="234" spans="1:8" x14ac:dyDescent="0.2">
      <c r="A234" s="3">
        <v>3070216004</v>
      </c>
      <c r="B234" s="4" t="s">
        <v>1264</v>
      </c>
      <c r="C234" s="4" t="s">
        <v>1265</v>
      </c>
      <c r="D234" s="3">
        <v>1</v>
      </c>
      <c r="E234" s="3" t="s">
        <v>16</v>
      </c>
      <c r="F234" s="3" t="s">
        <v>317</v>
      </c>
      <c r="G234" s="3" t="s">
        <v>318</v>
      </c>
      <c r="H234" s="3" t="s">
        <v>254</v>
      </c>
    </row>
    <row r="235" spans="1:8" x14ac:dyDescent="0.2">
      <c r="A235" s="3">
        <v>3070214003</v>
      </c>
      <c r="B235" s="4" t="s">
        <v>1266</v>
      </c>
      <c r="C235" s="4" t="s">
        <v>1265</v>
      </c>
      <c r="D235" s="3">
        <v>1</v>
      </c>
      <c r="E235" s="3" t="s">
        <v>16</v>
      </c>
      <c r="F235" s="3" t="s">
        <v>317</v>
      </c>
      <c r="G235" s="3" t="s">
        <v>318</v>
      </c>
      <c r="H235" s="3" t="s">
        <v>254</v>
      </c>
    </row>
    <row r="236" spans="1:8" x14ac:dyDescent="0.2">
      <c r="A236" s="3">
        <v>3070202018</v>
      </c>
      <c r="B236" s="4" t="s">
        <v>1267</v>
      </c>
      <c r="C236" s="4" t="s">
        <v>1268</v>
      </c>
      <c r="D236" s="3">
        <v>1</v>
      </c>
      <c r="E236" s="3" t="s">
        <v>16</v>
      </c>
      <c r="F236" s="3" t="s">
        <v>317</v>
      </c>
      <c r="G236" s="3" t="s">
        <v>318</v>
      </c>
      <c r="H236" s="3" t="s">
        <v>254</v>
      </c>
    </row>
    <row r="237" spans="1:8" x14ac:dyDescent="0.2">
      <c r="A237" s="3">
        <v>3111601004</v>
      </c>
      <c r="B237" s="4" t="s">
        <v>585</v>
      </c>
      <c r="C237" s="4" t="s">
        <v>1235</v>
      </c>
      <c r="D237" s="3">
        <v>4</v>
      </c>
      <c r="E237" s="3" t="s">
        <v>16</v>
      </c>
      <c r="F237" s="3" t="s">
        <v>289</v>
      </c>
      <c r="G237" s="3" t="s">
        <v>23</v>
      </c>
      <c r="H237" s="3" t="s">
        <v>254</v>
      </c>
    </row>
    <row r="238" spans="1:8" x14ac:dyDescent="0.2">
      <c r="A238" s="3">
        <v>3111601003</v>
      </c>
      <c r="B238" s="4" t="s">
        <v>585</v>
      </c>
      <c r="C238" s="4" t="s">
        <v>586</v>
      </c>
      <c r="D238" s="3">
        <v>13</v>
      </c>
      <c r="E238" s="3" t="s">
        <v>16</v>
      </c>
      <c r="F238" s="3" t="s">
        <v>289</v>
      </c>
      <c r="G238" s="3" t="s">
        <v>23</v>
      </c>
      <c r="H238" s="3" t="s">
        <v>254</v>
      </c>
    </row>
    <row r="239" spans="1:8" x14ac:dyDescent="0.2">
      <c r="A239" s="3">
        <v>3111601001</v>
      </c>
      <c r="B239" s="4" t="s">
        <v>585</v>
      </c>
      <c r="C239" s="4" t="s">
        <v>1269</v>
      </c>
      <c r="D239" s="3">
        <v>8</v>
      </c>
      <c r="E239" s="3" t="s">
        <v>16</v>
      </c>
      <c r="F239" s="3" t="s">
        <v>317</v>
      </c>
      <c r="G239" s="3" t="s">
        <v>318</v>
      </c>
      <c r="H239" s="3" t="s">
        <v>254</v>
      </c>
    </row>
    <row r="240" spans="1:8" x14ac:dyDescent="0.2">
      <c r="A240" s="3">
        <v>3111601003</v>
      </c>
      <c r="B240" s="4" t="s">
        <v>585</v>
      </c>
      <c r="C240" s="4" t="s">
        <v>586</v>
      </c>
      <c r="D240" s="3">
        <v>2</v>
      </c>
      <c r="E240" s="3" t="s">
        <v>16</v>
      </c>
      <c r="F240" s="3" t="s">
        <v>291</v>
      </c>
      <c r="G240" s="3" t="s">
        <v>26</v>
      </c>
      <c r="H240" s="3" t="s">
        <v>254</v>
      </c>
    </row>
    <row r="241" spans="1:8" x14ac:dyDescent="0.2">
      <c r="A241" s="3">
        <v>3060340003</v>
      </c>
      <c r="B241" s="4" t="s">
        <v>725</v>
      </c>
      <c r="C241" s="4" t="s">
        <v>1236</v>
      </c>
      <c r="D241" s="3">
        <v>1</v>
      </c>
      <c r="E241" s="3" t="s">
        <v>16</v>
      </c>
      <c r="F241" s="3" t="s">
        <v>289</v>
      </c>
      <c r="G241" s="3" t="s">
        <v>23</v>
      </c>
      <c r="H241" s="3" t="s">
        <v>254</v>
      </c>
    </row>
    <row r="242" spans="1:8" x14ac:dyDescent="0.2">
      <c r="A242" s="3">
        <v>3060339005</v>
      </c>
      <c r="B242" s="4" t="s">
        <v>737</v>
      </c>
      <c r="C242" s="4" t="s">
        <v>1233</v>
      </c>
      <c r="D242" s="3">
        <v>1</v>
      </c>
      <c r="E242" s="3" t="s">
        <v>16</v>
      </c>
      <c r="F242" s="3" t="s">
        <v>289</v>
      </c>
      <c r="G242" s="3" t="s">
        <v>23</v>
      </c>
      <c r="H242" s="3" t="s">
        <v>254</v>
      </c>
    </row>
    <row r="243" spans="1:8" x14ac:dyDescent="0.2">
      <c r="A243" s="3">
        <v>3050303010</v>
      </c>
      <c r="B243" s="4" t="s">
        <v>245</v>
      </c>
      <c r="C243" s="4" t="s">
        <v>1233</v>
      </c>
      <c r="D243" s="3">
        <v>1</v>
      </c>
      <c r="E243" s="3" t="s">
        <v>16</v>
      </c>
      <c r="F243" s="3" t="s">
        <v>291</v>
      </c>
      <c r="G243" s="3" t="s">
        <v>26</v>
      </c>
      <c r="H243" s="3" t="s">
        <v>254</v>
      </c>
    </row>
    <row r="244" spans="1:8" x14ac:dyDescent="0.2">
      <c r="A244" s="3">
        <v>3080310002</v>
      </c>
      <c r="B244" s="4" t="s">
        <v>588</v>
      </c>
      <c r="C244" s="4" t="s">
        <v>589</v>
      </c>
      <c r="D244" s="3">
        <v>1</v>
      </c>
      <c r="E244" s="3" t="s">
        <v>16</v>
      </c>
      <c r="F244" s="3" t="s">
        <v>295</v>
      </c>
      <c r="G244" s="3" t="s">
        <v>17</v>
      </c>
      <c r="H244" s="3" t="s">
        <v>590</v>
      </c>
    </row>
    <row r="245" spans="1:8" x14ac:dyDescent="0.2">
      <c r="A245" s="3">
        <v>3020301012</v>
      </c>
      <c r="B245" s="4" t="s">
        <v>209</v>
      </c>
      <c r="C245" s="4" t="s">
        <v>768</v>
      </c>
      <c r="D245" s="3">
        <v>1</v>
      </c>
      <c r="E245" s="3" t="s">
        <v>16</v>
      </c>
      <c r="F245" s="3" t="s">
        <v>301</v>
      </c>
      <c r="G245" s="3" t="s">
        <v>32</v>
      </c>
      <c r="H245" s="3" t="s">
        <v>769</v>
      </c>
    </row>
  </sheetData>
  <phoneticPr fontId="2" type="noConversion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5F0BD-4E48-4C2C-A95A-D8BA9BE7B1C1}">
  <dimension ref="A1:H209"/>
  <sheetViews>
    <sheetView workbookViewId="0">
      <selection activeCell="M16" sqref="M16"/>
    </sheetView>
  </sheetViews>
  <sheetFormatPr defaultRowHeight="14.25" x14ac:dyDescent="0.2"/>
  <cols>
    <col min="1" max="1" width="12.25" customWidth="1"/>
    <col min="2" max="3" width="16.125" customWidth="1"/>
  </cols>
  <sheetData>
    <row r="1" spans="1:8" x14ac:dyDescent="0.2">
      <c r="A1" s="3" t="s">
        <v>1294</v>
      </c>
      <c r="B1" s="4"/>
      <c r="C1" s="4"/>
      <c r="D1" s="3"/>
      <c r="E1" s="3"/>
      <c r="F1" s="3"/>
      <c r="G1" s="3"/>
      <c r="H1" s="3"/>
    </row>
    <row r="2" spans="1:8" ht="28.5" x14ac:dyDescent="0.2">
      <c r="A2" s="1" t="s">
        <v>0</v>
      </c>
      <c r="B2" s="2" t="s">
        <v>1</v>
      </c>
      <c r="C2" s="2" t="s">
        <v>2</v>
      </c>
      <c r="D2" s="1" t="s">
        <v>4</v>
      </c>
      <c r="E2" s="1" t="s">
        <v>3</v>
      </c>
      <c r="F2" s="1" t="s">
        <v>5</v>
      </c>
      <c r="G2" s="1" t="s">
        <v>6</v>
      </c>
      <c r="H2" s="1" t="s">
        <v>7</v>
      </c>
    </row>
    <row r="3" spans="1:8" s="10" customFormat="1" x14ac:dyDescent="0.2">
      <c r="A3" s="8" t="s">
        <v>390</v>
      </c>
      <c r="B3" s="9" t="s">
        <v>8</v>
      </c>
      <c r="C3" s="9" t="s">
        <v>9</v>
      </c>
      <c r="D3" s="13">
        <f>0.338/0.94</f>
        <v>0.3595744680851064</v>
      </c>
      <c r="E3" s="8" t="s">
        <v>596</v>
      </c>
      <c r="F3" s="8" t="s">
        <v>283</v>
      </c>
      <c r="G3" s="8" t="s">
        <v>13</v>
      </c>
      <c r="H3" s="8" t="s">
        <v>12</v>
      </c>
    </row>
    <row r="4" spans="1:8" x14ac:dyDescent="0.2">
      <c r="A4" s="3">
        <v>40901009</v>
      </c>
      <c r="B4" s="4" t="s">
        <v>801</v>
      </c>
      <c r="C4" s="4" t="s">
        <v>1153</v>
      </c>
      <c r="D4" s="3">
        <v>1</v>
      </c>
      <c r="E4" s="3" t="s">
        <v>16</v>
      </c>
      <c r="F4" s="3" t="s">
        <v>289</v>
      </c>
      <c r="G4" s="3" t="s">
        <v>23</v>
      </c>
      <c r="H4" s="3" t="s">
        <v>306</v>
      </c>
    </row>
    <row r="5" spans="1:8" x14ac:dyDescent="0.2">
      <c r="A5" s="3">
        <v>3099980014</v>
      </c>
      <c r="B5" s="4" t="s">
        <v>391</v>
      </c>
      <c r="C5" s="4" t="s">
        <v>392</v>
      </c>
      <c r="D5" s="3">
        <v>1</v>
      </c>
      <c r="E5" s="3" t="s">
        <v>16</v>
      </c>
      <c r="F5" s="3" t="s">
        <v>291</v>
      </c>
      <c r="G5" s="3" t="s">
        <v>26</v>
      </c>
      <c r="H5" s="3" t="s">
        <v>393</v>
      </c>
    </row>
    <row r="6" spans="1:8" x14ac:dyDescent="0.2">
      <c r="A6" s="3">
        <v>3030314005</v>
      </c>
      <c r="B6" s="4" t="s">
        <v>394</v>
      </c>
      <c r="C6" s="4" t="s">
        <v>395</v>
      </c>
      <c r="D6" s="3">
        <v>1</v>
      </c>
      <c r="E6" s="3" t="s">
        <v>16</v>
      </c>
      <c r="F6" s="3" t="s">
        <v>291</v>
      </c>
      <c r="G6" s="3" t="s">
        <v>26</v>
      </c>
      <c r="H6" s="3" t="s">
        <v>18</v>
      </c>
    </row>
    <row r="7" spans="1:8" x14ac:dyDescent="0.2">
      <c r="A7" s="3">
        <v>3030210001</v>
      </c>
      <c r="B7" s="4" t="s">
        <v>396</v>
      </c>
      <c r="C7" s="4" t="s">
        <v>397</v>
      </c>
      <c r="D7" s="3">
        <v>1</v>
      </c>
      <c r="E7" s="3" t="s">
        <v>16</v>
      </c>
      <c r="F7" s="3" t="s">
        <v>295</v>
      </c>
      <c r="G7" s="3" t="s">
        <v>17</v>
      </c>
      <c r="H7" s="3" t="s">
        <v>18</v>
      </c>
    </row>
    <row r="8" spans="1:8" x14ac:dyDescent="0.2">
      <c r="A8" s="3">
        <v>3080301001</v>
      </c>
      <c r="B8" s="4" t="s">
        <v>247</v>
      </c>
      <c r="C8" s="4" t="s">
        <v>398</v>
      </c>
      <c r="D8" s="3">
        <v>1</v>
      </c>
      <c r="E8" s="3" t="s">
        <v>16</v>
      </c>
      <c r="F8" s="3" t="s">
        <v>295</v>
      </c>
      <c r="G8" s="3" t="s">
        <v>17</v>
      </c>
      <c r="H8" s="3" t="s">
        <v>18</v>
      </c>
    </row>
    <row r="9" spans="1:8" x14ac:dyDescent="0.2">
      <c r="A9" s="3">
        <v>3040201001</v>
      </c>
      <c r="B9" s="4" t="s">
        <v>399</v>
      </c>
      <c r="C9" s="4" t="s">
        <v>400</v>
      </c>
      <c r="D9" s="3">
        <v>2</v>
      </c>
      <c r="E9" s="3" t="s">
        <v>16</v>
      </c>
      <c r="F9" s="3" t="s">
        <v>293</v>
      </c>
      <c r="G9" s="3" t="s">
        <v>29</v>
      </c>
      <c r="H9" s="3" t="s">
        <v>18</v>
      </c>
    </row>
    <row r="10" spans="1:8" x14ac:dyDescent="0.2">
      <c r="A10" s="3">
        <v>3030202002</v>
      </c>
      <c r="B10" s="4" t="s">
        <v>401</v>
      </c>
      <c r="C10" s="4" t="s">
        <v>402</v>
      </c>
      <c r="D10" s="3">
        <v>1</v>
      </c>
      <c r="E10" s="3" t="s">
        <v>16</v>
      </c>
      <c r="F10" s="3" t="s">
        <v>295</v>
      </c>
      <c r="G10" s="3" t="s">
        <v>17</v>
      </c>
      <c r="H10" s="3" t="s">
        <v>18</v>
      </c>
    </row>
    <row r="11" spans="1:8" x14ac:dyDescent="0.2">
      <c r="A11" s="3">
        <v>3030202003</v>
      </c>
      <c r="B11" s="4" t="s">
        <v>403</v>
      </c>
      <c r="C11" s="4" t="s">
        <v>404</v>
      </c>
      <c r="D11" s="3">
        <v>1</v>
      </c>
      <c r="E11" s="3" t="s">
        <v>16</v>
      </c>
      <c r="F11" s="3" t="s">
        <v>295</v>
      </c>
      <c r="G11" s="3" t="s">
        <v>17</v>
      </c>
      <c r="H11" s="3" t="s">
        <v>18</v>
      </c>
    </row>
    <row r="12" spans="1:8" x14ac:dyDescent="0.2">
      <c r="A12" s="3">
        <v>3030212001</v>
      </c>
      <c r="B12" s="4" t="s">
        <v>405</v>
      </c>
      <c r="C12" s="4" t="s">
        <v>406</v>
      </c>
      <c r="D12" s="3">
        <v>1</v>
      </c>
      <c r="E12" s="3" t="s">
        <v>16</v>
      </c>
      <c r="F12" s="3" t="s">
        <v>295</v>
      </c>
      <c r="G12" s="3" t="s">
        <v>17</v>
      </c>
      <c r="H12" s="3" t="s">
        <v>18</v>
      </c>
    </row>
    <row r="13" spans="1:8" x14ac:dyDescent="0.2">
      <c r="A13" s="3">
        <v>3030206003</v>
      </c>
      <c r="B13" s="4" t="s">
        <v>407</v>
      </c>
      <c r="C13" s="4" t="s">
        <v>408</v>
      </c>
      <c r="D13" s="3">
        <v>1</v>
      </c>
      <c r="E13" s="3" t="s">
        <v>16</v>
      </c>
      <c r="F13" s="3" t="s">
        <v>295</v>
      </c>
      <c r="G13" s="3" t="s">
        <v>17</v>
      </c>
      <c r="H13" s="3" t="s">
        <v>18</v>
      </c>
    </row>
    <row r="14" spans="1:8" x14ac:dyDescent="0.2">
      <c r="A14" s="3">
        <v>404020072</v>
      </c>
      <c r="B14" s="4" t="s">
        <v>30</v>
      </c>
      <c r="C14" s="4" t="s">
        <v>308</v>
      </c>
      <c r="D14" s="3">
        <v>1</v>
      </c>
      <c r="E14" s="3" t="s">
        <v>16</v>
      </c>
      <c r="F14" s="3" t="s">
        <v>291</v>
      </c>
      <c r="G14" s="3" t="s">
        <v>26</v>
      </c>
      <c r="H14" s="3" t="s">
        <v>33</v>
      </c>
    </row>
    <row r="15" spans="1:8" x14ac:dyDescent="0.2">
      <c r="A15" s="3">
        <v>401020110</v>
      </c>
      <c r="B15" s="4" t="s">
        <v>35</v>
      </c>
      <c r="C15" s="4" t="s">
        <v>1154</v>
      </c>
      <c r="D15" s="3">
        <v>1</v>
      </c>
      <c r="E15" s="3" t="s">
        <v>16</v>
      </c>
      <c r="F15" s="3" t="s">
        <v>301</v>
      </c>
      <c r="G15" s="3" t="s">
        <v>32</v>
      </c>
      <c r="H15" s="3" t="s">
        <v>33</v>
      </c>
    </row>
    <row r="16" spans="1:8" x14ac:dyDescent="0.2">
      <c r="A16" s="3">
        <v>401020128</v>
      </c>
      <c r="B16" s="4" t="s">
        <v>35</v>
      </c>
      <c r="C16" s="4" t="s">
        <v>1278</v>
      </c>
      <c r="D16" s="3">
        <v>1</v>
      </c>
      <c r="E16" s="3" t="s">
        <v>16</v>
      </c>
      <c r="F16" s="3" t="s">
        <v>291</v>
      </c>
      <c r="G16" s="3" t="s">
        <v>26</v>
      </c>
      <c r="H16" s="3" t="s">
        <v>33</v>
      </c>
    </row>
    <row r="17" spans="1:8" x14ac:dyDescent="0.2">
      <c r="A17" s="3">
        <v>3080101002</v>
      </c>
      <c r="B17" s="4" t="s">
        <v>411</v>
      </c>
      <c r="C17" s="4" t="s">
        <v>413</v>
      </c>
      <c r="D17" s="3">
        <v>19</v>
      </c>
      <c r="E17" s="3" t="s">
        <v>16</v>
      </c>
      <c r="F17" s="3" t="s">
        <v>289</v>
      </c>
      <c r="G17" s="3" t="s">
        <v>23</v>
      </c>
      <c r="H17" s="3" t="s">
        <v>40</v>
      </c>
    </row>
    <row r="18" spans="1:8" x14ac:dyDescent="0.2">
      <c r="A18" s="3">
        <v>3080101015</v>
      </c>
      <c r="B18" s="4" t="s">
        <v>411</v>
      </c>
      <c r="C18" s="4" t="s">
        <v>412</v>
      </c>
      <c r="D18" s="3">
        <v>2</v>
      </c>
      <c r="E18" s="3" t="s">
        <v>16</v>
      </c>
      <c r="F18" s="3" t="s">
        <v>293</v>
      </c>
      <c r="G18" s="3" t="s">
        <v>29</v>
      </c>
      <c r="H18" s="3" t="s">
        <v>40</v>
      </c>
    </row>
    <row r="19" spans="1:8" x14ac:dyDescent="0.2">
      <c r="A19" s="3">
        <v>3080101002</v>
      </c>
      <c r="B19" s="4" t="s">
        <v>411</v>
      </c>
      <c r="C19" s="4" t="s">
        <v>413</v>
      </c>
      <c r="D19" s="3">
        <v>2</v>
      </c>
      <c r="E19" s="3" t="s">
        <v>16</v>
      </c>
      <c r="F19" s="3" t="s">
        <v>291</v>
      </c>
      <c r="G19" s="3" t="s">
        <v>26</v>
      </c>
      <c r="H19" s="3" t="s">
        <v>40</v>
      </c>
    </row>
    <row r="20" spans="1:8" x14ac:dyDescent="0.2">
      <c r="A20" s="3">
        <v>3080401064</v>
      </c>
      <c r="B20" s="4" t="s">
        <v>41</v>
      </c>
      <c r="C20" s="4" t="s">
        <v>414</v>
      </c>
      <c r="D20" s="3">
        <v>1</v>
      </c>
      <c r="E20" s="3" t="s">
        <v>16</v>
      </c>
      <c r="F20" s="3" t="s">
        <v>295</v>
      </c>
      <c r="G20" s="3" t="s">
        <v>17</v>
      </c>
      <c r="H20" s="3" t="s">
        <v>40</v>
      </c>
    </row>
    <row r="21" spans="1:8" x14ac:dyDescent="0.2">
      <c r="A21" s="3">
        <v>3080401016</v>
      </c>
      <c r="B21" s="4" t="s">
        <v>41</v>
      </c>
      <c r="C21" s="4" t="s">
        <v>415</v>
      </c>
      <c r="D21" s="3">
        <v>1</v>
      </c>
      <c r="E21" s="3" t="s">
        <v>16</v>
      </c>
      <c r="F21" s="3" t="s">
        <v>295</v>
      </c>
      <c r="G21" s="3" t="s">
        <v>17</v>
      </c>
      <c r="H21" s="3" t="s">
        <v>40</v>
      </c>
    </row>
    <row r="22" spans="1:8" x14ac:dyDescent="0.2">
      <c r="A22" s="3">
        <v>3080401007</v>
      </c>
      <c r="B22" s="4" t="s">
        <v>41</v>
      </c>
      <c r="C22" s="4" t="s">
        <v>416</v>
      </c>
      <c r="D22" s="3">
        <v>2</v>
      </c>
      <c r="E22" s="3" t="s">
        <v>16</v>
      </c>
      <c r="F22" s="3" t="s">
        <v>293</v>
      </c>
      <c r="G22" s="3" t="s">
        <v>29</v>
      </c>
      <c r="H22" s="3" t="s">
        <v>40</v>
      </c>
    </row>
    <row r="23" spans="1:8" x14ac:dyDescent="0.2">
      <c r="A23" s="3">
        <v>3080401014</v>
      </c>
      <c r="B23" s="4" t="s">
        <v>41</v>
      </c>
      <c r="C23" s="4" t="s">
        <v>417</v>
      </c>
      <c r="D23" s="3">
        <v>4</v>
      </c>
      <c r="E23" s="3" t="s">
        <v>16</v>
      </c>
      <c r="F23" s="3" t="s">
        <v>291</v>
      </c>
      <c r="G23" s="3" t="s">
        <v>26</v>
      </c>
      <c r="H23" s="3" t="s">
        <v>40</v>
      </c>
    </row>
    <row r="24" spans="1:8" x14ac:dyDescent="0.2">
      <c r="A24" s="3">
        <v>3080104073</v>
      </c>
      <c r="B24" s="4" t="s">
        <v>45</v>
      </c>
      <c r="C24" s="4" t="s">
        <v>1155</v>
      </c>
      <c r="D24" s="3">
        <v>3</v>
      </c>
      <c r="E24" s="3" t="s">
        <v>16</v>
      </c>
      <c r="F24" s="3" t="s">
        <v>289</v>
      </c>
      <c r="G24" s="3" t="s">
        <v>23</v>
      </c>
      <c r="H24" s="3" t="s">
        <v>40</v>
      </c>
    </row>
    <row r="25" spans="1:8" x14ac:dyDescent="0.2">
      <c r="A25" s="3">
        <v>3080104018</v>
      </c>
      <c r="B25" s="4" t="s">
        <v>45</v>
      </c>
      <c r="C25" s="4" t="s">
        <v>418</v>
      </c>
      <c r="D25" s="3">
        <v>2</v>
      </c>
      <c r="E25" s="3" t="s">
        <v>16</v>
      </c>
      <c r="F25" s="3" t="s">
        <v>293</v>
      </c>
      <c r="G25" s="3" t="s">
        <v>29</v>
      </c>
      <c r="H25" s="3" t="s">
        <v>40</v>
      </c>
    </row>
    <row r="26" spans="1:8" x14ac:dyDescent="0.2">
      <c r="A26" s="3">
        <v>3080104098</v>
      </c>
      <c r="B26" s="4" t="s">
        <v>45</v>
      </c>
      <c r="C26" s="4" t="s">
        <v>1156</v>
      </c>
      <c r="D26" s="3">
        <v>2</v>
      </c>
      <c r="E26" s="3" t="s">
        <v>16</v>
      </c>
      <c r="F26" s="3" t="s">
        <v>291</v>
      </c>
      <c r="G26" s="3" t="s">
        <v>26</v>
      </c>
      <c r="H26" s="3" t="s">
        <v>40</v>
      </c>
    </row>
    <row r="27" spans="1:8" x14ac:dyDescent="0.2">
      <c r="A27" s="3">
        <v>3080105006</v>
      </c>
      <c r="B27" s="4" t="s">
        <v>50</v>
      </c>
      <c r="C27" s="4" t="s">
        <v>1157</v>
      </c>
      <c r="D27" s="3">
        <v>8</v>
      </c>
      <c r="E27" s="3" t="s">
        <v>16</v>
      </c>
      <c r="F27" s="3" t="s">
        <v>289</v>
      </c>
      <c r="G27" s="3" t="s">
        <v>23</v>
      </c>
      <c r="H27" s="3" t="s">
        <v>40</v>
      </c>
    </row>
    <row r="28" spans="1:8" x14ac:dyDescent="0.2">
      <c r="A28" s="3">
        <v>3080105080</v>
      </c>
      <c r="B28" s="4" t="s">
        <v>50</v>
      </c>
      <c r="C28" s="4" t="s">
        <v>1158</v>
      </c>
      <c r="D28" s="3">
        <v>2</v>
      </c>
      <c r="E28" s="3" t="s">
        <v>16</v>
      </c>
      <c r="F28" s="3" t="s">
        <v>289</v>
      </c>
      <c r="G28" s="3" t="s">
        <v>23</v>
      </c>
      <c r="H28" s="3" t="s">
        <v>40</v>
      </c>
    </row>
    <row r="29" spans="1:8" x14ac:dyDescent="0.2">
      <c r="A29" s="3">
        <v>3080105023</v>
      </c>
      <c r="B29" s="4" t="s">
        <v>50</v>
      </c>
      <c r="C29" s="4" t="s">
        <v>1159</v>
      </c>
      <c r="D29" s="3">
        <v>4</v>
      </c>
      <c r="E29" s="3" t="s">
        <v>16</v>
      </c>
      <c r="F29" s="3" t="s">
        <v>289</v>
      </c>
      <c r="G29" s="3" t="s">
        <v>23</v>
      </c>
      <c r="H29" s="3" t="s">
        <v>40</v>
      </c>
    </row>
    <row r="30" spans="1:8" x14ac:dyDescent="0.2">
      <c r="A30" s="3">
        <v>3080105015</v>
      </c>
      <c r="B30" s="4" t="s">
        <v>50</v>
      </c>
      <c r="C30" s="4" t="s">
        <v>422</v>
      </c>
      <c r="D30" s="3">
        <v>8</v>
      </c>
      <c r="E30" s="3" t="s">
        <v>16</v>
      </c>
      <c r="F30" s="3" t="s">
        <v>293</v>
      </c>
      <c r="G30" s="3" t="s">
        <v>29</v>
      </c>
      <c r="H30" s="3" t="s">
        <v>40</v>
      </c>
    </row>
    <row r="31" spans="1:8" x14ac:dyDescent="0.2">
      <c r="A31" s="3">
        <v>3080105088</v>
      </c>
      <c r="B31" s="4" t="s">
        <v>50</v>
      </c>
      <c r="C31" s="4" t="s">
        <v>423</v>
      </c>
      <c r="D31" s="3">
        <v>2</v>
      </c>
      <c r="E31" s="3" t="s">
        <v>16</v>
      </c>
      <c r="F31" s="3" t="s">
        <v>293</v>
      </c>
      <c r="G31" s="3" t="s">
        <v>29</v>
      </c>
      <c r="H31" s="3" t="s">
        <v>40</v>
      </c>
    </row>
    <row r="32" spans="1:8" x14ac:dyDescent="0.2">
      <c r="A32" s="3">
        <v>3080105008</v>
      </c>
      <c r="B32" s="4" t="s">
        <v>50</v>
      </c>
      <c r="C32" s="4" t="s">
        <v>424</v>
      </c>
      <c r="D32" s="3">
        <v>8</v>
      </c>
      <c r="E32" s="3" t="s">
        <v>16</v>
      </c>
      <c r="F32" s="3" t="s">
        <v>293</v>
      </c>
      <c r="G32" s="3" t="s">
        <v>29</v>
      </c>
      <c r="H32" s="3" t="s">
        <v>40</v>
      </c>
    </row>
    <row r="33" spans="1:8" x14ac:dyDescent="0.2">
      <c r="A33" s="3">
        <v>3080105070</v>
      </c>
      <c r="B33" s="4" t="s">
        <v>50</v>
      </c>
      <c r="C33" s="4" t="s">
        <v>1160</v>
      </c>
      <c r="D33" s="3">
        <v>14</v>
      </c>
      <c r="E33" s="3" t="s">
        <v>16</v>
      </c>
      <c r="F33" s="3" t="s">
        <v>293</v>
      </c>
      <c r="G33" s="3" t="s">
        <v>29</v>
      </c>
      <c r="H33" s="3" t="s">
        <v>40</v>
      </c>
    </row>
    <row r="34" spans="1:8" x14ac:dyDescent="0.2">
      <c r="A34" s="3">
        <v>3080104055</v>
      </c>
      <c r="B34" s="4" t="s">
        <v>50</v>
      </c>
      <c r="C34" s="4" t="s">
        <v>425</v>
      </c>
      <c r="D34" s="3">
        <v>2</v>
      </c>
      <c r="E34" s="3" t="s">
        <v>16</v>
      </c>
      <c r="F34" s="3" t="s">
        <v>291</v>
      </c>
      <c r="G34" s="3" t="s">
        <v>26</v>
      </c>
      <c r="H34" s="3" t="s">
        <v>40</v>
      </c>
    </row>
    <row r="35" spans="1:8" x14ac:dyDescent="0.2">
      <c r="A35" s="3">
        <v>3080105070</v>
      </c>
      <c r="B35" s="4" t="s">
        <v>50</v>
      </c>
      <c r="C35" s="4" t="s">
        <v>1160</v>
      </c>
      <c r="D35" s="3">
        <v>2</v>
      </c>
      <c r="E35" s="3" t="s">
        <v>16</v>
      </c>
      <c r="F35" s="3" t="s">
        <v>291</v>
      </c>
      <c r="G35" s="3" t="s">
        <v>26</v>
      </c>
      <c r="H35" s="3" t="s">
        <v>40</v>
      </c>
    </row>
    <row r="36" spans="1:8" x14ac:dyDescent="0.2">
      <c r="A36" s="3">
        <v>3080105037</v>
      </c>
      <c r="B36" s="4" t="s">
        <v>50</v>
      </c>
      <c r="C36" s="4" t="s">
        <v>1279</v>
      </c>
      <c r="D36" s="3">
        <v>6</v>
      </c>
      <c r="E36" s="3" t="s">
        <v>16</v>
      </c>
      <c r="F36" s="3" t="s">
        <v>291</v>
      </c>
      <c r="G36" s="3" t="s">
        <v>26</v>
      </c>
      <c r="H36" s="3" t="s">
        <v>40</v>
      </c>
    </row>
    <row r="37" spans="1:8" x14ac:dyDescent="0.2">
      <c r="A37" s="3">
        <v>3080502003</v>
      </c>
      <c r="B37" s="4" t="s">
        <v>55</v>
      </c>
      <c r="C37" s="4" t="s">
        <v>426</v>
      </c>
      <c r="D37" s="3">
        <v>2</v>
      </c>
      <c r="E37" s="3" t="s">
        <v>16</v>
      </c>
      <c r="F37" s="3" t="s">
        <v>291</v>
      </c>
      <c r="G37" s="3" t="s">
        <v>26</v>
      </c>
      <c r="H37" s="3" t="s">
        <v>40</v>
      </c>
    </row>
    <row r="38" spans="1:8" x14ac:dyDescent="0.2">
      <c r="A38" s="3">
        <v>3080201005</v>
      </c>
      <c r="B38" s="4" t="s">
        <v>60</v>
      </c>
      <c r="C38" s="4" t="s">
        <v>427</v>
      </c>
      <c r="D38" s="3">
        <v>1</v>
      </c>
      <c r="E38" s="3" t="s">
        <v>16</v>
      </c>
      <c r="F38" s="3" t="s">
        <v>291</v>
      </c>
      <c r="G38" s="3" t="s">
        <v>26</v>
      </c>
      <c r="H38" s="3" t="s">
        <v>40</v>
      </c>
    </row>
    <row r="39" spans="1:8" x14ac:dyDescent="0.2">
      <c r="A39" s="3">
        <v>3080201006</v>
      </c>
      <c r="B39" s="4" t="s">
        <v>60</v>
      </c>
      <c r="C39" s="4" t="s">
        <v>428</v>
      </c>
      <c r="D39" s="3">
        <v>1</v>
      </c>
      <c r="E39" s="3" t="s">
        <v>16</v>
      </c>
      <c r="F39" s="3" t="s">
        <v>291</v>
      </c>
      <c r="G39" s="3" t="s">
        <v>26</v>
      </c>
      <c r="H39" s="3" t="s">
        <v>40</v>
      </c>
    </row>
    <row r="40" spans="1:8" x14ac:dyDescent="0.2">
      <c r="A40" s="3">
        <v>3080107271</v>
      </c>
      <c r="B40" s="4" t="s">
        <v>69</v>
      </c>
      <c r="C40" s="4" t="s">
        <v>1161</v>
      </c>
      <c r="D40" s="3">
        <v>2</v>
      </c>
      <c r="E40" s="3" t="s">
        <v>16</v>
      </c>
      <c r="F40" s="3" t="s">
        <v>289</v>
      </c>
      <c r="G40" s="3" t="s">
        <v>23</v>
      </c>
      <c r="H40" s="3" t="s">
        <v>40</v>
      </c>
    </row>
    <row r="41" spans="1:8" x14ac:dyDescent="0.2">
      <c r="A41" s="3">
        <v>3080107092</v>
      </c>
      <c r="B41" s="4" t="s">
        <v>69</v>
      </c>
      <c r="C41" s="4" t="s">
        <v>1162</v>
      </c>
      <c r="D41" s="3">
        <v>4</v>
      </c>
      <c r="E41" s="3" t="s">
        <v>16</v>
      </c>
      <c r="F41" s="3" t="s">
        <v>289</v>
      </c>
      <c r="G41" s="3" t="s">
        <v>23</v>
      </c>
      <c r="H41" s="3" t="s">
        <v>40</v>
      </c>
    </row>
    <row r="42" spans="1:8" x14ac:dyDescent="0.2">
      <c r="A42" s="3">
        <v>3080107034</v>
      </c>
      <c r="B42" s="4" t="s">
        <v>69</v>
      </c>
      <c r="C42" s="4" t="s">
        <v>429</v>
      </c>
      <c r="D42" s="3">
        <v>2</v>
      </c>
      <c r="E42" s="3" t="s">
        <v>16</v>
      </c>
      <c r="F42" s="3" t="s">
        <v>295</v>
      </c>
      <c r="G42" s="3" t="s">
        <v>17</v>
      </c>
      <c r="H42" s="3" t="s">
        <v>40</v>
      </c>
    </row>
    <row r="43" spans="1:8" x14ac:dyDescent="0.2">
      <c r="A43" s="3">
        <v>3080107034</v>
      </c>
      <c r="B43" s="4" t="s">
        <v>69</v>
      </c>
      <c r="C43" s="4" t="s">
        <v>429</v>
      </c>
      <c r="D43" s="3">
        <v>6</v>
      </c>
      <c r="E43" s="3" t="s">
        <v>16</v>
      </c>
      <c r="F43" s="3" t="s">
        <v>295</v>
      </c>
      <c r="G43" s="3" t="s">
        <v>17</v>
      </c>
      <c r="H43" s="3" t="s">
        <v>40</v>
      </c>
    </row>
    <row r="44" spans="1:8" x14ac:dyDescent="0.2">
      <c r="A44" s="3">
        <v>3080107002</v>
      </c>
      <c r="B44" s="4" t="s">
        <v>69</v>
      </c>
      <c r="C44" s="4" t="s">
        <v>430</v>
      </c>
      <c r="D44" s="3">
        <v>4</v>
      </c>
      <c r="E44" s="3" t="s">
        <v>16</v>
      </c>
      <c r="F44" s="3" t="s">
        <v>295</v>
      </c>
      <c r="G44" s="3" t="s">
        <v>17</v>
      </c>
      <c r="H44" s="3" t="s">
        <v>40</v>
      </c>
    </row>
    <row r="45" spans="1:8" x14ac:dyDescent="0.2">
      <c r="A45" s="3">
        <v>3080107052</v>
      </c>
      <c r="B45" s="4" t="s">
        <v>69</v>
      </c>
      <c r="C45" s="4" t="s">
        <v>431</v>
      </c>
      <c r="D45" s="3">
        <v>1</v>
      </c>
      <c r="E45" s="3" t="s">
        <v>16</v>
      </c>
      <c r="F45" s="3" t="s">
        <v>295</v>
      </c>
      <c r="G45" s="3" t="s">
        <v>17</v>
      </c>
      <c r="H45" s="3" t="s">
        <v>40</v>
      </c>
    </row>
    <row r="46" spans="1:8" x14ac:dyDescent="0.2">
      <c r="A46" s="3">
        <v>3080107160</v>
      </c>
      <c r="B46" s="4" t="s">
        <v>69</v>
      </c>
      <c r="C46" s="4" t="s">
        <v>432</v>
      </c>
      <c r="D46" s="3">
        <v>4</v>
      </c>
      <c r="E46" s="3" t="s">
        <v>16</v>
      </c>
      <c r="F46" s="3" t="s">
        <v>293</v>
      </c>
      <c r="G46" s="3" t="s">
        <v>29</v>
      </c>
      <c r="H46" s="3" t="s">
        <v>40</v>
      </c>
    </row>
    <row r="47" spans="1:8" x14ac:dyDescent="0.2">
      <c r="A47" s="3">
        <v>3080107308</v>
      </c>
      <c r="B47" s="4" t="s">
        <v>69</v>
      </c>
      <c r="C47" s="4" t="s">
        <v>433</v>
      </c>
      <c r="D47" s="3">
        <v>2</v>
      </c>
      <c r="E47" s="3" t="s">
        <v>16</v>
      </c>
      <c r="F47" s="3" t="s">
        <v>291</v>
      </c>
      <c r="G47" s="3" t="s">
        <v>26</v>
      </c>
      <c r="H47" s="3" t="s">
        <v>40</v>
      </c>
    </row>
    <row r="48" spans="1:8" x14ac:dyDescent="0.2">
      <c r="A48" s="3">
        <v>3080107305</v>
      </c>
      <c r="B48" s="4" t="s">
        <v>69</v>
      </c>
      <c r="C48" s="4" t="s">
        <v>434</v>
      </c>
      <c r="D48" s="3">
        <v>2</v>
      </c>
      <c r="E48" s="3" t="s">
        <v>16</v>
      </c>
      <c r="F48" s="3" t="s">
        <v>291</v>
      </c>
      <c r="G48" s="3" t="s">
        <v>26</v>
      </c>
      <c r="H48" s="3" t="s">
        <v>40</v>
      </c>
    </row>
    <row r="49" spans="1:8" x14ac:dyDescent="0.2">
      <c r="A49" s="3">
        <v>3080107072</v>
      </c>
      <c r="B49" s="4" t="s">
        <v>69</v>
      </c>
      <c r="C49" s="4" t="s">
        <v>435</v>
      </c>
      <c r="D49" s="3">
        <v>4</v>
      </c>
      <c r="E49" s="3" t="s">
        <v>16</v>
      </c>
      <c r="F49" s="3" t="s">
        <v>291</v>
      </c>
      <c r="G49" s="3" t="s">
        <v>26</v>
      </c>
      <c r="H49" s="3" t="s">
        <v>40</v>
      </c>
    </row>
    <row r="50" spans="1:8" x14ac:dyDescent="0.2">
      <c r="A50" s="3">
        <v>3080107076</v>
      </c>
      <c r="B50" s="4" t="s">
        <v>69</v>
      </c>
      <c r="C50" s="4" t="s">
        <v>1163</v>
      </c>
      <c r="D50" s="3">
        <v>2</v>
      </c>
      <c r="E50" s="3" t="s">
        <v>16</v>
      </c>
      <c r="F50" s="3" t="s">
        <v>291</v>
      </c>
      <c r="G50" s="3" t="s">
        <v>26</v>
      </c>
      <c r="H50" s="3" t="s">
        <v>40</v>
      </c>
    </row>
    <row r="51" spans="1:8" x14ac:dyDescent="0.2">
      <c r="A51" s="3">
        <v>3080108052</v>
      </c>
      <c r="B51" s="4" t="s">
        <v>77</v>
      </c>
      <c r="C51" s="4" t="s">
        <v>1164</v>
      </c>
      <c r="D51" s="3">
        <v>1</v>
      </c>
      <c r="E51" s="3" t="s">
        <v>16</v>
      </c>
      <c r="F51" s="3" t="s">
        <v>289</v>
      </c>
      <c r="G51" s="3" t="s">
        <v>23</v>
      </c>
      <c r="H51" s="3" t="s">
        <v>40</v>
      </c>
    </row>
    <row r="52" spans="1:8" x14ac:dyDescent="0.2">
      <c r="A52" s="3">
        <v>3080101008</v>
      </c>
      <c r="B52" s="4" t="s">
        <v>77</v>
      </c>
      <c r="C52" s="4" t="s">
        <v>1165</v>
      </c>
      <c r="D52" s="3">
        <v>4</v>
      </c>
      <c r="E52" s="3" t="s">
        <v>16</v>
      </c>
      <c r="F52" s="3" t="s">
        <v>289</v>
      </c>
      <c r="G52" s="3" t="s">
        <v>23</v>
      </c>
      <c r="H52" s="3" t="s">
        <v>40</v>
      </c>
    </row>
    <row r="53" spans="1:8" x14ac:dyDescent="0.2">
      <c r="A53" s="3">
        <v>3080108040</v>
      </c>
      <c r="B53" s="4" t="s">
        <v>77</v>
      </c>
      <c r="C53" s="4" t="s">
        <v>1166</v>
      </c>
      <c r="D53" s="3">
        <v>2</v>
      </c>
      <c r="E53" s="3" t="s">
        <v>16</v>
      </c>
      <c r="F53" s="3" t="s">
        <v>289</v>
      </c>
      <c r="G53" s="3" t="s">
        <v>23</v>
      </c>
      <c r="H53" s="3" t="s">
        <v>40</v>
      </c>
    </row>
    <row r="54" spans="1:8" x14ac:dyDescent="0.2">
      <c r="A54" s="3">
        <v>3080108025</v>
      </c>
      <c r="B54" s="4" t="s">
        <v>77</v>
      </c>
      <c r="C54" s="4" t="s">
        <v>437</v>
      </c>
      <c r="D54" s="3">
        <v>7</v>
      </c>
      <c r="E54" s="3" t="s">
        <v>16</v>
      </c>
      <c r="F54" s="3" t="s">
        <v>295</v>
      </c>
      <c r="G54" s="3" t="s">
        <v>17</v>
      </c>
      <c r="H54" s="3" t="s">
        <v>40</v>
      </c>
    </row>
    <row r="55" spans="1:8" x14ac:dyDescent="0.2">
      <c r="A55" s="3">
        <v>3080108025</v>
      </c>
      <c r="B55" s="4" t="s">
        <v>77</v>
      </c>
      <c r="C55" s="4" t="s">
        <v>437</v>
      </c>
      <c r="D55" s="3">
        <v>4</v>
      </c>
      <c r="E55" s="3" t="s">
        <v>16</v>
      </c>
      <c r="F55" s="3" t="s">
        <v>291</v>
      </c>
      <c r="G55" s="3" t="s">
        <v>26</v>
      </c>
      <c r="H55" s="3" t="s">
        <v>40</v>
      </c>
    </row>
    <row r="56" spans="1:8" x14ac:dyDescent="0.2">
      <c r="A56" s="3">
        <v>3080403001</v>
      </c>
      <c r="B56" s="4" t="s">
        <v>439</v>
      </c>
      <c r="C56" s="4" t="s">
        <v>440</v>
      </c>
      <c r="D56" s="3">
        <v>1</v>
      </c>
      <c r="E56" s="3" t="s">
        <v>16</v>
      </c>
      <c r="F56" s="3" t="s">
        <v>295</v>
      </c>
      <c r="G56" s="3" t="s">
        <v>17</v>
      </c>
      <c r="H56" s="3" t="s">
        <v>40</v>
      </c>
    </row>
    <row r="57" spans="1:8" x14ac:dyDescent="0.2">
      <c r="A57" s="3">
        <v>3080109002</v>
      </c>
      <c r="B57" s="4" t="s">
        <v>441</v>
      </c>
      <c r="C57" s="4" t="s">
        <v>442</v>
      </c>
      <c r="D57" s="3">
        <v>2</v>
      </c>
      <c r="E57" s="3" t="s">
        <v>16</v>
      </c>
      <c r="F57" s="3" t="s">
        <v>295</v>
      </c>
      <c r="G57" s="3" t="s">
        <v>17</v>
      </c>
      <c r="H57" s="3" t="s">
        <v>40</v>
      </c>
    </row>
    <row r="58" spans="1:8" x14ac:dyDescent="0.2">
      <c r="A58" s="3">
        <v>3080111012</v>
      </c>
      <c r="B58" s="4" t="s">
        <v>79</v>
      </c>
      <c r="C58" s="4" t="s">
        <v>443</v>
      </c>
      <c r="D58" s="3">
        <v>2</v>
      </c>
      <c r="E58" s="3" t="s">
        <v>16</v>
      </c>
      <c r="F58" s="3" t="s">
        <v>295</v>
      </c>
      <c r="G58" s="3" t="s">
        <v>17</v>
      </c>
      <c r="H58" s="3" t="s">
        <v>40</v>
      </c>
    </row>
    <row r="59" spans="1:8" x14ac:dyDescent="0.2">
      <c r="A59" s="3">
        <v>3080111006</v>
      </c>
      <c r="B59" s="4" t="s">
        <v>79</v>
      </c>
      <c r="C59" s="4" t="s">
        <v>444</v>
      </c>
      <c r="D59" s="3">
        <v>1</v>
      </c>
      <c r="E59" s="3" t="s">
        <v>16</v>
      </c>
      <c r="F59" s="3" t="s">
        <v>295</v>
      </c>
      <c r="G59" s="3" t="s">
        <v>17</v>
      </c>
      <c r="H59" s="3" t="s">
        <v>40</v>
      </c>
    </row>
    <row r="60" spans="1:8" x14ac:dyDescent="0.2">
      <c r="A60" s="3">
        <v>3080111004</v>
      </c>
      <c r="B60" s="4" t="s">
        <v>79</v>
      </c>
      <c r="C60" s="4" t="s">
        <v>445</v>
      </c>
      <c r="D60" s="3">
        <v>2</v>
      </c>
      <c r="E60" s="3" t="s">
        <v>16</v>
      </c>
      <c r="F60" s="3" t="s">
        <v>293</v>
      </c>
      <c r="G60" s="3" t="s">
        <v>29</v>
      </c>
      <c r="H60" s="3" t="s">
        <v>40</v>
      </c>
    </row>
    <row r="61" spans="1:8" x14ac:dyDescent="0.2">
      <c r="A61" s="3">
        <v>3080111086</v>
      </c>
      <c r="B61" s="4" t="s">
        <v>79</v>
      </c>
      <c r="C61" s="4" t="s">
        <v>1167</v>
      </c>
      <c r="D61" s="3">
        <v>16</v>
      </c>
      <c r="E61" s="3" t="s">
        <v>16</v>
      </c>
      <c r="F61" s="3" t="s">
        <v>291</v>
      </c>
      <c r="G61" s="3" t="s">
        <v>26</v>
      </c>
      <c r="H61" s="3" t="s">
        <v>40</v>
      </c>
    </row>
    <row r="62" spans="1:8" x14ac:dyDescent="0.2">
      <c r="A62" s="3">
        <v>3080111086</v>
      </c>
      <c r="B62" s="4" t="s">
        <v>79</v>
      </c>
      <c r="C62" s="4" t="s">
        <v>1167</v>
      </c>
      <c r="D62" s="3">
        <v>2</v>
      </c>
      <c r="E62" s="3" t="s">
        <v>16</v>
      </c>
      <c r="F62" s="3" t="s">
        <v>291</v>
      </c>
      <c r="G62" s="3" t="s">
        <v>26</v>
      </c>
      <c r="H62" s="3" t="s">
        <v>40</v>
      </c>
    </row>
    <row r="63" spans="1:8" x14ac:dyDescent="0.2">
      <c r="A63" s="3">
        <v>3080111015</v>
      </c>
      <c r="B63" s="4" t="s">
        <v>79</v>
      </c>
      <c r="C63" s="4" t="s">
        <v>446</v>
      </c>
      <c r="D63" s="3">
        <v>4</v>
      </c>
      <c r="E63" s="3" t="s">
        <v>16</v>
      </c>
      <c r="F63" s="3" t="s">
        <v>291</v>
      </c>
      <c r="G63" s="3" t="s">
        <v>26</v>
      </c>
      <c r="H63" s="3" t="s">
        <v>40</v>
      </c>
    </row>
    <row r="64" spans="1:8" x14ac:dyDescent="0.2">
      <c r="A64" s="3">
        <v>407030041</v>
      </c>
      <c r="B64" s="4" t="s">
        <v>81</v>
      </c>
      <c r="C64" s="4" t="s">
        <v>1168</v>
      </c>
      <c r="D64" s="3">
        <v>1</v>
      </c>
      <c r="E64" s="3" t="s">
        <v>16</v>
      </c>
      <c r="F64" s="3" t="s">
        <v>301</v>
      </c>
      <c r="G64" s="3" t="s">
        <v>32</v>
      </c>
      <c r="H64" s="3" t="s">
        <v>40</v>
      </c>
    </row>
    <row r="65" spans="1:8" x14ac:dyDescent="0.2">
      <c r="A65" s="3">
        <v>3099991201</v>
      </c>
      <c r="B65" s="4" t="s">
        <v>1280</v>
      </c>
      <c r="C65" s="4" t="s">
        <v>1281</v>
      </c>
      <c r="D65" s="3">
        <v>1</v>
      </c>
      <c r="E65" s="3" t="s">
        <v>16</v>
      </c>
      <c r="F65" s="3" t="s">
        <v>299</v>
      </c>
      <c r="G65" s="3" t="s">
        <v>106</v>
      </c>
      <c r="H65" s="3" t="s">
        <v>103</v>
      </c>
    </row>
    <row r="66" spans="1:8" x14ac:dyDescent="0.2">
      <c r="A66" s="3">
        <v>3099990103</v>
      </c>
      <c r="B66" s="4" t="s">
        <v>104</v>
      </c>
      <c r="C66" s="4" t="s">
        <v>1282</v>
      </c>
      <c r="D66" s="3">
        <v>1</v>
      </c>
      <c r="E66" s="3" t="s">
        <v>16</v>
      </c>
      <c r="F66" s="3" t="s">
        <v>299</v>
      </c>
      <c r="G66" s="3" t="s">
        <v>106</v>
      </c>
      <c r="H66" s="3" t="s">
        <v>103</v>
      </c>
    </row>
    <row r="67" spans="1:8" x14ac:dyDescent="0.2">
      <c r="A67" s="3">
        <v>402030026</v>
      </c>
      <c r="B67" s="4" t="s">
        <v>107</v>
      </c>
      <c r="C67" s="4" t="s">
        <v>1171</v>
      </c>
      <c r="D67" s="3">
        <v>1</v>
      </c>
      <c r="E67" s="3" t="s">
        <v>16</v>
      </c>
      <c r="F67" s="3" t="s">
        <v>289</v>
      </c>
      <c r="G67" s="3" t="s">
        <v>23</v>
      </c>
      <c r="H67" s="3" t="s">
        <v>109</v>
      </c>
    </row>
    <row r="68" spans="1:8" x14ac:dyDescent="0.2">
      <c r="A68" s="3">
        <v>402030027</v>
      </c>
      <c r="B68" s="4" t="s">
        <v>107</v>
      </c>
      <c r="C68" s="4" t="s">
        <v>110</v>
      </c>
      <c r="D68" s="3">
        <v>1</v>
      </c>
      <c r="E68" s="3" t="s">
        <v>16</v>
      </c>
      <c r="F68" s="3" t="s">
        <v>291</v>
      </c>
      <c r="G68" s="3" t="s">
        <v>26</v>
      </c>
      <c r="H68" s="3" t="s">
        <v>109</v>
      </c>
    </row>
    <row r="69" spans="1:8" x14ac:dyDescent="0.2">
      <c r="A69" s="3">
        <v>402020002</v>
      </c>
      <c r="B69" s="4" t="s">
        <v>111</v>
      </c>
      <c r="C69" s="4" t="s">
        <v>452</v>
      </c>
      <c r="D69" s="3">
        <v>2</v>
      </c>
      <c r="E69" s="3" t="s">
        <v>16</v>
      </c>
      <c r="F69" s="3" t="s">
        <v>293</v>
      </c>
      <c r="G69" s="3" t="s">
        <v>29</v>
      </c>
      <c r="H69" s="3" t="s">
        <v>109</v>
      </c>
    </row>
    <row r="70" spans="1:8" x14ac:dyDescent="0.2">
      <c r="A70" s="3">
        <v>3060209002</v>
      </c>
      <c r="B70" s="4" t="s">
        <v>113</v>
      </c>
      <c r="C70" s="4" t="s">
        <v>114</v>
      </c>
      <c r="D70" s="3">
        <v>2</v>
      </c>
      <c r="E70" s="3" t="s">
        <v>16</v>
      </c>
      <c r="F70" s="3" t="s">
        <v>289</v>
      </c>
      <c r="G70" s="3" t="s">
        <v>23</v>
      </c>
      <c r="H70" s="3" t="s">
        <v>115</v>
      </c>
    </row>
    <row r="71" spans="1:8" x14ac:dyDescent="0.2">
      <c r="A71" s="3">
        <v>3040216001</v>
      </c>
      <c r="B71" s="4" t="s">
        <v>328</v>
      </c>
      <c r="C71" s="4" t="s">
        <v>329</v>
      </c>
      <c r="D71" s="3">
        <v>4</v>
      </c>
      <c r="E71" s="3" t="s">
        <v>16</v>
      </c>
      <c r="F71" s="3" t="s">
        <v>293</v>
      </c>
      <c r="G71" s="3" t="s">
        <v>29</v>
      </c>
      <c r="H71" s="3" t="s">
        <v>115</v>
      </c>
    </row>
    <row r="72" spans="1:8" x14ac:dyDescent="0.2">
      <c r="A72" s="3">
        <v>3030204017</v>
      </c>
      <c r="B72" s="4" t="s">
        <v>453</v>
      </c>
      <c r="C72" s="4" t="s">
        <v>454</v>
      </c>
      <c r="D72" s="3">
        <v>1</v>
      </c>
      <c r="E72" s="3" t="s">
        <v>16</v>
      </c>
      <c r="F72" s="3" t="s">
        <v>295</v>
      </c>
      <c r="G72" s="3" t="s">
        <v>17</v>
      </c>
      <c r="H72" s="3" t="s">
        <v>115</v>
      </c>
    </row>
    <row r="73" spans="1:8" x14ac:dyDescent="0.2">
      <c r="A73" s="3">
        <v>3030204005</v>
      </c>
      <c r="B73" s="4" t="s">
        <v>455</v>
      </c>
      <c r="C73" s="4" t="s">
        <v>456</v>
      </c>
      <c r="D73" s="3">
        <v>1</v>
      </c>
      <c r="E73" s="3" t="s">
        <v>16</v>
      </c>
      <c r="F73" s="3" t="s">
        <v>295</v>
      </c>
      <c r="G73" s="3" t="s">
        <v>17</v>
      </c>
      <c r="H73" s="3" t="s">
        <v>115</v>
      </c>
    </row>
    <row r="74" spans="1:8" x14ac:dyDescent="0.2">
      <c r="A74" s="3">
        <v>3050203003</v>
      </c>
      <c r="B74" s="4" t="s">
        <v>120</v>
      </c>
      <c r="C74" s="4" t="s">
        <v>457</v>
      </c>
      <c r="D74" s="3">
        <v>2</v>
      </c>
      <c r="E74" s="3" t="s">
        <v>16</v>
      </c>
      <c r="F74" s="3" t="s">
        <v>291</v>
      </c>
      <c r="G74" s="3" t="s">
        <v>26</v>
      </c>
      <c r="H74" s="3" t="s">
        <v>115</v>
      </c>
    </row>
    <row r="75" spans="1:8" x14ac:dyDescent="0.2">
      <c r="A75" s="3">
        <v>3030204008</v>
      </c>
      <c r="B75" s="4" t="s">
        <v>122</v>
      </c>
      <c r="C75" s="4" t="s">
        <v>123</v>
      </c>
      <c r="D75" s="3">
        <v>1</v>
      </c>
      <c r="E75" s="3" t="s">
        <v>16</v>
      </c>
      <c r="F75" s="3" t="s">
        <v>291</v>
      </c>
      <c r="G75" s="3" t="s">
        <v>26</v>
      </c>
      <c r="H75" s="3" t="s">
        <v>115</v>
      </c>
    </row>
    <row r="76" spans="1:8" x14ac:dyDescent="0.2">
      <c r="A76" s="3">
        <v>3030206001</v>
      </c>
      <c r="B76" s="4" t="s">
        <v>458</v>
      </c>
      <c r="C76" s="4" t="s">
        <v>404</v>
      </c>
      <c r="D76" s="3">
        <v>1</v>
      </c>
      <c r="E76" s="3" t="s">
        <v>16</v>
      </c>
      <c r="F76" s="3" t="s">
        <v>295</v>
      </c>
      <c r="G76" s="3" t="s">
        <v>17</v>
      </c>
      <c r="H76" s="3" t="s">
        <v>132</v>
      </c>
    </row>
    <row r="77" spans="1:8" x14ac:dyDescent="0.2">
      <c r="A77" s="3">
        <v>3040502053</v>
      </c>
      <c r="B77" s="4" t="s">
        <v>136</v>
      </c>
      <c r="C77" s="4" t="s">
        <v>1117</v>
      </c>
      <c r="D77" s="3">
        <v>1</v>
      </c>
      <c r="E77" s="3" t="s">
        <v>16</v>
      </c>
      <c r="F77" s="3" t="s">
        <v>293</v>
      </c>
      <c r="G77" s="3" t="s">
        <v>29</v>
      </c>
      <c r="H77" s="3" t="s">
        <v>138</v>
      </c>
    </row>
    <row r="78" spans="1:8" x14ac:dyDescent="0.2">
      <c r="A78" s="3">
        <v>3040502052</v>
      </c>
      <c r="B78" s="4" t="s">
        <v>136</v>
      </c>
      <c r="C78" s="4" t="s">
        <v>1118</v>
      </c>
      <c r="D78" s="3">
        <v>1</v>
      </c>
      <c r="E78" s="3" t="s">
        <v>16</v>
      </c>
      <c r="F78" s="3" t="s">
        <v>293</v>
      </c>
      <c r="G78" s="3" t="s">
        <v>29</v>
      </c>
      <c r="H78" s="3" t="s">
        <v>138</v>
      </c>
    </row>
    <row r="79" spans="1:8" x14ac:dyDescent="0.2">
      <c r="A79" s="3">
        <v>3110207001</v>
      </c>
      <c r="B79" s="4" t="s">
        <v>140</v>
      </c>
      <c r="C79" s="4" t="s">
        <v>1173</v>
      </c>
      <c r="D79" s="3">
        <v>1</v>
      </c>
      <c r="E79" s="3" t="s">
        <v>16</v>
      </c>
      <c r="F79" s="3" t="s">
        <v>285</v>
      </c>
      <c r="G79" s="3" t="s">
        <v>142</v>
      </c>
      <c r="H79" s="3" t="s">
        <v>143</v>
      </c>
    </row>
    <row r="80" spans="1:8" x14ac:dyDescent="0.2">
      <c r="A80" s="3">
        <v>3030301007</v>
      </c>
      <c r="B80" s="4" t="s">
        <v>144</v>
      </c>
      <c r="C80" s="4" t="s">
        <v>1174</v>
      </c>
      <c r="D80" s="3">
        <v>2</v>
      </c>
      <c r="E80" s="3" t="s">
        <v>16</v>
      </c>
      <c r="F80" s="3" t="s">
        <v>291</v>
      </c>
      <c r="G80" s="3" t="s">
        <v>26</v>
      </c>
      <c r="H80" s="3" t="s">
        <v>143</v>
      </c>
    </row>
    <row r="81" spans="1:8" x14ac:dyDescent="0.2">
      <c r="A81" s="3">
        <v>3110206001</v>
      </c>
      <c r="B81" s="4" t="s">
        <v>715</v>
      </c>
      <c r="C81" s="4" t="s">
        <v>1175</v>
      </c>
      <c r="D81" s="3">
        <v>1</v>
      </c>
      <c r="E81" s="3" t="s">
        <v>16</v>
      </c>
      <c r="F81" s="3" t="s">
        <v>285</v>
      </c>
      <c r="G81" s="3" t="s">
        <v>142</v>
      </c>
      <c r="H81" s="3" t="s">
        <v>143</v>
      </c>
    </row>
    <row r="82" spans="1:8" x14ac:dyDescent="0.2">
      <c r="A82" s="3">
        <v>3990205004</v>
      </c>
      <c r="B82" s="4" t="s">
        <v>146</v>
      </c>
      <c r="C82" s="4" t="s">
        <v>1283</v>
      </c>
      <c r="D82" s="3">
        <v>1</v>
      </c>
      <c r="E82" s="3" t="s">
        <v>16</v>
      </c>
      <c r="F82" s="3" t="s">
        <v>287</v>
      </c>
      <c r="G82" s="3" t="s">
        <v>148</v>
      </c>
      <c r="H82" s="3" t="s">
        <v>143</v>
      </c>
    </row>
    <row r="83" spans="1:8" x14ac:dyDescent="0.2">
      <c r="A83" s="3">
        <v>408990161</v>
      </c>
      <c r="B83" s="4" t="s">
        <v>1284</v>
      </c>
      <c r="C83" s="4" t="s">
        <v>1285</v>
      </c>
      <c r="D83" s="3">
        <v>1</v>
      </c>
      <c r="E83" s="3" t="s">
        <v>16</v>
      </c>
      <c r="F83" s="3" t="s">
        <v>291</v>
      </c>
      <c r="G83" s="3" t="s">
        <v>26</v>
      </c>
      <c r="H83" s="3" t="s">
        <v>151</v>
      </c>
    </row>
    <row r="84" spans="1:8" x14ac:dyDescent="0.2">
      <c r="A84" s="3">
        <v>408090008</v>
      </c>
      <c r="B84" s="4" t="s">
        <v>461</v>
      </c>
      <c r="C84" s="4" t="s">
        <v>462</v>
      </c>
      <c r="D84" s="3">
        <v>1</v>
      </c>
      <c r="E84" s="3" t="s">
        <v>16</v>
      </c>
      <c r="F84" s="3" t="s">
        <v>293</v>
      </c>
      <c r="G84" s="3" t="s">
        <v>29</v>
      </c>
      <c r="H84" s="3" t="s">
        <v>151</v>
      </c>
    </row>
    <row r="85" spans="1:8" x14ac:dyDescent="0.2">
      <c r="A85" s="3">
        <v>408090007</v>
      </c>
      <c r="B85" s="4" t="s">
        <v>463</v>
      </c>
      <c r="C85" s="4" t="s">
        <v>464</v>
      </c>
      <c r="D85" s="3">
        <v>1</v>
      </c>
      <c r="E85" s="3" t="s">
        <v>16</v>
      </c>
      <c r="F85" s="3" t="s">
        <v>293</v>
      </c>
      <c r="G85" s="3" t="s">
        <v>29</v>
      </c>
      <c r="H85" s="3" t="s">
        <v>151</v>
      </c>
    </row>
    <row r="86" spans="1:8" x14ac:dyDescent="0.2">
      <c r="A86" s="3">
        <v>408030019</v>
      </c>
      <c r="B86" s="4" t="s">
        <v>1286</v>
      </c>
      <c r="C86" s="4" t="s">
        <v>1287</v>
      </c>
      <c r="D86" s="3">
        <v>1</v>
      </c>
      <c r="E86" s="3" t="s">
        <v>16</v>
      </c>
      <c r="F86" s="3" t="s">
        <v>291</v>
      </c>
      <c r="G86" s="3" t="s">
        <v>26</v>
      </c>
      <c r="H86" s="3" t="s">
        <v>151</v>
      </c>
    </row>
    <row r="87" spans="1:8" x14ac:dyDescent="0.2">
      <c r="A87" s="3">
        <v>408040029</v>
      </c>
      <c r="B87" s="4" t="s">
        <v>1288</v>
      </c>
      <c r="C87" s="4" t="s">
        <v>1287</v>
      </c>
      <c r="D87" s="3">
        <v>1</v>
      </c>
      <c r="E87" s="3" t="s">
        <v>16</v>
      </c>
      <c r="F87" s="3" t="s">
        <v>291</v>
      </c>
      <c r="G87" s="3" t="s">
        <v>26</v>
      </c>
      <c r="H87" s="3" t="s">
        <v>151</v>
      </c>
    </row>
    <row r="88" spans="1:8" x14ac:dyDescent="0.2">
      <c r="A88" s="3">
        <v>407010084</v>
      </c>
      <c r="B88" s="4" t="s">
        <v>149</v>
      </c>
      <c r="C88" s="4" t="s">
        <v>1289</v>
      </c>
      <c r="D88" s="3">
        <v>1</v>
      </c>
      <c r="E88" s="3" t="s">
        <v>16</v>
      </c>
      <c r="F88" s="3" t="s">
        <v>289</v>
      </c>
      <c r="G88" s="3" t="s">
        <v>23</v>
      </c>
      <c r="H88" s="3" t="s">
        <v>151</v>
      </c>
    </row>
    <row r="89" spans="1:8" x14ac:dyDescent="0.2">
      <c r="A89" s="3">
        <v>3060204002</v>
      </c>
      <c r="B89" s="4" t="s">
        <v>1176</v>
      </c>
      <c r="C89" s="4" t="s">
        <v>1177</v>
      </c>
      <c r="D89" s="3">
        <v>1</v>
      </c>
      <c r="E89" s="3" t="s">
        <v>16</v>
      </c>
      <c r="F89" s="3" t="s">
        <v>289</v>
      </c>
      <c r="G89" s="3" t="s">
        <v>23</v>
      </c>
      <c r="H89" s="3" t="s">
        <v>154</v>
      </c>
    </row>
    <row r="90" spans="1:8" x14ac:dyDescent="0.2">
      <c r="A90" s="3">
        <v>3060206002</v>
      </c>
      <c r="B90" s="4" t="s">
        <v>1178</v>
      </c>
      <c r="C90" s="4" t="s">
        <v>1179</v>
      </c>
      <c r="D90" s="3">
        <v>1</v>
      </c>
      <c r="E90" s="3" t="s">
        <v>16</v>
      </c>
      <c r="F90" s="3" t="s">
        <v>289</v>
      </c>
      <c r="G90" s="3" t="s">
        <v>23</v>
      </c>
      <c r="H90" s="3" t="s">
        <v>154</v>
      </c>
    </row>
    <row r="91" spans="1:8" x14ac:dyDescent="0.2">
      <c r="A91" s="3">
        <v>3060211003</v>
      </c>
      <c r="B91" s="4" t="s">
        <v>1180</v>
      </c>
      <c r="C91" s="4" t="s">
        <v>1181</v>
      </c>
      <c r="D91" s="3">
        <v>1</v>
      </c>
      <c r="E91" s="3" t="s">
        <v>16</v>
      </c>
      <c r="F91" s="3" t="s">
        <v>289</v>
      </c>
      <c r="G91" s="3" t="s">
        <v>23</v>
      </c>
      <c r="H91" s="3" t="s">
        <v>154</v>
      </c>
    </row>
    <row r="92" spans="1:8" x14ac:dyDescent="0.2">
      <c r="A92" s="3">
        <v>3060328001</v>
      </c>
      <c r="B92" s="4" t="s">
        <v>1182</v>
      </c>
      <c r="C92" s="4" t="s">
        <v>1183</v>
      </c>
      <c r="D92" s="3">
        <v>1</v>
      </c>
      <c r="E92" s="3" t="s">
        <v>16</v>
      </c>
      <c r="F92" s="3" t="s">
        <v>289</v>
      </c>
      <c r="G92" s="3" t="s">
        <v>23</v>
      </c>
      <c r="H92" s="3" t="s">
        <v>165</v>
      </c>
    </row>
    <row r="93" spans="1:8" x14ac:dyDescent="0.2">
      <c r="A93" s="3">
        <v>3060328002</v>
      </c>
      <c r="B93" s="4" t="s">
        <v>1182</v>
      </c>
      <c r="C93" s="4" t="s">
        <v>1184</v>
      </c>
      <c r="D93" s="3">
        <v>1</v>
      </c>
      <c r="E93" s="3" t="s">
        <v>16</v>
      </c>
      <c r="F93" s="3" t="s">
        <v>289</v>
      </c>
      <c r="G93" s="3" t="s">
        <v>23</v>
      </c>
      <c r="H93" s="3" t="s">
        <v>165</v>
      </c>
    </row>
    <row r="94" spans="1:8" x14ac:dyDescent="0.2">
      <c r="A94" s="3">
        <v>3030301010</v>
      </c>
      <c r="B94" s="4" t="s">
        <v>468</v>
      </c>
      <c r="C94" s="4" t="s">
        <v>469</v>
      </c>
      <c r="D94" s="3">
        <v>4</v>
      </c>
      <c r="E94" s="3" t="s">
        <v>16</v>
      </c>
      <c r="F94" s="3" t="s">
        <v>295</v>
      </c>
      <c r="G94" s="3" t="s">
        <v>17</v>
      </c>
      <c r="H94" s="3" t="s">
        <v>165</v>
      </c>
    </row>
    <row r="95" spans="1:8" x14ac:dyDescent="0.2">
      <c r="A95" s="3">
        <v>3060347005</v>
      </c>
      <c r="B95" s="4" t="s">
        <v>470</v>
      </c>
      <c r="C95" s="4" t="s">
        <v>471</v>
      </c>
      <c r="D95" s="3">
        <v>1</v>
      </c>
      <c r="E95" s="3" t="s">
        <v>16</v>
      </c>
      <c r="F95" s="3" t="s">
        <v>291</v>
      </c>
      <c r="G95" s="3" t="s">
        <v>26</v>
      </c>
      <c r="H95" s="3" t="s">
        <v>165</v>
      </c>
    </row>
    <row r="96" spans="1:8" x14ac:dyDescent="0.2">
      <c r="A96" s="3">
        <v>3060347006</v>
      </c>
      <c r="B96" s="4" t="s">
        <v>470</v>
      </c>
      <c r="C96" s="4" t="s">
        <v>472</v>
      </c>
      <c r="D96" s="3">
        <v>1</v>
      </c>
      <c r="E96" s="3" t="s">
        <v>16</v>
      </c>
      <c r="F96" s="3" t="s">
        <v>291</v>
      </c>
      <c r="G96" s="3" t="s">
        <v>26</v>
      </c>
      <c r="H96" s="3" t="s">
        <v>165</v>
      </c>
    </row>
    <row r="97" spans="1:8" x14ac:dyDescent="0.2">
      <c r="A97" s="3">
        <v>3060324004</v>
      </c>
      <c r="B97" s="4" t="s">
        <v>1185</v>
      </c>
      <c r="C97" s="4" t="s">
        <v>1186</v>
      </c>
      <c r="D97" s="3">
        <v>1</v>
      </c>
      <c r="E97" s="3" t="s">
        <v>16</v>
      </c>
      <c r="F97" s="3" t="s">
        <v>289</v>
      </c>
      <c r="G97" s="3" t="s">
        <v>23</v>
      </c>
      <c r="H97" s="3" t="s">
        <v>165</v>
      </c>
    </row>
    <row r="98" spans="1:8" x14ac:dyDescent="0.2">
      <c r="A98" s="3">
        <v>3060404052</v>
      </c>
      <c r="B98" s="4" t="s">
        <v>729</v>
      </c>
      <c r="C98" s="4" t="s">
        <v>1187</v>
      </c>
      <c r="D98" s="3">
        <v>1</v>
      </c>
      <c r="E98" s="3" t="s">
        <v>16</v>
      </c>
      <c r="F98" s="3" t="s">
        <v>289</v>
      </c>
      <c r="G98" s="3" t="s">
        <v>23</v>
      </c>
      <c r="H98" s="3" t="s">
        <v>165</v>
      </c>
    </row>
    <row r="99" spans="1:8" x14ac:dyDescent="0.2">
      <c r="A99" s="3">
        <v>3060313004</v>
      </c>
      <c r="B99" s="4" t="s">
        <v>1188</v>
      </c>
      <c r="C99" s="4" t="s">
        <v>1189</v>
      </c>
      <c r="D99" s="3">
        <v>1</v>
      </c>
      <c r="E99" s="3" t="s">
        <v>16</v>
      </c>
      <c r="F99" s="3" t="s">
        <v>289</v>
      </c>
      <c r="G99" s="3" t="s">
        <v>23</v>
      </c>
      <c r="H99" s="3" t="s">
        <v>165</v>
      </c>
    </row>
    <row r="100" spans="1:8" x14ac:dyDescent="0.2">
      <c r="A100" s="3">
        <v>3050305022</v>
      </c>
      <c r="B100" s="4" t="s">
        <v>527</v>
      </c>
      <c r="C100" s="4" t="s">
        <v>1190</v>
      </c>
      <c r="D100" s="3">
        <v>1</v>
      </c>
      <c r="E100" s="3" t="s">
        <v>16</v>
      </c>
      <c r="F100" s="3" t="s">
        <v>291</v>
      </c>
      <c r="G100" s="3" t="s">
        <v>26</v>
      </c>
      <c r="H100" s="3" t="s">
        <v>165</v>
      </c>
    </row>
    <row r="101" spans="1:8" x14ac:dyDescent="0.2">
      <c r="A101" s="3">
        <v>3050305021</v>
      </c>
      <c r="B101" s="4" t="s">
        <v>529</v>
      </c>
      <c r="C101" s="4" t="s">
        <v>1191</v>
      </c>
      <c r="D101" s="3">
        <v>1</v>
      </c>
      <c r="E101" s="3" t="s">
        <v>16</v>
      </c>
      <c r="F101" s="3" t="s">
        <v>291</v>
      </c>
      <c r="G101" s="3" t="s">
        <v>26</v>
      </c>
      <c r="H101" s="3" t="s">
        <v>165</v>
      </c>
    </row>
    <row r="102" spans="1:8" x14ac:dyDescent="0.2">
      <c r="A102" s="3">
        <v>3110103002</v>
      </c>
      <c r="B102" s="4" t="s">
        <v>473</v>
      </c>
      <c r="C102" s="4" t="s">
        <v>474</v>
      </c>
      <c r="D102" s="3">
        <v>1</v>
      </c>
      <c r="E102" s="3" t="s">
        <v>16</v>
      </c>
      <c r="F102" s="3" t="s">
        <v>291</v>
      </c>
      <c r="G102" s="3" t="s">
        <v>26</v>
      </c>
      <c r="H102" s="3" t="s">
        <v>165</v>
      </c>
    </row>
    <row r="103" spans="1:8" x14ac:dyDescent="0.2">
      <c r="A103" s="3">
        <v>3030316006</v>
      </c>
      <c r="B103" s="4" t="s">
        <v>475</v>
      </c>
      <c r="C103" s="4" t="s">
        <v>476</v>
      </c>
      <c r="D103" s="3">
        <v>1</v>
      </c>
      <c r="E103" s="3" t="s">
        <v>16</v>
      </c>
      <c r="F103" s="3" t="s">
        <v>295</v>
      </c>
      <c r="G103" s="3" t="s">
        <v>17</v>
      </c>
      <c r="H103" s="3" t="s">
        <v>165</v>
      </c>
    </row>
    <row r="104" spans="1:8" x14ac:dyDescent="0.2">
      <c r="A104" s="3">
        <v>3030314007</v>
      </c>
      <c r="B104" s="4" t="s">
        <v>477</v>
      </c>
      <c r="C104" s="4" t="s">
        <v>478</v>
      </c>
      <c r="D104" s="3">
        <v>1</v>
      </c>
      <c r="E104" s="3" t="s">
        <v>16</v>
      </c>
      <c r="F104" s="3" t="s">
        <v>291</v>
      </c>
      <c r="G104" s="3" t="s">
        <v>26</v>
      </c>
      <c r="H104" s="3" t="s">
        <v>165</v>
      </c>
    </row>
    <row r="105" spans="1:8" x14ac:dyDescent="0.2">
      <c r="A105" s="3">
        <v>3030308014</v>
      </c>
      <c r="B105" s="4" t="s">
        <v>479</v>
      </c>
      <c r="C105" s="4" t="s">
        <v>1192</v>
      </c>
      <c r="D105" s="3">
        <v>1</v>
      </c>
      <c r="E105" s="3" t="s">
        <v>16</v>
      </c>
      <c r="F105" s="3" t="s">
        <v>291</v>
      </c>
      <c r="G105" s="3" t="s">
        <v>26</v>
      </c>
      <c r="H105" s="3" t="s">
        <v>165</v>
      </c>
    </row>
    <row r="106" spans="1:8" x14ac:dyDescent="0.2">
      <c r="A106" s="3">
        <v>3050305023</v>
      </c>
      <c r="B106" s="4" t="s">
        <v>549</v>
      </c>
      <c r="C106" s="4" t="s">
        <v>1191</v>
      </c>
      <c r="D106" s="3">
        <v>1</v>
      </c>
      <c r="E106" s="3" t="s">
        <v>16</v>
      </c>
      <c r="F106" s="3" t="s">
        <v>291</v>
      </c>
      <c r="G106" s="3" t="s">
        <v>26</v>
      </c>
      <c r="H106" s="3" t="s">
        <v>165</v>
      </c>
    </row>
    <row r="107" spans="1:8" x14ac:dyDescent="0.2">
      <c r="A107" s="3">
        <v>3050401016</v>
      </c>
      <c r="B107" s="4" t="s">
        <v>222</v>
      </c>
      <c r="C107" s="4" t="s">
        <v>1193</v>
      </c>
      <c r="D107" s="3">
        <v>1</v>
      </c>
      <c r="E107" s="3" t="s">
        <v>16</v>
      </c>
      <c r="F107" s="3" t="s">
        <v>291</v>
      </c>
      <c r="G107" s="3" t="s">
        <v>26</v>
      </c>
      <c r="H107" s="3" t="s">
        <v>165</v>
      </c>
    </row>
    <row r="108" spans="1:8" x14ac:dyDescent="0.2">
      <c r="A108" s="3">
        <v>3050310030</v>
      </c>
      <c r="B108" s="4" t="s">
        <v>480</v>
      </c>
      <c r="C108" s="4" t="s">
        <v>469</v>
      </c>
      <c r="D108" s="3">
        <v>2</v>
      </c>
      <c r="E108" s="3" t="s">
        <v>16</v>
      </c>
      <c r="F108" s="3" t="s">
        <v>291</v>
      </c>
      <c r="G108" s="3" t="s">
        <v>26</v>
      </c>
      <c r="H108" s="3" t="s">
        <v>165</v>
      </c>
    </row>
    <row r="109" spans="1:8" x14ac:dyDescent="0.2">
      <c r="A109" s="3">
        <v>3060304006</v>
      </c>
      <c r="B109" s="4" t="s">
        <v>1194</v>
      </c>
      <c r="C109" s="4" t="s">
        <v>1195</v>
      </c>
      <c r="D109" s="3">
        <v>2</v>
      </c>
      <c r="E109" s="3" t="s">
        <v>16</v>
      </c>
      <c r="F109" s="3" t="s">
        <v>289</v>
      </c>
      <c r="G109" s="3" t="s">
        <v>23</v>
      </c>
      <c r="H109" s="3" t="s">
        <v>173</v>
      </c>
    </row>
    <row r="110" spans="1:8" x14ac:dyDescent="0.2">
      <c r="A110" s="3">
        <v>3060304005</v>
      </c>
      <c r="B110" s="4" t="s">
        <v>1194</v>
      </c>
      <c r="C110" s="4" t="s">
        <v>1196</v>
      </c>
      <c r="D110" s="3">
        <v>1</v>
      </c>
      <c r="E110" s="3" t="s">
        <v>16</v>
      </c>
      <c r="F110" s="3" t="s">
        <v>289</v>
      </c>
      <c r="G110" s="3" t="s">
        <v>23</v>
      </c>
      <c r="H110" s="3" t="s">
        <v>173</v>
      </c>
    </row>
    <row r="111" spans="1:8" x14ac:dyDescent="0.2">
      <c r="A111" s="3">
        <v>3050305013</v>
      </c>
      <c r="B111" s="4" t="s">
        <v>484</v>
      </c>
      <c r="C111" s="4" t="s">
        <v>485</v>
      </c>
      <c r="D111" s="3">
        <v>1</v>
      </c>
      <c r="E111" s="3" t="s">
        <v>16</v>
      </c>
      <c r="F111" s="3" t="s">
        <v>291</v>
      </c>
      <c r="G111" s="3" t="s">
        <v>26</v>
      </c>
      <c r="H111" s="3" t="s">
        <v>173</v>
      </c>
    </row>
    <row r="112" spans="1:8" x14ac:dyDescent="0.2">
      <c r="A112" s="3">
        <v>3040305001</v>
      </c>
      <c r="B112" s="4" t="s">
        <v>486</v>
      </c>
      <c r="C112" s="4" t="s">
        <v>1197</v>
      </c>
      <c r="D112" s="3">
        <v>2</v>
      </c>
      <c r="E112" s="3" t="s">
        <v>16</v>
      </c>
      <c r="F112" s="3" t="s">
        <v>293</v>
      </c>
      <c r="G112" s="3" t="s">
        <v>29</v>
      </c>
      <c r="H112" s="3" t="s">
        <v>173</v>
      </c>
    </row>
    <row r="113" spans="1:8" x14ac:dyDescent="0.2">
      <c r="A113" s="3">
        <v>3040313002</v>
      </c>
      <c r="B113" s="4" t="s">
        <v>488</v>
      </c>
      <c r="C113" s="4" t="s">
        <v>489</v>
      </c>
      <c r="D113" s="3">
        <v>8</v>
      </c>
      <c r="E113" s="3" t="s">
        <v>16</v>
      </c>
      <c r="F113" s="3" t="s">
        <v>293</v>
      </c>
      <c r="G113" s="3" t="s">
        <v>29</v>
      </c>
      <c r="H113" s="3" t="s">
        <v>173</v>
      </c>
    </row>
    <row r="114" spans="1:8" x14ac:dyDescent="0.2">
      <c r="A114" s="3">
        <v>3040321001</v>
      </c>
      <c r="B114" s="4" t="s">
        <v>490</v>
      </c>
      <c r="C114" s="4" t="s">
        <v>347</v>
      </c>
      <c r="D114" s="3">
        <v>8</v>
      </c>
      <c r="E114" s="3" t="s">
        <v>16</v>
      </c>
      <c r="F114" s="3" t="s">
        <v>293</v>
      </c>
      <c r="G114" s="3" t="s">
        <v>29</v>
      </c>
      <c r="H114" s="3" t="s">
        <v>173</v>
      </c>
    </row>
    <row r="115" spans="1:8" x14ac:dyDescent="0.2">
      <c r="A115" s="3">
        <v>3040309001</v>
      </c>
      <c r="B115" s="4" t="s">
        <v>346</v>
      </c>
      <c r="C115" s="4" t="s">
        <v>347</v>
      </c>
      <c r="D115" s="3">
        <v>4</v>
      </c>
      <c r="E115" s="3" t="s">
        <v>16</v>
      </c>
      <c r="F115" s="3" t="s">
        <v>293</v>
      </c>
      <c r="G115" s="3" t="s">
        <v>29</v>
      </c>
      <c r="H115" s="3" t="s">
        <v>173</v>
      </c>
    </row>
    <row r="116" spans="1:8" x14ac:dyDescent="0.2">
      <c r="A116" s="3">
        <v>3050304005</v>
      </c>
      <c r="B116" s="4" t="s">
        <v>181</v>
      </c>
      <c r="C116" s="4" t="s">
        <v>487</v>
      </c>
      <c r="D116" s="3">
        <v>1</v>
      </c>
      <c r="E116" s="3" t="s">
        <v>16</v>
      </c>
      <c r="F116" s="3" t="s">
        <v>291</v>
      </c>
      <c r="G116" s="3" t="s">
        <v>26</v>
      </c>
      <c r="H116" s="3" t="s">
        <v>173</v>
      </c>
    </row>
    <row r="117" spans="1:8" x14ac:dyDescent="0.2">
      <c r="A117" s="3">
        <v>3050305025</v>
      </c>
      <c r="B117" s="4" t="s">
        <v>1290</v>
      </c>
      <c r="C117" s="4" t="s">
        <v>1197</v>
      </c>
      <c r="D117" s="3">
        <v>2</v>
      </c>
      <c r="E117" s="3" t="s">
        <v>16</v>
      </c>
      <c r="F117" s="3" t="s">
        <v>291</v>
      </c>
      <c r="G117" s="3" t="s">
        <v>26</v>
      </c>
      <c r="H117" s="3" t="s">
        <v>173</v>
      </c>
    </row>
    <row r="118" spans="1:8" x14ac:dyDescent="0.2">
      <c r="A118" s="3">
        <v>3020501004</v>
      </c>
      <c r="B118" s="4" t="s">
        <v>183</v>
      </c>
      <c r="C118" s="4" t="s">
        <v>761</v>
      </c>
      <c r="D118" s="3">
        <v>1</v>
      </c>
      <c r="E118" s="3" t="s">
        <v>16</v>
      </c>
      <c r="F118" s="3" t="s">
        <v>291</v>
      </c>
      <c r="G118" s="3" t="s">
        <v>26</v>
      </c>
      <c r="H118" s="3" t="s">
        <v>185</v>
      </c>
    </row>
    <row r="119" spans="1:8" x14ac:dyDescent="0.2">
      <c r="A119" s="3">
        <v>3030204003</v>
      </c>
      <c r="B119" s="4" t="s">
        <v>492</v>
      </c>
      <c r="C119" s="4" t="s">
        <v>493</v>
      </c>
      <c r="D119" s="3">
        <v>2</v>
      </c>
      <c r="E119" s="3" t="s">
        <v>16</v>
      </c>
      <c r="F119" s="3" t="s">
        <v>295</v>
      </c>
      <c r="G119" s="3" t="s">
        <v>17</v>
      </c>
      <c r="H119" s="3" t="s">
        <v>494</v>
      </c>
    </row>
    <row r="120" spans="1:8" x14ac:dyDescent="0.2">
      <c r="A120" s="3">
        <v>3110201001</v>
      </c>
      <c r="B120" s="4" t="s">
        <v>186</v>
      </c>
      <c r="C120" s="4" t="s">
        <v>1199</v>
      </c>
      <c r="D120" s="3">
        <v>1</v>
      </c>
      <c r="E120" s="3" t="s">
        <v>16</v>
      </c>
      <c r="F120" s="3" t="s">
        <v>295</v>
      </c>
      <c r="G120" s="3" t="s">
        <v>17</v>
      </c>
      <c r="H120" s="3" t="s">
        <v>187</v>
      </c>
    </row>
    <row r="121" spans="1:8" x14ac:dyDescent="0.2">
      <c r="A121" s="3">
        <v>3110202001</v>
      </c>
      <c r="B121" s="4" t="s">
        <v>188</v>
      </c>
      <c r="C121" s="4" t="s">
        <v>1199</v>
      </c>
      <c r="D121" s="3">
        <v>1</v>
      </c>
      <c r="E121" s="3" t="s">
        <v>16</v>
      </c>
      <c r="F121" s="3" t="s">
        <v>295</v>
      </c>
      <c r="G121" s="3" t="s">
        <v>17</v>
      </c>
      <c r="H121" s="3" t="s">
        <v>187</v>
      </c>
    </row>
    <row r="122" spans="1:8" x14ac:dyDescent="0.2">
      <c r="A122" s="3">
        <v>3110203001</v>
      </c>
      <c r="B122" s="4" t="s">
        <v>189</v>
      </c>
      <c r="C122" s="4" t="s">
        <v>1199</v>
      </c>
      <c r="D122" s="3">
        <v>1</v>
      </c>
      <c r="E122" s="3" t="s">
        <v>16</v>
      </c>
      <c r="F122" s="3" t="s">
        <v>295</v>
      </c>
      <c r="G122" s="3" t="s">
        <v>17</v>
      </c>
      <c r="H122" s="3" t="s">
        <v>187</v>
      </c>
    </row>
    <row r="123" spans="1:8" x14ac:dyDescent="0.2">
      <c r="A123" s="3">
        <v>3050405003</v>
      </c>
      <c r="B123" s="4" t="s">
        <v>496</v>
      </c>
      <c r="C123" s="4" t="s">
        <v>1200</v>
      </c>
      <c r="D123" s="3">
        <v>1</v>
      </c>
      <c r="E123" s="3" t="s">
        <v>16</v>
      </c>
      <c r="F123" s="3" t="s">
        <v>291</v>
      </c>
      <c r="G123" s="3" t="s">
        <v>26</v>
      </c>
      <c r="H123" s="3" t="s">
        <v>192</v>
      </c>
    </row>
    <row r="124" spans="1:8" x14ac:dyDescent="0.2">
      <c r="A124" s="3">
        <v>3030402006</v>
      </c>
      <c r="B124" s="4" t="s">
        <v>498</v>
      </c>
      <c r="C124" s="4" t="s">
        <v>1124</v>
      </c>
      <c r="D124" s="3">
        <v>1</v>
      </c>
      <c r="E124" s="3" t="s">
        <v>16</v>
      </c>
      <c r="F124" s="3" t="s">
        <v>295</v>
      </c>
      <c r="G124" s="3" t="s">
        <v>17</v>
      </c>
      <c r="H124" s="3" t="s">
        <v>192</v>
      </c>
    </row>
    <row r="125" spans="1:8" x14ac:dyDescent="0.2">
      <c r="A125" s="3">
        <v>3040402005</v>
      </c>
      <c r="B125" s="4" t="s">
        <v>500</v>
      </c>
      <c r="C125" s="4" t="s">
        <v>501</v>
      </c>
      <c r="D125" s="3">
        <v>1</v>
      </c>
      <c r="E125" s="3" t="s">
        <v>16</v>
      </c>
      <c r="F125" s="3" t="s">
        <v>293</v>
      </c>
      <c r="G125" s="3" t="s">
        <v>29</v>
      </c>
      <c r="H125" s="3" t="s">
        <v>192</v>
      </c>
    </row>
    <row r="126" spans="1:8" x14ac:dyDescent="0.2">
      <c r="A126" s="3">
        <v>3040402006</v>
      </c>
      <c r="B126" s="4" t="s">
        <v>500</v>
      </c>
      <c r="C126" s="4" t="s">
        <v>502</v>
      </c>
      <c r="D126" s="3">
        <v>1</v>
      </c>
      <c r="E126" s="3" t="s">
        <v>16</v>
      </c>
      <c r="F126" s="3" t="s">
        <v>293</v>
      </c>
      <c r="G126" s="3" t="s">
        <v>29</v>
      </c>
      <c r="H126" s="3" t="s">
        <v>192</v>
      </c>
    </row>
    <row r="127" spans="1:8" x14ac:dyDescent="0.2">
      <c r="A127" s="3">
        <v>404100037</v>
      </c>
      <c r="B127" s="4" t="s">
        <v>1201</v>
      </c>
      <c r="C127" s="4" t="s">
        <v>1202</v>
      </c>
      <c r="D127" s="3">
        <v>1</v>
      </c>
      <c r="E127" s="3" t="s">
        <v>16</v>
      </c>
      <c r="F127" s="3" t="s">
        <v>301</v>
      </c>
      <c r="G127" s="3" t="s">
        <v>32</v>
      </c>
      <c r="H127" s="3" t="s">
        <v>198</v>
      </c>
    </row>
    <row r="128" spans="1:8" x14ac:dyDescent="0.2">
      <c r="A128" s="3">
        <v>404100039</v>
      </c>
      <c r="B128" s="4" t="s">
        <v>196</v>
      </c>
      <c r="C128" s="4" t="s">
        <v>1203</v>
      </c>
      <c r="D128" s="3">
        <v>1</v>
      </c>
      <c r="E128" s="3" t="s">
        <v>16</v>
      </c>
      <c r="F128" s="3" t="s">
        <v>301</v>
      </c>
      <c r="G128" s="3" t="s">
        <v>32</v>
      </c>
      <c r="H128" s="3" t="s">
        <v>198</v>
      </c>
    </row>
    <row r="129" spans="1:8" x14ac:dyDescent="0.2">
      <c r="A129" s="3">
        <v>404110010</v>
      </c>
      <c r="B129" s="4" t="s">
        <v>504</v>
      </c>
      <c r="C129" s="4" t="s">
        <v>1291</v>
      </c>
      <c r="D129" s="3">
        <v>2</v>
      </c>
      <c r="E129" s="3" t="s">
        <v>16</v>
      </c>
      <c r="F129" s="3" t="s">
        <v>291</v>
      </c>
      <c r="G129" s="3" t="s">
        <v>26</v>
      </c>
      <c r="H129" s="3" t="s">
        <v>198</v>
      </c>
    </row>
    <row r="130" spans="1:8" x14ac:dyDescent="0.2">
      <c r="A130" s="3">
        <v>404110002</v>
      </c>
      <c r="B130" s="4" t="s">
        <v>504</v>
      </c>
      <c r="C130" s="4" t="s">
        <v>1204</v>
      </c>
      <c r="D130" s="3">
        <v>1</v>
      </c>
      <c r="E130" s="3" t="s">
        <v>16</v>
      </c>
      <c r="F130" s="3" t="s">
        <v>291</v>
      </c>
      <c r="G130" s="3" t="s">
        <v>26</v>
      </c>
      <c r="H130" s="3" t="s">
        <v>198</v>
      </c>
    </row>
    <row r="131" spans="1:8" x14ac:dyDescent="0.2">
      <c r="A131" s="3">
        <v>404100025</v>
      </c>
      <c r="B131" s="4" t="s">
        <v>1093</v>
      </c>
      <c r="C131" s="4" t="s">
        <v>1094</v>
      </c>
      <c r="D131" s="3">
        <v>1</v>
      </c>
      <c r="E131" s="3" t="s">
        <v>16</v>
      </c>
      <c r="F131" s="3" t="s">
        <v>301</v>
      </c>
      <c r="G131" s="3" t="s">
        <v>32</v>
      </c>
      <c r="H131" s="3" t="s">
        <v>198</v>
      </c>
    </row>
    <row r="132" spans="1:8" x14ac:dyDescent="0.2">
      <c r="A132" s="3">
        <v>403030054</v>
      </c>
      <c r="B132" s="4" t="s">
        <v>801</v>
      </c>
      <c r="C132" s="4" t="s">
        <v>1205</v>
      </c>
      <c r="D132" s="3">
        <v>1</v>
      </c>
      <c r="E132" s="3" t="s">
        <v>16</v>
      </c>
      <c r="F132" s="3" t="s">
        <v>301</v>
      </c>
      <c r="G132" s="3" t="s">
        <v>32</v>
      </c>
      <c r="H132" s="3" t="s">
        <v>198</v>
      </c>
    </row>
    <row r="133" spans="1:8" x14ac:dyDescent="0.2">
      <c r="A133" s="3">
        <v>403030012</v>
      </c>
      <c r="B133" s="4" t="s">
        <v>366</v>
      </c>
      <c r="C133" s="4" t="s">
        <v>507</v>
      </c>
      <c r="D133" s="3">
        <v>2</v>
      </c>
      <c r="E133" s="3" t="s">
        <v>16</v>
      </c>
      <c r="F133" s="3" t="s">
        <v>291</v>
      </c>
      <c r="G133" s="3" t="s">
        <v>26</v>
      </c>
      <c r="H133" s="3" t="s">
        <v>198</v>
      </c>
    </row>
    <row r="134" spans="1:8" x14ac:dyDescent="0.2">
      <c r="A134" s="3">
        <v>401070022</v>
      </c>
      <c r="B134" s="4" t="s">
        <v>35</v>
      </c>
      <c r="C134" s="4" t="s">
        <v>203</v>
      </c>
      <c r="D134" s="3">
        <v>1</v>
      </c>
      <c r="E134" s="3" t="s">
        <v>16</v>
      </c>
      <c r="F134" s="3" t="s">
        <v>301</v>
      </c>
      <c r="G134" s="3" t="s">
        <v>32</v>
      </c>
      <c r="H134" s="3" t="s">
        <v>198</v>
      </c>
    </row>
    <row r="135" spans="1:8" x14ac:dyDescent="0.2">
      <c r="A135" s="3">
        <v>401070018</v>
      </c>
      <c r="B135" s="4" t="s">
        <v>35</v>
      </c>
      <c r="C135" s="4" t="s">
        <v>202</v>
      </c>
      <c r="D135" s="3">
        <v>1</v>
      </c>
      <c r="E135" s="3" t="s">
        <v>16</v>
      </c>
      <c r="F135" s="3" t="s">
        <v>291</v>
      </c>
      <c r="G135" s="3" t="s">
        <v>26</v>
      </c>
      <c r="H135" s="3" t="s">
        <v>198</v>
      </c>
    </row>
    <row r="136" spans="1:8" x14ac:dyDescent="0.2">
      <c r="A136" s="3">
        <v>404100020</v>
      </c>
      <c r="B136" s="4" t="s">
        <v>205</v>
      </c>
      <c r="C136" s="4" t="s">
        <v>1292</v>
      </c>
      <c r="D136" s="3">
        <v>1</v>
      </c>
      <c r="E136" s="3" t="s">
        <v>16</v>
      </c>
      <c r="F136" s="3" t="s">
        <v>291</v>
      </c>
      <c r="G136" s="3" t="s">
        <v>26</v>
      </c>
      <c r="H136" s="3" t="s">
        <v>198</v>
      </c>
    </row>
    <row r="137" spans="1:8" x14ac:dyDescent="0.2">
      <c r="A137" s="3">
        <v>404100019</v>
      </c>
      <c r="B137" s="4" t="s">
        <v>207</v>
      </c>
      <c r="C137" s="4" t="s">
        <v>1293</v>
      </c>
      <c r="D137" s="3">
        <v>1</v>
      </c>
      <c r="E137" s="3" t="s">
        <v>16</v>
      </c>
      <c r="F137" s="3" t="s">
        <v>291</v>
      </c>
      <c r="G137" s="3" t="s">
        <v>26</v>
      </c>
      <c r="H137" s="3" t="s">
        <v>198</v>
      </c>
    </row>
    <row r="138" spans="1:8" x14ac:dyDescent="0.2">
      <c r="A138" s="3">
        <v>3069904001</v>
      </c>
      <c r="B138" s="4" t="s">
        <v>514</v>
      </c>
      <c r="C138" s="4" t="s">
        <v>355</v>
      </c>
      <c r="D138" s="3">
        <v>4</v>
      </c>
      <c r="E138" s="3" t="s">
        <v>16</v>
      </c>
      <c r="F138" s="3" t="s">
        <v>295</v>
      </c>
      <c r="G138" s="3" t="s">
        <v>17</v>
      </c>
      <c r="H138" s="3" t="s">
        <v>214</v>
      </c>
    </row>
    <row r="139" spans="1:8" x14ac:dyDescent="0.2">
      <c r="A139" s="3">
        <v>3030201003</v>
      </c>
      <c r="B139" s="4" t="s">
        <v>515</v>
      </c>
      <c r="C139" s="4" t="s">
        <v>516</v>
      </c>
      <c r="D139" s="3">
        <v>1</v>
      </c>
      <c r="E139" s="3" t="s">
        <v>16</v>
      </c>
      <c r="F139" s="3" t="s">
        <v>295</v>
      </c>
      <c r="G139" s="3" t="s">
        <v>17</v>
      </c>
      <c r="H139" s="3" t="s">
        <v>214</v>
      </c>
    </row>
    <row r="140" spans="1:8" x14ac:dyDescent="0.2">
      <c r="A140" s="3">
        <v>3049903001</v>
      </c>
      <c r="B140" s="4" t="s">
        <v>517</v>
      </c>
      <c r="C140" s="4" t="s">
        <v>355</v>
      </c>
      <c r="D140" s="3">
        <v>2</v>
      </c>
      <c r="E140" s="3" t="s">
        <v>16</v>
      </c>
      <c r="F140" s="3" t="s">
        <v>293</v>
      </c>
      <c r="G140" s="3" t="s">
        <v>29</v>
      </c>
      <c r="H140" s="3" t="s">
        <v>214</v>
      </c>
    </row>
    <row r="141" spans="1:8" x14ac:dyDescent="0.2">
      <c r="A141" s="3">
        <v>3049904001</v>
      </c>
      <c r="B141" s="4" t="s">
        <v>354</v>
      </c>
      <c r="C141" s="4" t="s">
        <v>355</v>
      </c>
      <c r="D141" s="3">
        <v>4</v>
      </c>
      <c r="E141" s="3" t="s">
        <v>16</v>
      </c>
      <c r="F141" s="3" t="s">
        <v>293</v>
      </c>
      <c r="G141" s="3" t="s">
        <v>29</v>
      </c>
      <c r="H141" s="3" t="s">
        <v>214</v>
      </c>
    </row>
    <row r="142" spans="1:8" x14ac:dyDescent="0.2">
      <c r="A142" s="3">
        <v>3049902001</v>
      </c>
      <c r="B142" s="4" t="s">
        <v>518</v>
      </c>
      <c r="C142" s="4" t="s">
        <v>355</v>
      </c>
      <c r="D142" s="3">
        <v>2</v>
      </c>
      <c r="E142" s="3" t="s">
        <v>16</v>
      </c>
      <c r="F142" s="3" t="s">
        <v>293</v>
      </c>
      <c r="G142" s="3" t="s">
        <v>29</v>
      </c>
      <c r="H142" s="3" t="s">
        <v>214</v>
      </c>
    </row>
    <row r="143" spans="1:8" x14ac:dyDescent="0.2">
      <c r="A143" s="3">
        <v>3050204001</v>
      </c>
      <c r="B143" s="4" t="s">
        <v>519</v>
      </c>
      <c r="C143" s="4" t="s">
        <v>355</v>
      </c>
      <c r="D143" s="3">
        <v>2</v>
      </c>
      <c r="E143" s="3" t="s">
        <v>16</v>
      </c>
      <c r="F143" s="3" t="s">
        <v>291</v>
      </c>
      <c r="G143" s="3" t="s">
        <v>26</v>
      </c>
      <c r="H143" s="3" t="s">
        <v>214</v>
      </c>
    </row>
    <row r="144" spans="1:8" x14ac:dyDescent="0.2">
      <c r="A144" s="3">
        <v>3050204002</v>
      </c>
      <c r="B144" s="4" t="s">
        <v>520</v>
      </c>
      <c r="C144" s="4" t="s">
        <v>355</v>
      </c>
      <c r="D144" s="3">
        <v>2</v>
      </c>
      <c r="E144" s="3" t="s">
        <v>16</v>
      </c>
      <c r="F144" s="3" t="s">
        <v>291</v>
      </c>
      <c r="G144" s="3" t="s">
        <v>26</v>
      </c>
      <c r="H144" s="3" t="s">
        <v>214</v>
      </c>
    </row>
    <row r="145" spans="1:8" x14ac:dyDescent="0.2">
      <c r="A145" s="3">
        <v>3060403034</v>
      </c>
      <c r="B145" s="4" t="s">
        <v>190</v>
      </c>
      <c r="C145" s="4" t="s">
        <v>521</v>
      </c>
      <c r="D145" s="3">
        <v>1</v>
      </c>
      <c r="E145" s="3" t="s">
        <v>16</v>
      </c>
      <c r="F145" s="3" t="s">
        <v>295</v>
      </c>
      <c r="G145" s="3" t="s">
        <v>17</v>
      </c>
      <c r="H145" s="3" t="s">
        <v>221</v>
      </c>
    </row>
    <row r="146" spans="1:8" x14ac:dyDescent="0.2">
      <c r="A146" s="3">
        <v>403030051</v>
      </c>
      <c r="B146" s="4" t="s">
        <v>366</v>
      </c>
      <c r="C146" s="4" t="s">
        <v>367</v>
      </c>
      <c r="D146" s="3">
        <v>3</v>
      </c>
      <c r="E146" s="3" t="s">
        <v>16</v>
      </c>
      <c r="F146" s="3" t="s">
        <v>301</v>
      </c>
      <c r="G146" s="3" t="s">
        <v>32</v>
      </c>
      <c r="H146" s="3" t="s">
        <v>221</v>
      </c>
    </row>
    <row r="147" spans="1:8" x14ac:dyDescent="0.2">
      <c r="A147" s="3">
        <v>403030005</v>
      </c>
      <c r="B147" s="4" t="s">
        <v>366</v>
      </c>
      <c r="C147" s="4" t="s">
        <v>368</v>
      </c>
      <c r="D147" s="3">
        <v>2</v>
      </c>
      <c r="E147" s="3" t="s">
        <v>16</v>
      </c>
      <c r="F147" s="3" t="s">
        <v>301</v>
      </c>
      <c r="G147" s="3" t="s">
        <v>32</v>
      </c>
      <c r="H147" s="3" t="s">
        <v>221</v>
      </c>
    </row>
    <row r="148" spans="1:8" x14ac:dyDescent="0.2">
      <c r="A148" s="3">
        <v>408120041</v>
      </c>
      <c r="B148" s="4" t="s">
        <v>525</v>
      </c>
      <c r="C148" s="4" t="s">
        <v>1208</v>
      </c>
      <c r="D148" s="3">
        <v>2</v>
      </c>
      <c r="E148" s="3" t="s">
        <v>16</v>
      </c>
      <c r="F148" s="3" t="s">
        <v>289</v>
      </c>
      <c r="G148" s="3" t="s">
        <v>23</v>
      </c>
      <c r="H148" s="3" t="s">
        <v>524</v>
      </c>
    </row>
    <row r="149" spans="1:8" x14ac:dyDescent="0.2">
      <c r="A149" s="3">
        <v>408120039</v>
      </c>
      <c r="B149" s="4" t="s">
        <v>525</v>
      </c>
      <c r="C149" s="4" t="s">
        <v>1209</v>
      </c>
      <c r="D149" s="3">
        <v>1</v>
      </c>
      <c r="E149" s="3" t="s">
        <v>16</v>
      </c>
      <c r="F149" s="3" t="s">
        <v>289</v>
      </c>
      <c r="G149" s="3" t="s">
        <v>23</v>
      </c>
      <c r="H149" s="3" t="s">
        <v>524</v>
      </c>
    </row>
    <row r="150" spans="1:8" x14ac:dyDescent="0.2">
      <c r="A150" s="3">
        <v>408120032</v>
      </c>
      <c r="B150" s="4" t="s">
        <v>525</v>
      </c>
      <c r="C150" s="4" t="s">
        <v>1210</v>
      </c>
      <c r="D150" s="3">
        <v>23</v>
      </c>
      <c r="E150" s="3" t="s">
        <v>16</v>
      </c>
      <c r="F150" s="3" t="s">
        <v>289</v>
      </c>
      <c r="G150" s="3" t="s">
        <v>23</v>
      </c>
      <c r="H150" s="3" t="s">
        <v>524</v>
      </c>
    </row>
    <row r="151" spans="1:8" x14ac:dyDescent="0.2">
      <c r="A151" s="3">
        <v>408120037</v>
      </c>
      <c r="B151" s="4" t="s">
        <v>525</v>
      </c>
      <c r="C151" s="4" t="s">
        <v>1211</v>
      </c>
      <c r="D151" s="3">
        <v>2</v>
      </c>
      <c r="E151" s="3" t="s">
        <v>16</v>
      </c>
      <c r="F151" s="3" t="s">
        <v>291</v>
      </c>
      <c r="G151" s="3" t="s">
        <v>26</v>
      </c>
      <c r="H151" s="3" t="s">
        <v>524</v>
      </c>
    </row>
    <row r="152" spans="1:8" x14ac:dyDescent="0.2">
      <c r="A152" s="3">
        <v>3060501010</v>
      </c>
      <c r="B152" s="4" t="s">
        <v>1213</v>
      </c>
      <c r="C152" s="4" t="s">
        <v>1214</v>
      </c>
      <c r="D152" s="3">
        <v>1</v>
      </c>
      <c r="E152" s="3" t="s">
        <v>16</v>
      </c>
      <c r="F152" s="3" t="s">
        <v>289</v>
      </c>
      <c r="G152" s="3" t="s">
        <v>23</v>
      </c>
      <c r="H152" s="3" t="s">
        <v>226</v>
      </c>
    </row>
    <row r="153" spans="1:8" x14ac:dyDescent="0.2">
      <c r="A153" s="3">
        <v>3060350003</v>
      </c>
      <c r="B153" s="4" t="s">
        <v>1215</v>
      </c>
      <c r="C153" s="4" t="s">
        <v>1216</v>
      </c>
      <c r="D153" s="3">
        <v>1</v>
      </c>
      <c r="E153" s="3" t="s">
        <v>16</v>
      </c>
      <c r="F153" s="3" t="s">
        <v>289</v>
      </c>
      <c r="G153" s="3" t="s">
        <v>23</v>
      </c>
      <c r="H153" s="3" t="s">
        <v>226</v>
      </c>
    </row>
    <row r="154" spans="1:8" x14ac:dyDescent="0.2">
      <c r="A154" s="3">
        <v>3060353007</v>
      </c>
      <c r="B154" s="4" t="s">
        <v>1217</v>
      </c>
      <c r="C154" s="4" t="s">
        <v>1218</v>
      </c>
      <c r="D154" s="3">
        <v>1</v>
      </c>
      <c r="E154" s="3" t="s">
        <v>16</v>
      </c>
      <c r="F154" s="3" t="s">
        <v>289</v>
      </c>
      <c r="G154" s="3" t="s">
        <v>23</v>
      </c>
      <c r="H154" s="3" t="s">
        <v>226</v>
      </c>
    </row>
    <row r="155" spans="1:8" x14ac:dyDescent="0.2">
      <c r="A155" s="3">
        <v>3060316001</v>
      </c>
      <c r="B155" s="4" t="s">
        <v>1219</v>
      </c>
      <c r="C155" s="4" t="s">
        <v>1220</v>
      </c>
      <c r="D155" s="3">
        <v>1</v>
      </c>
      <c r="E155" s="3" t="s">
        <v>16</v>
      </c>
      <c r="F155" s="3" t="s">
        <v>289</v>
      </c>
      <c r="G155" s="3" t="s">
        <v>23</v>
      </c>
      <c r="H155" s="3" t="s">
        <v>226</v>
      </c>
    </row>
    <row r="156" spans="1:8" x14ac:dyDescent="0.2">
      <c r="A156" s="3">
        <v>3030309016</v>
      </c>
      <c r="B156" s="4" t="s">
        <v>531</v>
      </c>
      <c r="C156" s="4" t="s">
        <v>1221</v>
      </c>
      <c r="D156" s="3">
        <v>1</v>
      </c>
      <c r="E156" s="3" t="s">
        <v>16</v>
      </c>
      <c r="F156" s="3" t="s">
        <v>291</v>
      </c>
      <c r="G156" s="3" t="s">
        <v>26</v>
      </c>
      <c r="H156" s="3" t="s">
        <v>226</v>
      </c>
    </row>
    <row r="157" spans="1:8" x14ac:dyDescent="0.2">
      <c r="A157" s="3">
        <v>3030302002</v>
      </c>
      <c r="B157" s="4" t="s">
        <v>533</v>
      </c>
      <c r="C157" s="4" t="s">
        <v>534</v>
      </c>
      <c r="D157" s="3">
        <v>1</v>
      </c>
      <c r="E157" s="3" t="s">
        <v>16</v>
      </c>
      <c r="F157" s="3" t="s">
        <v>295</v>
      </c>
      <c r="G157" s="3" t="s">
        <v>17</v>
      </c>
      <c r="H157" s="3" t="s">
        <v>226</v>
      </c>
    </row>
    <row r="158" spans="1:8" x14ac:dyDescent="0.2">
      <c r="A158" s="3">
        <v>3030306012</v>
      </c>
      <c r="B158" s="4" t="s">
        <v>535</v>
      </c>
      <c r="C158" s="4" t="s">
        <v>536</v>
      </c>
      <c r="D158" s="3">
        <v>1</v>
      </c>
      <c r="E158" s="3" t="s">
        <v>16</v>
      </c>
      <c r="F158" s="3" t="s">
        <v>295</v>
      </c>
      <c r="G158" s="3" t="s">
        <v>17</v>
      </c>
      <c r="H158" s="3" t="s">
        <v>226</v>
      </c>
    </row>
    <row r="159" spans="1:8" x14ac:dyDescent="0.2">
      <c r="A159" s="3">
        <v>3030306011</v>
      </c>
      <c r="B159" s="4" t="s">
        <v>537</v>
      </c>
      <c r="C159" s="4" t="s">
        <v>536</v>
      </c>
      <c r="D159" s="3">
        <v>1</v>
      </c>
      <c r="E159" s="3" t="s">
        <v>16</v>
      </c>
      <c r="F159" s="3" t="s">
        <v>295</v>
      </c>
      <c r="G159" s="3" t="s">
        <v>17</v>
      </c>
      <c r="H159" s="3" t="s">
        <v>226</v>
      </c>
    </row>
    <row r="160" spans="1:8" x14ac:dyDescent="0.2">
      <c r="A160" s="3">
        <v>3030303024</v>
      </c>
      <c r="B160" s="4" t="s">
        <v>175</v>
      </c>
      <c r="C160" s="4" t="s">
        <v>1222</v>
      </c>
      <c r="D160" s="3">
        <v>1</v>
      </c>
      <c r="E160" s="3" t="s">
        <v>16</v>
      </c>
      <c r="F160" s="3" t="s">
        <v>295</v>
      </c>
      <c r="G160" s="3" t="s">
        <v>17</v>
      </c>
      <c r="H160" s="3" t="s">
        <v>226</v>
      </c>
    </row>
    <row r="161" spans="1:8" x14ac:dyDescent="0.2">
      <c r="A161" s="3">
        <v>3030305002</v>
      </c>
      <c r="B161" s="4" t="s">
        <v>511</v>
      </c>
      <c r="C161" s="4" t="s">
        <v>1223</v>
      </c>
      <c r="D161" s="3">
        <v>1</v>
      </c>
      <c r="E161" s="3" t="s">
        <v>16</v>
      </c>
      <c r="F161" s="3" t="s">
        <v>295</v>
      </c>
      <c r="G161" s="3" t="s">
        <v>17</v>
      </c>
      <c r="H161" s="3" t="s">
        <v>226</v>
      </c>
    </row>
    <row r="162" spans="1:8" x14ac:dyDescent="0.2">
      <c r="A162" s="3">
        <v>3030305004</v>
      </c>
      <c r="B162" s="4" t="s">
        <v>513</v>
      </c>
      <c r="C162" s="4" t="s">
        <v>1223</v>
      </c>
      <c r="D162" s="3">
        <v>1</v>
      </c>
      <c r="E162" s="3" t="s">
        <v>16</v>
      </c>
      <c r="F162" s="3" t="s">
        <v>295</v>
      </c>
      <c r="G162" s="3" t="s">
        <v>17</v>
      </c>
      <c r="H162" s="3" t="s">
        <v>226</v>
      </c>
    </row>
    <row r="163" spans="1:8" x14ac:dyDescent="0.2">
      <c r="A163" s="3">
        <v>3030305005</v>
      </c>
      <c r="B163" s="4" t="s">
        <v>539</v>
      </c>
      <c r="C163" s="4" t="s">
        <v>1224</v>
      </c>
      <c r="D163" s="3">
        <v>1</v>
      </c>
      <c r="E163" s="3" t="s">
        <v>16</v>
      </c>
      <c r="F163" s="3" t="s">
        <v>295</v>
      </c>
      <c r="G163" s="3" t="s">
        <v>17</v>
      </c>
      <c r="H163" s="3" t="s">
        <v>226</v>
      </c>
    </row>
    <row r="164" spans="1:8" x14ac:dyDescent="0.2">
      <c r="A164" s="3">
        <v>3040312012</v>
      </c>
      <c r="B164" s="4" t="s">
        <v>263</v>
      </c>
      <c r="C164" s="4" t="s">
        <v>541</v>
      </c>
      <c r="D164" s="3">
        <v>2</v>
      </c>
      <c r="E164" s="3" t="s">
        <v>16</v>
      </c>
      <c r="F164" s="3" t="s">
        <v>293</v>
      </c>
      <c r="G164" s="3" t="s">
        <v>29</v>
      </c>
      <c r="H164" s="3" t="s">
        <v>226</v>
      </c>
    </row>
    <row r="165" spans="1:8" x14ac:dyDescent="0.2">
      <c r="A165" s="3">
        <v>3040320012</v>
      </c>
      <c r="B165" s="4" t="s">
        <v>269</v>
      </c>
      <c r="C165" s="4" t="s">
        <v>1225</v>
      </c>
      <c r="D165" s="3">
        <v>1</v>
      </c>
      <c r="E165" s="3" t="s">
        <v>16</v>
      </c>
      <c r="F165" s="3" t="s">
        <v>293</v>
      </c>
      <c r="G165" s="3" t="s">
        <v>29</v>
      </c>
      <c r="H165" s="3" t="s">
        <v>226</v>
      </c>
    </row>
    <row r="166" spans="1:8" x14ac:dyDescent="0.2">
      <c r="A166" s="3">
        <v>3040320013</v>
      </c>
      <c r="B166" s="4" t="s">
        <v>269</v>
      </c>
      <c r="C166" s="4" t="s">
        <v>1226</v>
      </c>
      <c r="D166" s="3">
        <v>1</v>
      </c>
      <c r="E166" s="3" t="s">
        <v>16</v>
      </c>
      <c r="F166" s="3" t="s">
        <v>293</v>
      </c>
      <c r="G166" s="3" t="s">
        <v>29</v>
      </c>
      <c r="H166" s="3" t="s">
        <v>226</v>
      </c>
    </row>
    <row r="167" spans="1:8" x14ac:dyDescent="0.2">
      <c r="A167" s="3">
        <v>3030313003</v>
      </c>
      <c r="B167" s="4" t="s">
        <v>217</v>
      </c>
      <c r="C167" s="4" t="s">
        <v>544</v>
      </c>
      <c r="D167" s="3">
        <v>8</v>
      </c>
      <c r="E167" s="3" t="s">
        <v>16</v>
      </c>
      <c r="F167" s="3" t="s">
        <v>291</v>
      </c>
      <c r="G167" s="3" t="s">
        <v>26</v>
      </c>
      <c r="H167" s="3" t="s">
        <v>226</v>
      </c>
    </row>
    <row r="168" spans="1:8" x14ac:dyDescent="0.2">
      <c r="A168" s="3">
        <v>3020199010</v>
      </c>
      <c r="B168" s="4" t="s">
        <v>239</v>
      </c>
      <c r="C168" s="4" t="s">
        <v>545</v>
      </c>
      <c r="D168" s="3">
        <v>5</v>
      </c>
      <c r="E168" s="3" t="s">
        <v>16</v>
      </c>
      <c r="F168" s="3" t="s">
        <v>301</v>
      </c>
      <c r="G168" s="3" t="s">
        <v>32</v>
      </c>
      <c r="H168" s="3" t="s">
        <v>226</v>
      </c>
    </row>
    <row r="169" spans="1:8" x14ac:dyDescent="0.2">
      <c r="A169" s="3">
        <v>3040326020</v>
      </c>
      <c r="B169" s="4" t="s">
        <v>546</v>
      </c>
      <c r="C169" s="4" t="s">
        <v>1227</v>
      </c>
      <c r="D169" s="3">
        <v>1</v>
      </c>
      <c r="E169" s="3" t="s">
        <v>16</v>
      </c>
      <c r="F169" s="3" t="s">
        <v>293</v>
      </c>
      <c r="G169" s="3" t="s">
        <v>29</v>
      </c>
      <c r="H169" s="3" t="s">
        <v>226</v>
      </c>
    </row>
    <row r="170" spans="1:8" x14ac:dyDescent="0.2">
      <c r="A170" s="3">
        <v>3040326019</v>
      </c>
      <c r="B170" s="4" t="s">
        <v>546</v>
      </c>
      <c r="C170" s="4" t="s">
        <v>1228</v>
      </c>
      <c r="D170" s="3">
        <v>1</v>
      </c>
      <c r="E170" s="3" t="s">
        <v>16</v>
      </c>
      <c r="F170" s="3" t="s">
        <v>293</v>
      </c>
      <c r="G170" s="3" t="s">
        <v>29</v>
      </c>
      <c r="H170" s="3" t="s">
        <v>226</v>
      </c>
    </row>
    <row r="171" spans="1:8" x14ac:dyDescent="0.2">
      <c r="A171" s="3">
        <v>3991601007</v>
      </c>
      <c r="B171" s="4" t="s">
        <v>585</v>
      </c>
      <c r="C171" s="4" t="s">
        <v>1229</v>
      </c>
      <c r="D171" s="3">
        <v>4</v>
      </c>
      <c r="E171" s="3" t="s">
        <v>16</v>
      </c>
      <c r="F171" s="3" t="s">
        <v>289</v>
      </c>
      <c r="G171" s="3" t="s">
        <v>23</v>
      </c>
      <c r="H171" s="3" t="s">
        <v>226</v>
      </c>
    </row>
    <row r="172" spans="1:8" x14ac:dyDescent="0.2">
      <c r="A172" s="3">
        <v>3991601009</v>
      </c>
      <c r="B172" s="4" t="s">
        <v>585</v>
      </c>
      <c r="C172" s="4" t="s">
        <v>1230</v>
      </c>
      <c r="D172" s="3">
        <v>2</v>
      </c>
      <c r="E172" s="3" t="s">
        <v>16</v>
      </c>
      <c r="F172" s="3" t="s">
        <v>289</v>
      </c>
      <c r="G172" s="3" t="s">
        <v>23</v>
      </c>
      <c r="H172" s="3" t="s">
        <v>226</v>
      </c>
    </row>
    <row r="173" spans="1:8" x14ac:dyDescent="0.2">
      <c r="A173" s="3">
        <v>3080401031</v>
      </c>
      <c r="B173" s="4" t="s">
        <v>41</v>
      </c>
      <c r="C173" s="4" t="s">
        <v>551</v>
      </c>
      <c r="D173" s="3">
        <v>1</v>
      </c>
      <c r="E173" s="3" t="s">
        <v>16</v>
      </c>
      <c r="F173" s="3" t="s">
        <v>291</v>
      </c>
      <c r="G173" s="3" t="s">
        <v>26</v>
      </c>
      <c r="H173" s="3" t="s">
        <v>249</v>
      </c>
    </row>
    <row r="174" spans="1:8" x14ac:dyDescent="0.2">
      <c r="A174" s="3">
        <v>3030211001</v>
      </c>
      <c r="B174" s="4" t="s">
        <v>552</v>
      </c>
      <c r="C174" s="4" t="s">
        <v>553</v>
      </c>
      <c r="D174" s="3">
        <v>1</v>
      </c>
      <c r="E174" s="3" t="s">
        <v>16</v>
      </c>
      <c r="F174" s="3" t="s">
        <v>295</v>
      </c>
      <c r="G174" s="3" t="s">
        <v>17</v>
      </c>
      <c r="H174" s="3" t="s">
        <v>249</v>
      </c>
    </row>
    <row r="175" spans="1:8" x14ac:dyDescent="0.2">
      <c r="A175" s="3">
        <v>3080309001</v>
      </c>
      <c r="B175" s="4" t="s">
        <v>554</v>
      </c>
      <c r="C175" s="4" t="s">
        <v>555</v>
      </c>
      <c r="D175" s="3">
        <v>1</v>
      </c>
      <c r="E175" s="3" t="s">
        <v>16</v>
      </c>
      <c r="F175" s="3" t="s">
        <v>295</v>
      </c>
      <c r="G175" s="3" t="s">
        <v>17</v>
      </c>
      <c r="H175" s="3" t="s">
        <v>249</v>
      </c>
    </row>
    <row r="176" spans="1:8" x14ac:dyDescent="0.2">
      <c r="A176" s="3">
        <v>3080107268</v>
      </c>
      <c r="B176" s="4" t="s">
        <v>69</v>
      </c>
      <c r="C176" s="4" t="s">
        <v>556</v>
      </c>
      <c r="D176" s="3">
        <v>2</v>
      </c>
      <c r="E176" s="3" t="s">
        <v>16</v>
      </c>
      <c r="F176" s="3" t="s">
        <v>291</v>
      </c>
      <c r="G176" s="3" t="s">
        <v>26</v>
      </c>
      <c r="H176" s="3" t="s">
        <v>249</v>
      </c>
    </row>
    <row r="177" spans="1:8" x14ac:dyDescent="0.2">
      <c r="A177" s="3">
        <v>3080107269</v>
      </c>
      <c r="B177" s="4" t="s">
        <v>69</v>
      </c>
      <c r="C177" s="4" t="s">
        <v>557</v>
      </c>
      <c r="D177" s="3">
        <v>2</v>
      </c>
      <c r="E177" s="3" t="s">
        <v>16</v>
      </c>
      <c r="F177" s="3" t="s">
        <v>291</v>
      </c>
      <c r="G177" s="3" t="s">
        <v>26</v>
      </c>
      <c r="H177" s="3" t="s">
        <v>249</v>
      </c>
    </row>
    <row r="178" spans="1:8" x14ac:dyDescent="0.2">
      <c r="A178" s="3">
        <v>3060333011</v>
      </c>
      <c r="B178" s="4" t="s">
        <v>227</v>
      </c>
      <c r="C178" s="4" t="s">
        <v>1231</v>
      </c>
      <c r="D178" s="3">
        <v>1</v>
      </c>
      <c r="E178" s="3" t="s">
        <v>16</v>
      </c>
      <c r="F178" s="3" t="s">
        <v>289</v>
      </c>
      <c r="G178" s="3" t="s">
        <v>23</v>
      </c>
      <c r="H178" s="3" t="s">
        <v>254</v>
      </c>
    </row>
    <row r="179" spans="1:8" x14ac:dyDescent="0.2">
      <c r="A179" s="3">
        <v>3060401003</v>
      </c>
      <c r="B179" s="4" t="s">
        <v>727</v>
      </c>
      <c r="C179" s="4" t="s">
        <v>1232</v>
      </c>
      <c r="D179" s="3">
        <v>1</v>
      </c>
      <c r="E179" s="3" t="s">
        <v>16</v>
      </c>
      <c r="F179" s="3" t="s">
        <v>289</v>
      </c>
      <c r="G179" s="3" t="s">
        <v>23</v>
      </c>
      <c r="H179" s="3" t="s">
        <v>254</v>
      </c>
    </row>
    <row r="180" spans="1:8" x14ac:dyDescent="0.2">
      <c r="A180" s="3">
        <v>3060335014</v>
      </c>
      <c r="B180" s="4" t="s">
        <v>233</v>
      </c>
      <c r="C180" s="4" t="s">
        <v>1233</v>
      </c>
      <c r="D180" s="3">
        <v>1</v>
      </c>
      <c r="E180" s="3" t="s">
        <v>16</v>
      </c>
      <c r="F180" s="3" t="s">
        <v>289</v>
      </c>
      <c r="G180" s="3" t="s">
        <v>23</v>
      </c>
      <c r="H180" s="3" t="s">
        <v>254</v>
      </c>
    </row>
    <row r="181" spans="1:8" x14ac:dyDescent="0.2">
      <c r="A181" s="3">
        <v>3030302001</v>
      </c>
      <c r="B181" s="4" t="s">
        <v>558</v>
      </c>
      <c r="C181" s="4" t="s">
        <v>534</v>
      </c>
      <c r="D181" s="3">
        <v>1</v>
      </c>
      <c r="E181" s="3" t="s">
        <v>16</v>
      </c>
      <c r="F181" s="3" t="s">
        <v>295</v>
      </c>
      <c r="G181" s="3" t="s">
        <v>17</v>
      </c>
      <c r="H181" s="3" t="s">
        <v>254</v>
      </c>
    </row>
    <row r="182" spans="1:8" x14ac:dyDescent="0.2">
      <c r="A182" s="3">
        <v>3030306031</v>
      </c>
      <c r="B182" s="4" t="s">
        <v>559</v>
      </c>
      <c r="C182" s="4" t="s">
        <v>560</v>
      </c>
      <c r="D182" s="3">
        <v>1</v>
      </c>
      <c r="E182" s="3" t="s">
        <v>16</v>
      </c>
      <c r="F182" s="3" t="s">
        <v>295</v>
      </c>
      <c r="G182" s="3" t="s">
        <v>17</v>
      </c>
      <c r="H182" s="3" t="s">
        <v>254</v>
      </c>
    </row>
    <row r="183" spans="1:8" x14ac:dyDescent="0.2">
      <c r="A183" s="3">
        <v>3080311001</v>
      </c>
      <c r="B183" s="4" t="s">
        <v>561</v>
      </c>
      <c r="C183" s="4" t="s">
        <v>1223</v>
      </c>
      <c r="D183" s="3">
        <v>1</v>
      </c>
      <c r="E183" s="3" t="s">
        <v>16</v>
      </c>
      <c r="F183" s="3" t="s">
        <v>295</v>
      </c>
      <c r="G183" s="3" t="s">
        <v>17</v>
      </c>
      <c r="H183" s="3" t="s">
        <v>254</v>
      </c>
    </row>
    <row r="184" spans="1:8" x14ac:dyDescent="0.2">
      <c r="A184" s="3">
        <v>3030303022</v>
      </c>
      <c r="B184" s="4" t="s">
        <v>562</v>
      </c>
      <c r="C184" s="4" t="s">
        <v>1234</v>
      </c>
      <c r="D184" s="3">
        <v>1</v>
      </c>
      <c r="E184" s="3" t="s">
        <v>16</v>
      </c>
      <c r="F184" s="3" t="s">
        <v>295</v>
      </c>
      <c r="G184" s="3" t="s">
        <v>17</v>
      </c>
      <c r="H184" s="3" t="s">
        <v>254</v>
      </c>
    </row>
    <row r="185" spans="1:8" x14ac:dyDescent="0.2">
      <c r="A185" s="3">
        <v>3030303023</v>
      </c>
      <c r="B185" s="4" t="s">
        <v>564</v>
      </c>
      <c r="C185" s="4" t="s">
        <v>1234</v>
      </c>
      <c r="D185" s="3">
        <v>1</v>
      </c>
      <c r="E185" s="3" t="s">
        <v>16</v>
      </c>
      <c r="F185" s="3" t="s">
        <v>295</v>
      </c>
      <c r="G185" s="3" t="s">
        <v>17</v>
      </c>
      <c r="H185" s="3" t="s">
        <v>254</v>
      </c>
    </row>
    <row r="186" spans="1:8" x14ac:dyDescent="0.2">
      <c r="A186" s="3">
        <v>3040323001</v>
      </c>
      <c r="B186" s="4" t="s">
        <v>565</v>
      </c>
      <c r="C186" s="4" t="s">
        <v>566</v>
      </c>
      <c r="D186" s="3">
        <v>2</v>
      </c>
      <c r="E186" s="3" t="s">
        <v>16</v>
      </c>
      <c r="F186" s="3" t="s">
        <v>293</v>
      </c>
      <c r="G186" s="3" t="s">
        <v>29</v>
      </c>
      <c r="H186" s="3" t="s">
        <v>254</v>
      </c>
    </row>
    <row r="187" spans="1:8" x14ac:dyDescent="0.2">
      <c r="A187" s="3">
        <v>3040302001</v>
      </c>
      <c r="B187" s="4" t="s">
        <v>567</v>
      </c>
      <c r="C187" s="4" t="s">
        <v>568</v>
      </c>
      <c r="D187" s="3">
        <v>1</v>
      </c>
      <c r="E187" s="3" t="s">
        <v>16</v>
      </c>
      <c r="F187" s="3" t="s">
        <v>293</v>
      </c>
      <c r="G187" s="3" t="s">
        <v>29</v>
      </c>
      <c r="H187" s="3" t="s">
        <v>254</v>
      </c>
    </row>
    <row r="188" spans="1:8" x14ac:dyDescent="0.2">
      <c r="A188" s="3">
        <v>3040302002</v>
      </c>
      <c r="B188" s="4" t="s">
        <v>567</v>
      </c>
      <c r="C188" s="4" t="s">
        <v>569</v>
      </c>
      <c r="D188" s="3">
        <v>1</v>
      </c>
      <c r="E188" s="3" t="s">
        <v>16</v>
      </c>
      <c r="F188" s="3" t="s">
        <v>293</v>
      </c>
      <c r="G188" s="3" t="s">
        <v>29</v>
      </c>
      <c r="H188" s="3" t="s">
        <v>254</v>
      </c>
    </row>
    <row r="189" spans="1:8" x14ac:dyDescent="0.2">
      <c r="A189" s="3">
        <v>3040324001</v>
      </c>
      <c r="B189" s="4" t="s">
        <v>570</v>
      </c>
      <c r="C189" s="4" t="s">
        <v>1223</v>
      </c>
      <c r="D189" s="3">
        <v>2</v>
      </c>
      <c r="E189" s="3" t="s">
        <v>16</v>
      </c>
      <c r="F189" s="3" t="s">
        <v>293</v>
      </c>
      <c r="G189" s="3" t="s">
        <v>29</v>
      </c>
      <c r="H189" s="3" t="s">
        <v>254</v>
      </c>
    </row>
    <row r="190" spans="1:8" x14ac:dyDescent="0.2">
      <c r="A190" s="3">
        <v>3030302008</v>
      </c>
      <c r="B190" s="4" t="s">
        <v>571</v>
      </c>
      <c r="C190" s="4" t="s">
        <v>572</v>
      </c>
      <c r="D190" s="3">
        <v>1</v>
      </c>
      <c r="E190" s="3" t="s">
        <v>16</v>
      </c>
      <c r="F190" s="3" t="s">
        <v>295</v>
      </c>
      <c r="G190" s="3" t="s">
        <v>17</v>
      </c>
      <c r="H190" s="3" t="s">
        <v>254</v>
      </c>
    </row>
    <row r="191" spans="1:8" x14ac:dyDescent="0.2">
      <c r="A191" s="3">
        <v>3030302009</v>
      </c>
      <c r="B191" s="4" t="s">
        <v>571</v>
      </c>
      <c r="C191" s="4" t="s">
        <v>573</v>
      </c>
      <c r="D191" s="3">
        <v>1</v>
      </c>
      <c r="E191" s="3" t="s">
        <v>16</v>
      </c>
      <c r="F191" s="3" t="s">
        <v>295</v>
      </c>
      <c r="G191" s="3" t="s">
        <v>17</v>
      </c>
      <c r="H191" s="3" t="s">
        <v>254</v>
      </c>
    </row>
    <row r="192" spans="1:8" x14ac:dyDescent="0.2">
      <c r="A192" s="3">
        <v>3030302004</v>
      </c>
      <c r="B192" s="4" t="s">
        <v>574</v>
      </c>
      <c r="C192" s="4" t="s">
        <v>575</v>
      </c>
      <c r="D192" s="3">
        <v>1</v>
      </c>
      <c r="E192" s="3" t="s">
        <v>16</v>
      </c>
      <c r="F192" s="3" t="s">
        <v>295</v>
      </c>
      <c r="G192" s="3" t="s">
        <v>17</v>
      </c>
      <c r="H192" s="3" t="s">
        <v>254</v>
      </c>
    </row>
    <row r="193" spans="1:8" x14ac:dyDescent="0.2">
      <c r="A193" s="3">
        <v>3030302006</v>
      </c>
      <c r="B193" s="4" t="s">
        <v>576</v>
      </c>
      <c r="C193" s="4" t="s">
        <v>575</v>
      </c>
      <c r="D193" s="3">
        <v>1</v>
      </c>
      <c r="E193" s="3" t="s">
        <v>16</v>
      </c>
      <c r="F193" s="3" t="s">
        <v>295</v>
      </c>
      <c r="G193" s="3" t="s">
        <v>17</v>
      </c>
      <c r="H193" s="3" t="s">
        <v>254</v>
      </c>
    </row>
    <row r="194" spans="1:8" x14ac:dyDescent="0.2">
      <c r="A194" s="3">
        <v>3030314004</v>
      </c>
      <c r="B194" s="4" t="s">
        <v>577</v>
      </c>
      <c r="C194" s="4" t="s">
        <v>575</v>
      </c>
      <c r="D194" s="3">
        <v>1</v>
      </c>
      <c r="E194" s="3" t="s">
        <v>16</v>
      </c>
      <c r="F194" s="3" t="s">
        <v>295</v>
      </c>
      <c r="G194" s="3" t="s">
        <v>17</v>
      </c>
      <c r="H194" s="3" t="s">
        <v>254</v>
      </c>
    </row>
    <row r="195" spans="1:8" x14ac:dyDescent="0.2">
      <c r="A195" s="3">
        <v>3030308001</v>
      </c>
      <c r="B195" s="4" t="s">
        <v>578</v>
      </c>
      <c r="C195" s="4" t="s">
        <v>575</v>
      </c>
      <c r="D195" s="3">
        <v>1</v>
      </c>
      <c r="E195" s="3" t="s">
        <v>16</v>
      </c>
      <c r="F195" s="3" t="s">
        <v>295</v>
      </c>
      <c r="G195" s="3" t="s">
        <v>17</v>
      </c>
      <c r="H195" s="3" t="s">
        <v>254</v>
      </c>
    </row>
    <row r="196" spans="1:8" x14ac:dyDescent="0.2">
      <c r="A196" s="3">
        <v>3030314003</v>
      </c>
      <c r="B196" s="4" t="s">
        <v>579</v>
      </c>
      <c r="C196" s="4" t="s">
        <v>575</v>
      </c>
      <c r="D196" s="3">
        <v>1</v>
      </c>
      <c r="E196" s="3" t="s">
        <v>16</v>
      </c>
      <c r="F196" s="3" t="s">
        <v>295</v>
      </c>
      <c r="G196" s="3" t="s">
        <v>17</v>
      </c>
      <c r="H196" s="3" t="s">
        <v>254</v>
      </c>
    </row>
    <row r="197" spans="1:8" x14ac:dyDescent="0.2">
      <c r="A197" s="3">
        <v>3030308003</v>
      </c>
      <c r="B197" s="4" t="s">
        <v>580</v>
      </c>
      <c r="C197" s="4" t="s">
        <v>581</v>
      </c>
      <c r="D197" s="3">
        <v>1</v>
      </c>
      <c r="E197" s="3" t="s">
        <v>16</v>
      </c>
      <c r="F197" s="3" t="s">
        <v>295</v>
      </c>
      <c r="G197" s="3" t="s">
        <v>17</v>
      </c>
      <c r="H197" s="3" t="s">
        <v>254</v>
      </c>
    </row>
    <row r="198" spans="1:8" x14ac:dyDescent="0.2">
      <c r="A198" s="3">
        <v>3040325008</v>
      </c>
      <c r="B198" s="4" t="s">
        <v>582</v>
      </c>
      <c r="C198" s="4" t="s">
        <v>542</v>
      </c>
      <c r="D198" s="3">
        <v>1</v>
      </c>
      <c r="E198" s="3" t="s">
        <v>16</v>
      </c>
      <c r="F198" s="3" t="s">
        <v>293</v>
      </c>
      <c r="G198" s="3" t="s">
        <v>29</v>
      </c>
      <c r="H198" s="3" t="s">
        <v>254</v>
      </c>
    </row>
    <row r="199" spans="1:8" x14ac:dyDescent="0.2">
      <c r="A199" s="3">
        <v>3040325007</v>
      </c>
      <c r="B199" s="4" t="s">
        <v>582</v>
      </c>
      <c r="C199" s="4" t="s">
        <v>543</v>
      </c>
      <c r="D199" s="3">
        <v>1</v>
      </c>
      <c r="E199" s="3" t="s">
        <v>16</v>
      </c>
      <c r="F199" s="3" t="s">
        <v>293</v>
      </c>
      <c r="G199" s="3" t="s">
        <v>29</v>
      </c>
      <c r="H199" s="3" t="s">
        <v>254</v>
      </c>
    </row>
    <row r="200" spans="1:8" x14ac:dyDescent="0.2">
      <c r="A200" s="3">
        <v>3040308003</v>
      </c>
      <c r="B200" s="4" t="s">
        <v>583</v>
      </c>
      <c r="C200" s="4" t="s">
        <v>536</v>
      </c>
      <c r="D200" s="3">
        <v>2</v>
      </c>
      <c r="E200" s="3" t="s">
        <v>16</v>
      </c>
      <c r="F200" s="3" t="s">
        <v>293</v>
      </c>
      <c r="G200" s="3" t="s">
        <v>29</v>
      </c>
      <c r="H200" s="3" t="s">
        <v>254</v>
      </c>
    </row>
    <row r="201" spans="1:8" x14ac:dyDescent="0.2">
      <c r="A201" s="3">
        <v>3030302007</v>
      </c>
      <c r="B201" s="4" t="s">
        <v>584</v>
      </c>
      <c r="C201" s="4" t="s">
        <v>575</v>
      </c>
      <c r="D201" s="3">
        <v>1</v>
      </c>
      <c r="E201" s="3" t="s">
        <v>16</v>
      </c>
      <c r="F201" s="3" t="s">
        <v>295</v>
      </c>
      <c r="G201" s="3" t="s">
        <v>17</v>
      </c>
      <c r="H201" s="3" t="s">
        <v>254</v>
      </c>
    </row>
    <row r="202" spans="1:8" x14ac:dyDescent="0.2">
      <c r="A202" s="3">
        <v>3111601004</v>
      </c>
      <c r="B202" s="4" t="s">
        <v>585</v>
      </c>
      <c r="C202" s="4" t="s">
        <v>1235</v>
      </c>
      <c r="D202" s="3">
        <v>4</v>
      </c>
      <c r="E202" s="3" t="s">
        <v>16</v>
      </c>
      <c r="F202" s="3" t="s">
        <v>289</v>
      </c>
      <c r="G202" s="3" t="s">
        <v>23</v>
      </c>
      <c r="H202" s="3" t="s">
        <v>254</v>
      </c>
    </row>
    <row r="203" spans="1:8" x14ac:dyDescent="0.2">
      <c r="A203" s="3">
        <v>3111601003</v>
      </c>
      <c r="B203" s="4" t="s">
        <v>585</v>
      </c>
      <c r="C203" s="4" t="s">
        <v>586</v>
      </c>
      <c r="D203" s="3">
        <v>13</v>
      </c>
      <c r="E203" s="3" t="s">
        <v>16</v>
      </c>
      <c r="F203" s="3" t="s">
        <v>289</v>
      </c>
      <c r="G203" s="3" t="s">
        <v>23</v>
      </c>
      <c r="H203" s="3" t="s">
        <v>254</v>
      </c>
    </row>
    <row r="204" spans="1:8" x14ac:dyDescent="0.2">
      <c r="A204" s="3">
        <v>3111601003</v>
      </c>
      <c r="B204" s="4" t="s">
        <v>585</v>
      </c>
      <c r="C204" s="4" t="s">
        <v>586</v>
      </c>
      <c r="D204" s="3">
        <v>2</v>
      </c>
      <c r="E204" s="3" t="s">
        <v>16</v>
      </c>
      <c r="F204" s="3" t="s">
        <v>291</v>
      </c>
      <c r="G204" s="3" t="s">
        <v>26</v>
      </c>
      <c r="H204" s="3" t="s">
        <v>254</v>
      </c>
    </row>
    <row r="205" spans="1:8" x14ac:dyDescent="0.2">
      <c r="A205" s="3">
        <v>3060340003</v>
      </c>
      <c r="B205" s="4" t="s">
        <v>725</v>
      </c>
      <c r="C205" s="4" t="s">
        <v>1236</v>
      </c>
      <c r="D205" s="3">
        <v>1</v>
      </c>
      <c r="E205" s="3" t="s">
        <v>16</v>
      </c>
      <c r="F205" s="3" t="s">
        <v>289</v>
      </c>
      <c r="G205" s="3" t="s">
        <v>23</v>
      </c>
      <c r="H205" s="3" t="s">
        <v>254</v>
      </c>
    </row>
    <row r="206" spans="1:8" x14ac:dyDescent="0.2">
      <c r="A206" s="3">
        <v>3060339005</v>
      </c>
      <c r="B206" s="4" t="s">
        <v>737</v>
      </c>
      <c r="C206" s="4" t="s">
        <v>1233</v>
      </c>
      <c r="D206" s="3">
        <v>1</v>
      </c>
      <c r="E206" s="3" t="s">
        <v>16</v>
      </c>
      <c r="F206" s="3" t="s">
        <v>289</v>
      </c>
      <c r="G206" s="3" t="s">
        <v>23</v>
      </c>
      <c r="H206" s="3" t="s">
        <v>254</v>
      </c>
    </row>
    <row r="207" spans="1:8" x14ac:dyDescent="0.2">
      <c r="A207" s="3">
        <v>3050303019</v>
      </c>
      <c r="B207" s="4" t="s">
        <v>245</v>
      </c>
      <c r="C207" s="4" t="s">
        <v>1224</v>
      </c>
      <c r="D207" s="3">
        <v>1</v>
      </c>
      <c r="E207" s="3" t="s">
        <v>16</v>
      </c>
      <c r="F207" s="3" t="s">
        <v>291</v>
      </c>
      <c r="G207" s="3" t="s">
        <v>26</v>
      </c>
      <c r="H207" s="3" t="s">
        <v>254</v>
      </c>
    </row>
    <row r="208" spans="1:8" x14ac:dyDescent="0.2">
      <c r="A208" s="3">
        <v>3080310002</v>
      </c>
      <c r="B208" s="4" t="s">
        <v>588</v>
      </c>
      <c r="C208" s="4" t="s">
        <v>589</v>
      </c>
      <c r="D208" s="3">
        <v>1</v>
      </c>
      <c r="E208" s="3" t="s">
        <v>16</v>
      </c>
      <c r="F208" s="3" t="s">
        <v>295</v>
      </c>
      <c r="G208" s="3" t="s">
        <v>17</v>
      </c>
      <c r="H208" s="3" t="s">
        <v>590</v>
      </c>
    </row>
    <row r="209" spans="1:8" x14ac:dyDescent="0.2">
      <c r="A209" s="3">
        <v>3020301012</v>
      </c>
      <c r="B209" s="4" t="s">
        <v>209</v>
      </c>
      <c r="C209" s="4" t="s">
        <v>768</v>
      </c>
      <c r="D209" s="3">
        <v>1</v>
      </c>
      <c r="E209" s="3" t="s">
        <v>16</v>
      </c>
      <c r="F209" s="3" t="s">
        <v>301</v>
      </c>
      <c r="G209" s="3" t="s">
        <v>32</v>
      </c>
      <c r="H209" s="3" t="s">
        <v>769</v>
      </c>
    </row>
  </sheetData>
  <phoneticPr fontId="2" type="noConversion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14EF6-0DCF-40C4-82B1-1776BAFC3AF5}">
  <dimension ref="A1:H205"/>
  <sheetViews>
    <sheetView workbookViewId="0">
      <selection activeCell="K16" sqref="K16"/>
    </sheetView>
  </sheetViews>
  <sheetFormatPr defaultRowHeight="14.25" x14ac:dyDescent="0.2"/>
  <cols>
    <col min="1" max="1" width="12.25" customWidth="1"/>
    <col min="2" max="3" width="13.5" customWidth="1"/>
  </cols>
  <sheetData>
    <row r="1" spans="1:8" x14ac:dyDescent="0.2">
      <c r="A1" s="3" t="s">
        <v>1297</v>
      </c>
      <c r="B1" s="4"/>
      <c r="C1" s="4"/>
      <c r="D1" s="3"/>
      <c r="E1" s="3"/>
      <c r="F1" s="3"/>
      <c r="G1" s="3"/>
      <c r="H1" s="3"/>
    </row>
    <row r="2" spans="1:8" ht="28.5" x14ac:dyDescent="0.2">
      <c r="A2" s="1" t="s">
        <v>0</v>
      </c>
      <c r="B2" s="2" t="s">
        <v>1</v>
      </c>
      <c r="C2" s="2" t="s">
        <v>2</v>
      </c>
      <c r="D2" s="1" t="s">
        <v>4</v>
      </c>
      <c r="E2" s="1" t="s">
        <v>3</v>
      </c>
      <c r="F2" s="1" t="s">
        <v>5</v>
      </c>
      <c r="G2" s="1" t="s">
        <v>6</v>
      </c>
      <c r="H2" s="1" t="s">
        <v>7</v>
      </c>
    </row>
    <row r="3" spans="1:8" s="10" customFormat="1" x14ac:dyDescent="0.2">
      <c r="A3" s="8" t="s">
        <v>390</v>
      </c>
      <c r="B3" s="9" t="s">
        <v>8</v>
      </c>
      <c r="C3" s="9" t="s">
        <v>9</v>
      </c>
      <c r="D3" s="13">
        <f>0.338/0.94</f>
        <v>0.3595744680851064</v>
      </c>
      <c r="E3" s="8" t="s">
        <v>596</v>
      </c>
      <c r="F3" s="8" t="s">
        <v>283</v>
      </c>
      <c r="G3" s="8" t="s">
        <v>13</v>
      </c>
      <c r="H3" s="8" t="s">
        <v>12</v>
      </c>
    </row>
    <row r="4" spans="1:8" x14ac:dyDescent="0.2">
      <c r="A4" s="3">
        <v>40901009</v>
      </c>
      <c r="B4" s="4" t="s">
        <v>801</v>
      </c>
      <c r="C4" s="4" t="s">
        <v>1153</v>
      </c>
      <c r="D4" s="3">
        <v>1</v>
      </c>
      <c r="E4" s="3" t="s">
        <v>16</v>
      </c>
      <c r="F4" s="3" t="s">
        <v>289</v>
      </c>
      <c r="G4" s="3" t="s">
        <v>23</v>
      </c>
      <c r="H4" s="3" t="s">
        <v>306</v>
      </c>
    </row>
    <row r="5" spans="1:8" x14ac:dyDescent="0.2">
      <c r="A5" s="3">
        <v>3099980014</v>
      </c>
      <c r="B5" s="4" t="s">
        <v>391</v>
      </c>
      <c r="C5" s="4" t="s">
        <v>392</v>
      </c>
      <c r="D5" s="3">
        <v>1</v>
      </c>
      <c r="E5" s="3" t="s">
        <v>16</v>
      </c>
      <c r="F5" s="3" t="s">
        <v>291</v>
      </c>
      <c r="G5" s="3" t="s">
        <v>26</v>
      </c>
      <c r="H5" s="3" t="s">
        <v>393</v>
      </c>
    </row>
    <row r="6" spans="1:8" x14ac:dyDescent="0.2">
      <c r="A6" s="3">
        <v>3030314005</v>
      </c>
      <c r="B6" s="4" t="s">
        <v>394</v>
      </c>
      <c r="C6" s="4" t="s">
        <v>395</v>
      </c>
      <c r="D6" s="3">
        <v>1</v>
      </c>
      <c r="E6" s="3" t="s">
        <v>16</v>
      </c>
      <c r="F6" s="3" t="s">
        <v>291</v>
      </c>
      <c r="G6" s="3" t="s">
        <v>26</v>
      </c>
      <c r="H6" s="3" t="s">
        <v>18</v>
      </c>
    </row>
    <row r="7" spans="1:8" x14ac:dyDescent="0.2">
      <c r="A7" s="3">
        <v>3030210001</v>
      </c>
      <c r="B7" s="4" t="s">
        <v>396</v>
      </c>
      <c r="C7" s="4" t="s">
        <v>397</v>
      </c>
      <c r="D7" s="3">
        <v>1</v>
      </c>
      <c r="E7" s="3" t="s">
        <v>16</v>
      </c>
      <c r="F7" s="3" t="s">
        <v>295</v>
      </c>
      <c r="G7" s="3" t="s">
        <v>17</v>
      </c>
      <c r="H7" s="3" t="s">
        <v>18</v>
      </c>
    </row>
    <row r="8" spans="1:8" x14ac:dyDescent="0.2">
      <c r="A8" s="3">
        <v>3080301001</v>
      </c>
      <c r="B8" s="4" t="s">
        <v>247</v>
      </c>
      <c r="C8" s="4" t="s">
        <v>398</v>
      </c>
      <c r="D8" s="3">
        <v>1</v>
      </c>
      <c r="E8" s="3" t="s">
        <v>16</v>
      </c>
      <c r="F8" s="3" t="s">
        <v>295</v>
      </c>
      <c r="G8" s="3" t="s">
        <v>17</v>
      </c>
      <c r="H8" s="3" t="s">
        <v>18</v>
      </c>
    </row>
    <row r="9" spans="1:8" x14ac:dyDescent="0.2">
      <c r="A9" s="3">
        <v>3040201001</v>
      </c>
      <c r="B9" s="4" t="s">
        <v>399</v>
      </c>
      <c r="C9" s="4" t="s">
        <v>400</v>
      </c>
      <c r="D9" s="3">
        <v>2</v>
      </c>
      <c r="E9" s="3" t="s">
        <v>16</v>
      </c>
      <c r="F9" s="3" t="s">
        <v>293</v>
      </c>
      <c r="G9" s="3" t="s">
        <v>29</v>
      </c>
      <c r="H9" s="3" t="s">
        <v>18</v>
      </c>
    </row>
    <row r="10" spans="1:8" x14ac:dyDescent="0.2">
      <c r="A10" s="3">
        <v>3030202002</v>
      </c>
      <c r="B10" s="4" t="s">
        <v>401</v>
      </c>
      <c r="C10" s="4" t="s">
        <v>402</v>
      </c>
      <c r="D10" s="3">
        <v>1</v>
      </c>
      <c r="E10" s="3" t="s">
        <v>16</v>
      </c>
      <c r="F10" s="3" t="s">
        <v>295</v>
      </c>
      <c r="G10" s="3" t="s">
        <v>17</v>
      </c>
      <c r="H10" s="3" t="s">
        <v>18</v>
      </c>
    </row>
    <row r="11" spans="1:8" x14ac:dyDescent="0.2">
      <c r="A11" s="3">
        <v>3030202003</v>
      </c>
      <c r="B11" s="4" t="s">
        <v>403</v>
      </c>
      <c r="C11" s="4" t="s">
        <v>404</v>
      </c>
      <c r="D11" s="3">
        <v>1</v>
      </c>
      <c r="E11" s="3" t="s">
        <v>16</v>
      </c>
      <c r="F11" s="3" t="s">
        <v>295</v>
      </c>
      <c r="G11" s="3" t="s">
        <v>17</v>
      </c>
      <c r="H11" s="3" t="s">
        <v>18</v>
      </c>
    </row>
    <row r="12" spans="1:8" x14ac:dyDescent="0.2">
      <c r="A12" s="3">
        <v>3030212001</v>
      </c>
      <c r="B12" s="4" t="s">
        <v>405</v>
      </c>
      <c r="C12" s="4" t="s">
        <v>406</v>
      </c>
      <c r="D12" s="3">
        <v>1</v>
      </c>
      <c r="E12" s="3" t="s">
        <v>16</v>
      </c>
      <c r="F12" s="3" t="s">
        <v>295</v>
      </c>
      <c r="G12" s="3" t="s">
        <v>17</v>
      </c>
      <c r="H12" s="3" t="s">
        <v>18</v>
      </c>
    </row>
    <row r="13" spans="1:8" x14ac:dyDescent="0.2">
      <c r="A13" s="3">
        <v>3030206003</v>
      </c>
      <c r="B13" s="4" t="s">
        <v>407</v>
      </c>
      <c r="C13" s="4" t="s">
        <v>408</v>
      </c>
      <c r="D13" s="3">
        <v>1</v>
      </c>
      <c r="E13" s="3" t="s">
        <v>16</v>
      </c>
      <c r="F13" s="3" t="s">
        <v>295</v>
      </c>
      <c r="G13" s="3" t="s">
        <v>17</v>
      </c>
      <c r="H13" s="3" t="s">
        <v>18</v>
      </c>
    </row>
    <row r="14" spans="1:8" x14ac:dyDescent="0.2">
      <c r="A14" s="3">
        <v>404020072</v>
      </c>
      <c r="B14" s="4" t="s">
        <v>30</v>
      </c>
      <c r="C14" s="4" t="s">
        <v>308</v>
      </c>
      <c r="D14" s="3">
        <v>1</v>
      </c>
      <c r="E14" s="3" t="s">
        <v>16</v>
      </c>
      <c r="F14" s="3" t="s">
        <v>291</v>
      </c>
      <c r="G14" s="3" t="s">
        <v>26</v>
      </c>
      <c r="H14" s="3" t="s">
        <v>33</v>
      </c>
    </row>
    <row r="15" spans="1:8" x14ac:dyDescent="0.2">
      <c r="A15" s="3">
        <v>401020110</v>
      </c>
      <c r="B15" s="4" t="s">
        <v>35</v>
      </c>
      <c r="C15" s="4" t="s">
        <v>1154</v>
      </c>
      <c r="D15" s="3">
        <v>1</v>
      </c>
      <c r="E15" s="3" t="s">
        <v>16</v>
      </c>
      <c r="F15" s="3" t="s">
        <v>301</v>
      </c>
      <c r="G15" s="3" t="s">
        <v>32</v>
      </c>
      <c r="H15" s="3" t="s">
        <v>33</v>
      </c>
    </row>
    <row r="16" spans="1:8" x14ac:dyDescent="0.2">
      <c r="A16" s="3">
        <v>401020128</v>
      </c>
      <c r="B16" s="4" t="s">
        <v>35</v>
      </c>
      <c r="C16" s="4" t="s">
        <v>1278</v>
      </c>
      <c r="D16" s="3">
        <v>1</v>
      </c>
      <c r="E16" s="3" t="s">
        <v>16</v>
      </c>
      <c r="F16" s="3" t="s">
        <v>291</v>
      </c>
      <c r="G16" s="3" t="s">
        <v>26</v>
      </c>
      <c r="H16" s="3" t="s">
        <v>33</v>
      </c>
    </row>
    <row r="17" spans="1:8" x14ac:dyDescent="0.2">
      <c r="A17" s="3">
        <v>3080101002</v>
      </c>
      <c r="B17" s="4" t="s">
        <v>411</v>
      </c>
      <c r="C17" s="4" t="s">
        <v>413</v>
      </c>
      <c r="D17" s="3">
        <v>19</v>
      </c>
      <c r="E17" s="3" t="s">
        <v>16</v>
      </c>
      <c r="F17" s="3" t="s">
        <v>289</v>
      </c>
      <c r="G17" s="3" t="s">
        <v>23</v>
      </c>
      <c r="H17" s="3" t="s">
        <v>40</v>
      </c>
    </row>
    <row r="18" spans="1:8" x14ac:dyDescent="0.2">
      <c r="A18" s="3">
        <v>3080101015</v>
      </c>
      <c r="B18" s="4" t="s">
        <v>411</v>
      </c>
      <c r="C18" s="4" t="s">
        <v>412</v>
      </c>
      <c r="D18" s="3">
        <v>2</v>
      </c>
      <c r="E18" s="3" t="s">
        <v>16</v>
      </c>
      <c r="F18" s="3" t="s">
        <v>293</v>
      </c>
      <c r="G18" s="3" t="s">
        <v>29</v>
      </c>
      <c r="H18" s="3" t="s">
        <v>40</v>
      </c>
    </row>
    <row r="19" spans="1:8" x14ac:dyDescent="0.2">
      <c r="A19" s="3">
        <v>3080101002</v>
      </c>
      <c r="B19" s="4" t="s">
        <v>411</v>
      </c>
      <c r="C19" s="4" t="s">
        <v>413</v>
      </c>
      <c r="D19" s="3">
        <v>2</v>
      </c>
      <c r="E19" s="3" t="s">
        <v>16</v>
      </c>
      <c r="F19" s="3" t="s">
        <v>291</v>
      </c>
      <c r="G19" s="3" t="s">
        <v>26</v>
      </c>
      <c r="H19" s="3" t="s">
        <v>40</v>
      </c>
    </row>
    <row r="20" spans="1:8" x14ac:dyDescent="0.2">
      <c r="A20" s="3">
        <v>3080401064</v>
      </c>
      <c r="B20" s="4" t="s">
        <v>41</v>
      </c>
      <c r="C20" s="4" t="s">
        <v>414</v>
      </c>
      <c r="D20" s="3">
        <v>1</v>
      </c>
      <c r="E20" s="3" t="s">
        <v>16</v>
      </c>
      <c r="F20" s="3" t="s">
        <v>295</v>
      </c>
      <c r="G20" s="3" t="s">
        <v>17</v>
      </c>
      <c r="H20" s="3" t="s">
        <v>40</v>
      </c>
    </row>
    <row r="21" spans="1:8" x14ac:dyDescent="0.2">
      <c r="A21" s="3">
        <v>3080401016</v>
      </c>
      <c r="B21" s="4" t="s">
        <v>41</v>
      </c>
      <c r="C21" s="4" t="s">
        <v>415</v>
      </c>
      <c r="D21" s="3">
        <v>1</v>
      </c>
      <c r="E21" s="3" t="s">
        <v>16</v>
      </c>
      <c r="F21" s="3" t="s">
        <v>295</v>
      </c>
      <c r="G21" s="3" t="s">
        <v>17</v>
      </c>
      <c r="H21" s="3" t="s">
        <v>40</v>
      </c>
    </row>
    <row r="22" spans="1:8" x14ac:dyDescent="0.2">
      <c r="A22" s="3">
        <v>3080401007</v>
      </c>
      <c r="B22" s="4" t="s">
        <v>41</v>
      </c>
      <c r="C22" s="4" t="s">
        <v>416</v>
      </c>
      <c r="D22" s="3">
        <v>2</v>
      </c>
      <c r="E22" s="3" t="s">
        <v>16</v>
      </c>
      <c r="F22" s="3" t="s">
        <v>293</v>
      </c>
      <c r="G22" s="3" t="s">
        <v>29</v>
      </c>
      <c r="H22" s="3" t="s">
        <v>40</v>
      </c>
    </row>
    <row r="23" spans="1:8" x14ac:dyDescent="0.2">
      <c r="A23" s="3">
        <v>3080401014</v>
      </c>
      <c r="B23" s="4" t="s">
        <v>41</v>
      </c>
      <c r="C23" s="4" t="s">
        <v>417</v>
      </c>
      <c r="D23" s="3">
        <v>4</v>
      </c>
      <c r="E23" s="3" t="s">
        <v>16</v>
      </c>
      <c r="F23" s="3" t="s">
        <v>291</v>
      </c>
      <c r="G23" s="3" t="s">
        <v>26</v>
      </c>
      <c r="H23" s="3" t="s">
        <v>40</v>
      </c>
    </row>
    <row r="24" spans="1:8" x14ac:dyDescent="0.2">
      <c r="A24" s="3">
        <v>3080104073</v>
      </c>
      <c r="B24" s="4" t="s">
        <v>45</v>
      </c>
      <c r="C24" s="4" t="s">
        <v>1155</v>
      </c>
      <c r="D24" s="3">
        <v>3</v>
      </c>
      <c r="E24" s="3" t="s">
        <v>16</v>
      </c>
      <c r="F24" s="3" t="s">
        <v>289</v>
      </c>
      <c r="G24" s="3" t="s">
        <v>23</v>
      </c>
      <c r="H24" s="3" t="s">
        <v>40</v>
      </c>
    </row>
    <row r="25" spans="1:8" x14ac:dyDescent="0.2">
      <c r="A25" s="3">
        <v>3080104018</v>
      </c>
      <c r="B25" s="4" t="s">
        <v>45</v>
      </c>
      <c r="C25" s="4" t="s">
        <v>418</v>
      </c>
      <c r="D25" s="3">
        <v>2</v>
      </c>
      <c r="E25" s="3" t="s">
        <v>16</v>
      </c>
      <c r="F25" s="3" t="s">
        <v>293</v>
      </c>
      <c r="G25" s="3" t="s">
        <v>29</v>
      </c>
      <c r="H25" s="3" t="s">
        <v>40</v>
      </c>
    </row>
    <row r="26" spans="1:8" x14ac:dyDescent="0.2">
      <c r="A26" s="3">
        <v>3080104099</v>
      </c>
      <c r="B26" s="4" t="s">
        <v>45</v>
      </c>
      <c r="C26" s="4" t="s">
        <v>419</v>
      </c>
      <c r="D26" s="3">
        <v>2</v>
      </c>
      <c r="E26" s="3" t="s">
        <v>16</v>
      </c>
      <c r="F26" s="3" t="s">
        <v>291</v>
      </c>
      <c r="G26" s="3" t="s">
        <v>26</v>
      </c>
      <c r="H26" s="3" t="s">
        <v>40</v>
      </c>
    </row>
    <row r="27" spans="1:8" x14ac:dyDescent="0.2">
      <c r="A27" s="3">
        <v>3080105006</v>
      </c>
      <c r="B27" s="4" t="s">
        <v>50</v>
      </c>
      <c r="C27" s="4" t="s">
        <v>1157</v>
      </c>
      <c r="D27" s="3">
        <v>8</v>
      </c>
      <c r="E27" s="3" t="s">
        <v>16</v>
      </c>
      <c r="F27" s="3" t="s">
        <v>289</v>
      </c>
      <c r="G27" s="3" t="s">
        <v>23</v>
      </c>
      <c r="H27" s="3" t="s">
        <v>40</v>
      </c>
    </row>
    <row r="28" spans="1:8" x14ac:dyDescent="0.2">
      <c r="A28" s="3">
        <v>3080105014</v>
      </c>
      <c r="B28" s="4" t="s">
        <v>50</v>
      </c>
      <c r="C28" s="4" t="s">
        <v>1238</v>
      </c>
      <c r="D28" s="3">
        <v>2</v>
      </c>
      <c r="E28" s="3" t="s">
        <v>16</v>
      </c>
      <c r="F28" s="3" t="s">
        <v>289</v>
      </c>
      <c r="G28" s="3" t="s">
        <v>23</v>
      </c>
      <c r="H28" s="3" t="s">
        <v>40</v>
      </c>
    </row>
    <row r="29" spans="1:8" x14ac:dyDescent="0.2">
      <c r="A29" s="3">
        <v>3080105023</v>
      </c>
      <c r="B29" s="4" t="s">
        <v>50</v>
      </c>
      <c r="C29" s="4" t="s">
        <v>1159</v>
      </c>
      <c r="D29" s="3">
        <v>4</v>
      </c>
      <c r="E29" s="3" t="s">
        <v>16</v>
      </c>
      <c r="F29" s="3" t="s">
        <v>289</v>
      </c>
      <c r="G29" s="3" t="s">
        <v>23</v>
      </c>
      <c r="H29" s="3" t="s">
        <v>40</v>
      </c>
    </row>
    <row r="30" spans="1:8" x14ac:dyDescent="0.2">
      <c r="A30" s="3">
        <v>3080105015</v>
      </c>
      <c r="B30" s="4" t="s">
        <v>50</v>
      </c>
      <c r="C30" s="4" t="s">
        <v>422</v>
      </c>
      <c r="D30" s="3">
        <v>8</v>
      </c>
      <c r="E30" s="3" t="s">
        <v>16</v>
      </c>
      <c r="F30" s="3" t="s">
        <v>293</v>
      </c>
      <c r="G30" s="3" t="s">
        <v>29</v>
      </c>
      <c r="H30" s="3" t="s">
        <v>40</v>
      </c>
    </row>
    <row r="31" spans="1:8" x14ac:dyDescent="0.2">
      <c r="A31" s="3">
        <v>3080105088</v>
      </c>
      <c r="B31" s="4" t="s">
        <v>50</v>
      </c>
      <c r="C31" s="4" t="s">
        <v>423</v>
      </c>
      <c r="D31" s="3">
        <v>2</v>
      </c>
      <c r="E31" s="3" t="s">
        <v>16</v>
      </c>
      <c r="F31" s="3" t="s">
        <v>293</v>
      </c>
      <c r="G31" s="3" t="s">
        <v>29</v>
      </c>
      <c r="H31" s="3" t="s">
        <v>40</v>
      </c>
    </row>
    <row r="32" spans="1:8" x14ac:dyDescent="0.2">
      <c r="A32" s="3">
        <v>3080105040</v>
      </c>
      <c r="B32" s="4" t="s">
        <v>50</v>
      </c>
      <c r="C32" s="4" t="s">
        <v>421</v>
      </c>
      <c r="D32" s="3">
        <v>14</v>
      </c>
      <c r="E32" s="3" t="s">
        <v>16</v>
      </c>
      <c r="F32" s="3" t="s">
        <v>293</v>
      </c>
      <c r="G32" s="3" t="s">
        <v>29</v>
      </c>
      <c r="H32" s="3" t="s">
        <v>40</v>
      </c>
    </row>
    <row r="33" spans="1:8" x14ac:dyDescent="0.2">
      <c r="A33" s="3">
        <v>3080105008</v>
      </c>
      <c r="B33" s="4" t="s">
        <v>50</v>
      </c>
      <c r="C33" s="4" t="s">
        <v>424</v>
      </c>
      <c r="D33" s="3">
        <v>8</v>
      </c>
      <c r="E33" s="3" t="s">
        <v>16</v>
      </c>
      <c r="F33" s="3" t="s">
        <v>293</v>
      </c>
      <c r="G33" s="3" t="s">
        <v>29</v>
      </c>
      <c r="H33" s="3" t="s">
        <v>40</v>
      </c>
    </row>
    <row r="34" spans="1:8" x14ac:dyDescent="0.2">
      <c r="A34" s="3">
        <v>3080105036</v>
      </c>
      <c r="B34" s="4" t="s">
        <v>50</v>
      </c>
      <c r="C34" s="4" t="s">
        <v>1295</v>
      </c>
      <c r="D34" s="3">
        <v>6</v>
      </c>
      <c r="E34" s="3" t="s">
        <v>16</v>
      </c>
      <c r="F34" s="3" t="s">
        <v>291</v>
      </c>
      <c r="G34" s="3" t="s">
        <v>26</v>
      </c>
      <c r="H34" s="3" t="s">
        <v>40</v>
      </c>
    </row>
    <row r="35" spans="1:8" x14ac:dyDescent="0.2">
      <c r="A35" s="3">
        <v>3080104055</v>
      </c>
      <c r="B35" s="4" t="s">
        <v>50</v>
      </c>
      <c r="C35" s="4" t="s">
        <v>425</v>
      </c>
      <c r="D35" s="3">
        <v>2</v>
      </c>
      <c r="E35" s="3" t="s">
        <v>16</v>
      </c>
      <c r="F35" s="3" t="s">
        <v>291</v>
      </c>
      <c r="G35" s="3" t="s">
        <v>26</v>
      </c>
      <c r="H35" s="3" t="s">
        <v>40</v>
      </c>
    </row>
    <row r="36" spans="1:8" x14ac:dyDescent="0.2">
      <c r="A36" s="3">
        <v>3080105040</v>
      </c>
      <c r="B36" s="4" t="s">
        <v>50</v>
      </c>
      <c r="C36" s="4" t="s">
        <v>421</v>
      </c>
      <c r="D36" s="3">
        <v>2</v>
      </c>
      <c r="E36" s="3" t="s">
        <v>16</v>
      </c>
      <c r="F36" s="3" t="s">
        <v>291</v>
      </c>
      <c r="G36" s="3" t="s">
        <v>26</v>
      </c>
      <c r="H36" s="3" t="s">
        <v>40</v>
      </c>
    </row>
    <row r="37" spans="1:8" x14ac:dyDescent="0.2">
      <c r="A37" s="3">
        <v>3080502004</v>
      </c>
      <c r="B37" s="4" t="s">
        <v>55</v>
      </c>
      <c r="C37" s="4" t="s">
        <v>1239</v>
      </c>
      <c r="D37" s="3">
        <v>2</v>
      </c>
      <c r="E37" s="3" t="s">
        <v>16</v>
      </c>
      <c r="F37" s="3" t="s">
        <v>291</v>
      </c>
      <c r="G37" s="3" t="s">
        <v>26</v>
      </c>
      <c r="H37" s="3" t="s">
        <v>40</v>
      </c>
    </row>
    <row r="38" spans="1:8" x14ac:dyDescent="0.2">
      <c r="A38" s="3">
        <v>3080201005</v>
      </c>
      <c r="B38" s="4" t="s">
        <v>60</v>
      </c>
      <c r="C38" s="4" t="s">
        <v>427</v>
      </c>
      <c r="D38" s="3">
        <v>1</v>
      </c>
      <c r="E38" s="3" t="s">
        <v>16</v>
      </c>
      <c r="F38" s="3" t="s">
        <v>291</v>
      </c>
      <c r="G38" s="3" t="s">
        <v>26</v>
      </c>
      <c r="H38" s="3" t="s">
        <v>40</v>
      </c>
    </row>
    <row r="39" spans="1:8" x14ac:dyDescent="0.2">
      <c r="A39" s="3">
        <v>3080201006</v>
      </c>
      <c r="B39" s="4" t="s">
        <v>60</v>
      </c>
      <c r="C39" s="4" t="s">
        <v>428</v>
      </c>
      <c r="D39" s="3">
        <v>1</v>
      </c>
      <c r="E39" s="3" t="s">
        <v>16</v>
      </c>
      <c r="F39" s="3" t="s">
        <v>291</v>
      </c>
      <c r="G39" s="3" t="s">
        <v>26</v>
      </c>
      <c r="H39" s="3" t="s">
        <v>40</v>
      </c>
    </row>
    <row r="40" spans="1:8" x14ac:dyDescent="0.2">
      <c r="A40" s="3">
        <v>3080107271</v>
      </c>
      <c r="B40" s="4" t="s">
        <v>69</v>
      </c>
      <c r="C40" s="4" t="s">
        <v>1161</v>
      </c>
      <c r="D40" s="3">
        <v>2</v>
      </c>
      <c r="E40" s="3" t="s">
        <v>16</v>
      </c>
      <c r="F40" s="3" t="s">
        <v>289</v>
      </c>
      <c r="G40" s="3" t="s">
        <v>23</v>
      </c>
      <c r="H40" s="3" t="s">
        <v>40</v>
      </c>
    </row>
    <row r="41" spans="1:8" x14ac:dyDescent="0.2">
      <c r="A41" s="3">
        <v>3080107092</v>
      </c>
      <c r="B41" s="4" t="s">
        <v>69</v>
      </c>
      <c r="C41" s="4" t="s">
        <v>1162</v>
      </c>
      <c r="D41" s="3">
        <v>4</v>
      </c>
      <c r="E41" s="3" t="s">
        <v>16</v>
      </c>
      <c r="F41" s="3" t="s">
        <v>289</v>
      </c>
      <c r="G41" s="3" t="s">
        <v>23</v>
      </c>
      <c r="H41" s="3" t="s">
        <v>40</v>
      </c>
    </row>
    <row r="42" spans="1:8" x14ac:dyDescent="0.2">
      <c r="A42" s="3">
        <v>3080107034</v>
      </c>
      <c r="B42" s="4" t="s">
        <v>69</v>
      </c>
      <c r="C42" s="4" t="s">
        <v>429</v>
      </c>
      <c r="D42" s="3">
        <v>2</v>
      </c>
      <c r="E42" s="3" t="s">
        <v>16</v>
      </c>
      <c r="F42" s="3" t="s">
        <v>295</v>
      </c>
      <c r="G42" s="3" t="s">
        <v>17</v>
      </c>
      <c r="H42" s="3" t="s">
        <v>40</v>
      </c>
    </row>
    <row r="43" spans="1:8" x14ac:dyDescent="0.2">
      <c r="A43" s="3">
        <v>3080107034</v>
      </c>
      <c r="B43" s="4" t="s">
        <v>69</v>
      </c>
      <c r="C43" s="4" t="s">
        <v>429</v>
      </c>
      <c r="D43" s="3">
        <v>6</v>
      </c>
      <c r="E43" s="3" t="s">
        <v>16</v>
      </c>
      <c r="F43" s="3" t="s">
        <v>295</v>
      </c>
      <c r="G43" s="3" t="s">
        <v>17</v>
      </c>
      <c r="H43" s="3" t="s">
        <v>40</v>
      </c>
    </row>
    <row r="44" spans="1:8" x14ac:dyDescent="0.2">
      <c r="A44" s="3">
        <v>3080107002</v>
      </c>
      <c r="B44" s="4" t="s">
        <v>69</v>
      </c>
      <c r="C44" s="4" t="s">
        <v>430</v>
      </c>
      <c r="D44" s="3">
        <v>4</v>
      </c>
      <c r="E44" s="3" t="s">
        <v>16</v>
      </c>
      <c r="F44" s="3" t="s">
        <v>295</v>
      </c>
      <c r="G44" s="3" t="s">
        <v>17</v>
      </c>
      <c r="H44" s="3" t="s">
        <v>40</v>
      </c>
    </row>
    <row r="45" spans="1:8" x14ac:dyDescent="0.2">
      <c r="A45" s="3">
        <v>3080107052</v>
      </c>
      <c r="B45" s="4" t="s">
        <v>69</v>
      </c>
      <c r="C45" s="4" t="s">
        <v>431</v>
      </c>
      <c r="D45" s="3">
        <v>1</v>
      </c>
      <c r="E45" s="3" t="s">
        <v>16</v>
      </c>
      <c r="F45" s="3" t="s">
        <v>295</v>
      </c>
      <c r="G45" s="3" t="s">
        <v>17</v>
      </c>
      <c r="H45" s="3" t="s">
        <v>40</v>
      </c>
    </row>
    <row r="46" spans="1:8" x14ac:dyDescent="0.2">
      <c r="A46" s="3">
        <v>3080107160</v>
      </c>
      <c r="B46" s="4" t="s">
        <v>69</v>
      </c>
      <c r="C46" s="4" t="s">
        <v>432</v>
      </c>
      <c r="D46" s="3">
        <v>4</v>
      </c>
      <c r="E46" s="3" t="s">
        <v>16</v>
      </c>
      <c r="F46" s="3" t="s">
        <v>293</v>
      </c>
      <c r="G46" s="3" t="s">
        <v>29</v>
      </c>
      <c r="H46" s="3" t="s">
        <v>40</v>
      </c>
    </row>
    <row r="47" spans="1:8" x14ac:dyDescent="0.2">
      <c r="A47" s="3">
        <v>3080107308</v>
      </c>
      <c r="B47" s="4" t="s">
        <v>69</v>
      </c>
      <c r="C47" s="4" t="s">
        <v>433</v>
      </c>
      <c r="D47" s="3">
        <v>2</v>
      </c>
      <c r="E47" s="3" t="s">
        <v>16</v>
      </c>
      <c r="F47" s="3" t="s">
        <v>291</v>
      </c>
      <c r="G47" s="3" t="s">
        <v>26</v>
      </c>
      <c r="H47" s="3" t="s">
        <v>40</v>
      </c>
    </row>
    <row r="48" spans="1:8" x14ac:dyDescent="0.2">
      <c r="A48" s="3">
        <v>3080107306</v>
      </c>
      <c r="B48" s="4" t="s">
        <v>69</v>
      </c>
      <c r="C48" s="4" t="s">
        <v>1240</v>
      </c>
      <c r="D48" s="3">
        <v>2</v>
      </c>
      <c r="E48" s="3" t="s">
        <v>16</v>
      </c>
      <c r="F48" s="3" t="s">
        <v>291</v>
      </c>
      <c r="G48" s="3" t="s">
        <v>26</v>
      </c>
      <c r="H48" s="3" t="s">
        <v>40</v>
      </c>
    </row>
    <row r="49" spans="1:8" x14ac:dyDescent="0.2">
      <c r="A49" s="3">
        <v>3080107072</v>
      </c>
      <c r="B49" s="4" t="s">
        <v>69</v>
      </c>
      <c r="C49" s="4" t="s">
        <v>435</v>
      </c>
      <c r="D49" s="3">
        <v>4</v>
      </c>
      <c r="E49" s="3" t="s">
        <v>16</v>
      </c>
      <c r="F49" s="3" t="s">
        <v>291</v>
      </c>
      <c r="G49" s="3" t="s">
        <v>26</v>
      </c>
      <c r="H49" s="3" t="s">
        <v>40</v>
      </c>
    </row>
    <row r="50" spans="1:8" x14ac:dyDescent="0.2">
      <c r="A50" s="3">
        <v>3080107094</v>
      </c>
      <c r="B50" s="4" t="s">
        <v>69</v>
      </c>
      <c r="C50" s="4" t="s">
        <v>436</v>
      </c>
      <c r="D50" s="3">
        <v>2</v>
      </c>
      <c r="E50" s="3" t="s">
        <v>16</v>
      </c>
      <c r="F50" s="3" t="s">
        <v>291</v>
      </c>
      <c r="G50" s="3" t="s">
        <v>26</v>
      </c>
      <c r="H50" s="3" t="s">
        <v>40</v>
      </c>
    </row>
    <row r="51" spans="1:8" x14ac:dyDescent="0.2">
      <c r="A51" s="3">
        <v>3080108052</v>
      </c>
      <c r="B51" s="4" t="s">
        <v>77</v>
      </c>
      <c r="C51" s="4" t="s">
        <v>1164</v>
      </c>
      <c r="D51" s="3">
        <v>1</v>
      </c>
      <c r="E51" s="3" t="s">
        <v>16</v>
      </c>
      <c r="F51" s="3" t="s">
        <v>289</v>
      </c>
      <c r="G51" s="3" t="s">
        <v>23</v>
      </c>
      <c r="H51" s="3" t="s">
        <v>40</v>
      </c>
    </row>
    <row r="52" spans="1:8" x14ac:dyDescent="0.2">
      <c r="A52" s="3">
        <v>3080101008</v>
      </c>
      <c r="B52" s="4" t="s">
        <v>77</v>
      </c>
      <c r="C52" s="4" t="s">
        <v>1165</v>
      </c>
      <c r="D52" s="3">
        <v>4</v>
      </c>
      <c r="E52" s="3" t="s">
        <v>16</v>
      </c>
      <c r="F52" s="3" t="s">
        <v>289</v>
      </c>
      <c r="G52" s="3" t="s">
        <v>23</v>
      </c>
      <c r="H52" s="3" t="s">
        <v>40</v>
      </c>
    </row>
    <row r="53" spans="1:8" x14ac:dyDescent="0.2">
      <c r="A53" s="3">
        <v>3080108040</v>
      </c>
      <c r="B53" s="4" t="s">
        <v>77</v>
      </c>
      <c r="C53" s="4" t="s">
        <v>1166</v>
      </c>
      <c r="D53" s="3">
        <v>2</v>
      </c>
      <c r="E53" s="3" t="s">
        <v>16</v>
      </c>
      <c r="F53" s="3" t="s">
        <v>289</v>
      </c>
      <c r="G53" s="3" t="s">
        <v>23</v>
      </c>
      <c r="H53" s="3" t="s">
        <v>40</v>
      </c>
    </row>
    <row r="54" spans="1:8" x14ac:dyDescent="0.2">
      <c r="A54" s="3">
        <v>3080108025</v>
      </c>
      <c r="B54" s="4" t="s">
        <v>77</v>
      </c>
      <c r="C54" s="4" t="s">
        <v>437</v>
      </c>
      <c r="D54" s="3">
        <v>7</v>
      </c>
      <c r="E54" s="3" t="s">
        <v>16</v>
      </c>
      <c r="F54" s="3" t="s">
        <v>295</v>
      </c>
      <c r="G54" s="3" t="s">
        <v>17</v>
      </c>
      <c r="H54" s="3" t="s">
        <v>40</v>
      </c>
    </row>
    <row r="55" spans="1:8" x14ac:dyDescent="0.2">
      <c r="A55" s="3">
        <v>3080108033</v>
      </c>
      <c r="B55" s="4" t="s">
        <v>77</v>
      </c>
      <c r="C55" s="4" t="s">
        <v>438</v>
      </c>
      <c r="D55" s="3">
        <v>4</v>
      </c>
      <c r="E55" s="3" t="s">
        <v>16</v>
      </c>
      <c r="F55" s="3" t="s">
        <v>291</v>
      </c>
      <c r="G55" s="3" t="s">
        <v>26</v>
      </c>
      <c r="H55" s="3" t="s">
        <v>40</v>
      </c>
    </row>
    <row r="56" spans="1:8" x14ac:dyDescent="0.2">
      <c r="A56" s="3">
        <v>3080403001</v>
      </c>
      <c r="B56" s="4" t="s">
        <v>439</v>
      </c>
      <c r="C56" s="4" t="s">
        <v>440</v>
      </c>
      <c r="D56" s="3">
        <v>1</v>
      </c>
      <c r="E56" s="3" t="s">
        <v>16</v>
      </c>
      <c r="F56" s="3" t="s">
        <v>295</v>
      </c>
      <c r="G56" s="3" t="s">
        <v>17</v>
      </c>
      <c r="H56" s="3" t="s">
        <v>40</v>
      </c>
    </row>
    <row r="57" spans="1:8" x14ac:dyDescent="0.2">
      <c r="A57" s="3">
        <v>3080109002</v>
      </c>
      <c r="B57" s="4" t="s">
        <v>441</v>
      </c>
      <c r="C57" s="4" t="s">
        <v>442</v>
      </c>
      <c r="D57" s="3">
        <v>2</v>
      </c>
      <c r="E57" s="3" t="s">
        <v>16</v>
      </c>
      <c r="F57" s="3" t="s">
        <v>295</v>
      </c>
      <c r="G57" s="3" t="s">
        <v>17</v>
      </c>
      <c r="H57" s="3" t="s">
        <v>40</v>
      </c>
    </row>
    <row r="58" spans="1:8" x14ac:dyDescent="0.2">
      <c r="A58" s="3">
        <v>3080111012</v>
      </c>
      <c r="B58" s="4" t="s">
        <v>79</v>
      </c>
      <c r="C58" s="4" t="s">
        <v>443</v>
      </c>
      <c r="D58" s="3">
        <v>2</v>
      </c>
      <c r="E58" s="3" t="s">
        <v>16</v>
      </c>
      <c r="F58" s="3" t="s">
        <v>295</v>
      </c>
      <c r="G58" s="3" t="s">
        <v>17</v>
      </c>
      <c r="H58" s="3" t="s">
        <v>40</v>
      </c>
    </row>
    <row r="59" spans="1:8" x14ac:dyDescent="0.2">
      <c r="A59" s="3">
        <v>3080111006</v>
      </c>
      <c r="B59" s="4" t="s">
        <v>79</v>
      </c>
      <c r="C59" s="4" t="s">
        <v>444</v>
      </c>
      <c r="D59" s="3">
        <v>1</v>
      </c>
      <c r="E59" s="3" t="s">
        <v>16</v>
      </c>
      <c r="F59" s="3" t="s">
        <v>295</v>
      </c>
      <c r="G59" s="3" t="s">
        <v>17</v>
      </c>
      <c r="H59" s="3" t="s">
        <v>40</v>
      </c>
    </row>
    <row r="60" spans="1:8" x14ac:dyDescent="0.2">
      <c r="A60" s="3">
        <v>3080111004</v>
      </c>
      <c r="B60" s="4" t="s">
        <v>79</v>
      </c>
      <c r="C60" s="4" t="s">
        <v>445</v>
      </c>
      <c r="D60" s="3">
        <v>2</v>
      </c>
      <c r="E60" s="3" t="s">
        <v>16</v>
      </c>
      <c r="F60" s="3" t="s">
        <v>293</v>
      </c>
      <c r="G60" s="3" t="s">
        <v>29</v>
      </c>
      <c r="H60" s="3" t="s">
        <v>40</v>
      </c>
    </row>
    <row r="61" spans="1:8" x14ac:dyDescent="0.2">
      <c r="A61" s="3">
        <v>3080111087</v>
      </c>
      <c r="B61" s="4" t="s">
        <v>79</v>
      </c>
      <c r="C61" s="4" t="s">
        <v>80</v>
      </c>
      <c r="D61" s="3">
        <v>16</v>
      </c>
      <c r="E61" s="3" t="s">
        <v>16</v>
      </c>
      <c r="F61" s="3" t="s">
        <v>291</v>
      </c>
      <c r="G61" s="3" t="s">
        <v>26</v>
      </c>
      <c r="H61" s="3" t="s">
        <v>40</v>
      </c>
    </row>
    <row r="62" spans="1:8" x14ac:dyDescent="0.2">
      <c r="A62" s="3">
        <v>3080111087</v>
      </c>
      <c r="B62" s="4" t="s">
        <v>79</v>
      </c>
      <c r="C62" s="4" t="s">
        <v>80</v>
      </c>
      <c r="D62" s="3">
        <v>2</v>
      </c>
      <c r="E62" s="3" t="s">
        <v>16</v>
      </c>
      <c r="F62" s="3" t="s">
        <v>291</v>
      </c>
      <c r="G62" s="3" t="s">
        <v>26</v>
      </c>
      <c r="H62" s="3" t="s">
        <v>40</v>
      </c>
    </row>
    <row r="63" spans="1:8" x14ac:dyDescent="0.2">
      <c r="A63" s="3">
        <v>3080111015</v>
      </c>
      <c r="B63" s="4" t="s">
        <v>79</v>
      </c>
      <c r="C63" s="4" t="s">
        <v>446</v>
      </c>
      <c r="D63" s="3">
        <v>4</v>
      </c>
      <c r="E63" s="3" t="s">
        <v>16</v>
      </c>
      <c r="F63" s="3" t="s">
        <v>291</v>
      </c>
      <c r="G63" s="3" t="s">
        <v>26</v>
      </c>
      <c r="H63" s="3" t="s">
        <v>40</v>
      </c>
    </row>
    <row r="64" spans="1:8" x14ac:dyDescent="0.2">
      <c r="A64" s="3">
        <v>407030052</v>
      </c>
      <c r="B64" s="4" t="s">
        <v>81</v>
      </c>
      <c r="C64" s="4" t="s">
        <v>1241</v>
      </c>
      <c r="D64" s="3">
        <v>1</v>
      </c>
      <c r="E64" s="3" t="s">
        <v>16</v>
      </c>
      <c r="F64" s="3" t="s">
        <v>301</v>
      </c>
      <c r="G64" s="3" t="s">
        <v>32</v>
      </c>
      <c r="H64" s="3" t="s">
        <v>40</v>
      </c>
    </row>
    <row r="65" spans="1:8" x14ac:dyDescent="0.2">
      <c r="A65" s="3">
        <v>3099991201</v>
      </c>
      <c r="B65" s="4" t="s">
        <v>1280</v>
      </c>
      <c r="C65" s="4" t="s">
        <v>1281</v>
      </c>
      <c r="D65" s="3">
        <v>1</v>
      </c>
      <c r="E65" s="3" t="s">
        <v>16</v>
      </c>
      <c r="F65" s="3" t="s">
        <v>299</v>
      </c>
      <c r="G65" s="3" t="s">
        <v>106</v>
      </c>
      <c r="H65" s="3" t="s">
        <v>103</v>
      </c>
    </row>
    <row r="66" spans="1:8" x14ac:dyDescent="0.2">
      <c r="A66" s="3">
        <v>3099990103</v>
      </c>
      <c r="B66" s="4" t="s">
        <v>104</v>
      </c>
      <c r="C66" s="4" t="s">
        <v>1282</v>
      </c>
      <c r="D66" s="3">
        <v>1</v>
      </c>
      <c r="E66" s="3" t="s">
        <v>16</v>
      </c>
      <c r="F66" s="3" t="s">
        <v>299</v>
      </c>
      <c r="G66" s="3" t="s">
        <v>106</v>
      </c>
      <c r="H66" s="3" t="s">
        <v>103</v>
      </c>
    </row>
    <row r="67" spans="1:8" x14ac:dyDescent="0.2">
      <c r="A67" s="3">
        <v>402030026</v>
      </c>
      <c r="B67" s="4" t="s">
        <v>107</v>
      </c>
      <c r="C67" s="4" t="s">
        <v>1171</v>
      </c>
      <c r="D67" s="3">
        <v>1</v>
      </c>
      <c r="E67" s="3" t="s">
        <v>16</v>
      </c>
      <c r="F67" s="3" t="s">
        <v>289</v>
      </c>
      <c r="G67" s="3" t="s">
        <v>23</v>
      </c>
      <c r="H67" s="3" t="s">
        <v>109</v>
      </c>
    </row>
    <row r="68" spans="1:8" x14ac:dyDescent="0.2">
      <c r="A68" s="3">
        <v>402030027</v>
      </c>
      <c r="B68" s="4" t="s">
        <v>107</v>
      </c>
      <c r="C68" s="4" t="s">
        <v>110</v>
      </c>
      <c r="D68" s="3">
        <v>1</v>
      </c>
      <c r="E68" s="3" t="s">
        <v>16</v>
      </c>
      <c r="F68" s="3" t="s">
        <v>291</v>
      </c>
      <c r="G68" s="3" t="s">
        <v>26</v>
      </c>
      <c r="H68" s="3" t="s">
        <v>109</v>
      </c>
    </row>
    <row r="69" spans="1:8" x14ac:dyDescent="0.2">
      <c r="A69" s="3">
        <v>402020002</v>
      </c>
      <c r="B69" s="4" t="s">
        <v>111</v>
      </c>
      <c r="C69" s="4" t="s">
        <v>452</v>
      </c>
      <c r="D69" s="3">
        <v>2</v>
      </c>
      <c r="E69" s="3" t="s">
        <v>16</v>
      </c>
      <c r="F69" s="3" t="s">
        <v>293</v>
      </c>
      <c r="G69" s="3" t="s">
        <v>29</v>
      </c>
      <c r="H69" s="3" t="s">
        <v>109</v>
      </c>
    </row>
    <row r="70" spans="1:8" x14ac:dyDescent="0.2">
      <c r="A70" s="3">
        <v>3060209002</v>
      </c>
      <c r="B70" s="4" t="s">
        <v>113</v>
      </c>
      <c r="C70" s="4" t="s">
        <v>114</v>
      </c>
      <c r="D70" s="3">
        <v>2</v>
      </c>
      <c r="E70" s="3" t="s">
        <v>16</v>
      </c>
      <c r="F70" s="3" t="s">
        <v>289</v>
      </c>
      <c r="G70" s="3" t="s">
        <v>23</v>
      </c>
      <c r="H70" s="3" t="s">
        <v>115</v>
      </c>
    </row>
    <row r="71" spans="1:8" x14ac:dyDescent="0.2">
      <c r="A71" s="3">
        <v>3040216001</v>
      </c>
      <c r="B71" s="4" t="s">
        <v>328</v>
      </c>
      <c r="C71" s="4" t="s">
        <v>329</v>
      </c>
      <c r="D71" s="3">
        <v>4</v>
      </c>
      <c r="E71" s="3" t="s">
        <v>16</v>
      </c>
      <c r="F71" s="3" t="s">
        <v>293</v>
      </c>
      <c r="G71" s="3" t="s">
        <v>29</v>
      </c>
      <c r="H71" s="3" t="s">
        <v>115</v>
      </c>
    </row>
    <row r="72" spans="1:8" x14ac:dyDescent="0.2">
      <c r="A72" s="3">
        <v>3030204017</v>
      </c>
      <c r="B72" s="4" t="s">
        <v>453</v>
      </c>
      <c r="C72" s="4" t="s">
        <v>454</v>
      </c>
      <c r="D72" s="3">
        <v>1</v>
      </c>
      <c r="E72" s="3" t="s">
        <v>16</v>
      </c>
      <c r="F72" s="3" t="s">
        <v>295</v>
      </c>
      <c r="G72" s="3" t="s">
        <v>17</v>
      </c>
      <c r="H72" s="3" t="s">
        <v>115</v>
      </c>
    </row>
    <row r="73" spans="1:8" x14ac:dyDescent="0.2">
      <c r="A73" s="3">
        <v>3030204005</v>
      </c>
      <c r="B73" s="4" t="s">
        <v>455</v>
      </c>
      <c r="C73" s="4" t="s">
        <v>456</v>
      </c>
      <c r="D73" s="3">
        <v>1</v>
      </c>
      <c r="E73" s="3" t="s">
        <v>16</v>
      </c>
      <c r="F73" s="3" t="s">
        <v>295</v>
      </c>
      <c r="G73" s="3" t="s">
        <v>17</v>
      </c>
      <c r="H73" s="3" t="s">
        <v>115</v>
      </c>
    </row>
    <row r="74" spans="1:8" x14ac:dyDescent="0.2">
      <c r="A74" s="3">
        <v>3050203003</v>
      </c>
      <c r="B74" s="4" t="s">
        <v>120</v>
      </c>
      <c r="C74" s="4" t="s">
        <v>457</v>
      </c>
      <c r="D74" s="3">
        <v>2</v>
      </c>
      <c r="E74" s="3" t="s">
        <v>16</v>
      </c>
      <c r="F74" s="3" t="s">
        <v>291</v>
      </c>
      <c r="G74" s="3" t="s">
        <v>26</v>
      </c>
      <c r="H74" s="3" t="s">
        <v>115</v>
      </c>
    </row>
    <row r="75" spans="1:8" x14ac:dyDescent="0.2">
      <c r="A75" s="3">
        <v>3030204008</v>
      </c>
      <c r="B75" s="4" t="s">
        <v>122</v>
      </c>
      <c r="C75" s="4" t="s">
        <v>123</v>
      </c>
      <c r="D75" s="3">
        <v>1</v>
      </c>
      <c r="E75" s="3" t="s">
        <v>16</v>
      </c>
      <c r="F75" s="3" t="s">
        <v>291</v>
      </c>
      <c r="G75" s="3" t="s">
        <v>26</v>
      </c>
      <c r="H75" s="3" t="s">
        <v>115</v>
      </c>
    </row>
    <row r="76" spans="1:8" x14ac:dyDescent="0.2">
      <c r="A76" s="3">
        <v>3030206001</v>
      </c>
      <c r="B76" s="4" t="s">
        <v>458</v>
      </c>
      <c r="C76" s="4" t="s">
        <v>404</v>
      </c>
      <c r="D76" s="3">
        <v>1</v>
      </c>
      <c r="E76" s="3" t="s">
        <v>16</v>
      </c>
      <c r="F76" s="3" t="s">
        <v>295</v>
      </c>
      <c r="G76" s="3" t="s">
        <v>17</v>
      </c>
      <c r="H76" s="3" t="s">
        <v>132</v>
      </c>
    </row>
    <row r="77" spans="1:8" x14ac:dyDescent="0.2">
      <c r="A77" s="3">
        <v>3040502053</v>
      </c>
      <c r="B77" s="4" t="s">
        <v>136</v>
      </c>
      <c r="C77" s="4" t="s">
        <v>1117</v>
      </c>
      <c r="D77" s="3">
        <v>1</v>
      </c>
      <c r="E77" s="3" t="s">
        <v>16</v>
      </c>
      <c r="F77" s="3" t="s">
        <v>293</v>
      </c>
      <c r="G77" s="3" t="s">
        <v>29</v>
      </c>
      <c r="H77" s="3" t="s">
        <v>138</v>
      </c>
    </row>
    <row r="78" spans="1:8" x14ac:dyDescent="0.2">
      <c r="A78" s="3">
        <v>3040502052</v>
      </c>
      <c r="B78" s="4" t="s">
        <v>136</v>
      </c>
      <c r="C78" s="4" t="s">
        <v>1118</v>
      </c>
      <c r="D78" s="3">
        <v>1</v>
      </c>
      <c r="E78" s="3" t="s">
        <v>16</v>
      </c>
      <c r="F78" s="3" t="s">
        <v>293</v>
      </c>
      <c r="G78" s="3" t="s">
        <v>29</v>
      </c>
      <c r="H78" s="3" t="s">
        <v>138</v>
      </c>
    </row>
    <row r="79" spans="1:8" x14ac:dyDescent="0.2">
      <c r="A79" s="3">
        <v>3110207001</v>
      </c>
      <c r="B79" s="4" t="s">
        <v>140</v>
      </c>
      <c r="C79" s="4" t="s">
        <v>1173</v>
      </c>
      <c r="D79" s="3">
        <v>1</v>
      </c>
      <c r="E79" s="3" t="s">
        <v>16</v>
      </c>
      <c r="F79" s="3" t="s">
        <v>285</v>
      </c>
      <c r="G79" s="3" t="s">
        <v>142</v>
      </c>
      <c r="H79" s="3" t="s">
        <v>143</v>
      </c>
    </row>
    <row r="80" spans="1:8" x14ac:dyDescent="0.2">
      <c r="A80" s="3">
        <v>3030301005</v>
      </c>
      <c r="B80" s="4" t="s">
        <v>144</v>
      </c>
      <c r="C80" s="4" t="s">
        <v>145</v>
      </c>
      <c r="D80" s="3">
        <v>2</v>
      </c>
      <c r="E80" s="3" t="s">
        <v>16</v>
      </c>
      <c r="F80" s="3" t="s">
        <v>291</v>
      </c>
      <c r="G80" s="3" t="s">
        <v>26</v>
      </c>
      <c r="H80" s="3" t="s">
        <v>143</v>
      </c>
    </row>
    <row r="81" spans="1:8" x14ac:dyDescent="0.2">
      <c r="A81" s="3">
        <v>3110206001</v>
      </c>
      <c r="B81" s="4" t="s">
        <v>715</v>
      </c>
      <c r="C81" s="4" t="s">
        <v>1175</v>
      </c>
      <c r="D81" s="3">
        <v>1</v>
      </c>
      <c r="E81" s="3" t="s">
        <v>16</v>
      </c>
      <c r="F81" s="3" t="s">
        <v>285</v>
      </c>
      <c r="G81" s="3" t="s">
        <v>142</v>
      </c>
      <c r="H81" s="3" t="s">
        <v>143</v>
      </c>
    </row>
    <row r="82" spans="1:8" x14ac:dyDescent="0.2">
      <c r="A82" s="3">
        <v>3990205004</v>
      </c>
      <c r="B82" s="4" t="s">
        <v>146</v>
      </c>
      <c r="C82" s="4" t="s">
        <v>1283</v>
      </c>
      <c r="D82" s="3">
        <v>1</v>
      </c>
      <c r="E82" s="3" t="s">
        <v>16</v>
      </c>
      <c r="F82" s="3" t="s">
        <v>287</v>
      </c>
      <c r="G82" s="3" t="s">
        <v>148</v>
      </c>
      <c r="H82" s="3" t="s">
        <v>143</v>
      </c>
    </row>
    <row r="83" spans="1:8" x14ac:dyDescent="0.2">
      <c r="A83" s="3">
        <v>408090008</v>
      </c>
      <c r="B83" s="4" t="s">
        <v>461</v>
      </c>
      <c r="C83" s="4" t="s">
        <v>462</v>
      </c>
      <c r="D83" s="3">
        <v>1</v>
      </c>
      <c r="E83" s="3" t="s">
        <v>16</v>
      </c>
      <c r="F83" s="3" t="s">
        <v>293</v>
      </c>
      <c r="G83" s="3" t="s">
        <v>29</v>
      </c>
      <c r="H83" s="3" t="s">
        <v>151</v>
      </c>
    </row>
    <row r="84" spans="1:8" x14ac:dyDescent="0.2">
      <c r="A84" s="3">
        <v>408090007</v>
      </c>
      <c r="B84" s="4" t="s">
        <v>463</v>
      </c>
      <c r="C84" s="4" t="s">
        <v>464</v>
      </c>
      <c r="D84" s="3">
        <v>1</v>
      </c>
      <c r="E84" s="3" t="s">
        <v>16</v>
      </c>
      <c r="F84" s="3" t="s">
        <v>293</v>
      </c>
      <c r="G84" s="3" t="s">
        <v>29</v>
      </c>
      <c r="H84" s="3" t="s">
        <v>151</v>
      </c>
    </row>
    <row r="85" spans="1:8" x14ac:dyDescent="0.2">
      <c r="A85" s="3">
        <v>3060204002</v>
      </c>
      <c r="B85" s="4" t="s">
        <v>1176</v>
      </c>
      <c r="C85" s="4" t="s">
        <v>1177</v>
      </c>
      <c r="D85" s="3">
        <v>1</v>
      </c>
      <c r="E85" s="3" t="s">
        <v>16</v>
      </c>
      <c r="F85" s="3" t="s">
        <v>289</v>
      </c>
      <c r="G85" s="3" t="s">
        <v>23</v>
      </c>
      <c r="H85" s="3" t="s">
        <v>154</v>
      </c>
    </row>
    <row r="86" spans="1:8" x14ac:dyDescent="0.2">
      <c r="A86" s="3">
        <v>3060206002</v>
      </c>
      <c r="B86" s="4" t="s">
        <v>1178</v>
      </c>
      <c r="C86" s="4" t="s">
        <v>1179</v>
      </c>
      <c r="D86" s="3">
        <v>1</v>
      </c>
      <c r="E86" s="3" t="s">
        <v>16</v>
      </c>
      <c r="F86" s="3" t="s">
        <v>289</v>
      </c>
      <c r="G86" s="3" t="s">
        <v>23</v>
      </c>
      <c r="H86" s="3" t="s">
        <v>154</v>
      </c>
    </row>
    <row r="87" spans="1:8" x14ac:dyDescent="0.2">
      <c r="A87" s="3">
        <v>3060211003</v>
      </c>
      <c r="B87" s="4" t="s">
        <v>1180</v>
      </c>
      <c r="C87" s="4" t="s">
        <v>1181</v>
      </c>
      <c r="D87" s="3">
        <v>1</v>
      </c>
      <c r="E87" s="3" t="s">
        <v>16</v>
      </c>
      <c r="F87" s="3" t="s">
        <v>289</v>
      </c>
      <c r="G87" s="3" t="s">
        <v>23</v>
      </c>
      <c r="H87" s="3" t="s">
        <v>154</v>
      </c>
    </row>
    <row r="88" spans="1:8" x14ac:dyDescent="0.2">
      <c r="A88" s="3">
        <v>3060328001</v>
      </c>
      <c r="B88" s="4" t="s">
        <v>1182</v>
      </c>
      <c r="C88" s="4" t="s">
        <v>1183</v>
      </c>
      <c r="D88" s="3">
        <v>1</v>
      </c>
      <c r="E88" s="3" t="s">
        <v>16</v>
      </c>
      <c r="F88" s="3" t="s">
        <v>289</v>
      </c>
      <c r="G88" s="3" t="s">
        <v>23</v>
      </c>
      <c r="H88" s="3" t="s">
        <v>165</v>
      </c>
    </row>
    <row r="89" spans="1:8" x14ac:dyDescent="0.2">
      <c r="A89" s="3">
        <v>3060328002</v>
      </c>
      <c r="B89" s="4" t="s">
        <v>1182</v>
      </c>
      <c r="C89" s="4" t="s">
        <v>1184</v>
      </c>
      <c r="D89" s="3">
        <v>1</v>
      </c>
      <c r="E89" s="3" t="s">
        <v>16</v>
      </c>
      <c r="F89" s="3" t="s">
        <v>289</v>
      </c>
      <c r="G89" s="3" t="s">
        <v>23</v>
      </c>
      <c r="H89" s="3" t="s">
        <v>165</v>
      </c>
    </row>
    <row r="90" spans="1:8" x14ac:dyDescent="0.2">
      <c r="A90" s="3">
        <v>3030301010</v>
      </c>
      <c r="B90" s="4" t="s">
        <v>468</v>
      </c>
      <c r="C90" s="4" t="s">
        <v>469</v>
      </c>
      <c r="D90" s="3">
        <v>4</v>
      </c>
      <c r="E90" s="3" t="s">
        <v>16</v>
      </c>
      <c r="F90" s="3" t="s">
        <v>295</v>
      </c>
      <c r="G90" s="3" t="s">
        <v>17</v>
      </c>
      <c r="H90" s="3" t="s">
        <v>165</v>
      </c>
    </row>
    <row r="91" spans="1:8" x14ac:dyDescent="0.2">
      <c r="A91" s="3">
        <v>3060347005</v>
      </c>
      <c r="B91" s="4" t="s">
        <v>470</v>
      </c>
      <c r="C91" s="4" t="s">
        <v>471</v>
      </c>
      <c r="D91" s="3">
        <v>1</v>
      </c>
      <c r="E91" s="3" t="s">
        <v>16</v>
      </c>
      <c r="F91" s="3" t="s">
        <v>291</v>
      </c>
      <c r="G91" s="3" t="s">
        <v>26</v>
      </c>
      <c r="H91" s="3" t="s">
        <v>165</v>
      </c>
    </row>
    <row r="92" spans="1:8" x14ac:dyDescent="0.2">
      <c r="A92" s="3">
        <v>3060347006</v>
      </c>
      <c r="B92" s="4" t="s">
        <v>470</v>
      </c>
      <c r="C92" s="4" t="s">
        <v>472</v>
      </c>
      <c r="D92" s="3">
        <v>1</v>
      </c>
      <c r="E92" s="3" t="s">
        <v>16</v>
      </c>
      <c r="F92" s="3" t="s">
        <v>291</v>
      </c>
      <c r="G92" s="3" t="s">
        <v>26</v>
      </c>
      <c r="H92" s="3" t="s">
        <v>165</v>
      </c>
    </row>
    <row r="93" spans="1:8" x14ac:dyDescent="0.2">
      <c r="A93" s="3">
        <v>3110103002</v>
      </c>
      <c r="B93" s="4" t="s">
        <v>473</v>
      </c>
      <c r="C93" s="4" t="s">
        <v>474</v>
      </c>
      <c r="D93" s="3">
        <v>1</v>
      </c>
      <c r="E93" s="3" t="s">
        <v>16</v>
      </c>
      <c r="F93" s="3" t="s">
        <v>291</v>
      </c>
      <c r="G93" s="3" t="s">
        <v>26</v>
      </c>
      <c r="H93" s="3" t="s">
        <v>165</v>
      </c>
    </row>
    <row r="94" spans="1:8" x14ac:dyDescent="0.2">
      <c r="A94" s="3">
        <v>3030316006</v>
      </c>
      <c r="B94" s="4" t="s">
        <v>475</v>
      </c>
      <c r="C94" s="4" t="s">
        <v>476</v>
      </c>
      <c r="D94" s="3">
        <v>1</v>
      </c>
      <c r="E94" s="3" t="s">
        <v>16</v>
      </c>
      <c r="F94" s="3" t="s">
        <v>295</v>
      </c>
      <c r="G94" s="3" t="s">
        <v>17</v>
      </c>
      <c r="H94" s="3" t="s">
        <v>165</v>
      </c>
    </row>
    <row r="95" spans="1:8" x14ac:dyDescent="0.2">
      <c r="A95" s="3">
        <v>3040326008</v>
      </c>
      <c r="B95" s="4" t="s">
        <v>546</v>
      </c>
      <c r="C95" s="4" t="s">
        <v>1121</v>
      </c>
      <c r="D95" s="3">
        <v>1</v>
      </c>
      <c r="E95" s="3" t="s">
        <v>16</v>
      </c>
      <c r="F95" s="3" t="s">
        <v>293</v>
      </c>
      <c r="G95" s="3" t="s">
        <v>29</v>
      </c>
      <c r="H95" s="3" t="s">
        <v>165</v>
      </c>
    </row>
    <row r="96" spans="1:8" x14ac:dyDescent="0.2">
      <c r="A96" s="3">
        <v>3040326007</v>
      </c>
      <c r="B96" s="4" t="s">
        <v>546</v>
      </c>
      <c r="C96" s="4" t="s">
        <v>1122</v>
      </c>
      <c r="D96" s="3">
        <v>1</v>
      </c>
      <c r="E96" s="3" t="s">
        <v>16</v>
      </c>
      <c r="F96" s="3" t="s">
        <v>293</v>
      </c>
      <c r="G96" s="3" t="s">
        <v>29</v>
      </c>
      <c r="H96" s="3" t="s">
        <v>165</v>
      </c>
    </row>
    <row r="97" spans="1:8" x14ac:dyDescent="0.2">
      <c r="A97" s="3">
        <v>3030314007</v>
      </c>
      <c r="B97" s="4" t="s">
        <v>477</v>
      </c>
      <c r="C97" s="4" t="s">
        <v>478</v>
      </c>
      <c r="D97" s="3">
        <v>1</v>
      </c>
      <c r="E97" s="3" t="s">
        <v>16</v>
      </c>
      <c r="F97" s="3" t="s">
        <v>291</v>
      </c>
      <c r="G97" s="3" t="s">
        <v>26</v>
      </c>
      <c r="H97" s="3" t="s">
        <v>165</v>
      </c>
    </row>
    <row r="98" spans="1:8" x14ac:dyDescent="0.2">
      <c r="A98" s="3">
        <v>3030308013</v>
      </c>
      <c r="B98" s="4" t="s">
        <v>479</v>
      </c>
      <c r="C98" s="4" t="s">
        <v>478</v>
      </c>
      <c r="D98" s="3">
        <v>1</v>
      </c>
      <c r="E98" s="3" t="s">
        <v>16</v>
      </c>
      <c r="F98" s="3" t="s">
        <v>291</v>
      </c>
      <c r="G98" s="3" t="s">
        <v>26</v>
      </c>
      <c r="H98" s="3" t="s">
        <v>165</v>
      </c>
    </row>
    <row r="99" spans="1:8" x14ac:dyDescent="0.2">
      <c r="A99" s="3">
        <v>3050310030</v>
      </c>
      <c r="B99" s="4" t="s">
        <v>480</v>
      </c>
      <c r="C99" s="4" t="s">
        <v>469</v>
      </c>
      <c r="D99" s="3">
        <v>2</v>
      </c>
      <c r="E99" s="3" t="s">
        <v>16</v>
      </c>
      <c r="F99" s="3" t="s">
        <v>291</v>
      </c>
      <c r="G99" s="3" t="s">
        <v>26</v>
      </c>
      <c r="H99" s="3" t="s">
        <v>165</v>
      </c>
    </row>
    <row r="100" spans="1:8" x14ac:dyDescent="0.2">
      <c r="A100" s="3">
        <v>3060304005</v>
      </c>
      <c r="B100" s="4" t="s">
        <v>1194</v>
      </c>
      <c r="C100" s="4" t="s">
        <v>1196</v>
      </c>
      <c r="D100" s="3">
        <v>3</v>
      </c>
      <c r="E100" s="3" t="s">
        <v>16</v>
      </c>
      <c r="F100" s="3" t="s">
        <v>289</v>
      </c>
      <c r="G100" s="3" t="s">
        <v>23</v>
      </c>
      <c r="H100" s="3" t="s">
        <v>173</v>
      </c>
    </row>
    <row r="101" spans="1:8" x14ac:dyDescent="0.2">
      <c r="A101" s="3">
        <v>3050305013</v>
      </c>
      <c r="B101" s="4" t="s">
        <v>484</v>
      </c>
      <c r="C101" s="4" t="s">
        <v>485</v>
      </c>
      <c r="D101" s="3">
        <v>1</v>
      </c>
      <c r="E101" s="3" t="s">
        <v>16</v>
      </c>
      <c r="F101" s="3" t="s">
        <v>291</v>
      </c>
      <c r="G101" s="3" t="s">
        <v>26</v>
      </c>
      <c r="H101" s="3" t="s">
        <v>173</v>
      </c>
    </row>
    <row r="102" spans="1:8" x14ac:dyDescent="0.2">
      <c r="A102" s="3">
        <v>3040305002</v>
      </c>
      <c r="B102" s="4" t="s">
        <v>486</v>
      </c>
      <c r="C102" s="4" t="s">
        <v>487</v>
      </c>
      <c r="D102" s="3">
        <v>2</v>
      </c>
      <c r="E102" s="3" t="s">
        <v>16</v>
      </c>
      <c r="F102" s="3" t="s">
        <v>293</v>
      </c>
      <c r="G102" s="3" t="s">
        <v>29</v>
      </c>
      <c r="H102" s="3" t="s">
        <v>173</v>
      </c>
    </row>
    <row r="103" spans="1:8" x14ac:dyDescent="0.2">
      <c r="A103" s="3">
        <v>3040313002</v>
      </c>
      <c r="B103" s="4" t="s">
        <v>488</v>
      </c>
      <c r="C103" s="4" t="s">
        <v>489</v>
      </c>
      <c r="D103" s="3">
        <v>8</v>
      </c>
      <c r="E103" s="3" t="s">
        <v>16</v>
      </c>
      <c r="F103" s="3" t="s">
        <v>293</v>
      </c>
      <c r="G103" s="3" t="s">
        <v>29</v>
      </c>
      <c r="H103" s="3" t="s">
        <v>173</v>
      </c>
    </row>
    <row r="104" spans="1:8" x14ac:dyDescent="0.2">
      <c r="A104" s="3">
        <v>3040321001</v>
      </c>
      <c r="B104" s="4" t="s">
        <v>490</v>
      </c>
      <c r="C104" s="4" t="s">
        <v>347</v>
      </c>
      <c r="D104" s="3">
        <v>8</v>
      </c>
      <c r="E104" s="3" t="s">
        <v>16</v>
      </c>
      <c r="F104" s="3" t="s">
        <v>293</v>
      </c>
      <c r="G104" s="3" t="s">
        <v>29</v>
      </c>
      <c r="H104" s="3" t="s">
        <v>173</v>
      </c>
    </row>
    <row r="105" spans="1:8" x14ac:dyDescent="0.2">
      <c r="A105" s="3">
        <v>3040309001</v>
      </c>
      <c r="B105" s="4" t="s">
        <v>346</v>
      </c>
      <c r="C105" s="4" t="s">
        <v>347</v>
      </c>
      <c r="D105" s="3">
        <v>4</v>
      </c>
      <c r="E105" s="3" t="s">
        <v>16</v>
      </c>
      <c r="F105" s="3" t="s">
        <v>293</v>
      </c>
      <c r="G105" s="3" t="s">
        <v>29</v>
      </c>
      <c r="H105" s="3" t="s">
        <v>173</v>
      </c>
    </row>
    <row r="106" spans="1:8" x14ac:dyDescent="0.2">
      <c r="A106" s="3">
        <v>3050304005</v>
      </c>
      <c r="B106" s="4" t="s">
        <v>181</v>
      </c>
      <c r="C106" s="4" t="s">
        <v>487</v>
      </c>
      <c r="D106" s="3">
        <v>1</v>
      </c>
      <c r="E106" s="3" t="s">
        <v>16</v>
      </c>
      <c r="F106" s="3" t="s">
        <v>291</v>
      </c>
      <c r="G106" s="3" t="s">
        <v>26</v>
      </c>
      <c r="H106" s="3" t="s">
        <v>173</v>
      </c>
    </row>
    <row r="107" spans="1:8" x14ac:dyDescent="0.2">
      <c r="A107" s="3">
        <v>3050305009</v>
      </c>
      <c r="B107" s="4" t="s">
        <v>1290</v>
      </c>
      <c r="C107" s="4" t="s">
        <v>487</v>
      </c>
      <c r="D107" s="3">
        <v>2</v>
      </c>
      <c r="E107" s="3" t="s">
        <v>16</v>
      </c>
      <c r="F107" s="3" t="s">
        <v>291</v>
      </c>
      <c r="G107" s="3" t="s">
        <v>26</v>
      </c>
      <c r="H107" s="3" t="s">
        <v>173</v>
      </c>
    </row>
    <row r="108" spans="1:8" x14ac:dyDescent="0.2">
      <c r="A108" s="3">
        <v>3020501004</v>
      </c>
      <c r="B108" s="4" t="s">
        <v>183</v>
      </c>
      <c r="C108" s="4" t="s">
        <v>761</v>
      </c>
      <c r="D108" s="3">
        <v>1</v>
      </c>
      <c r="E108" s="3" t="s">
        <v>16</v>
      </c>
      <c r="F108" s="3" t="s">
        <v>291</v>
      </c>
      <c r="G108" s="3" t="s">
        <v>26</v>
      </c>
      <c r="H108" s="3" t="s">
        <v>185</v>
      </c>
    </row>
    <row r="109" spans="1:8" x14ac:dyDescent="0.2">
      <c r="A109" s="3">
        <v>3030204003</v>
      </c>
      <c r="B109" s="4" t="s">
        <v>492</v>
      </c>
      <c r="C109" s="4" t="s">
        <v>493</v>
      </c>
      <c r="D109" s="3">
        <v>2</v>
      </c>
      <c r="E109" s="3" t="s">
        <v>16</v>
      </c>
      <c r="F109" s="3" t="s">
        <v>295</v>
      </c>
      <c r="G109" s="3" t="s">
        <v>17</v>
      </c>
      <c r="H109" s="3" t="s">
        <v>494</v>
      </c>
    </row>
    <row r="110" spans="1:8" x14ac:dyDescent="0.2">
      <c r="A110" s="3">
        <v>3990201008</v>
      </c>
      <c r="B110" s="4" t="s">
        <v>186</v>
      </c>
      <c r="C110" s="4" t="s">
        <v>495</v>
      </c>
      <c r="D110" s="3">
        <v>1</v>
      </c>
      <c r="E110" s="3" t="s">
        <v>16</v>
      </c>
      <c r="F110" s="3" t="s">
        <v>295</v>
      </c>
      <c r="G110" s="3" t="s">
        <v>17</v>
      </c>
      <c r="H110" s="3" t="s">
        <v>187</v>
      </c>
    </row>
    <row r="111" spans="1:8" x14ac:dyDescent="0.2">
      <c r="A111" s="3">
        <v>3990202007</v>
      </c>
      <c r="B111" s="4" t="s">
        <v>188</v>
      </c>
      <c r="C111" s="4" t="s">
        <v>495</v>
      </c>
      <c r="D111" s="3">
        <v>1</v>
      </c>
      <c r="E111" s="3" t="s">
        <v>16</v>
      </c>
      <c r="F111" s="3" t="s">
        <v>295</v>
      </c>
      <c r="G111" s="3" t="s">
        <v>17</v>
      </c>
      <c r="H111" s="3" t="s">
        <v>187</v>
      </c>
    </row>
    <row r="112" spans="1:8" x14ac:dyDescent="0.2">
      <c r="A112" s="3">
        <v>3990203002</v>
      </c>
      <c r="B112" s="4" t="s">
        <v>189</v>
      </c>
      <c r="C112" s="4" t="s">
        <v>495</v>
      </c>
      <c r="D112" s="3">
        <v>1</v>
      </c>
      <c r="E112" s="3" t="s">
        <v>16</v>
      </c>
      <c r="F112" s="3" t="s">
        <v>295</v>
      </c>
      <c r="G112" s="3" t="s">
        <v>17</v>
      </c>
      <c r="H112" s="3" t="s">
        <v>187</v>
      </c>
    </row>
    <row r="113" spans="1:8" x14ac:dyDescent="0.2">
      <c r="A113" s="3">
        <v>3060403047</v>
      </c>
      <c r="B113" s="4" t="s">
        <v>190</v>
      </c>
      <c r="C113" s="4" t="s">
        <v>1242</v>
      </c>
      <c r="D113" s="3">
        <v>1</v>
      </c>
      <c r="E113" s="3" t="s">
        <v>16</v>
      </c>
      <c r="F113" s="3" t="s">
        <v>295</v>
      </c>
      <c r="G113" s="3" t="s">
        <v>17</v>
      </c>
      <c r="H113" s="3" t="s">
        <v>192</v>
      </c>
    </row>
    <row r="114" spans="1:8" x14ac:dyDescent="0.2">
      <c r="A114" s="3">
        <v>3050405005</v>
      </c>
      <c r="B114" s="4" t="s">
        <v>496</v>
      </c>
      <c r="C114" s="4" t="s">
        <v>1296</v>
      </c>
      <c r="D114" s="3">
        <v>1</v>
      </c>
      <c r="E114" s="3" t="s">
        <v>16</v>
      </c>
      <c r="F114" s="3" t="s">
        <v>291</v>
      </c>
      <c r="G114" s="3" t="s">
        <v>26</v>
      </c>
      <c r="H114" s="3" t="s">
        <v>192</v>
      </c>
    </row>
    <row r="115" spans="1:8" x14ac:dyDescent="0.2">
      <c r="A115" s="3">
        <v>3030402001</v>
      </c>
      <c r="B115" s="4" t="s">
        <v>498</v>
      </c>
      <c r="C115" s="4" t="s">
        <v>499</v>
      </c>
      <c r="D115" s="3">
        <v>1</v>
      </c>
      <c r="E115" s="3" t="s">
        <v>16</v>
      </c>
      <c r="F115" s="3" t="s">
        <v>295</v>
      </c>
      <c r="G115" s="3" t="s">
        <v>17</v>
      </c>
      <c r="H115" s="3" t="s">
        <v>192</v>
      </c>
    </row>
    <row r="116" spans="1:8" x14ac:dyDescent="0.2">
      <c r="A116" s="3">
        <v>3040402009</v>
      </c>
      <c r="B116" s="4" t="s">
        <v>500</v>
      </c>
      <c r="C116" s="4" t="s">
        <v>1244</v>
      </c>
      <c r="D116" s="3">
        <v>1</v>
      </c>
      <c r="E116" s="3" t="s">
        <v>16</v>
      </c>
      <c r="F116" s="3" t="s">
        <v>293</v>
      </c>
      <c r="G116" s="3" t="s">
        <v>29</v>
      </c>
      <c r="H116" s="3" t="s">
        <v>192</v>
      </c>
    </row>
    <row r="117" spans="1:8" x14ac:dyDescent="0.2">
      <c r="A117" s="3">
        <v>3040402010</v>
      </c>
      <c r="B117" s="4" t="s">
        <v>500</v>
      </c>
      <c r="C117" s="4" t="s">
        <v>1245</v>
      </c>
      <c r="D117" s="3">
        <v>1</v>
      </c>
      <c r="E117" s="3" t="s">
        <v>16</v>
      </c>
      <c r="F117" s="3" t="s">
        <v>293</v>
      </c>
      <c r="G117" s="3" t="s">
        <v>29</v>
      </c>
      <c r="H117" s="3" t="s">
        <v>192</v>
      </c>
    </row>
    <row r="118" spans="1:8" x14ac:dyDescent="0.2">
      <c r="A118" s="3">
        <v>404100037</v>
      </c>
      <c r="B118" s="4" t="s">
        <v>1201</v>
      </c>
      <c r="C118" s="4" t="s">
        <v>1202</v>
      </c>
      <c r="D118" s="3">
        <v>1</v>
      </c>
      <c r="E118" s="3" t="s">
        <v>16</v>
      </c>
      <c r="F118" s="3" t="s">
        <v>301</v>
      </c>
      <c r="G118" s="3" t="s">
        <v>32</v>
      </c>
      <c r="H118" s="3" t="s">
        <v>198</v>
      </c>
    </row>
    <row r="119" spans="1:8" x14ac:dyDescent="0.2">
      <c r="A119" s="3">
        <v>404100039</v>
      </c>
      <c r="B119" s="4" t="s">
        <v>196</v>
      </c>
      <c r="C119" s="4" t="s">
        <v>1203</v>
      </c>
      <c r="D119" s="3">
        <v>1</v>
      </c>
      <c r="E119" s="3" t="s">
        <v>16</v>
      </c>
      <c r="F119" s="3" t="s">
        <v>301</v>
      </c>
      <c r="G119" s="3" t="s">
        <v>32</v>
      </c>
      <c r="H119" s="3" t="s">
        <v>198</v>
      </c>
    </row>
    <row r="120" spans="1:8" x14ac:dyDescent="0.2">
      <c r="A120" s="3">
        <v>404110010</v>
      </c>
      <c r="B120" s="4" t="s">
        <v>504</v>
      </c>
      <c r="C120" s="4" t="s">
        <v>1291</v>
      </c>
      <c r="D120" s="3">
        <v>2</v>
      </c>
      <c r="E120" s="3" t="s">
        <v>16</v>
      </c>
      <c r="F120" s="3" t="s">
        <v>291</v>
      </c>
      <c r="G120" s="3" t="s">
        <v>26</v>
      </c>
      <c r="H120" s="3" t="s">
        <v>198</v>
      </c>
    </row>
    <row r="121" spans="1:8" x14ac:dyDescent="0.2">
      <c r="A121" s="3">
        <v>404110002</v>
      </c>
      <c r="B121" s="4" t="s">
        <v>504</v>
      </c>
      <c r="C121" s="4" t="s">
        <v>1204</v>
      </c>
      <c r="D121" s="3">
        <v>1</v>
      </c>
      <c r="E121" s="3" t="s">
        <v>16</v>
      </c>
      <c r="F121" s="3" t="s">
        <v>291</v>
      </c>
      <c r="G121" s="3" t="s">
        <v>26</v>
      </c>
      <c r="H121" s="3" t="s">
        <v>198</v>
      </c>
    </row>
    <row r="122" spans="1:8" x14ac:dyDescent="0.2">
      <c r="A122" s="3">
        <v>404100025</v>
      </c>
      <c r="B122" s="4" t="s">
        <v>1093</v>
      </c>
      <c r="C122" s="4" t="s">
        <v>1094</v>
      </c>
      <c r="D122" s="3">
        <v>1</v>
      </c>
      <c r="E122" s="3" t="s">
        <v>16</v>
      </c>
      <c r="F122" s="3" t="s">
        <v>301</v>
      </c>
      <c r="G122" s="3" t="s">
        <v>32</v>
      </c>
      <c r="H122" s="3" t="s">
        <v>198</v>
      </c>
    </row>
    <row r="123" spans="1:8" x14ac:dyDescent="0.2">
      <c r="A123" s="3">
        <v>403030054</v>
      </c>
      <c r="B123" s="4" t="s">
        <v>801</v>
      </c>
      <c r="C123" s="4" t="s">
        <v>1205</v>
      </c>
      <c r="D123" s="3">
        <v>1</v>
      </c>
      <c r="E123" s="3" t="s">
        <v>16</v>
      </c>
      <c r="F123" s="3" t="s">
        <v>301</v>
      </c>
      <c r="G123" s="3" t="s">
        <v>32</v>
      </c>
      <c r="H123" s="3" t="s">
        <v>198</v>
      </c>
    </row>
    <row r="124" spans="1:8" x14ac:dyDescent="0.2">
      <c r="A124" s="3">
        <v>403030012</v>
      </c>
      <c r="B124" s="4" t="s">
        <v>366</v>
      </c>
      <c r="C124" s="4" t="s">
        <v>507</v>
      </c>
      <c r="D124" s="3">
        <v>2</v>
      </c>
      <c r="E124" s="3" t="s">
        <v>16</v>
      </c>
      <c r="F124" s="3" t="s">
        <v>291</v>
      </c>
      <c r="G124" s="3" t="s">
        <v>26</v>
      </c>
      <c r="H124" s="3" t="s">
        <v>198</v>
      </c>
    </row>
    <row r="125" spans="1:8" x14ac:dyDescent="0.2">
      <c r="A125" s="3">
        <v>401070022</v>
      </c>
      <c r="B125" s="4" t="s">
        <v>35</v>
      </c>
      <c r="C125" s="4" t="s">
        <v>203</v>
      </c>
      <c r="D125" s="3">
        <v>1</v>
      </c>
      <c r="E125" s="3" t="s">
        <v>16</v>
      </c>
      <c r="F125" s="3" t="s">
        <v>301</v>
      </c>
      <c r="G125" s="3" t="s">
        <v>32</v>
      </c>
      <c r="H125" s="3" t="s">
        <v>198</v>
      </c>
    </row>
    <row r="126" spans="1:8" x14ac:dyDescent="0.2">
      <c r="A126" s="3">
        <v>401070018</v>
      </c>
      <c r="B126" s="4" t="s">
        <v>35</v>
      </c>
      <c r="C126" s="4" t="s">
        <v>202</v>
      </c>
      <c r="D126" s="3">
        <v>1</v>
      </c>
      <c r="E126" s="3" t="s">
        <v>16</v>
      </c>
      <c r="F126" s="3" t="s">
        <v>291</v>
      </c>
      <c r="G126" s="3" t="s">
        <v>26</v>
      </c>
      <c r="H126" s="3" t="s">
        <v>198</v>
      </c>
    </row>
    <row r="127" spans="1:8" x14ac:dyDescent="0.2">
      <c r="A127" s="3">
        <v>404100020</v>
      </c>
      <c r="B127" s="4" t="s">
        <v>205</v>
      </c>
      <c r="C127" s="4" t="s">
        <v>1292</v>
      </c>
      <c r="D127" s="3">
        <v>1</v>
      </c>
      <c r="E127" s="3" t="s">
        <v>16</v>
      </c>
      <c r="F127" s="3" t="s">
        <v>291</v>
      </c>
      <c r="G127" s="3" t="s">
        <v>26</v>
      </c>
      <c r="H127" s="3" t="s">
        <v>198</v>
      </c>
    </row>
    <row r="128" spans="1:8" x14ac:dyDescent="0.2">
      <c r="A128" s="3">
        <v>404100019</v>
      </c>
      <c r="B128" s="4" t="s">
        <v>207</v>
      </c>
      <c r="C128" s="4" t="s">
        <v>1293</v>
      </c>
      <c r="D128" s="3">
        <v>1</v>
      </c>
      <c r="E128" s="3" t="s">
        <v>16</v>
      </c>
      <c r="F128" s="3" t="s">
        <v>291</v>
      </c>
      <c r="G128" s="3" t="s">
        <v>26</v>
      </c>
      <c r="H128" s="3" t="s">
        <v>198</v>
      </c>
    </row>
    <row r="129" spans="1:8" x14ac:dyDescent="0.2">
      <c r="A129" s="3">
        <v>3030305007</v>
      </c>
      <c r="B129" s="4" t="s">
        <v>511</v>
      </c>
      <c r="C129" s="4" t="s">
        <v>512</v>
      </c>
      <c r="D129" s="3">
        <v>1</v>
      </c>
      <c r="E129" s="3" t="s">
        <v>16</v>
      </c>
      <c r="F129" s="3" t="s">
        <v>295</v>
      </c>
      <c r="G129" s="3" t="s">
        <v>17</v>
      </c>
      <c r="H129" s="3" t="s">
        <v>211</v>
      </c>
    </row>
    <row r="130" spans="1:8" x14ac:dyDescent="0.2">
      <c r="A130" s="3">
        <v>3030305006</v>
      </c>
      <c r="B130" s="4" t="s">
        <v>513</v>
      </c>
      <c r="C130" s="4" t="s">
        <v>512</v>
      </c>
      <c r="D130" s="3">
        <v>1</v>
      </c>
      <c r="E130" s="3" t="s">
        <v>16</v>
      </c>
      <c r="F130" s="3" t="s">
        <v>295</v>
      </c>
      <c r="G130" s="3" t="s">
        <v>17</v>
      </c>
      <c r="H130" s="3" t="s">
        <v>211</v>
      </c>
    </row>
    <row r="131" spans="1:8" x14ac:dyDescent="0.2">
      <c r="A131" s="3">
        <v>3069904001</v>
      </c>
      <c r="B131" s="4" t="s">
        <v>514</v>
      </c>
      <c r="C131" s="4" t="s">
        <v>355</v>
      </c>
      <c r="D131" s="3">
        <v>4</v>
      </c>
      <c r="E131" s="3" t="s">
        <v>16</v>
      </c>
      <c r="F131" s="3" t="s">
        <v>295</v>
      </c>
      <c r="G131" s="3" t="s">
        <v>17</v>
      </c>
      <c r="H131" s="3" t="s">
        <v>214</v>
      </c>
    </row>
    <row r="132" spans="1:8" x14ac:dyDescent="0.2">
      <c r="A132" s="3">
        <v>3030201003</v>
      </c>
      <c r="B132" s="4" t="s">
        <v>515</v>
      </c>
      <c r="C132" s="4" t="s">
        <v>516</v>
      </c>
      <c r="D132" s="3">
        <v>1</v>
      </c>
      <c r="E132" s="3" t="s">
        <v>16</v>
      </c>
      <c r="F132" s="3" t="s">
        <v>295</v>
      </c>
      <c r="G132" s="3" t="s">
        <v>17</v>
      </c>
      <c r="H132" s="3" t="s">
        <v>214</v>
      </c>
    </row>
    <row r="133" spans="1:8" x14ac:dyDescent="0.2">
      <c r="A133" s="3">
        <v>3049903001</v>
      </c>
      <c r="B133" s="4" t="s">
        <v>517</v>
      </c>
      <c r="C133" s="4" t="s">
        <v>355</v>
      </c>
      <c r="D133" s="3">
        <v>2</v>
      </c>
      <c r="E133" s="3" t="s">
        <v>16</v>
      </c>
      <c r="F133" s="3" t="s">
        <v>293</v>
      </c>
      <c r="G133" s="3" t="s">
        <v>29</v>
      </c>
      <c r="H133" s="3" t="s">
        <v>214</v>
      </c>
    </row>
    <row r="134" spans="1:8" x14ac:dyDescent="0.2">
      <c r="A134" s="3">
        <v>3049904001</v>
      </c>
      <c r="B134" s="4" t="s">
        <v>354</v>
      </c>
      <c r="C134" s="4" t="s">
        <v>355</v>
      </c>
      <c r="D134" s="3">
        <v>4</v>
      </c>
      <c r="E134" s="3" t="s">
        <v>16</v>
      </c>
      <c r="F134" s="3" t="s">
        <v>293</v>
      </c>
      <c r="G134" s="3" t="s">
        <v>29</v>
      </c>
      <c r="H134" s="3" t="s">
        <v>214</v>
      </c>
    </row>
    <row r="135" spans="1:8" x14ac:dyDescent="0.2">
      <c r="A135" s="3">
        <v>3049902001</v>
      </c>
      <c r="B135" s="4" t="s">
        <v>518</v>
      </c>
      <c r="C135" s="4" t="s">
        <v>355</v>
      </c>
      <c r="D135" s="3">
        <v>2</v>
      </c>
      <c r="E135" s="3" t="s">
        <v>16</v>
      </c>
      <c r="F135" s="3" t="s">
        <v>293</v>
      </c>
      <c r="G135" s="3" t="s">
        <v>29</v>
      </c>
      <c r="H135" s="3" t="s">
        <v>214</v>
      </c>
    </row>
    <row r="136" spans="1:8" x14ac:dyDescent="0.2">
      <c r="A136" s="3">
        <v>3050204001</v>
      </c>
      <c r="B136" s="4" t="s">
        <v>519</v>
      </c>
      <c r="C136" s="4" t="s">
        <v>355</v>
      </c>
      <c r="D136" s="3">
        <v>2</v>
      </c>
      <c r="E136" s="3" t="s">
        <v>16</v>
      </c>
      <c r="F136" s="3" t="s">
        <v>291</v>
      </c>
      <c r="G136" s="3" t="s">
        <v>26</v>
      </c>
      <c r="H136" s="3" t="s">
        <v>214</v>
      </c>
    </row>
    <row r="137" spans="1:8" x14ac:dyDescent="0.2">
      <c r="A137" s="3">
        <v>3050204002</v>
      </c>
      <c r="B137" s="4" t="s">
        <v>520</v>
      </c>
      <c r="C137" s="4" t="s">
        <v>355</v>
      </c>
      <c r="D137" s="3">
        <v>2</v>
      </c>
      <c r="E137" s="3" t="s">
        <v>16</v>
      </c>
      <c r="F137" s="3" t="s">
        <v>291</v>
      </c>
      <c r="G137" s="3" t="s">
        <v>26</v>
      </c>
      <c r="H137" s="3" t="s">
        <v>214</v>
      </c>
    </row>
    <row r="138" spans="1:8" x14ac:dyDescent="0.2">
      <c r="A138" s="3">
        <v>403030051</v>
      </c>
      <c r="B138" s="4" t="s">
        <v>366</v>
      </c>
      <c r="C138" s="4" t="s">
        <v>367</v>
      </c>
      <c r="D138" s="3">
        <v>3</v>
      </c>
      <c r="E138" s="3" t="s">
        <v>16</v>
      </c>
      <c r="F138" s="3" t="s">
        <v>301</v>
      </c>
      <c r="G138" s="3" t="s">
        <v>32</v>
      </c>
      <c r="H138" s="3" t="s">
        <v>221</v>
      </c>
    </row>
    <row r="139" spans="1:8" x14ac:dyDescent="0.2">
      <c r="A139" s="3">
        <v>403030005</v>
      </c>
      <c r="B139" s="4" t="s">
        <v>366</v>
      </c>
      <c r="C139" s="4" t="s">
        <v>368</v>
      </c>
      <c r="D139" s="3">
        <v>2</v>
      </c>
      <c r="E139" s="3" t="s">
        <v>16</v>
      </c>
      <c r="F139" s="3" t="s">
        <v>301</v>
      </c>
      <c r="G139" s="3" t="s">
        <v>32</v>
      </c>
      <c r="H139" s="3" t="s">
        <v>221</v>
      </c>
    </row>
    <row r="140" spans="1:8" x14ac:dyDescent="0.2">
      <c r="A140" s="3">
        <v>4081200011</v>
      </c>
      <c r="B140" s="4" t="s">
        <v>525</v>
      </c>
      <c r="C140" s="4" t="s">
        <v>1246</v>
      </c>
      <c r="D140" s="3">
        <v>2</v>
      </c>
      <c r="E140" s="3" t="s">
        <v>16</v>
      </c>
      <c r="F140" s="3" t="s">
        <v>289</v>
      </c>
      <c r="G140" s="3" t="s">
        <v>23</v>
      </c>
      <c r="H140" s="3" t="s">
        <v>524</v>
      </c>
    </row>
    <row r="141" spans="1:8" x14ac:dyDescent="0.2">
      <c r="A141" s="3">
        <v>408120032</v>
      </c>
      <c r="B141" s="4" t="s">
        <v>525</v>
      </c>
      <c r="C141" s="4" t="s">
        <v>1210</v>
      </c>
      <c r="D141" s="3">
        <v>23</v>
      </c>
      <c r="E141" s="3" t="s">
        <v>16</v>
      </c>
      <c r="F141" s="3" t="s">
        <v>289</v>
      </c>
      <c r="G141" s="3" t="s">
        <v>23</v>
      </c>
      <c r="H141" s="3" t="s">
        <v>524</v>
      </c>
    </row>
    <row r="142" spans="1:8" x14ac:dyDescent="0.2">
      <c r="A142" s="3">
        <v>408120038</v>
      </c>
      <c r="B142" s="4" t="s">
        <v>525</v>
      </c>
      <c r="C142" s="4" t="s">
        <v>1247</v>
      </c>
      <c r="D142" s="3">
        <v>1</v>
      </c>
      <c r="E142" s="3" t="s">
        <v>16</v>
      </c>
      <c r="F142" s="3" t="s">
        <v>289</v>
      </c>
      <c r="G142" s="3" t="s">
        <v>23</v>
      </c>
      <c r="H142" s="3" t="s">
        <v>524</v>
      </c>
    </row>
    <row r="143" spans="1:8" x14ac:dyDescent="0.2">
      <c r="A143" s="3">
        <v>408120036</v>
      </c>
      <c r="B143" s="4" t="s">
        <v>525</v>
      </c>
      <c r="C143" s="4" t="s">
        <v>526</v>
      </c>
      <c r="D143" s="3">
        <v>2</v>
      </c>
      <c r="E143" s="3" t="s">
        <v>16</v>
      </c>
      <c r="F143" s="3" t="s">
        <v>291</v>
      </c>
      <c r="G143" s="3" t="s">
        <v>26</v>
      </c>
      <c r="H143" s="3" t="s">
        <v>524</v>
      </c>
    </row>
    <row r="144" spans="1:8" x14ac:dyDescent="0.2">
      <c r="A144" s="3">
        <v>407010073</v>
      </c>
      <c r="B144" s="4" t="s">
        <v>149</v>
      </c>
      <c r="C144" s="4" t="s">
        <v>1212</v>
      </c>
      <c r="D144" s="3">
        <v>1</v>
      </c>
      <c r="E144" s="3" t="s">
        <v>16</v>
      </c>
      <c r="F144" s="3" t="s">
        <v>289</v>
      </c>
      <c r="G144" s="3" t="s">
        <v>23</v>
      </c>
      <c r="H144" s="3" t="s">
        <v>524</v>
      </c>
    </row>
    <row r="145" spans="1:8" x14ac:dyDescent="0.2">
      <c r="A145" s="3">
        <v>3060501009</v>
      </c>
      <c r="B145" s="4" t="s">
        <v>1213</v>
      </c>
      <c r="C145" s="4" t="s">
        <v>1248</v>
      </c>
      <c r="D145" s="3">
        <v>1</v>
      </c>
      <c r="E145" s="3" t="s">
        <v>16</v>
      </c>
      <c r="F145" s="3" t="s">
        <v>289</v>
      </c>
      <c r="G145" s="3" t="s">
        <v>23</v>
      </c>
      <c r="H145" s="3" t="s">
        <v>226</v>
      </c>
    </row>
    <row r="146" spans="1:8" x14ac:dyDescent="0.2">
      <c r="A146" s="3">
        <v>3060350003</v>
      </c>
      <c r="B146" s="4" t="s">
        <v>1215</v>
      </c>
      <c r="C146" s="4" t="s">
        <v>1216</v>
      </c>
      <c r="D146" s="3">
        <v>1</v>
      </c>
      <c r="E146" s="3" t="s">
        <v>16</v>
      </c>
      <c r="F146" s="3" t="s">
        <v>289</v>
      </c>
      <c r="G146" s="3" t="s">
        <v>23</v>
      </c>
      <c r="H146" s="3" t="s">
        <v>226</v>
      </c>
    </row>
    <row r="147" spans="1:8" x14ac:dyDescent="0.2">
      <c r="A147" s="3">
        <v>3060353006</v>
      </c>
      <c r="B147" s="4" t="s">
        <v>1217</v>
      </c>
      <c r="C147" s="4" t="s">
        <v>1232</v>
      </c>
      <c r="D147" s="3">
        <v>1</v>
      </c>
      <c r="E147" s="3" t="s">
        <v>16</v>
      </c>
      <c r="F147" s="3" t="s">
        <v>289</v>
      </c>
      <c r="G147" s="3" t="s">
        <v>23</v>
      </c>
      <c r="H147" s="3" t="s">
        <v>226</v>
      </c>
    </row>
    <row r="148" spans="1:8" x14ac:dyDescent="0.2">
      <c r="A148" s="3">
        <v>3060324003</v>
      </c>
      <c r="B148" s="4" t="s">
        <v>1185</v>
      </c>
      <c r="C148" s="4" t="s">
        <v>1249</v>
      </c>
      <c r="D148" s="3">
        <v>1</v>
      </c>
      <c r="E148" s="3" t="s">
        <v>16</v>
      </c>
      <c r="F148" s="3" t="s">
        <v>289</v>
      </c>
      <c r="G148" s="3" t="s">
        <v>23</v>
      </c>
      <c r="H148" s="3" t="s">
        <v>226</v>
      </c>
    </row>
    <row r="149" spans="1:8" x14ac:dyDescent="0.2">
      <c r="A149" s="3">
        <v>3060404053</v>
      </c>
      <c r="B149" s="4" t="s">
        <v>729</v>
      </c>
      <c r="C149" s="4" t="s">
        <v>1250</v>
      </c>
      <c r="D149" s="3">
        <v>1</v>
      </c>
      <c r="E149" s="3" t="s">
        <v>16</v>
      </c>
      <c r="F149" s="3" t="s">
        <v>289</v>
      </c>
      <c r="G149" s="3" t="s">
        <v>23</v>
      </c>
      <c r="H149" s="3" t="s">
        <v>226</v>
      </c>
    </row>
    <row r="150" spans="1:8" x14ac:dyDescent="0.2">
      <c r="A150" s="3">
        <v>3060316002</v>
      </c>
      <c r="B150" s="4" t="s">
        <v>1219</v>
      </c>
      <c r="C150" s="4" t="s">
        <v>1251</v>
      </c>
      <c r="D150" s="3">
        <v>1</v>
      </c>
      <c r="E150" s="3" t="s">
        <v>16</v>
      </c>
      <c r="F150" s="3" t="s">
        <v>289</v>
      </c>
      <c r="G150" s="3" t="s">
        <v>23</v>
      </c>
      <c r="H150" s="3" t="s">
        <v>226</v>
      </c>
    </row>
    <row r="151" spans="1:8" x14ac:dyDescent="0.2">
      <c r="A151" s="3">
        <v>3060313007</v>
      </c>
      <c r="B151" s="4" t="s">
        <v>1188</v>
      </c>
      <c r="C151" s="4" t="s">
        <v>1252</v>
      </c>
      <c r="D151" s="3">
        <v>1</v>
      </c>
      <c r="E151" s="3" t="s">
        <v>16</v>
      </c>
      <c r="F151" s="3" t="s">
        <v>289</v>
      </c>
      <c r="G151" s="3" t="s">
        <v>23</v>
      </c>
      <c r="H151" s="3" t="s">
        <v>226</v>
      </c>
    </row>
    <row r="152" spans="1:8" x14ac:dyDescent="0.2">
      <c r="A152" s="3">
        <v>3050305016</v>
      </c>
      <c r="B152" s="4" t="s">
        <v>527</v>
      </c>
      <c r="C152" s="4" t="s">
        <v>528</v>
      </c>
      <c r="D152" s="3">
        <v>1</v>
      </c>
      <c r="E152" s="3" t="s">
        <v>16</v>
      </c>
      <c r="F152" s="3" t="s">
        <v>291</v>
      </c>
      <c r="G152" s="3" t="s">
        <v>26</v>
      </c>
      <c r="H152" s="3" t="s">
        <v>226</v>
      </c>
    </row>
    <row r="153" spans="1:8" x14ac:dyDescent="0.2">
      <c r="A153" s="3">
        <v>3050305015</v>
      </c>
      <c r="B153" s="4" t="s">
        <v>529</v>
      </c>
      <c r="C153" s="4" t="s">
        <v>530</v>
      </c>
      <c r="D153" s="3">
        <v>1</v>
      </c>
      <c r="E153" s="3" t="s">
        <v>16</v>
      </c>
      <c r="F153" s="3" t="s">
        <v>291</v>
      </c>
      <c r="G153" s="3" t="s">
        <v>26</v>
      </c>
      <c r="H153" s="3" t="s">
        <v>226</v>
      </c>
    </row>
    <row r="154" spans="1:8" x14ac:dyDescent="0.2">
      <c r="A154" s="3">
        <v>3030309020</v>
      </c>
      <c r="B154" s="4" t="s">
        <v>531</v>
      </c>
      <c r="C154" s="4" t="s">
        <v>532</v>
      </c>
      <c r="D154" s="3">
        <v>1</v>
      </c>
      <c r="E154" s="3" t="s">
        <v>16</v>
      </c>
      <c r="F154" s="3" t="s">
        <v>291</v>
      </c>
      <c r="G154" s="3" t="s">
        <v>26</v>
      </c>
      <c r="H154" s="3" t="s">
        <v>226</v>
      </c>
    </row>
    <row r="155" spans="1:8" x14ac:dyDescent="0.2">
      <c r="A155" s="3">
        <v>3030302002</v>
      </c>
      <c r="B155" s="4" t="s">
        <v>533</v>
      </c>
      <c r="C155" s="4" t="s">
        <v>534</v>
      </c>
      <c r="D155" s="3">
        <v>1</v>
      </c>
      <c r="E155" s="3" t="s">
        <v>16</v>
      </c>
      <c r="F155" s="3" t="s">
        <v>295</v>
      </c>
      <c r="G155" s="3" t="s">
        <v>17</v>
      </c>
      <c r="H155" s="3" t="s">
        <v>226</v>
      </c>
    </row>
    <row r="156" spans="1:8" x14ac:dyDescent="0.2">
      <c r="A156" s="3">
        <v>3030306012</v>
      </c>
      <c r="B156" s="4" t="s">
        <v>535</v>
      </c>
      <c r="C156" s="4" t="s">
        <v>536</v>
      </c>
      <c r="D156" s="3">
        <v>1</v>
      </c>
      <c r="E156" s="3" t="s">
        <v>16</v>
      </c>
      <c r="F156" s="3" t="s">
        <v>295</v>
      </c>
      <c r="G156" s="3" t="s">
        <v>17</v>
      </c>
      <c r="H156" s="3" t="s">
        <v>226</v>
      </c>
    </row>
    <row r="157" spans="1:8" x14ac:dyDescent="0.2">
      <c r="A157" s="3">
        <v>3030306011</v>
      </c>
      <c r="B157" s="4" t="s">
        <v>537</v>
      </c>
      <c r="C157" s="4" t="s">
        <v>536</v>
      </c>
      <c r="D157" s="3">
        <v>1</v>
      </c>
      <c r="E157" s="3" t="s">
        <v>16</v>
      </c>
      <c r="F157" s="3" t="s">
        <v>295</v>
      </c>
      <c r="G157" s="3" t="s">
        <v>17</v>
      </c>
      <c r="H157" s="3" t="s">
        <v>226</v>
      </c>
    </row>
    <row r="158" spans="1:8" x14ac:dyDescent="0.2">
      <c r="A158" s="3">
        <v>3030303002</v>
      </c>
      <c r="B158" s="4" t="s">
        <v>175</v>
      </c>
      <c r="C158" s="4" t="s">
        <v>538</v>
      </c>
      <c r="D158" s="3">
        <v>1</v>
      </c>
      <c r="E158" s="3" t="s">
        <v>16</v>
      </c>
      <c r="F158" s="3" t="s">
        <v>295</v>
      </c>
      <c r="G158" s="3" t="s">
        <v>17</v>
      </c>
      <c r="H158" s="3" t="s">
        <v>226</v>
      </c>
    </row>
    <row r="159" spans="1:8" x14ac:dyDescent="0.2">
      <c r="A159" s="3">
        <v>3030303017</v>
      </c>
      <c r="B159" s="4" t="s">
        <v>539</v>
      </c>
      <c r="C159" s="4" t="s">
        <v>540</v>
      </c>
      <c r="D159" s="3">
        <v>1</v>
      </c>
      <c r="E159" s="3" t="s">
        <v>16</v>
      </c>
      <c r="F159" s="3" t="s">
        <v>295</v>
      </c>
      <c r="G159" s="3" t="s">
        <v>17</v>
      </c>
      <c r="H159" s="3" t="s">
        <v>226</v>
      </c>
    </row>
    <row r="160" spans="1:8" x14ac:dyDescent="0.2">
      <c r="A160" s="3">
        <v>3040312012</v>
      </c>
      <c r="B160" s="4" t="s">
        <v>263</v>
      </c>
      <c r="C160" s="4" t="s">
        <v>541</v>
      </c>
      <c r="D160" s="3">
        <v>2</v>
      </c>
      <c r="E160" s="3" t="s">
        <v>16</v>
      </c>
      <c r="F160" s="3" t="s">
        <v>293</v>
      </c>
      <c r="G160" s="3" t="s">
        <v>29</v>
      </c>
      <c r="H160" s="3" t="s">
        <v>226</v>
      </c>
    </row>
    <row r="161" spans="1:8" x14ac:dyDescent="0.2">
      <c r="A161" s="3">
        <v>3040320010</v>
      </c>
      <c r="B161" s="4" t="s">
        <v>269</v>
      </c>
      <c r="C161" s="4" t="s">
        <v>542</v>
      </c>
      <c r="D161" s="3">
        <v>1</v>
      </c>
      <c r="E161" s="3" t="s">
        <v>16</v>
      </c>
      <c r="F161" s="3" t="s">
        <v>293</v>
      </c>
      <c r="G161" s="3" t="s">
        <v>29</v>
      </c>
      <c r="H161" s="3" t="s">
        <v>226</v>
      </c>
    </row>
    <row r="162" spans="1:8" x14ac:dyDescent="0.2">
      <c r="A162" s="3">
        <v>3040320011</v>
      </c>
      <c r="B162" s="4" t="s">
        <v>269</v>
      </c>
      <c r="C162" s="4" t="s">
        <v>543</v>
      </c>
      <c r="D162" s="3">
        <v>1</v>
      </c>
      <c r="E162" s="3" t="s">
        <v>16</v>
      </c>
      <c r="F162" s="3" t="s">
        <v>293</v>
      </c>
      <c r="G162" s="3" t="s">
        <v>29</v>
      </c>
      <c r="H162" s="3" t="s">
        <v>226</v>
      </c>
    </row>
    <row r="163" spans="1:8" x14ac:dyDescent="0.2">
      <c r="A163" s="3">
        <v>3030313003</v>
      </c>
      <c r="B163" s="4" t="s">
        <v>217</v>
      </c>
      <c r="C163" s="4" t="s">
        <v>544</v>
      </c>
      <c r="D163" s="3">
        <v>8</v>
      </c>
      <c r="E163" s="3" t="s">
        <v>16</v>
      </c>
      <c r="F163" s="3" t="s">
        <v>291</v>
      </c>
      <c r="G163" s="3" t="s">
        <v>26</v>
      </c>
      <c r="H163" s="3" t="s">
        <v>226</v>
      </c>
    </row>
    <row r="164" spans="1:8" x14ac:dyDescent="0.2">
      <c r="A164" s="3">
        <v>3020199010</v>
      </c>
      <c r="B164" s="4" t="s">
        <v>239</v>
      </c>
      <c r="C164" s="4" t="s">
        <v>545</v>
      </c>
      <c r="D164" s="3">
        <v>5</v>
      </c>
      <c r="E164" s="3" t="s">
        <v>16</v>
      </c>
      <c r="F164" s="3" t="s">
        <v>301</v>
      </c>
      <c r="G164" s="3" t="s">
        <v>32</v>
      </c>
      <c r="H164" s="3" t="s">
        <v>226</v>
      </c>
    </row>
    <row r="165" spans="1:8" x14ac:dyDescent="0.2">
      <c r="A165" s="3">
        <v>3991601007</v>
      </c>
      <c r="B165" s="4" t="s">
        <v>585</v>
      </c>
      <c r="C165" s="4" t="s">
        <v>1229</v>
      </c>
      <c r="D165" s="3">
        <v>4</v>
      </c>
      <c r="E165" s="3" t="s">
        <v>16</v>
      </c>
      <c r="F165" s="3" t="s">
        <v>289</v>
      </c>
      <c r="G165" s="3" t="s">
        <v>23</v>
      </c>
      <c r="H165" s="3" t="s">
        <v>226</v>
      </c>
    </row>
    <row r="166" spans="1:8" x14ac:dyDescent="0.2">
      <c r="A166" s="3">
        <v>3991601009</v>
      </c>
      <c r="B166" s="4" t="s">
        <v>585</v>
      </c>
      <c r="C166" s="4" t="s">
        <v>1230</v>
      </c>
      <c r="D166" s="3">
        <v>2</v>
      </c>
      <c r="E166" s="3" t="s">
        <v>16</v>
      </c>
      <c r="F166" s="3" t="s">
        <v>289</v>
      </c>
      <c r="G166" s="3" t="s">
        <v>23</v>
      </c>
      <c r="H166" s="3" t="s">
        <v>226</v>
      </c>
    </row>
    <row r="167" spans="1:8" x14ac:dyDescent="0.2">
      <c r="A167" s="3">
        <v>3050305019</v>
      </c>
      <c r="B167" s="4" t="s">
        <v>549</v>
      </c>
      <c r="C167" s="4" t="s">
        <v>530</v>
      </c>
      <c r="D167" s="3">
        <v>1</v>
      </c>
      <c r="E167" s="3" t="s">
        <v>16</v>
      </c>
      <c r="F167" s="3" t="s">
        <v>291</v>
      </c>
      <c r="G167" s="3" t="s">
        <v>26</v>
      </c>
      <c r="H167" s="3" t="s">
        <v>226</v>
      </c>
    </row>
    <row r="168" spans="1:8" x14ac:dyDescent="0.2">
      <c r="A168" s="3">
        <v>3050401014</v>
      </c>
      <c r="B168" s="4" t="s">
        <v>222</v>
      </c>
      <c r="C168" s="4" t="s">
        <v>550</v>
      </c>
      <c r="D168" s="3">
        <v>1</v>
      </c>
      <c r="E168" s="3" t="s">
        <v>16</v>
      </c>
      <c r="F168" s="3" t="s">
        <v>291</v>
      </c>
      <c r="G168" s="3" t="s">
        <v>26</v>
      </c>
      <c r="H168" s="3" t="s">
        <v>226</v>
      </c>
    </row>
    <row r="169" spans="1:8" x14ac:dyDescent="0.2">
      <c r="A169" s="3">
        <v>3080401031</v>
      </c>
      <c r="B169" s="4" t="s">
        <v>41</v>
      </c>
      <c r="C169" s="4" t="s">
        <v>551</v>
      </c>
      <c r="D169" s="3">
        <v>1</v>
      </c>
      <c r="E169" s="3" t="s">
        <v>16</v>
      </c>
      <c r="F169" s="3" t="s">
        <v>291</v>
      </c>
      <c r="G169" s="3" t="s">
        <v>26</v>
      </c>
      <c r="H169" s="3" t="s">
        <v>249</v>
      </c>
    </row>
    <row r="170" spans="1:8" x14ac:dyDescent="0.2">
      <c r="A170" s="3">
        <v>3030211001</v>
      </c>
      <c r="B170" s="4" t="s">
        <v>552</v>
      </c>
      <c r="C170" s="4" t="s">
        <v>553</v>
      </c>
      <c r="D170" s="3">
        <v>1</v>
      </c>
      <c r="E170" s="3" t="s">
        <v>16</v>
      </c>
      <c r="F170" s="3" t="s">
        <v>295</v>
      </c>
      <c r="G170" s="3" t="s">
        <v>17</v>
      </c>
      <c r="H170" s="3" t="s">
        <v>249</v>
      </c>
    </row>
    <row r="171" spans="1:8" x14ac:dyDescent="0.2">
      <c r="A171" s="3">
        <v>3080309001</v>
      </c>
      <c r="B171" s="4" t="s">
        <v>554</v>
      </c>
      <c r="C171" s="4" t="s">
        <v>555</v>
      </c>
      <c r="D171" s="3">
        <v>1</v>
      </c>
      <c r="E171" s="3" t="s">
        <v>16</v>
      </c>
      <c r="F171" s="3" t="s">
        <v>295</v>
      </c>
      <c r="G171" s="3" t="s">
        <v>17</v>
      </c>
      <c r="H171" s="3" t="s">
        <v>249</v>
      </c>
    </row>
    <row r="172" spans="1:8" x14ac:dyDescent="0.2">
      <c r="A172" s="3">
        <v>3080107268</v>
      </c>
      <c r="B172" s="4" t="s">
        <v>69</v>
      </c>
      <c r="C172" s="4" t="s">
        <v>556</v>
      </c>
      <c r="D172" s="3">
        <v>2</v>
      </c>
      <c r="E172" s="3" t="s">
        <v>16</v>
      </c>
      <c r="F172" s="3" t="s">
        <v>291</v>
      </c>
      <c r="G172" s="3" t="s">
        <v>26</v>
      </c>
      <c r="H172" s="3" t="s">
        <v>249</v>
      </c>
    </row>
    <row r="173" spans="1:8" x14ac:dyDescent="0.2">
      <c r="A173" s="3">
        <v>3080107269</v>
      </c>
      <c r="B173" s="4" t="s">
        <v>69</v>
      </c>
      <c r="C173" s="4" t="s">
        <v>557</v>
      </c>
      <c r="D173" s="3">
        <v>2</v>
      </c>
      <c r="E173" s="3" t="s">
        <v>16</v>
      </c>
      <c r="F173" s="3" t="s">
        <v>291</v>
      </c>
      <c r="G173" s="3" t="s">
        <v>26</v>
      </c>
      <c r="H173" s="3" t="s">
        <v>249</v>
      </c>
    </row>
    <row r="174" spans="1:8" x14ac:dyDescent="0.2">
      <c r="A174" s="3">
        <v>3060333011</v>
      </c>
      <c r="B174" s="4" t="s">
        <v>227</v>
      </c>
      <c r="C174" s="4" t="s">
        <v>1231</v>
      </c>
      <c r="D174" s="3">
        <v>1</v>
      </c>
      <c r="E174" s="3" t="s">
        <v>16</v>
      </c>
      <c r="F174" s="3" t="s">
        <v>289</v>
      </c>
      <c r="G174" s="3" t="s">
        <v>23</v>
      </c>
      <c r="H174" s="3" t="s">
        <v>254</v>
      </c>
    </row>
    <row r="175" spans="1:8" x14ac:dyDescent="0.2">
      <c r="A175" s="3">
        <v>3060401003</v>
      </c>
      <c r="B175" s="4" t="s">
        <v>727</v>
      </c>
      <c r="C175" s="4" t="s">
        <v>1232</v>
      </c>
      <c r="D175" s="3">
        <v>1</v>
      </c>
      <c r="E175" s="3" t="s">
        <v>16</v>
      </c>
      <c r="F175" s="3" t="s">
        <v>289</v>
      </c>
      <c r="G175" s="3" t="s">
        <v>23</v>
      </c>
      <c r="H175" s="3" t="s">
        <v>254</v>
      </c>
    </row>
    <row r="176" spans="1:8" x14ac:dyDescent="0.2">
      <c r="A176" s="3">
        <v>3060335013</v>
      </c>
      <c r="B176" s="4" t="s">
        <v>233</v>
      </c>
      <c r="C176" s="4" t="s">
        <v>1253</v>
      </c>
      <c r="D176" s="3">
        <v>1</v>
      </c>
      <c r="E176" s="3" t="s">
        <v>16</v>
      </c>
      <c r="F176" s="3" t="s">
        <v>289</v>
      </c>
      <c r="G176" s="3" t="s">
        <v>23</v>
      </c>
      <c r="H176" s="3" t="s">
        <v>254</v>
      </c>
    </row>
    <row r="177" spans="1:8" x14ac:dyDescent="0.2">
      <c r="A177" s="3">
        <v>3030302001</v>
      </c>
      <c r="B177" s="4" t="s">
        <v>558</v>
      </c>
      <c r="C177" s="4" t="s">
        <v>534</v>
      </c>
      <c r="D177" s="3">
        <v>1</v>
      </c>
      <c r="E177" s="3" t="s">
        <v>16</v>
      </c>
      <c r="F177" s="3" t="s">
        <v>295</v>
      </c>
      <c r="G177" s="3" t="s">
        <v>17</v>
      </c>
      <c r="H177" s="3" t="s">
        <v>254</v>
      </c>
    </row>
    <row r="178" spans="1:8" x14ac:dyDescent="0.2">
      <c r="A178" s="3">
        <v>3030306031</v>
      </c>
      <c r="B178" s="4" t="s">
        <v>559</v>
      </c>
      <c r="C178" s="4" t="s">
        <v>560</v>
      </c>
      <c r="D178" s="3">
        <v>1</v>
      </c>
      <c r="E178" s="3" t="s">
        <v>16</v>
      </c>
      <c r="F178" s="3" t="s">
        <v>295</v>
      </c>
      <c r="G178" s="3" t="s">
        <v>17</v>
      </c>
      <c r="H178" s="3" t="s">
        <v>254</v>
      </c>
    </row>
    <row r="179" spans="1:8" x14ac:dyDescent="0.2">
      <c r="A179" s="3">
        <v>3080311002</v>
      </c>
      <c r="B179" s="4" t="s">
        <v>561</v>
      </c>
      <c r="C179" s="4" t="s">
        <v>536</v>
      </c>
      <c r="D179" s="3">
        <v>1</v>
      </c>
      <c r="E179" s="3" t="s">
        <v>16</v>
      </c>
      <c r="F179" s="3" t="s">
        <v>295</v>
      </c>
      <c r="G179" s="3" t="s">
        <v>17</v>
      </c>
      <c r="H179" s="3" t="s">
        <v>254</v>
      </c>
    </row>
    <row r="180" spans="1:8" x14ac:dyDescent="0.2">
      <c r="A180" s="3">
        <v>3030303016</v>
      </c>
      <c r="B180" s="4" t="s">
        <v>562</v>
      </c>
      <c r="C180" s="4" t="s">
        <v>563</v>
      </c>
      <c r="D180" s="3">
        <v>1</v>
      </c>
      <c r="E180" s="3" t="s">
        <v>16</v>
      </c>
      <c r="F180" s="3" t="s">
        <v>295</v>
      </c>
      <c r="G180" s="3" t="s">
        <v>17</v>
      </c>
      <c r="H180" s="3" t="s">
        <v>254</v>
      </c>
    </row>
    <row r="181" spans="1:8" x14ac:dyDescent="0.2">
      <c r="A181" s="3">
        <v>3030303015</v>
      </c>
      <c r="B181" s="4" t="s">
        <v>564</v>
      </c>
      <c r="C181" s="4" t="s">
        <v>563</v>
      </c>
      <c r="D181" s="3">
        <v>1</v>
      </c>
      <c r="E181" s="3" t="s">
        <v>16</v>
      </c>
      <c r="F181" s="3" t="s">
        <v>295</v>
      </c>
      <c r="G181" s="3" t="s">
        <v>17</v>
      </c>
      <c r="H181" s="3" t="s">
        <v>254</v>
      </c>
    </row>
    <row r="182" spans="1:8" x14ac:dyDescent="0.2">
      <c r="A182" s="3">
        <v>3040323001</v>
      </c>
      <c r="B182" s="4" t="s">
        <v>565</v>
      </c>
      <c r="C182" s="4" t="s">
        <v>566</v>
      </c>
      <c r="D182" s="3">
        <v>2</v>
      </c>
      <c r="E182" s="3" t="s">
        <v>16</v>
      </c>
      <c r="F182" s="3" t="s">
        <v>293</v>
      </c>
      <c r="G182" s="3" t="s">
        <v>29</v>
      </c>
      <c r="H182" s="3" t="s">
        <v>254</v>
      </c>
    </row>
    <row r="183" spans="1:8" x14ac:dyDescent="0.2">
      <c r="A183" s="3">
        <v>3040302001</v>
      </c>
      <c r="B183" s="4" t="s">
        <v>567</v>
      </c>
      <c r="C183" s="4" t="s">
        <v>568</v>
      </c>
      <c r="D183" s="3">
        <v>1</v>
      </c>
      <c r="E183" s="3" t="s">
        <v>16</v>
      </c>
      <c r="F183" s="3" t="s">
        <v>293</v>
      </c>
      <c r="G183" s="3" t="s">
        <v>29</v>
      </c>
      <c r="H183" s="3" t="s">
        <v>254</v>
      </c>
    </row>
    <row r="184" spans="1:8" x14ac:dyDescent="0.2">
      <c r="A184" s="3">
        <v>3040302002</v>
      </c>
      <c r="B184" s="4" t="s">
        <v>567</v>
      </c>
      <c r="C184" s="4" t="s">
        <v>569</v>
      </c>
      <c r="D184" s="3">
        <v>1</v>
      </c>
      <c r="E184" s="3" t="s">
        <v>16</v>
      </c>
      <c r="F184" s="3" t="s">
        <v>293</v>
      </c>
      <c r="G184" s="3" t="s">
        <v>29</v>
      </c>
      <c r="H184" s="3" t="s">
        <v>254</v>
      </c>
    </row>
    <row r="185" spans="1:8" x14ac:dyDescent="0.2">
      <c r="A185" s="3">
        <v>3040324004</v>
      </c>
      <c r="B185" s="4" t="s">
        <v>570</v>
      </c>
      <c r="C185" s="4" t="s">
        <v>536</v>
      </c>
      <c r="D185" s="3">
        <v>2</v>
      </c>
      <c r="E185" s="3" t="s">
        <v>16</v>
      </c>
      <c r="F185" s="3" t="s">
        <v>293</v>
      </c>
      <c r="G185" s="3" t="s">
        <v>29</v>
      </c>
      <c r="H185" s="3" t="s">
        <v>254</v>
      </c>
    </row>
    <row r="186" spans="1:8" x14ac:dyDescent="0.2">
      <c r="A186" s="3">
        <v>3030302008</v>
      </c>
      <c r="B186" s="4" t="s">
        <v>571</v>
      </c>
      <c r="C186" s="4" t="s">
        <v>572</v>
      </c>
      <c r="D186" s="3">
        <v>1</v>
      </c>
      <c r="E186" s="3" t="s">
        <v>16</v>
      </c>
      <c r="F186" s="3" t="s">
        <v>295</v>
      </c>
      <c r="G186" s="3" t="s">
        <v>17</v>
      </c>
      <c r="H186" s="3" t="s">
        <v>254</v>
      </c>
    </row>
    <row r="187" spans="1:8" x14ac:dyDescent="0.2">
      <c r="A187" s="3">
        <v>3030302009</v>
      </c>
      <c r="B187" s="4" t="s">
        <v>571</v>
      </c>
      <c r="C187" s="4" t="s">
        <v>573</v>
      </c>
      <c r="D187" s="3">
        <v>1</v>
      </c>
      <c r="E187" s="3" t="s">
        <v>16</v>
      </c>
      <c r="F187" s="3" t="s">
        <v>295</v>
      </c>
      <c r="G187" s="3" t="s">
        <v>17</v>
      </c>
      <c r="H187" s="3" t="s">
        <v>254</v>
      </c>
    </row>
    <row r="188" spans="1:8" x14ac:dyDescent="0.2">
      <c r="A188" s="3">
        <v>3030302004</v>
      </c>
      <c r="B188" s="4" t="s">
        <v>574</v>
      </c>
      <c r="C188" s="4" t="s">
        <v>575</v>
      </c>
      <c r="D188" s="3">
        <v>1</v>
      </c>
      <c r="E188" s="3" t="s">
        <v>16</v>
      </c>
      <c r="F188" s="3" t="s">
        <v>295</v>
      </c>
      <c r="G188" s="3" t="s">
        <v>17</v>
      </c>
      <c r="H188" s="3" t="s">
        <v>254</v>
      </c>
    </row>
    <row r="189" spans="1:8" x14ac:dyDescent="0.2">
      <c r="A189" s="3">
        <v>3030302006</v>
      </c>
      <c r="B189" s="4" t="s">
        <v>576</v>
      </c>
      <c r="C189" s="4" t="s">
        <v>575</v>
      </c>
      <c r="D189" s="3">
        <v>1</v>
      </c>
      <c r="E189" s="3" t="s">
        <v>16</v>
      </c>
      <c r="F189" s="3" t="s">
        <v>295</v>
      </c>
      <c r="G189" s="3" t="s">
        <v>17</v>
      </c>
      <c r="H189" s="3" t="s">
        <v>254</v>
      </c>
    </row>
    <row r="190" spans="1:8" x14ac:dyDescent="0.2">
      <c r="A190" s="3">
        <v>3030314004</v>
      </c>
      <c r="B190" s="4" t="s">
        <v>577</v>
      </c>
      <c r="C190" s="4" t="s">
        <v>575</v>
      </c>
      <c r="D190" s="3">
        <v>1</v>
      </c>
      <c r="E190" s="3" t="s">
        <v>16</v>
      </c>
      <c r="F190" s="3" t="s">
        <v>295</v>
      </c>
      <c r="G190" s="3" t="s">
        <v>17</v>
      </c>
      <c r="H190" s="3" t="s">
        <v>254</v>
      </c>
    </row>
    <row r="191" spans="1:8" x14ac:dyDescent="0.2">
      <c r="A191" s="3">
        <v>3030308001</v>
      </c>
      <c r="B191" s="4" t="s">
        <v>578</v>
      </c>
      <c r="C191" s="4" t="s">
        <v>575</v>
      </c>
      <c r="D191" s="3">
        <v>1</v>
      </c>
      <c r="E191" s="3" t="s">
        <v>16</v>
      </c>
      <c r="F191" s="3" t="s">
        <v>295</v>
      </c>
      <c r="G191" s="3" t="s">
        <v>17</v>
      </c>
      <c r="H191" s="3" t="s">
        <v>254</v>
      </c>
    </row>
    <row r="192" spans="1:8" x14ac:dyDescent="0.2">
      <c r="A192" s="3">
        <v>3030314003</v>
      </c>
      <c r="B192" s="4" t="s">
        <v>579</v>
      </c>
      <c r="C192" s="4" t="s">
        <v>575</v>
      </c>
      <c r="D192" s="3">
        <v>1</v>
      </c>
      <c r="E192" s="3" t="s">
        <v>16</v>
      </c>
      <c r="F192" s="3" t="s">
        <v>295</v>
      </c>
      <c r="G192" s="3" t="s">
        <v>17</v>
      </c>
      <c r="H192" s="3" t="s">
        <v>254</v>
      </c>
    </row>
    <row r="193" spans="1:8" x14ac:dyDescent="0.2">
      <c r="A193" s="3">
        <v>3030308003</v>
      </c>
      <c r="B193" s="4" t="s">
        <v>580</v>
      </c>
      <c r="C193" s="4" t="s">
        <v>581</v>
      </c>
      <c r="D193" s="3">
        <v>1</v>
      </c>
      <c r="E193" s="3" t="s">
        <v>16</v>
      </c>
      <c r="F193" s="3" t="s">
        <v>295</v>
      </c>
      <c r="G193" s="3" t="s">
        <v>17</v>
      </c>
      <c r="H193" s="3" t="s">
        <v>254</v>
      </c>
    </row>
    <row r="194" spans="1:8" x14ac:dyDescent="0.2">
      <c r="A194" s="3">
        <v>3040325007</v>
      </c>
      <c r="B194" s="4" t="s">
        <v>582</v>
      </c>
      <c r="C194" s="4" t="s">
        <v>543</v>
      </c>
      <c r="D194" s="3">
        <v>1</v>
      </c>
      <c r="E194" s="3" t="s">
        <v>16</v>
      </c>
      <c r="F194" s="3" t="s">
        <v>293</v>
      </c>
      <c r="G194" s="3" t="s">
        <v>29</v>
      </c>
      <c r="H194" s="3" t="s">
        <v>254</v>
      </c>
    </row>
    <row r="195" spans="1:8" x14ac:dyDescent="0.2">
      <c r="A195" s="3">
        <v>3040325008</v>
      </c>
      <c r="B195" s="4" t="s">
        <v>582</v>
      </c>
      <c r="C195" s="4" t="s">
        <v>542</v>
      </c>
      <c r="D195" s="3">
        <v>1</v>
      </c>
      <c r="E195" s="3" t="s">
        <v>16</v>
      </c>
      <c r="F195" s="3" t="s">
        <v>293</v>
      </c>
      <c r="G195" s="3" t="s">
        <v>29</v>
      </c>
      <c r="H195" s="3" t="s">
        <v>254</v>
      </c>
    </row>
    <row r="196" spans="1:8" x14ac:dyDescent="0.2">
      <c r="A196" s="3">
        <v>3040308003</v>
      </c>
      <c r="B196" s="4" t="s">
        <v>583</v>
      </c>
      <c r="C196" s="4" t="s">
        <v>536</v>
      </c>
      <c r="D196" s="3">
        <v>2</v>
      </c>
      <c r="E196" s="3" t="s">
        <v>16</v>
      </c>
      <c r="F196" s="3" t="s">
        <v>293</v>
      </c>
      <c r="G196" s="3" t="s">
        <v>29</v>
      </c>
      <c r="H196" s="3" t="s">
        <v>254</v>
      </c>
    </row>
    <row r="197" spans="1:8" x14ac:dyDescent="0.2">
      <c r="A197" s="3">
        <v>3030302007</v>
      </c>
      <c r="B197" s="4" t="s">
        <v>584</v>
      </c>
      <c r="C197" s="4" t="s">
        <v>575</v>
      </c>
      <c r="D197" s="3">
        <v>1</v>
      </c>
      <c r="E197" s="3" t="s">
        <v>16</v>
      </c>
      <c r="F197" s="3" t="s">
        <v>295</v>
      </c>
      <c r="G197" s="3" t="s">
        <v>17</v>
      </c>
      <c r="H197" s="3" t="s">
        <v>254</v>
      </c>
    </row>
    <row r="198" spans="1:8" x14ac:dyDescent="0.2">
      <c r="A198" s="3">
        <v>3111601004</v>
      </c>
      <c r="B198" s="4" t="s">
        <v>585</v>
      </c>
      <c r="C198" s="4" t="s">
        <v>1235</v>
      </c>
      <c r="D198" s="3">
        <v>4</v>
      </c>
      <c r="E198" s="3" t="s">
        <v>16</v>
      </c>
      <c r="F198" s="3" t="s">
        <v>289</v>
      </c>
      <c r="G198" s="3" t="s">
        <v>23</v>
      </c>
      <c r="H198" s="3" t="s">
        <v>254</v>
      </c>
    </row>
    <row r="199" spans="1:8" x14ac:dyDescent="0.2">
      <c r="A199" s="3">
        <v>3111601003</v>
      </c>
      <c r="B199" s="4" t="s">
        <v>585</v>
      </c>
      <c r="C199" s="4" t="s">
        <v>586</v>
      </c>
      <c r="D199" s="3">
        <v>13</v>
      </c>
      <c r="E199" s="3" t="s">
        <v>16</v>
      </c>
      <c r="F199" s="3" t="s">
        <v>289</v>
      </c>
      <c r="G199" s="3" t="s">
        <v>23</v>
      </c>
      <c r="H199" s="3" t="s">
        <v>254</v>
      </c>
    </row>
    <row r="200" spans="1:8" x14ac:dyDescent="0.2">
      <c r="A200" s="3">
        <v>3111601003</v>
      </c>
      <c r="B200" s="4" t="s">
        <v>585</v>
      </c>
      <c r="C200" s="4" t="s">
        <v>586</v>
      </c>
      <c r="D200" s="3">
        <v>2</v>
      </c>
      <c r="E200" s="3" t="s">
        <v>16</v>
      </c>
      <c r="F200" s="3" t="s">
        <v>291</v>
      </c>
      <c r="G200" s="3" t="s">
        <v>26</v>
      </c>
      <c r="H200" s="3" t="s">
        <v>254</v>
      </c>
    </row>
    <row r="201" spans="1:8" x14ac:dyDescent="0.2">
      <c r="A201" s="3">
        <v>3060340003</v>
      </c>
      <c r="B201" s="4" t="s">
        <v>725</v>
      </c>
      <c r="C201" s="4" t="s">
        <v>1236</v>
      </c>
      <c r="D201" s="3">
        <v>1</v>
      </c>
      <c r="E201" s="3" t="s">
        <v>16</v>
      </c>
      <c r="F201" s="3" t="s">
        <v>289</v>
      </c>
      <c r="G201" s="3" t="s">
        <v>23</v>
      </c>
      <c r="H201" s="3" t="s">
        <v>254</v>
      </c>
    </row>
    <row r="202" spans="1:8" x14ac:dyDescent="0.2">
      <c r="A202" s="3">
        <v>3060339004</v>
      </c>
      <c r="B202" s="4" t="s">
        <v>737</v>
      </c>
      <c r="C202" s="4" t="s">
        <v>1253</v>
      </c>
      <c r="D202" s="3">
        <v>1</v>
      </c>
      <c r="E202" s="3" t="s">
        <v>16</v>
      </c>
      <c r="F202" s="3" t="s">
        <v>289</v>
      </c>
      <c r="G202" s="3" t="s">
        <v>23</v>
      </c>
      <c r="H202" s="3" t="s">
        <v>254</v>
      </c>
    </row>
    <row r="203" spans="1:8" x14ac:dyDescent="0.2">
      <c r="A203" s="3">
        <v>3050303008</v>
      </c>
      <c r="B203" s="4" t="s">
        <v>245</v>
      </c>
      <c r="C203" s="4" t="s">
        <v>540</v>
      </c>
      <c r="D203" s="3">
        <v>1</v>
      </c>
      <c r="E203" s="3" t="s">
        <v>16</v>
      </c>
      <c r="F203" s="3" t="s">
        <v>291</v>
      </c>
      <c r="G203" s="3" t="s">
        <v>26</v>
      </c>
      <c r="H203" s="3" t="s">
        <v>254</v>
      </c>
    </row>
    <row r="204" spans="1:8" x14ac:dyDescent="0.2">
      <c r="A204" s="3">
        <v>3080310002</v>
      </c>
      <c r="B204" s="4" t="s">
        <v>588</v>
      </c>
      <c r="C204" s="4" t="s">
        <v>589</v>
      </c>
      <c r="D204" s="3">
        <v>1</v>
      </c>
      <c r="E204" s="3" t="s">
        <v>16</v>
      </c>
      <c r="F204" s="3" t="s">
        <v>295</v>
      </c>
      <c r="G204" s="3" t="s">
        <v>17</v>
      </c>
      <c r="H204" s="3" t="s">
        <v>590</v>
      </c>
    </row>
    <row r="205" spans="1:8" x14ac:dyDescent="0.2">
      <c r="A205" s="3">
        <v>3020301012</v>
      </c>
      <c r="B205" s="4" t="s">
        <v>209</v>
      </c>
      <c r="C205" s="4" t="s">
        <v>768</v>
      </c>
      <c r="D205" s="3">
        <v>1</v>
      </c>
      <c r="E205" s="3" t="s">
        <v>16</v>
      </c>
      <c r="F205" s="3" t="s">
        <v>301</v>
      </c>
      <c r="G205" s="3" t="s">
        <v>32</v>
      </c>
      <c r="H205" s="3" t="s">
        <v>769</v>
      </c>
    </row>
  </sheetData>
  <phoneticPr fontId="2" type="noConversion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0698B-787E-4653-B94A-76124802FBA6}">
  <dimension ref="A1:H219"/>
  <sheetViews>
    <sheetView workbookViewId="0">
      <selection activeCell="M19" sqref="M19"/>
    </sheetView>
  </sheetViews>
  <sheetFormatPr defaultRowHeight="14.25" x14ac:dyDescent="0.2"/>
  <cols>
    <col min="1" max="1" width="12.5" customWidth="1"/>
    <col min="2" max="3" width="13.625" customWidth="1"/>
  </cols>
  <sheetData>
    <row r="1" spans="1:8" x14ac:dyDescent="0.2">
      <c r="A1" s="3" t="s">
        <v>1303</v>
      </c>
      <c r="B1" s="4"/>
      <c r="C1" s="4"/>
      <c r="D1" s="3"/>
      <c r="E1" s="3"/>
      <c r="F1" s="3"/>
      <c r="G1" s="3"/>
      <c r="H1" s="3"/>
    </row>
    <row r="2" spans="1:8" ht="28.5" x14ac:dyDescent="0.2">
      <c r="A2" s="1" t="s">
        <v>0</v>
      </c>
      <c r="B2" s="2" t="s">
        <v>1</v>
      </c>
      <c r="C2" s="2" t="s">
        <v>2</v>
      </c>
      <c r="D2" s="1" t="s">
        <v>4</v>
      </c>
      <c r="E2" s="1" t="s">
        <v>3</v>
      </c>
      <c r="F2" s="1" t="s">
        <v>5</v>
      </c>
      <c r="G2" s="1" t="s">
        <v>6</v>
      </c>
      <c r="H2" s="1" t="s">
        <v>7</v>
      </c>
    </row>
    <row r="3" spans="1:8" s="10" customFormat="1" x14ac:dyDescent="0.2">
      <c r="A3" s="8" t="s">
        <v>390</v>
      </c>
      <c r="B3" s="9" t="s">
        <v>8</v>
      </c>
      <c r="C3" s="9" t="s">
        <v>9</v>
      </c>
      <c r="D3" s="13">
        <f>0.3613/0.94</f>
        <v>0.38436170212765963</v>
      </c>
      <c r="E3" s="8" t="s">
        <v>596</v>
      </c>
      <c r="F3" s="8" t="s">
        <v>283</v>
      </c>
      <c r="G3" s="8" t="s">
        <v>13</v>
      </c>
      <c r="H3" s="8" t="s">
        <v>12</v>
      </c>
    </row>
    <row r="4" spans="1:8" x14ac:dyDescent="0.2">
      <c r="A4" s="3">
        <v>40901009</v>
      </c>
      <c r="B4" s="4" t="s">
        <v>801</v>
      </c>
      <c r="C4" s="4" t="s">
        <v>1153</v>
      </c>
      <c r="D4" s="3">
        <v>1</v>
      </c>
      <c r="E4" s="3" t="s">
        <v>16</v>
      </c>
      <c r="F4" s="3" t="s">
        <v>289</v>
      </c>
      <c r="G4" s="3" t="s">
        <v>23</v>
      </c>
      <c r="H4" s="3" t="s">
        <v>306</v>
      </c>
    </row>
    <row r="5" spans="1:8" x14ac:dyDescent="0.2">
      <c r="A5" s="3">
        <v>3099980014</v>
      </c>
      <c r="B5" s="4" t="s">
        <v>391</v>
      </c>
      <c r="C5" s="4" t="s">
        <v>392</v>
      </c>
      <c r="D5" s="3">
        <v>1</v>
      </c>
      <c r="E5" s="3" t="s">
        <v>16</v>
      </c>
      <c r="F5" s="3" t="s">
        <v>291</v>
      </c>
      <c r="G5" s="3" t="s">
        <v>26</v>
      </c>
      <c r="H5" s="3" t="s">
        <v>393</v>
      </c>
    </row>
    <row r="6" spans="1:8" x14ac:dyDescent="0.2">
      <c r="A6" s="3">
        <v>3030314005</v>
      </c>
      <c r="B6" s="4" t="s">
        <v>394</v>
      </c>
      <c r="C6" s="4" t="s">
        <v>395</v>
      </c>
      <c r="D6" s="3">
        <v>1</v>
      </c>
      <c r="E6" s="3" t="s">
        <v>16</v>
      </c>
      <c r="F6" s="3" t="s">
        <v>291</v>
      </c>
      <c r="G6" s="3" t="s">
        <v>26</v>
      </c>
      <c r="H6" s="3" t="s">
        <v>18</v>
      </c>
    </row>
    <row r="7" spans="1:8" x14ac:dyDescent="0.2">
      <c r="A7" s="3">
        <v>3030210001</v>
      </c>
      <c r="B7" s="4" t="s">
        <v>396</v>
      </c>
      <c r="C7" s="4" t="s">
        <v>397</v>
      </c>
      <c r="D7" s="3">
        <v>1</v>
      </c>
      <c r="E7" s="3" t="s">
        <v>16</v>
      </c>
      <c r="F7" s="3" t="s">
        <v>295</v>
      </c>
      <c r="G7" s="3" t="s">
        <v>17</v>
      </c>
      <c r="H7" s="3" t="s">
        <v>18</v>
      </c>
    </row>
    <row r="8" spans="1:8" x14ac:dyDescent="0.2">
      <c r="A8" s="3">
        <v>3080301001</v>
      </c>
      <c r="B8" s="4" t="s">
        <v>247</v>
      </c>
      <c r="C8" s="4" t="s">
        <v>398</v>
      </c>
      <c r="D8" s="3">
        <v>1</v>
      </c>
      <c r="E8" s="3" t="s">
        <v>16</v>
      </c>
      <c r="F8" s="3" t="s">
        <v>295</v>
      </c>
      <c r="G8" s="3" t="s">
        <v>17</v>
      </c>
      <c r="H8" s="3" t="s">
        <v>18</v>
      </c>
    </row>
    <row r="9" spans="1:8" x14ac:dyDescent="0.2">
      <c r="A9" s="3">
        <v>3040201001</v>
      </c>
      <c r="B9" s="4" t="s">
        <v>399</v>
      </c>
      <c r="C9" s="4" t="s">
        <v>400</v>
      </c>
      <c r="D9" s="3">
        <v>2</v>
      </c>
      <c r="E9" s="3" t="s">
        <v>16</v>
      </c>
      <c r="F9" s="3" t="s">
        <v>293</v>
      </c>
      <c r="G9" s="3" t="s">
        <v>29</v>
      </c>
      <c r="H9" s="3" t="s">
        <v>18</v>
      </c>
    </row>
    <row r="10" spans="1:8" x14ac:dyDescent="0.2">
      <c r="A10" s="3">
        <v>3030202002</v>
      </c>
      <c r="B10" s="4" t="s">
        <v>401</v>
      </c>
      <c r="C10" s="4" t="s">
        <v>402</v>
      </c>
      <c r="D10" s="3">
        <v>1</v>
      </c>
      <c r="E10" s="3" t="s">
        <v>16</v>
      </c>
      <c r="F10" s="3" t="s">
        <v>295</v>
      </c>
      <c r="G10" s="3" t="s">
        <v>17</v>
      </c>
      <c r="H10" s="3" t="s">
        <v>18</v>
      </c>
    </row>
    <row r="11" spans="1:8" x14ac:dyDescent="0.2">
      <c r="A11" s="3">
        <v>3030202003</v>
      </c>
      <c r="B11" s="4" t="s">
        <v>403</v>
      </c>
      <c r="C11" s="4" t="s">
        <v>404</v>
      </c>
      <c r="D11" s="3">
        <v>1</v>
      </c>
      <c r="E11" s="3" t="s">
        <v>16</v>
      </c>
      <c r="F11" s="3" t="s">
        <v>295</v>
      </c>
      <c r="G11" s="3" t="s">
        <v>17</v>
      </c>
      <c r="H11" s="3" t="s">
        <v>18</v>
      </c>
    </row>
    <row r="12" spans="1:8" x14ac:dyDescent="0.2">
      <c r="A12" s="3">
        <v>3030212001</v>
      </c>
      <c r="B12" s="4" t="s">
        <v>405</v>
      </c>
      <c r="C12" s="4" t="s">
        <v>406</v>
      </c>
      <c r="D12" s="3">
        <v>1</v>
      </c>
      <c r="E12" s="3" t="s">
        <v>16</v>
      </c>
      <c r="F12" s="3" t="s">
        <v>295</v>
      </c>
      <c r="G12" s="3" t="s">
        <v>17</v>
      </c>
      <c r="H12" s="3" t="s">
        <v>18</v>
      </c>
    </row>
    <row r="13" spans="1:8" x14ac:dyDescent="0.2">
      <c r="A13" s="3">
        <v>3030206003</v>
      </c>
      <c r="B13" s="4" t="s">
        <v>407</v>
      </c>
      <c r="C13" s="4" t="s">
        <v>408</v>
      </c>
      <c r="D13" s="3">
        <v>1</v>
      </c>
      <c r="E13" s="3" t="s">
        <v>16</v>
      </c>
      <c r="F13" s="3" t="s">
        <v>295</v>
      </c>
      <c r="G13" s="3" t="s">
        <v>17</v>
      </c>
      <c r="H13" s="3" t="s">
        <v>18</v>
      </c>
    </row>
    <row r="14" spans="1:8" x14ac:dyDescent="0.2">
      <c r="A14" s="3">
        <v>404020072</v>
      </c>
      <c r="B14" s="4" t="s">
        <v>30</v>
      </c>
      <c r="C14" s="4" t="s">
        <v>308</v>
      </c>
      <c r="D14" s="3">
        <v>1</v>
      </c>
      <c r="E14" s="3" t="s">
        <v>16</v>
      </c>
      <c r="F14" s="3" t="s">
        <v>291</v>
      </c>
      <c r="G14" s="3" t="s">
        <v>26</v>
      </c>
      <c r="H14" s="3" t="s">
        <v>33</v>
      </c>
    </row>
    <row r="15" spans="1:8" x14ac:dyDescent="0.2">
      <c r="A15" s="3">
        <v>401020110</v>
      </c>
      <c r="B15" s="4" t="s">
        <v>35</v>
      </c>
      <c r="C15" s="4" t="s">
        <v>1154</v>
      </c>
      <c r="D15" s="3">
        <v>1</v>
      </c>
      <c r="E15" s="3" t="s">
        <v>16</v>
      </c>
      <c r="F15" s="3" t="s">
        <v>301</v>
      </c>
      <c r="G15" s="3" t="s">
        <v>32</v>
      </c>
      <c r="H15" s="3" t="s">
        <v>33</v>
      </c>
    </row>
    <row r="16" spans="1:8" x14ac:dyDescent="0.2">
      <c r="A16" s="3">
        <v>409010001</v>
      </c>
      <c r="B16" s="4" t="s">
        <v>1298</v>
      </c>
      <c r="C16" s="4" t="s">
        <v>1299</v>
      </c>
      <c r="D16" s="3">
        <v>1</v>
      </c>
      <c r="E16" s="3" t="s">
        <v>16</v>
      </c>
      <c r="F16" s="3" t="s">
        <v>289</v>
      </c>
      <c r="G16" s="3" t="s">
        <v>23</v>
      </c>
      <c r="H16" s="3" t="s">
        <v>40</v>
      </c>
    </row>
    <row r="17" spans="1:8" x14ac:dyDescent="0.2">
      <c r="A17" s="3">
        <v>3080101002</v>
      </c>
      <c r="B17" s="4" t="s">
        <v>411</v>
      </c>
      <c r="C17" s="4" t="s">
        <v>413</v>
      </c>
      <c r="D17" s="3">
        <v>19</v>
      </c>
      <c r="E17" s="3" t="s">
        <v>16</v>
      </c>
      <c r="F17" s="3" t="s">
        <v>289</v>
      </c>
      <c r="G17" s="3" t="s">
        <v>23</v>
      </c>
      <c r="H17" s="3" t="s">
        <v>40</v>
      </c>
    </row>
    <row r="18" spans="1:8" x14ac:dyDescent="0.2">
      <c r="A18" s="3">
        <v>3080101015</v>
      </c>
      <c r="B18" s="4" t="s">
        <v>411</v>
      </c>
      <c r="C18" s="4" t="s">
        <v>412</v>
      </c>
      <c r="D18" s="3">
        <v>2</v>
      </c>
      <c r="E18" s="3" t="s">
        <v>16</v>
      </c>
      <c r="F18" s="3" t="s">
        <v>293</v>
      </c>
      <c r="G18" s="3" t="s">
        <v>29</v>
      </c>
      <c r="H18" s="3" t="s">
        <v>40</v>
      </c>
    </row>
    <row r="19" spans="1:8" x14ac:dyDescent="0.2">
      <c r="A19" s="3">
        <v>3080101002</v>
      </c>
      <c r="B19" s="4" t="s">
        <v>411</v>
      </c>
      <c r="C19" s="4" t="s">
        <v>413</v>
      </c>
      <c r="D19" s="3">
        <v>8</v>
      </c>
      <c r="E19" s="3" t="s">
        <v>16</v>
      </c>
      <c r="F19" s="3" t="s">
        <v>317</v>
      </c>
      <c r="G19" s="3" t="s">
        <v>318</v>
      </c>
      <c r="H19" s="3" t="s">
        <v>40</v>
      </c>
    </row>
    <row r="20" spans="1:8" x14ac:dyDescent="0.2">
      <c r="A20" s="3">
        <v>3080101002</v>
      </c>
      <c r="B20" s="4" t="s">
        <v>411</v>
      </c>
      <c r="C20" s="4" t="s">
        <v>413</v>
      </c>
      <c r="D20" s="3">
        <v>2</v>
      </c>
      <c r="E20" s="3" t="s">
        <v>16</v>
      </c>
      <c r="F20" s="3" t="s">
        <v>291</v>
      </c>
      <c r="G20" s="3" t="s">
        <v>26</v>
      </c>
      <c r="H20" s="3" t="s">
        <v>40</v>
      </c>
    </row>
    <row r="21" spans="1:8" x14ac:dyDescent="0.2">
      <c r="A21" s="3">
        <v>3080401064</v>
      </c>
      <c r="B21" s="4" t="s">
        <v>41</v>
      </c>
      <c r="C21" s="4" t="s">
        <v>414</v>
      </c>
      <c r="D21" s="3">
        <v>1</v>
      </c>
      <c r="E21" s="3" t="s">
        <v>16</v>
      </c>
      <c r="F21" s="3" t="s">
        <v>295</v>
      </c>
      <c r="G21" s="3" t="s">
        <v>17</v>
      </c>
      <c r="H21" s="3" t="s">
        <v>40</v>
      </c>
    </row>
    <row r="22" spans="1:8" x14ac:dyDescent="0.2">
      <c r="A22" s="3">
        <v>3080401016</v>
      </c>
      <c r="B22" s="4" t="s">
        <v>41</v>
      </c>
      <c r="C22" s="4" t="s">
        <v>415</v>
      </c>
      <c r="D22" s="3">
        <v>1</v>
      </c>
      <c r="E22" s="3" t="s">
        <v>16</v>
      </c>
      <c r="F22" s="3" t="s">
        <v>295</v>
      </c>
      <c r="G22" s="3" t="s">
        <v>17</v>
      </c>
      <c r="H22" s="3" t="s">
        <v>40</v>
      </c>
    </row>
    <row r="23" spans="1:8" x14ac:dyDescent="0.2">
      <c r="A23" s="3">
        <v>3080401007</v>
      </c>
      <c r="B23" s="4" t="s">
        <v>41</v>
      </c>
      <c r="C23" s="4" t="s">
        <v>416</v>
      </c>
      <c r="D23" s="3">
        <v>2</v>
      </c>
      <c r="E23" s="3" t="s">
        <v>16</v>
      </c>
      <c r="F23" s="3" t="s">
        <v>293</v>
      </c>
      <c r="G23" s="3" t="s">
        <v>29</v>
      </c>
      <c r="H23" s="3" t="s">
        <v>40</v>
      </c>
    </row>
    <row r="24" spans="1:8" x14ac:dyDescent="0.2">
      <c r="A24" s="3">
        <v>3080401014</v>
      </c>
      <c r="B24" s="4" t="s">
        <v>41</v>
      </c>
      <c r="C24" s="4" t="s">
        <v>417</v>
      </c>
      <c r="D24" s="3">
        <v>4</v>
      </c>
      <c r="E24" s="3" t="s">
        <v>16</v>
      </c>
      <c r="F24" s="3" t="s">
        <v>291</v>
      </c>
      <c r="G24" s="3" t="s">
        <v>26</v>
      </c>
      <c r="H24" s="3" t="s">
        <v>40</v>
      </c>
    </row>
    <row r="25" spans="1:8" x14ac:dyDescent="0.2">
      <c r="A25" s="3">
        <v>3080104073</v>
      </c>
      <c r="B25" s="4" t="s">
        <v>45</v>
      </c>
      <c r="C25" s="4" t="s">
        <v>1155</v>
      </c>
      <c r="D25" s="3">
        <v>3</v>
      </c>
      <c r="E25" s="3" t="s">
        <v>16</v>
      </c>
      <c r="F25" s="3" t="s">
        <v>289</v>
      </c>
      <c r="G25" s="3" t="s">
        <v>23</v>
      </c>
      <c r="H25" s="3" t="s">
        <v>40</v>
      </c>
    </row>
    <row r="26" spans="1:8" x14ac:dyDescent="0.2">
      <c r="A26" s="3">
        <v>3080104018</v>
      </c>
      <c r="B26" s="4" t="s">
        <v>45</v>
      </c>
      <c r="C26" s="4" t="s">
        <v>418</v>
      </c>
      <c r="D26" s="3">
        <v>2</v>
      </c>
      <c r="E26" s="3" t="s">
        <v>16</v>
      </c>
      <c r="F26" s="3" t="s">
        <v>293</v>
      </c>
      <c r="G26" s="3" t="s">
        <v>29</v>
      </c>
      <c r="H26" s="3" t="s">
        <v>40</v>
      </c>
    </row>
    <row r="27" spans="1:8" x14ac:dyDescent="0.2">
      <c r="A27" s="3">
        <v>3080104099</v>
      </c>
      <c r="B27" s="4" t="s">
        <v>45</v>
      </c>
      <c r="C27" s="4" t="s">
        <v>419</v>
      </c>
      <c r="D27" s="3">
        <v>2</v>
      </c>
      <c r="E27" s="3" t="s">
        <v>16</v>
      </c>
      <c r="F27" s="3" t="s">
        <v>291</v>
      </c>
      <c r="G27" s="3" t="s">
        <v>26</v>
      </c>
      <c r="H27" s="3" t="s">
        <v>40</v>
      </c>
    </row>
    <row r="28" spans="1:8" x14ac:dyDescent="0.2">
      <c r="A28" s="3">
        <v>3080105006</v>
      </c>
      <c r="B28" s="4" t="s">
        <v>50</v>
      </c>
      <c r="C28" s="4" t="s">
        <v>1157</v>
      </c>
      <c r="D28" s="3">
        <v>8</v>
      </c>
      <c r="E28" s="3" t="s">
        <v>16</v>
      </c>
      <c r="F28" s="3" t="s">
        <v>289</v>
      </c>
      <c r="G28" s="3" t="s">
        <v>23</v>
      </c>
      <c r="H28" s="3" t="s">
        <v>40</v>
      </c>
    </row>
    <row r="29" spans="1:8" x14ac:dyDescent="0.2">
      <c r="A29" s="3">
        <v>3080105014</v>
      </c>
      <c r="B29" s="4" t="s">
        <v>50</v>
      </c>
      <c r="C29" s="4" t="s">
        <v>1238</v>
      </c>
      <c r="D29" s="3">
        <v>2</v>
      </c>
      <c r="E29" s="3" t="s">
        <v>16</v>
      </c>
      <c r="F29" s="3" t="s">
        <v>289</v>
      </c>
      <c r="G29" s="3" t="s">
        <v>23</v>
      </c>
      <c r="H29" s="3" t="s">
        <v>40</v>
      </c>
    </row>
    <row r="30" spans="1:8" x14ac:dyDescent="0.2">
      <c r="A30" s="3">
        <v>3080105023</v>
      </c>
      <c r="B30" s="4" t="s">
        <v>50</v>
      </c>
      <c r="C30" s="4" t="s">
        <v>1159</v>
      </c>
      <c r="D30" s="3">
        <v>4</v>
      </c>
      <c r="E30" s="3" t="s">
        <v>16</v>
      </c>
      <c r="F30" s="3" t="s">
        <v>289</v>
      </c>
      <c r="G30" s="3" t="s">
        <v>23</v>
      </c>
      <c r="H30" s="3" t="s">
        <v>40</v>
      </c>
    </row>
    <row r="31" spans="1:8" x14ac:dyDescent="0.2">
      <c r="A31" s="3">
        <v>3080105015</v>
      </c>
      <c r="B31" s="4" t="s">
        <v>50</v>
      </c>
      <c r="C31" s="4" t="s">
        <v>422</v>
      </c>
      <c r="D31" s="3">
        <v>8</v>
      </c>
      <c r="E31" s="3" t="s">
        <v>16</v>
      </c>
      <c r="F31" s="3" t="s">
        <v>293</v>
      </c>
      <c r="G31" s="3" t="s">
        <v>29</v>
      </c>
      <c r="H31" s="3" t="s">
        <v>40</v>
      </c>
    </row>
    <row r="32" spans="1:8" x14ac:dyDescent="0.2">
      <c r="A32" s="3">
        <v>3080105088</v>
      </c>
      <c r="B32" s="4" t="s">
        <v>50</v>
      </c>
      <c r="C32" s="4" t="s">
        <v>423</v>
      </c>
      <c r="D32" s="3">
        <v>2</v>
      </c>
      <c r="E32" s="3" t="s">
        <v>16</v>
      </c>
      <c r="F32" s="3" t="s">
        <v>293</v>
      </c>
      <c r="G32" s="3" t="s">
        <v>29</v>
      </c>
      <c r="H32" s="3" t="s">
        <v>40</v>
      </c>
    </row>
    <row r="33" spans="1:8" x14ac:dyDescent="0.2">
      <c r="A33" s="3">
        <v>3080105040</v>
      </c>
      <c r="B33" s="4" t="s">
        <v>50</v>
      </c>
      <c r="C33" s="4" t="s">
        <v>421</v>
      </c>
      <c r="D33" s="3">
        <v>14</v>
      </c>
      <c r="E33" s="3" t="s">
        <v>16</v>
      </c>
      <c r="F33" s="3" t="s">
        <v>293</v>
      </c>
      <c r="G33" s="3" t="s">
        <v>29</v>
      </c>
      <c r="H33" s="3" t="s">
        <v>40</v>
      </c>
    </row>
    <row r="34" spans="1:8" x14ac:dyDescent="0.2">
      <c r="A34" s="3">
        <v>3080105008</v>
      </c>
      <c r="B34" s="4" t="s">
        <v>50</v>
      </c>
      <c r="C34" s="4" t="s">
        <v>424</v>
      </c>
      <c r="D34" s="3">
        <v>8</v>
      </c>
      <c r="E34" s="3" t="s">
        <v>16</v>
      </c>
      <c r="F34" s="3" t="s">
        <v>293</v>
      </c>
      <c r="G34" s="3" t="s">
        <v>29</v>
      </c>
      <c r="H34" s="3" t="s">
        <v>40</v>
      </c>
    </row>
    <row r="35" spans="1:8" x14ac:dyDescent="0.2">
      <c r="A35" s="3">
        <v>3080105121</v>
      </c>
      <c r="B35" s="4" t="s">
        <v>50</v>
      </c>
      <c r="C35" s="4" t="s">
        <v>316</v>
      </c>
      <c r="D35" s="3">
        <v>2</v>
      </c>
      <c r="E35" s="3" t="s">
        <v>16</v>
      </c>
      <c r="F35" s="3" t="s">
        <v>317</v>
      </c>
      <c r="G35" s="3" t="s">
        <v>318</v>
      </c>
      <c r="H35" s="3" t="s">
        <v>40</v>
      </c>
    </row>
    <row r="36" spans="1:8" x14ac:dyDescent="0.2">
      <c r="A36" s="3">
        <v>3080105051</v>
      </c>
      <c r="B36" s="4" t="s">
        <v>50</v>
      </c>
      <c r="C36" s="4" t="s">
        <v>1300</v>
      </c>
      <c r="D36" s="3">
        <v>2</v>
      </c>
      <c r="E36" s="3" t="s">
        <v>16</v>
      </c>
      <c r="F36" s="3" t="s">
        <v>317</v>
      </c>
      <c r="G36" s="3" t="s">
        <v>318</v>
      </c>
      <c r="H36" s="3" t="s">
        <v>40</v>
      </c>
    </row>
    <row r="37" spans="1:8" x14ac:dyDescent="0.2">
      <c r="A37" s="3">
        <v>3080104055</v>
      </c>
      <c r="B37" s="4" t="s">
        <v>50</v>
      </c>
      <c r="C37" s="4" t="s">
        <v>425</v>
      </c>
      <c r="D37" s="3">
        <v>2</v>
      </c>
      <c r="E37" s="3" t="s">
        <v>16</v>
      </c>
      <c r="F37" s="3" t="s">
        <v>291</v>
      </c>
      <c r="G37" s="3" t="s">
        <v>26</v>
      </c>
      <c r="H37" s="3" t="s">
        <v>40</v>
      </c>
    </row>
    <row r="38" spans="1:8" x14ac:dyDescent="0.2">
      <c r="A38" s="3">
        <v>3080105040</v>
      </c>
      <c r="B38" s="4" t="s">
        <v>50</v>
      </c>
      <c r="C38" s="4" t="s">
        <v>421</v>
      </c>
      <c r="D38" s="3">
        <v>2</v>
      </c>
      <c r="E38" s="3" t="s">
        <v>16</v>
      </c>
      <c r="F38" s="3" t="s">
        <v>291</v>
      </c>
      <c r="G38" s="3" t="s">
        <v>26</v>
      </c>
      <c r="H38" s="3" t="s">
        <v>40</v>
      </c>
    </row>
    <row r="39" spans="1:8" x14ac:dyDescent="0.2">
      <c r="A39" s="3">
        <v>3080502004</v>
      </c>
      <c r="B39" s="4" t="s">
        <v>55</v>
      </c>
      <c r="C39" s="4" t="s">
        <v>1239</v>
      </c>
      <c r="D39" s="3">
        <v>2</v>
      </c>
      <c r="E39" s="3" t="s">
        <v>16</v>
      </c>
      <c r="F39" s="3" t="s">
        <v>291</v>
      </c>
      <c r="G39" s="3" t="s">
        <v>26</v>
      </c>
      <c r="H39" s="3" t="s">
        <v>40</v>
      </c>
    </row>
    <row r="40" spans="1:8" x14ac:dyDescent="0.2">
      <c r="A40" s="3">
        <v>3080201005</v>
      </c>
      <c r="B40" s="4" t="s">
        <v>60</v>
      </c>
      <c r="C40" s="4" t="s">
        <v>427</v>
      </c>
      <c r="D40" s="3">
        <v>1</v>
      </c>
      <c r="E40" s="3" t="s">
        <v>16</v>
      </c>
      <c r="F40" s="3" t="s">
        <v>291</v>
      </c>
      <c r="G40" s="3" t="s">
        <v>26</v>
      </c>
      <c r="H40" s="3" t="s">
        <v>40</v>
      </c>
    </row>
    <row r="41" spans="1:8" x14ac:dyDescent="0.2">
      <c r="A41" s="3">
        <v>3080201006</v>
      </c>
      <c r="B41" s="4" t="s">
        <v>60</v>
      </c>
      <c r="C41" s="4" t="s">
        <v>428</v>
      </c>
      <c r="D41" s="3">
        <v>1</v>
      </c>
      <c r="E41" s="3" t="s">
        <v>16</v>
      </c>
      <c r="F41" s="3" t="s">
        <v>291</v>
      </c>
      <c r="G41" s="3" t="s">
        <v>26</v>
      </c>
      <c r="H41" s="3" t="s">
        <v>40</v>
      </c>
    </row>
    <row r="42" spans="1:8" x14ac:dyDescent="0.2">
      <c r="A42" s="3">
        <v>3080107271</v>
      </c>
      <c r="B42" s="4" t="s">
        <v>69</v>
      </c>
      <c r="C42" s="4" t="s">
        <v>1161</v>
      </c>
      <c r="D42" s="3">
        <v>2</v>
      </c>
      <c r="E42" s="3" t="s">
        <v>16</v>
      </c>
      <c r="F42" s="3" t="s">
        <v>289</v>
      </c>
      <c r="G42" s="3" t="s">
        <v>23</v>
      </c>
      <c r="H42" s="3" t="s">
        <v>40</v>
      </c>
    </row>
    <row r="43" spans="1:8" x14ac:dyDescent="0.2">
      <c r="A43" s="3">
        <v>3080107092</v>
      </c>
      <c r="B43" s="4" t="s">
        <v>69</v>
      </c>
      <c r="C43" s="4" t="s">
        <v>1162</v>
      </c>
      <c r="D43" s="3">
        <v>4</v>
      </c>
      <c r="E43" s="3" t="s">
        <v>16</v>
      </c>
      <c r="F43" s="3" t="s">
        <v>289</v>
      </c>
      <c r="G43" s="3" t="s">
        <v>23</v>
      </c>
      <c r="H43" s="3" t="s">
        <v>40</v>
      </c>
    </row>
    <row r="44" spans="1:8" x14ac:dyDescent="0.2">
      <c r="A44" s="3">
        <v>3080107034</v>
      </c>
      <c r="B44" s="4" t="s">
        <v>69</v>
      </c>
      <c r="C44" s="4" t="s">
        <v>429</v>
      </c>
      <c r="D44" s="3">
        <v>2</v>
      </c>
      <c r="E44" s="3" t="s">
        <v>16</v>
      </c>
      <c r="F44" s="3" t="s">
        <v>295</v>
      </c>
      <c r="G44" s="3" t="s">
        <v>17</v>
      </c>
      <c r="H44" s="3" t="s">
        <v>40</v>
      </c>
    </row>
    <row r="45" spans="1:8" x14ac:dyDescent="0.2">
      <c r="A45" s="3">
        <v>3080107034</v>
      </c>
      <c r="B45" s="4" t="s">
        <v>69</v>
      </c>
      <c r="C45" s="4" t="s">
        <v>429</v>
      </c>
      <c r="D45" s="3">
        <v>6</v>
      </c>
      <c r="E45" s="3" t="s">
        <v>16</v>
      </c>
      <c r="F45" s="3" t="s">
        <v>295</v>
      </c>
      <c r="G45" s="3" t="s">
        <v>17</v>
      </c>
      <c r="H45" s="3" t="s">
        <v>40</v>
      </c>
    </row>
    <row r="46" spans="1:8" x14ac:dyDescent="0.2">
      <c r="A46" s="3">
        <v>3080107002</v>
      </c>
      <c r="B46" s="4" t="s">
        <v>69</v>
      </c>
      <c r="C46" s="4" t="s">
        <v>430</v>
      </c>
      <c r="D46" s="3">
        <v>4</v>
      </c>
      <c r="E46" s="3" t="s">
        <v>16</v>
      </c>
      <c r="F46" s="3" t="s">
        <v>295</v>
      </c>
      <c r="G46" s="3" t="s">
        <v>17</v>
      </c>
      <c r="H46" s="3" t="s">
        <v>40</v>
      </c>
    </row>
    <row r="47" spans="1:8" x14ac:dyDescent="0.2">
      <c r="A47" s="3">
        <v>3080107052</v>
      </c>
      <c r="B47" s="4" t="s">
        <v>69</v>
      </c>
      <c r="C47" s="4" t="s">
        <v>431</v>
      </c>
      <c r="D47" s="3">
        <v>1</v>
      </c>
      <c r="E47" s="3" t="s">
        <v>16</v>
      </c>
      <c r="F47" s="3" t="s">
        <v>295</v>
      </c>
      <c r="G47" s="3" t="s">
        <v>17</v>
      </c>
      <c r="H47" s="3" t="s">
        <v>40</v>
      </c>
    </row>
    <row r="48" spans="1:8" x14ac:dyDescent="0.2">
      <c r="A48" s="3">
        <v>3080107160</v>
      </c>
      <c r="B48" s="4" t="s">
        <v>69</v>
      </c>
      <c r="C48" s="4" t="s">
        <v>432</v>
      </c>
      <c r="D48" s="3">
        <v>4</v>
      </c>
      <c r="E48" s="3" t="s">
        <v>16</v>
      </c>
      <c r="F48" s="3" t="s">
        <v>293</v>
      </c>
      <c r="G48" s="3" t="s">
        <v>29</v>
      </c>
      <c r="H48" s="3" t="s">
        <v>40</v>
      </c>
    </row>
    <row r="49" spans="1:8" x14ac:dyDescent="0.2">
      <c r="A49" s="3">
        <v>3080107308</v>
      </c>
      <c r="B49" s="4" t="s">
        <v>69</v>
      </c>
      <c r="C49" s="4" t="s">
        <v>433</v>
      </c>
      <c r="D49" s="3">
        <v>2</v>
      </c>
      <c r="E49" s="3" t="s">
        <v>16</v>
      </c>
      <c r="F49" s="3" t="s">
        <v>291</v>
      </c>
      <c r="G49" s="3" t="s">
        <v>26</v>
      </c>
      <c r="H49" s="3" t="s">
        <v>40</v>
      </c>
    </row>
    <row r="50" spans="1:8" x14ac:dyDescent="0.2">
      <c r="A50" s="3">
        <v>3080107306</v>
      </c>
      <c r="B50" s="4" t="s">
        <v>69</v>
      </c>
      <c r="C50" s="4" t="s">
        <v>1240</v>
      </c>
      <c r="D50" s="3">
        <v>2</v>
      </c>
      <c r="E50" s="3" t="s">
        <v>16</v>
      </c>
      <c r="F50" s="3" t="s">
        <v>291</v>
      </c>
      <c r="G50" s="3" t="s">
        <v>26</v>
      </c>
      <c r="H50" s="3" t="s">
        <v>40</v>
      </c>
    </row>
    <row r="51" spans="1:8" x14ac:dyDescent="0.2">
      <c r="A51" s="3">
        <v>3080107072</v>
      </c>
      <c r="B51" s="4" t="s">
        <v>69</v>
      </c>
      <c r="C51" s="4" t="s">
        <v>435</v>
      </c>
      <c r="D51" s="3">
        <v>4</v>
      </c>
      <c r="E51" s="3" t="s">
        <v>16</v>
      </c>
      <c r="F51" s="3" t="s">
        <v>291</v>
      </c>
      <c r="G51" s="3" t="s">
        <v>26</v>
      </c>
      <c r="H51" s="3" t="s">
        <v>40</v>
      </c>
    </row>
    <row r="52" spans="1:8" x14ac:dyDescent="0.2">
      <c r="A52" s="3">
        <v>3080107094</v>
      </c>
      <c r="B52" s="4" t="s">
        <v>69</v>
      </c>
      <c r="C52" s="4" t="s">
        <v>436</v>
      </c>
      <c r="D52" s="3">
        <v>2</v>
      </c>
      <c r="E52" s="3" t="s">
        <v>16</v>
      </c>
      <c r="F52" s="3" t="s">
        <v>291</v>
      </c>
      <c r="G52" s="3" t="s">
        <v>26</v>
      </c>
      <c r="H52" s="3" t="s">
        <v>40</v>
      </c>
    </row>
    <row r="53" spans="1:8" x14ac:dyDescent="0.2">
      <c r="A53" s="3">
        <v>3080108052</v>
      </c>
      <c r="B53" s="4" t="s">
        <v>77</v>
      </c>
      <c r="C53" s="4" t="s">
        <v>1164</v>
      </c>
      <c r="D53" s="3">
        <v>1</v>
      </c>
      <c r="E53" s="3" t="s">
        <v>16</v>
      </c>
      <c r="F53" s="3" t="s">
        <v>289</v>
      </c>
      <c r="G53" s="3" t="s">
        <v>23</v>
      </c>
      <c r="H53" s="3" t="s">
        <v>40</v>
      </c>
    </row>
    <row r="54" spans="1:8" x14ac:dyDescent="0.2">
      <c r="A54" s="3">
        <v>3080101008</v>
      </c>
      <c r="B54" s="4" t="s">
        <v>77</v>
      </c>
      <c r="C54" s="4" t="s">
        <v>1165</v>
      </c>
      <c r="D54" s="3">
        <v>4</v>
      </c>
      <c r="E54" s="3" t="s">
        <v>16</v>
      </c>
      <c r="F54" s="3" t="s">
        <v>289</v>
      </c>
      <c r="G54" s="3" t="s">
        <v>23</v>
      </c>
      <c r="H54" s="3" t="s">
        <v>40</v>
      </c>
    </row>
    <row r="55" spans="1:8" x14ac:dyDescent="0.2">
      <c r="A55" s="3">
        <v>3080108040</v>
      </c>
      <c r="B55" s="4" t="s">
        <v>77</v>
      </c>
      <c r="C55" s="4" t="s">
        <v>1166</v>
      </c>
      <c r="D55" s="3">
        <v>2</v>
      </c>
      <c r="E55" s="3" t="s">
        <v>16</v>
      </c>
      <c r="F55" s="3" t="s">
        <v>289</v>
      </c>
      <c r="G55" s="3" t="s">
        <v>23</v>
      </c>
      <c r="H55" s="3" t="s">
        <v>40</v>
      </c>
    </row>
    <row r="56" spans="1:8" x14ac:dyDescent="0.2">
      <c r="A56" s="3">
        <v>3080108025</v>
      </c>
      <c r="B56" s="4" t="s">
        <v>77</v>
      </c>
      <c r="C56" s="4" t="s">
        <v>437</v>
      </c>
      <c r="D56" s="3">
        <v>7</v>
      </c>
      <c r="E56" s="3" t="s">
        <v>16</v>
      </c>
      <c r="F56" s="3" t="s">
        <v>295</v>
      </c>
      <c r="G56" s="3" t="s">
        <v>17</v>
      </c>
      <c r="H56" s="3" t="s">
        <v>40</v>
      </c>
    </row>
    <row r="57" spans="1:8" x14ac:dyDescent="0.2">
      <c r="A57" s="3">
        <v>3080108033</v>
      </c>
      <c r="B57" s="4" t="s">
        <v>77</v>
      </c>
      <c r="C57" s="4" t="s">
        <v>438</v>
      </c>
      <c r="D57" s="3">
        <v>4</v>
      </c>
      <c r="E57" s="3" t="s">
        <v>16</v>
      </c>
      <c r="F57" s="3" t="s">
        <v>291</v>
      </c>
      <c r="G57" s="3" t="s">
        <v>26</v>
      </c>
      <c r="H57" s="3" t="s">
        <v>40</v>
      </c>
    </row>
    <row r="58" spans="1:8" x14ac:dyDescent="0.2">
      <c r="A58" s="3">
        <v>3080403001</v>
      </c>
      <c r="B58" s="4" t="s">
        <v>439</v>
      </c>
      <c r="C58" s="4" t="s">
        <v>440</v>
      </c>
      <c r="D58" s="3">
        <v>1</v>
      </c>
      <c r="E58" s="3" t="s">
        <v>16</v>
      </c>
      <c r="F58" s="3" t="s">
        <v>295</v>
      </c>
      <c r="G58" s="3" t="s">
        <v>17</v>
      </c>
      <c r="H58" s="3" t="s">
        <v>40</v>
      </c>
    </row>
    <row r="59" spans="1:8" x14ac:dyDescent="0.2">
      <c r="A59" s="3">
        <v>3080109002</v>
      </c>
      <c r="B59" s="4" t="s">
        <v>441</v>
      </c>
      <c r="C59" s="4" t="s">
        <v>442</v>
      </c>
      <c r="D59" s="3">
        <v>2</v>
      </c>
      <c r="E59" s="3" t="s">
        <v>16</v>
      </c>
      <c r="F59" s="3" t="s">
        <v>295</v>
      </c>
      <c r="G59" s="3" t="s">
        <v>17</v>
      </c>
      <c r="H59" s="3" t="s">
        <v>40</v>
      </c>
    </row>
    <row r="60" spans="1:8" x14ac:dyDescent="0.2">
      <c r="A60" s="3">
        <v>3080111012</v>
      </c>
      <c r="B60" s="4" t="s">
        <v>79</v>
      </c>
      <c r="C60" s="4" t="s">
        <v>443</v>
      </c>
      <c r="D60" s="3">
        <v>2</v>
      </c>
      <c r="E60" s="3" t="s">
        <v>16</v>
      </c>
      <c r="F60" s="3" t="s">
        <v>295</v>
      </c>
      <c r="G60" s="3" t="s">
        <v>17</v>
      </c>
      <c r="H60" s="3" t="s">
        <v>40</v>
      </c>
    </row>
    <row r="61" spans="1:8" x14ac:dyDescent="0.2">
      <c r="A61" s="3">
        <v>3080111006</v>
      </c>
      <c r="B61" s="4" t="s">
        <v>79</v>
      </c>
      <c r="C61" s="4" t="s">
        <v>444</v>
      </c>
      <c r="D61" s="3">
        <v>1</v>
      </c>
      <c r="E61" s="3" t="s">
        <v>16</v>
      </c>
      <c r="F61" s="3" t="s">
        <v>295</v>
      </c>
      <c r="G61" s="3" t="s">
        <v>17</v>
      </c>
      <c r="H61" s="3" t="s">
        <v>40</v>
      </c>
    </row>
    <row r="62" spans="1:8" x14ac:dyDescent="0.2">
      <c r="A62" s="3">
        <v>3080111004</v>
      </c>
      <c r="B62" s="4" t="s">
        <v>79</v>
      </c>
      <c r="C62" s="4" t="s">
        <v>445</v>
      </c>
      <c r="D62" s="3">
        <v>2</v>
      </c>
      <c r="E62" s="3" t="s">
        <v>16</v>
      </c>
      <c r="F62" s="3" t="s">
        <v>293</v>
      </c>
      <c r="G62" s="3" t="s">
        <v>29</v>
      </c>
      <c r="H62" s="3" t="s">
        <v>40</v>
      </c>
    </row>
    <row r="63" spans="1:8" x14ac:dyDescent="0.2">
      <c r="A63" s="3">
        <v>3080111087</v>
      </c>
      <c r="B63" s="4" t="s">
        <v>79</v>
      </c>
      <c r="C63" s="4" t="s">
        <v>80</v>
      </c>
      <c r="D63" s="3">
        <v>15</v>
      </c>
      <c r="E63" s="3" t="s">
        <v>16</v>
      </c>
      <c r="F63" s="3" t="s">
        <v>291</v>
      </c>
      <c r="G63" s="3" t="s">
        <v>26</v>
      </c>
      <c r="H63" s="3" t="s">
        <v>40</v>
      </c>
    </row>
    <row r="64" spans="1:8" x14ac:dyDescent="0.2">
      <c r="A64" s="3">
        <v>3080111087</v>
      </c>
      <c r="B64" s="4" t="s">
        <v>79</v>
      </c>
      <c r="C64" s="4" t="s">
        <v>80</v>
      </c>
      <c r="D64" s="3">
        <v>1</v>
      </c>
      <c r="E64" s="3" t="s">
        <v>16</v>
      </c>
      <c r="F64" s="3" t="s">
        <v>291</v>
      </c>
      <c r="G64" s="3" t="s">
        <v>26</v>
      </c>
      <c r="H64" s="3" t="s">
        <v>40</v>
      </c>
    </row>
    <row r="65" spans="1:8" x14ac:dyDescent="0.2">
      <c r="A65" s="3">
        <v>3080111015</v>
      </c>
      <c r="B65" s="4" t="s">
        <v>79</v>
      </c>
      <c r="C65" s="4" t="s">
        <v>446</v>
      </c>
      <c r="D65" s="3">
        <v>4</v>
      </c>
      <c r="E65" s="3" t="s">
        <v>16</v>
      </c>
      <c r="F65" s="3" t="s">
        <v>291</v>
      </c>
      <c r="G65" s="3" t="s">
        <v>26</v>
      </c>
      <c r="H65" s="3" t="s">
        <v>40</v>
      </c>
    </row>
    <row r="66" spans="1:8" x14ac:dyDescent="0.2">
      <c r="A66" s="3">
        <v>407030052</v>
      </c>
      <c r="B66" s="4" t="s">
        <v>81</v>
      </c>
      <c r="C66" s="4" t="s">
        <v>1241</v>
      </c>
      <c r="D66" s="3">
        <v>1</v>
      </c>
      <c r="E66" s="3" t="s">
        <v>16</v>
      </c>
      <c r="F66" s="3" t="s">
        <v>301</v>
      </c>
      <c r="G66" s="3" t="s">
        <v>32</v>
      </c>
      <c r="H66" s="3" t="s">
        <v>40</v>
      </c>
    </row>
    <row r="67" spans="1:8" x14ac:dyDescent="0.2">
      <c r="A67" s="3">
        <v>3099991005</v>
      </c>
      <c r="B67" s="4" t="s">
        <v>878</v>
      </c>
      <c r="C67" s="4" t="s">
        <v>1258</v>
      </c>
      <c r="D67" s="3">
        <v>1</v>
      </c>
      <c r="E67" s="3" t="s">
        <v>16</v>
      </c>
      <c r="F67" s="3" t="s">
        <v>317</v>
      </c>
      <c r="G67" s="3" t="s">
        <v>318</v>
      </c>
      <c r="H67" s="3" t="s">
        <v>103</v>
      </c>
    </row>
    <row r="68" spans="1:8" x14ac:dyDescent="0.2">
      <c r="A68" s="3">
        <v>3099991105</v>
      </c>
      <c r="B68" s="4" t="s">
        <v>1169</v>
      </c>
      <c r="C68" s="4" t="s">
        <v>1170</v>
      </c>
      <c r="D68" s="3">
        <v>1</v>
      </c>
      <c r="E68" s="3" t="s">
        <v>16</v>
      </c>
      <c r="F68" s="3" t="s">
        <v>299</v>
      </c>
      <c r="G68" s="3" t="s">
        <v>106</v>
      </c>
      <c r="H68" s="3" t="s">
        <v>103</v>
      </c>
    </row>
    <row r="69" spans="1:8" x14ac:dyDescent="0.2">
      <c r="A69" s="3">
        <v>3099990110</v>
      </c>
      <c r="B69" s="4" t="s">
        <v>104</v>
      </c>
      <c r="C69" s="4" t="s">
        <v>1170</v>
      </c>
      <c r="D69" s="3">
        <v>1</v>
      </c>
      <c r="E69" s="3" t="s">
        <v>16</v>
      </c>
      <c r="F69" s="3" t="s">
        <v>299</v>
      </c>
      <c r="G69" s="3" t="s">
        <v>106</v>
      </c>
      <c r="H69" s="3" t="s">
        <v>103</v>
      </c>
    </row>
    <row r="70" spans="1:8" x14ac:dyDescent="0.2">
      <c r="A70" s="3">
        <v>402030026</v>
      </c>
      <c r="B70" s="4" t="s">
        <v>107</v>
      </c>
      <c r="C70" s="4" t="s">
        <v>1171</v>
      </c>
      <c r="D70" s="3">
        <v>1</v>
      </c>
      <c r="E70" s="3" t="s">
        <v>16</v>
      </c>
      <c r="F70" s="3" t="s">
        <v>289</v>
      </c>
      <c r="G70" s="3" t="s">
        <v>23</v>
      </c>
      <c r="H70" s="3" t="s">
        <v>109</v>
      </c>
    </row>
    <row r="71" spans="1:8" x14ac:dyDescent="0.2">
      <c r="A71" s="3">
        <v>402030016</v>
      </c>
      <c r="B71" s="4" t="s">
        <v>107</v>
      </c>
      <c r="C71" s="4" t="s">
        <v>1259</v>
      </c>
      <c r="D71" s="3">
        <v>1</v>
      </c>
      <c r="E71" s="3" t="s">
        <v>16</v>
      </c>
      <c r="F71" s="3" t="s">
        <v>317</v>
      </c>
      <c r="G71" s="3" t="s">
        <v>318</v>
      </c>
      <c r="H71" s="3" t="s">
        <v>109</v>
      </c>
    </row>
    <row r="72" spans="1:8" x14ac:dyDescent="0.2">
      <c r="A72" s="3">
        <v>402030027</v>
      </c>
      <c r="B72" s="4" t="s">
        <v>107</v>
      </c>
      <c r="C72" s="4" t="s">
        <v>110</v>
      </c>
      <c r="D72" s="3">
        <v>1</v>
      </c>
      <c r="E72" s="3" t="s">
        <v>16</v>
      </c>
      <c r="F72" s="3" t="s">
        <v>291</v>
      </c>
      <c r="G72" s="3" t="s">
        <v>26</v>
      </c>
      <c r="H72" s="3" t="s">
        <v>109</v>
      </c>
    </row>
    <row r="73" spans="1:8" x14ac:dyDescent="0.2">
      <c r="A73" s="3">
        <v>402020002</v>
      </c>
      <c r="B73" s="4" t="s">
        <v>111</v>
      </c>
      <c r="C73" s="4" t="s">
        <v>452</v>
      </c>
      <c r="D73" s="3">
        <v>2</v>
      </c>
      <c r="E73" s="3" t="s">
        <v>16</v>
      </c>
      <c r="F73" s="3" t="s">
        <v>293</v>
      </c>
      <c r="G73" s="3" t="s">
        <v>29</v>
      </c>
      <c r="H73" s="3" t="s">
        <v>109</v>
      </c>
    </row>
    <row r="74" spans="1:8" x14ac:dyDescent="0.2">
      <c r="A74" s="3">
        <v>3060209002</v>
      </c>
      <c r="B74" s="4" t="s">
        <v>113</v>
      </c>
      <c r="C74" s="4" t="s">
        <v>114</v>
      </c>
      <c r="D74" s="3">
        <v>2</v>
      </c>
      <c r="E74" s="3" t="s">
        <v>16</v>
      </c>
      <c r="F74" s="3" t="s">
        <v>289</v>
      </c>
      <c r="G74" s="3" t="s">
        <v>23</v>
      </c>
      <c r="H74" s="3" t="s">
        <v>115</v>
      </c>
    </row>
    <row r="75" spans="1:8" x14ac:dyDescent="0.2">
      <c r="A75" s="3">
        <v>3040216001</v>
      </c>
      <c r="B75" s="4" t="s">
        <v>328</v>
      </c>
      <c r="C75" s="4" t="s">
        <v>329</v>
      </c>
      <c r="D75" s="3">
        <v>4</v>
      </c>
      <c r="E75" s="3" t="s">
        <v>16</v>
      </c>
      <c r="F75" s="3" t="s">
        <v>293</v>
      </c>
      <c r="G75" s="3" t="s">
        <v>29</v>
      </c>
      <c r="H75" s="3" t="s">
        <v>115</v>
      </c>
    </row>
    <row r="76" spans="1:8" x14ac:dyDescent="0.2">
      <c r="A76" s="3">
        <v>3030204017</v>
      </c>
      <c r="B76" s="4" t="s">
        <v>453</v>
      </c>
      <c r="C76" s="4" t="s">
        <v>454</v>
      </c>
      <c r="D76" s="3">
        <v>1</v>
      </c>
      <c r="E76" s="3" t="s">
        <v>16</v>
      </c>
      <c r="F76" s="3" t="s">
        <v>295</v>
      </c>
      <c r="G76" s="3" t="s">
        <v>17</v>
      </c>
      <c r="H76" s="3" t="s">
        <v>115</v>
      </c>
    </row>
    <row r="77" spans="1:8" x14ac:dyDescent="0.2">
      <c r="A77" s="3">
        <v>3030204005</v>
      </c>
      <c r="B77" s="4" t="s">
        <v>455</v>
      </c>
      <c r="C77" s="4" t="s">
        <v>456</v>
      </c>
      <c r="D77" s="3">
        <v>1</v>
      </c>
      <c r="E77" s="3" t="s">
        <v>16</v>
      </c>
      <c r="F77" s="3" t="s">
        <v>295</v>
      </c>
      <c r="G77" s="3" t="s">
        <v>17</v>
      </c>
      <c r="H77" s="3" t="s">
        <v>115</v>
      </c>
    </row>
    <row r="78" spans="1:8" x14ac:dyDescent="0.2">
      <c r="A78" s="3">
        <v>3050203003</v>
      </c>
      <c r="B78" s="4" t="s">
        <v>120</v>
      </c>
      <c r="C78" s="4" t="s">
        <v>457</v>
      </c>
      <c r="D78" s="3">
        <v>2</v>
      </c>
      <c r="E78" s="3" t="s">
        <v>16</v>
      </c>
      <c r="F78" s="3" t="s">
        <v>291</v>
      </c>
      <c r="G78" s="3" t="s">
        <v>26</v>
      </c>
      <c r="H78" s="3" t="s">
        <v>115</v>
      </c>
    </row>
    <row r="79" spans="1:8" x14ac:dyDescent="0.2">
      <c r="A79" s="3">
        <v>3030204008</v>
      </c>
      <c r="B79" s="4" t="s">
        <v>122</v>
      </c>
      <c r="C79" s="4" t="s">
        <v>123</v>
      </c>
      <c r="D79" s="3">
        <v>1</v>
      </c>
      <c r="E79" s="3" t="s">
        <v>16</v>
      </c>
      <c r="F79" s="3" t="s">
        <v>291</v>
      </c>
      <c r="G79" s="3" t="s">
        <v>26</v>
      </c>
      <c r="H79" s="3" t="s">
        <v>115</v>
      </c>
    </row>
    <row r="80" spans="1:8" x14ac:dyDescent="0.2">
      <c r="A80" s="3">
        <v>3070104005</v>
      </c>
      <c r="B80" s="4" t="s">
        <v>128</v>
      </c>
      <c r="C80" s="4" t="s">
        <v>330</v>
      </c>
      <c r="D80" s="3">
        <v>1</v>
      </c>
      <c r="E80" s="3" t="s">
        <v>16</v>
      </c>
      <c r="F80" s="3" t="s">
        <v>317</v>
      </c>
      <c r="G80" s="3" t="s">
        <v>318</v>
      </c>
      <c r="H80" s="3" t="s">
        <v>115</v>
      </c>
    </row>
    <row r="81" spans="1:8" x14ac:dyDescent="0.2">
      <c r="A81" s="3">
        <v>3030206001</v>
      </c>
      <c r="B81" s="4" t="s">
        <v>458</v>
      </c>
      <c r="C81" s="4" t="s">
        <v>404</v>
      </c>
      <c r="D81" s="3">
        <v>1</v>
      </c>
      <c r="E81" s="3" t="s">
        <v>16</v>
      </c>
      <c r="F81" s="3" t="s">
        <v>295</v>
      </c>
      <c r="G81" s="3" t="s">
        <v>17</v>
      </c>
      <c r="H81" s="3" t="s">
        <v>132</v>
      </c>
    </row>
    <row r="82" spans="1:8" x14ac:dyDescent="0.2">
      <c r="A82" s="3">
        <v>404020082</v>
      </c>
      <c r="B82" s="4" t="s">
        <v>30</v>
      </c>
      <c r="C82" s="4" t="s">
        <v>1260</v>
      </c>
      <c r="D82" s="3">
        <v>1</v>
      </c>
      <c r="E82" s="3" t="s">
        <v>16</v>
      </c>
      <c r="F82" s="3" t="s">
        <v>301</v>
      </c>
      <c r="G82" s="3" t="s">
        <v>32</v>
      </c>
      <c r="H82" s="3" t="s">
        <v>134</v>
      </c>
    </row>
    <row r="83" spans="1:8" x14ac:dyDescent="0.2">
      <c r="A83" s="3">
        <v>401020109</v>
      </c>
      <c r="B83" s="4" t="s">
        <v>35</v>
      </c>
      <c r="C83" s="4" t="s">
        <v>1172</v>
      </c>
      <c r="D83" s="3">
        <v>1</v>
      </c>
      <c r="E83" s="3" t="s">
        <v>16</v>
      </c>
      <c r="F83" s="3" t="s">
        <v>291</v>
      </c>
      <c r="G83" s="3" t="s">
        <v>26</v>
      </c>
      <c r="H83" s="3" t="s">
        <v>134</v>
      </c>
    </row>
    <row r="84" spans="1:8" x14ac:dyDescent="0.2">
      <c r="A84" s="3">
        <v>3040502053</v>
      </c>
      <c r="B84" s="4" t="s">
        <v>136</v>
      </c>
      <c r="C84" s="4" t="s">
        <v>1117</v>
      </c>
      <c r="D84" s="3">
        <v>1</v>
      </c>
      <c r="E84" s="3" t="s">
        <v>16</v>
      </c>
      <c r="F84" s="3" t="s">
        <v>293</v>
      </c>
      <c r="G84" s="3" t="s">
        <v>29</v>
      </c>
      <c r="H84" s="3" t="s">
        <v>138</v>
      </c>
    </row>
    <row r="85" spans="1:8" x14ac:dyDescent="0.2">
      <c r="A85" s="3">
        <v>3040502052</v>
      </c>
      <c r="B85" s="4" t="s">
        <v>136</v>
      </c>
      <c r="C85" s="4" t="s">
        <v>1118</v>
      </c>
      <c r="D85" s="3">
        <v>1</v>
      </c>
      <c r="E85" s="3" t="s">
        <v>16</v>
      </c>
      <c r="F85" s="3" t="s">
        <v>293</v>
      </c>
      <c r="G85" s="3" t="s">
        <v>29</v>
      </c>
      <c r="H85" s="3" t="s">
        <v>138</v>
      </c>
    </row>
    <row r="86" spans="1:8" x14ac:dyDescent="0.2">
      <c r="A86" s="3">
        <v>3110207001</v>
      </c>
      <c r="B86" s="4" t="s">
        <v>140</v>
      </c>
      <c r="C86" s="4" t="s">
        <v>1173</v>
      </c>
      <c r="D86" s="3">
        <v>1</v>
      </c>
      <c r="E86" s="3" t="s">
        <v>16</v>
      </c>
      <c r="F86" s="3" t="s">
        <v>285</v>
      </c>
      <c r="G86" s="3" t="s">
        <v>142</v>
      </c>
      <c r="H86" s="3" t="s">
        <v>143</v>
      </c>
    </row>
    <row r="87" spans="1:8" x14ac:dyDescent="0.2">
      <c r="A87" s="3">
        <v>3030301005</v>
      </c>
      <c r="B87" s="4" t="s">
        <v>144</v>
      </c>
      <c r="C87" s="4" t="s">
        <v>145</v>
      </c>
      <c r="D87" s="3">
        <v>2</v>
      </c>
      <c r="E87" s="3" t="s">
        <v>16</v>
      </c>
      <c r="F87" s="3" t="s">
        <v>291</v>
      </c>
      <c r="G87" s="3" t="s">
        <v>26</v>
      </c>
      <c r="H87" s="3" t="s">
        <v>143</v>
      </c>
    </row>
    <row r="88" spans="1:8" x14ac:dyDescent="0.2">
      <c r="A88" s="3">
        <v>3110204002</v>
      </c>
      <c r="B88" s="4" t="s">
        <v>333</v>
      </c>
      <c r="C88" s="4" t="s">
        <v>1261</v>
      </c>
      <c r="D88" s="3">
        <v>1</v>
      </c>
      <c r="E88" s="3" t="s">
        <v>16</v>
      </c>
      <c r="F88" s="3" t="s">
        <v>335</v>
      </c>
      <c r="G88" s="3" t="s">
        <v>336</v>
      </c>
      <c r="H88" s="3" t="s">
        <v>143</v>
      </c>
    </row>
    <row r="89" spans="1:8" x14ac:dyDescent="0.2">
      <c r="A89" s="3">
        <v>3110206001</v>
      </c>
      <c r="B89" s="4" t="s">
        <v>715</v>
      </c>
      <c r="C89" s="4" t="s">
        <v>1175</v>
      </c>
      <c r="D89" s="3">
        <v>1</v>
      </c>
      <c r="E89" s="3" t="s">
        <v>16</v>
      </c>
      <c r="F89" s="3" t="s">
        <v>285</v>
      </c>
      <c r="G89" s="3" t="s">
        <v>142</v>
      </c>
      <c r="H89" s="3" t="s">
        <v>143</v>
      </c>
    </row>
    <row r="90" spans="1:8" x14ac:dyDescent="0.2">
      <c r="A90" s="3">
        <v>3990205003</v>
      </c>
      <c r="B90" s="4" t="s">
        <v>146</v>
      </c>
      <c r="C90" s="4" t="s">
        <v>460</v>
      </c>
      <c r="D90" s="3">
        <v>1</v>
      </c>
      <c r="E90" s="3" t="s">
        <v>16</v>
      </c>
      <c r="F90" s="3" t="s">
        <v>287</v>
      </c>
      <c r="G90" s="3" t="s">
        <v>148</v>
      </c>
      <c r="H90" s="3" t="s">
        <v>143</v>
      </c>
    </row>
    <row r="91" spans="1:8" x14ac:dyDescent="0.2">
      <c r="A91" s="3">
        <v>408090008</v>
      </c>
      <c r="B91" s="4" t="s">
        <v>461</v>
      </c>
      <c r="C91" s="4" t="s">
        <v>462</v>
      </c>
      <c r="D91" s="3">
        <v>1</v>
      </c>
      <c r="E91" s="3" t="s">
        <v>16</v>
      </c>
      <c r="F91" s="3" t="s">
        <v>293</v>
      </c>
      <c r="G91" s="3" t="s">
        <v>29</v>
      </c>
      <c r="H91" s="3" t="s">
        <v>151</v>
      </c>
    </row>
    <row r="92" spans="1:8" x14ac:dyDescent="0.2">
      <c r="A92" s="3">
        <v>408090007</v>
      </c>
      <c r="B92" s="4" t="s">
        <v>463</v>
      </c>
      <c r="C92" s="4" t="s">
        <v>464</v>
      </c>
      <c r="D92" s="3">
        <v>1</v>
      </c>
      <c r="E92" s="3" t="s">
        <v>16</v>
      </c>
      <c r="F92" s="3" t="s">
        <v>293</v>
      </c>
      <c r="G92" s="3" t="s">
        <v>29</v>
      </c>
      <c r="H92" s="3" t="s">
        <v>151</v>
      </c>
    </row>
    <row r="93" spans="1:8" x14ac:dyDescent="0.2">
      <c r="A93" s="3">
        <v>3060204002</v>
      </c>
      <c r="B93" s="4" t="s">
        <v>1176</v>
      </c>
      <c r="C93" s="4" t="s">
        <v>1177</v>
      </c>
      <c r="D93" s="3">
        <v>1</v>
      </c>
      <c r="E93" s="3" t="s">
        <v>16</v>
      </c>
      <c r="F93" s="3" t="s">
        <v>289</v>
      </c>
      <c r="G93" s="3" t="s">
        <v>23</v>
      </c>
      <c r="H93" s="3" t="s">
        <v>154</v>
      </c>
    </row>
    <row r="94" spans="1:8" x14ac:dyDescent="0.2">
      <c r="A94" s="3">
        <v>3060206002</v>
      </c>
      <c r="B94" s="4" t="s">
        <v>1178</v>
      </c>
      <c r="C94" s="4" t="s">
        <v>1179</v>
      </c>
      <c r="D94" s="3">
        <v>1</v>
      </c>
      <c r="E94" s="3" t="s">
        <v>16</v>
      </c>
      <c r="F94" s="3" t="s">
        <v>289</v>
      </c>
      <c r="G94" s="3" t="s">
        <v>23</v>
      </c>
      <c r="H94" s="3" t="s">
        <v>154</v>
      </c>
    </row>
    <row r="95" spans="1:8" x14ac:dyDescent="0.2">
      <c r="A95" s="3">
        <v>3060211003</v>
      </c>
      <c r="B95" s="4" t="s">
        <v>1180</v>
      </c>
      <c r="C95" s="4" t="s">
        <v>1181</v>
      </c>
      <c r="D95" s="3">
        <v>1</v>
      </c>
      <c r="E95" s="3" t="s">
        <v>16</v>
      </c>
      <c r="F95" s="3" t="s">
        <v>289</v>
      </c>
      <c r="G95" s="3" t="s">
        <v>23</v>
      </c>
      <c r="H95" s="3" t="s">
        <v>154</v>
      </c>
    </row>
    <row r="96" spans="1:8" x14ac:dyDescent="0.2">
      <c r="A96" s="3">
        <v>3060328001</v>
      </c>
      <c r="B96" s="4" t="s">
        <v>1182</v>
      </c>
      <c r="C96" s="4" t="s">
        <v>1183</v>
      </c>
      <c r="D96" s="3">
        <v>1</v>
      </c>
      <c r="E96" s="3" t="s">
        <v>16</v>
      </c>
      <c r="F96" s="3" t="s">
        <v>289</v>
      </c>
      <c r="G96" s="3" t="s">
        <v>23</v>
      </c>
      <c r="H96" s="3" t="s">
        <v>165</v>
      </c>
    </row>
    <row r="97" spans="1:8" x14ac:dyDescent="0.2">
      <c r="A97" s="3">
        <v>3060328002</v>
      </c>
      <c r="B97" s="4" t="s">
        <v>1182</v>
      </c>
      <c r="C97" s="4" t="s">
        <v>1184</v>
      </c>
      <c r="D97" s="3">
        <v>1</v>
      </c>
      <c r="E97" s="3" t="s">
        <v>16</v>
      </c>
      <c r="F97" s="3" t="s">
        <v>289</v>
      </c>
      <c r="G97" s="3" t="s">
        <v>23</v>
      </c>
      <c r="H97" s="3" t="s">
        <v>165</v>
      </c>
    </row>
    <row r="98" spans="1:8" x14ac:dyDescent="0.2">
      <c r="A98" s="3">
        <v>3030301010</v>
      </c>
      <c r="B98" s="4" t="s">
        <v>468</v>
      </c>
      <c r="C98" s="4" t="s">
        <v>469</v>
      </c>
      <c r="D98" s="3">
        <v>4</v>
      </c>
      <c r="E98" s="3" t="s">
        <v>16</v>
      </c>
      <c r="F98" s="3" t="s">
        <v>295</v>
      </c>
      <c r="G98" s="3" t="s">
        <v>17</v>
      </c>
      <c r="H98" s="3" t="s">
        <v>165</v>
      </c>
    </row>
    <row r="99" spans="1:8" x14ac:dyDescent="0.2">
      <c r="A99" s="3">
        <v>3060347005</v>
      </c>
      <c r="B99" s="4" t="s">
        <v>470</v>
      </c>
      <c r="C99" s="4" t="s">
        <v>471</v>
      </c>
      <c r="D99" s="3">
        <v>1</v>
      </c>
      <c r="E99" s="3" t="s">
        <v>16</v>
      </c>
      <c r="F99" s="3" t="s">
        <v>291</v>
      </c>
      <c r="G99" s="3" t="s">
        <v>26</v>
      </c>
      <c r="H99" s="3" t="s">
        <v>165</v>
      </c>
    </row>
    <row r="100" spans="1:8" x14ac:dyDescent="0.2">
      <c r="A100" s="3">
        <v>3060347006</v>
      </c>
      <c r="B100" s="4" t="s">
        <v>470</v>
      </c>
      <c r="C100" s="4" t="s">
        <v>472</v>
      </c>
      <c r="D100" s="3">
        <v>1</v>
      </c>
      <c r="E100" s="3" t="s">
        <v>16</v>
      </c>
      <c r="F100" s="3" t="s">
        <v>291</v>
      </c>
      <c r="G100" s="3" t="s">
        <v>26</v>
      </c>
      <c r="H100" s="3" t="s">
        <v>165</v>
      </c>
    </row>
    <row r="101" spans="1:8" x14ac:dyDescent="0.2">
      <c r="A101" s="3">
        <v>3110103002</v>
      </c>
      <c r="B101" s="4" t="s">
        <v>473</v>
      </c>
      <c r="C101" s="4" t="s">
        <v>474</v>
      </c>
      <c r="D101" s="3">
        <v>1</v>
      </c>
      <c r="E101" s="3" t="s">
        <v>16</v>
      </c>
      <c r="F101" s="3" t="s">
        <v>291</v>
      </c>
      <c r="G101" s="3" t="s">
        <v>26</v>
      </c>
      <c r="H101" s="3" t="s">
        <v>165</v>
      </c>
    </row>
    <row r="102" spans="1:8" x14ac:dyDescent="0.2">
      <c r="A102" s="3">
        <v>3030316006</v>
      </c>
      <c r="B102" s="4" t="s">
        <v>475</v>
      </c>
      <c r="C102" s="4" t="s">
        <v>476</v>
      </c>
      <c r="D102" s="3">
        <v>1</v>
      </c>
      <c r="E102" s="3" t="s">
        <v>16</v>
      </c>
      <c r="F102" s="3" t="s">
        <v>295</v>
      </c>
      <c r="G102" s="3" t="s">
        <v>17</v>
      </c>
      <c r="H102" s="3" t="s">
        <v>165</v>
      </c>
    </row>
    <row r="103" spans="1:8" x14ac:dyDescent="0.2">
      <c r="A103" s="3">
        <v>3040326008</v>
      </c>
      <c r="B103" s="4" t="s">
        <v>546</v>
      </c>
      <c r="C103" s="4" t="s">
        <v>1121</v>
      </c>
      <c r="D103" s="3">
        <v>1</v>
      </c>
      <c r="E103" s="3" t="s">
        <v>16</v>
      </c>
      <c r="F103" s="3" t="s">
        <v>293</v>
      </c>
      <c r="G103" s="3" t="s">
        <v>29</v>
      </c>
      <c r="H103" s="3" t="s">
        <v>165</v>
      </c>
    </row>
    <row r="104" spans="1:8" x14ac:dyDescent="0.2">
      <c r="A104" s="3">
        <v>3040326007</v>
      </c>
      <c r="B104" s="4" t="s">
        <v>546</v>
      </c>
      <c r="C104" s="4" t="s">
        <v>1122</v>
      </c>
      <c r="D104" s="3">
        <v>1</v>
      </c>
      <c r="E104" s="3" t="s">
        <v>16</v>
      </c>
      <c r="F104" s="3" t="s">
        <v>293</v>
      </c>
      <c r="G104" s="3" t="s">
        <v>29</v>
      </c>
      <c r="H104" s="3" t="s">
        <v>165</v>
      </c>
    </row>
    <row r="105" spans="1:8" x14ac:dyDescent="0.2">
      <c r="A105" s="3">
        <v>3030314007</v>
      </c>
      <c r="B105" s="4" t="s">
        <v>477</v>
      </c>
      <c r="C105" s="4" t="s">
        <v>478</v>
      </c>
      <c r="D105" s="3">
        <v>1</v>
      </c>
      <c r="E105" s="3" t="s">
        <v>16</v>
      </c>
      <c r="F105" s="3" t="s">
        <v>291</v>
      </c>
      <c r="G105" s="3" t="s">
        <v>26</v>
      </c>
      <c r="H105" s="3" t="s">
        <v>165</v>
      </c>
    </row>
    <row r="106" spans="1:8" x14ac:dyDescent="0.2">
      <c r="A106" s="3">
        <v>3030308013</v>
      </c>
      <c r="B106" s="4" t="s">
        <v>479</v>
      </c>
      <c r="C106" s="4" t="s">
        <v>478</v>
      </c>
      <c r="D106" s="3">
        <v>1</v>
      </c>
      <c r="E106" s="3" t="s">
        <v>16</v>
      </c>
      <c r="F106" s="3" t="s">
        <v>291</v>
      </c>
      <c r="G106" s="3" t="s">
        <v>26</v>
      </c>
      <c r="H106" s="3" t="s">
        <v>165</v>
      </c>
    </row>
    <row r="107" spans="1:8" x14ac:dyDescent="0.2">
      <c r="A107" s="3">
        <v>3050310030</v>
      </c>
      <c r="B107" s="4" t="s">
        <v>480</v>
      </c>
      <c r="C107" s="4" t="s">
        <v>469</v>
      </c>
      <c r="D107" s="3">
        <v>2</v>
      </c>
      <c r="E107" s="3" t="s">
        <v>16</v>
      </c>
      <c r="F107" s="3" t="s">
        <v>291</v>
      </c>
      <c r="G107" s="3" t="s">
        <v>26</v>
      </c>
      <c r="H107" s="3" t="s">
        <v>165</v>
      </c>
    </row>
    <row r="108" spans="1:8" x14ac:dyDescent="0.2">
      <c r="A108" s="3">
        <v>3060304005</v>
      </c>
      <c r="B108" s="4" t="s">
        <v>1194</v>
      </c>
      <c r="C108" s="4" t="s">
        <v>1196</v>
      </c>
      <c r="D108" s="3">
        <v>3</v>
      </c>
      <c r="E108" s="3" t="s">
        <v>16</v>
      </c>
      <c r="F108" s="3" t="s">
        <v>289</v>
      </c>
      <c r="G108" s="3" t="s">
        <v>23</v>
      </c>
      <c r="H108" s="3" t="s">
        <v>173</v>
      </c>
    </row>
    <row r="109" spans="1:8" x14ac:dyDescent="0.2">
      <c r="A109" s="3">
        <v>3050305013</v>
      </c>
      <c r="B109" s="4" t="s">
        <v>484</v>
      </c>
      <c r="C109" s="4" t="s">
        <v>485</v>
      </c>
      <c r="D109" s="3">
        <v>1</v>
      </c>
      <c r="E109" s="3" t="s">
        <v>16</v>
      </c>
      <c r="F109" s="3" t="s">
        <v>291</v>
      </c>
      <c r="G109" s="3" t="s">
        <v>26</v>
      </c>
      <c r="H109" s="3" t="s">
        <v>173</v>
      </c>
    </row>
    <row r="110" spans="1:8" x14ac:dyDescent="0.2">
      <c r="A110" s="3">
        <v>3040305002</v>
      </c>
      <c r="B110" s="4" t="s">
        <v>486</v>
      </c>
      <c r="C110" s="4" t="s">
        <v>487</v>
      </c>
      <c r="D110" s="3">
        <v>2</v>
      </c>
      <c r="E110" s="3" t="s">
        <v>16</v>
      </c>
      <c r="F110" s="3" t="s">
        <v>293</v>
      </c>
      <c r="G110" s="3" t="s">
        <v>29</v>
      </c>
      <c r="H110" s="3" t="s">
        <v>173</v>
      </c>
    </row>
    <row r="111" spans="1:8" x14ac:dyDescent="0.2">
      <c r="A111" s="3">
        <v>3040313002</v>
      </c>
      <c r="B111" s="4" t="s">
        <v>488</v>
      </c>
      <c r="C111" s="4" t="s">
        <v>489</v>
      </c>
      <c r="D111" s="3">
        <v>8</v>
      </c>
      <c r="E111" s="3" t="s">
        <v>16</v>
      </c>
      <c r="F111" s="3" t="s">
        <v>293</v>
      </c>
      <c r="G111" s="3" t="s">
        <v>29</v>
      </c>
      <c r="H111" s="3" t="s">
        <v>173</v>
      </c>
    </row>
    <row r="112" spans="1:8" x14ac:dyDescent="0.2">
      <c r="A112" s="3">
        <v>3040321001</v>
      </c>
      <c r="B112" s="4" t="s">
        <v>490</v>
      </c>
      <c r="C112" s="4" t="s">
        <v>347</v>
      </c>
      <c r="D112" s="3">
        <v>8</v>
      </c>
      <c r="E112" s="3" t="s">
        <v>16</v>
      </c>
      <c r="F112" s="3" t="s">
        <v>293</v>
      </c>
      <c r="G112" s="3" t="s">
        <v>29</v>
      </c>
      <c r="H112" s="3" t="s">
        <v>173</v>
      </c>
    </row>
    <row r="113" spans="1:8" x14ac:dyDescent="0.2">
      <c r="A113" s="3">
        <v>3040309001</v>
      </c>
      <c r="B113" s="4" t="s">
        <v>346</v>
      </c>
      <c r="C113" s="4" t="s">
        <v>347</v>
      </c>
      <c r="D113" s="3">
        <v>4</v>
      </c>
      <c r="E113" s="3" t="s">
        <v>16</v>
      </c>
      <c r="F113" s="3" t="s">
        <v>293</v>
      </c>
      <c r="G113" s="3" t="s">
        <v>29</v>
      </c>
      <c r="H113" s="3" t="s">
        <v>173</v>
      </c>
    </row>
    <row r="114" spans="1:8" x14ac:dyDescent="0.2">
      <c r="A114" s="3">
        <v>3050304007</v>
      </c>
      <c r="B114" s="4" t="s">
        <v>181</v>
      </c>
      <c r="C114" s="4" t="s">
        <v>1198</v>
      </c>
      <c r="D114" s="3">
        <v>1</v>
      </c>
      <c r="E114" s="3" t="s">
        <v>16</v>
      </c>
      <c r="F114" s="3" t="s">
        <v>291</v>
      </c>
      <c r="G114" s="3" t="s">
        <v>26</v>
      </c>
      <c r="H114" s="3" t="s">
        <v>173</v>
      </c>
    </row>
    <row r="115" spans="1:8" x14ac:dyDescent="0.2">
      <c r="A115" s="3">
        <v>3020501004</v>
      </c>
      <c r="B115" s="4" t="s">
        <v>183</v>
      </c>
      <c r="C115" s="4" t="s">
        <v>761</v>
      </c>
      <c r="D115" s="3">
        <v>1</v>
      </c>
      <c r="E115" s="3" t="s">
        <v>16</v>
      </c>
      <c r="F115" s="3" t="s">
        <v>291</v>
      </c>
      <c r="G115" s="3" t="s">
        <v>26</v>
      </c>
      <c r="H115" s="3" t="s">
        <v>185</v>
      </c>
    </row>
    <row r="116" spans="1:8" x14ac:dyDescent="0.2">
      <c r="A116" s="3">
        <v>3030204003</v>
      </c>
      <c r="B116" s="4" t="s">
        <v>492</v>
      </c>
      <c r="C116" s="4" t="s">
        <v>493</v>
      </c>
      <c r="D116" s="3">
        <v>2</v>
      </c>
      <c r="E116" s="3" t="s">
        <v>16</v>
      </c>
      <c r="F116" s="3" t="s">
        <v>295</v>
      </c>
      <c r="G116" s="3" t="s">
        <v>17</v>
      </c>
      <c r="H116" s="3" t="s">
        <v>494</v>
      </c>
    </row>
    <row r="117" spans="1:8" x14ac:dyDescent="0.2">
      <c r="A117" s="3">
        <v>3990201008</v>
      </c>
      <c r="B117" s="4" t="s">
        <v>186</v>
      </c>
      <c r="C117" s="4" t="s">
        <v>495</v>
      </c>
      <c r="D117" s="3">
        <v>1</v>
      </c>
      <c r="E117" s="3" t="s">
        <v>16</v>
      </c>
      <c r="F117" s="3" t="s">
        <v>295</v>
      </c>
      <c r="G117" s="3" t="s">
        <v>17</v>
      </c>
      <c r="H117" s="3" t="s">
        <v>187</v>
      </c>
    </row>
    <row r="118" spans="1:8" x14ac:dyDescent="0.2">
      <c r="A118" s="3">
        <v>3990202007</v>
      </c>
      <c r="B118" s="4" t="s">
        <v>188</v>
      </c>
      <c r="C118" s="4" t="s">
        <v>495</v>
      </c>
      <c r="D118" s="3">
        <v>1</v>
      </c>
      <c r="E118" s="3" t="s">
        <v>16</v>
      </c>
      <c r="F118" s="3" t="s">
        <v>295</v>
      </c>
      <c r="G118" s="3" t="s">
        <v>17</v>
      </c>
      <c r="H118" s="3" t="s">
        <v>187</v>
      </c>
    </row>
    <row r="119" spans="1:8" x14ac:dyDescent="0.2">
      <c r="A119" s="3">
        <v>3990203002</v>
      </c>
      <c r="B119" s="4" t="s">
        <v>189</v>
      </c>
      <c r="C119" s="4" t="s">
        <v>495</v>
      </c>
      <c r="D119" s="3">
        <v>1</v>
      </c>
      <c r="E119" s="3" t="s">
        <v>16</v>
      </c>
      <c r="F119" s="3" t="s">
        <v>295</v>
      </c>
      <c r="G119" s="3" t="s">
        <v>17</v>
      </c>
      <c r="H119" s="3" t="s">
        <v>187</v>
      </c>
    </row>
    <row r="120" spans="1:8" x14ac:dyDescent="0.2">
      <c r="A120" s="3">
        <v>3060403047</v>
      </c>
      <c r="B120" s="4" t="s">
        <v>190</v>
      </c>
      <c r="C120" s="4" t="s">
        <v>1242</v>
      </c>
      <c r="D120" s="3">
        <v>1</v>
      </c>
      <c r="E120" s="3" t="s">
        <v>16</v>
      </c>
      <c r="F120" s="3" t="s">
        <v>295</v>
      </c>
      <c r="G120" s="3" t="s">
        <v>17</v>
      </c>
      <c r="H120" s="3" t="s">
        <v>192</v>
      </c>
    </row>
    <row r="121" spans="1:8" x14ac:dyDescent="0.2">
      <c r="A121" s="3">
        <v>3050405002</v>
      </c>
      <c r="B121" s="4" t="s">
        <v>496</v>
      </c>
      <c r="C121" s="4" t="s">
        <v>1243</v>
      </c>
      <c r="D121" s="3">
        <v>1</v>
      </c>
      <c r="E121" s="3" t="s">
        <v>16</v>
      </c>
      <c r="F121" s="3" t="s">
        <v>291</v>
      </c>
      <c r="G121" s="3" t="s">
        <v>26</v>
      </c>
      <c r="H121" s="3" t="s">
        <v>192</v>
      </c>
    </row>
    <row r="122" spans="1:8" x14ac:dyDescent="0.2">
      <c r="A122" s="3">
        <v>3030402001</v>
      </c>
      <c r="B122" s="4" t="s">
        <v>498</v>
      </c>
      <c r="C122" s="4" t="s">
        <v>499</v>
      </c>
      <c r="D122" s="3">
        <v>1</v>
      </c>
      <c r="E122" s="3" t="s">
        <v>16</v>
      </c>
      <c r="F122" s="3" t="s">
        <v>295</v>
      </c>
      <c r="G122" s="3" t="s">
        <v>17</v>
      </c>
      <c r="H122" s="3" t="s">
        <v>192</v>
      </c>
    </row>
    <row r="123" spans="1:8" x14ac:dyDescent="0.2">
      <c r="A123" s="3">
        <v>3040402009</v>
      </c>
      <c r="B123" s="4" t="s">
        <v>500</v>
      </c>
      <c r="C123" s="4" t="s">
        <v>1244</v>
      </c>
      <c r="D123" s="3">
        <v>1</v>
      </c>
      <c r="E123" s="3" t="s">
        <v>16</v>
      </c>
      <c r="F123" s="3" t="s">
        <v>293</v>
      </c>
      <c r="G123" s="3" t="s">
        <v>29</v>
      </c>
      <c r="H123" s="3" t="s">
        <v>192</v>
      </c>
    </row>
    <row r="124" spans="1:8" x14ac:dyDescent="0.2">
      <c r="A124" s="3">
        <v>3040402010</v>
      </c>
      <c r="B124" s="4" t="s">
        <v>500</v>
      </c>
      <c r="C124" s="4" t="s">
        <v>1245</v>
      </c>
      <c r="D124" s="3">
        <v>1</v>
      </c>
      <c r="E124" s="3" t="s">
        <v>16</v>
      </c>
      <c r="F124" s="3" t="s">
        <v>293</v>
      </c>
      <c r="G124" s="3" t="s">
        <v>29</v>
      </c>
      <c r="H124" s="3" t="s">
        <v>192</v>
      </c>
    </row>
    <row r="125" spans="1:8" x14ac:dyDescent="0.2">
      <c r="A125" s="3">
        <v>404100037</v>
      </c>
      <c r="B125" s="4" t="s">
        <v>1201</v>
      </c>
      <c r="C125" s="4" t="s">
        <v>1202</v>
      </c>
      <c r="D125" s="3">
        <v>1</v>
      </c>
      <c r="E125" s="3" t="s">
        <v>16</v>
      </c>
      <c r="F125" s="3" t="s">
        <v>301</v>
      </c>
      <c r="G125" s="3" t="s">
        <v>32</v>
      </c>
      <c r="H125" s="3" t="s">
        <v>198</v>
      </c>
    </row>
    <row r="126" spans="1:8" x14ac:dyDescent="0.2">
      <c r="A126" s="3">
        <v>404100039</v>
      </c>
      <c r="B126" s="4" t="s">
        <v>196</v>
      </c>
      <c r="C126" s="4" t="s">
        <v>1203</v>
      </c>
      <c r="D126" s="3">
        <v>1</v>
      </c>
      <c r="E126" s="3" t="s">
        <v>16</v>
      </c>
      <c r="F126" s="3" t="s">
        <v>301</v>
      </c>
      <c r="G126" s="3" t="s">
        <v>32</v>
      </c>
      <c r="H126" s="3" t="s">
        <v>198</v>
      </c>
    </row>
    <row r="127" spans="1:8" x14ac:dyDescent="0.2">
      <c r="A127" s="3">
        <v>404110008</v>
      </c>
      <c r="B127" s="4" t="s">
        <v>504</v>
      </c>
      <c r="C127" s="4" t="s">
        <v>505</v>
      </c>
      <c r="D127" s="3">
        <v>2</v>
      </c>
      <c r="E127" s="3" t="s">
        <v>16</v>
      </c>
      <c r="F127" s="3" t="s">
        <v>291</v>
      </c>
      <c r="G127" s="3" t="s">
        <v>26</v>
      </c>
      <c r="H127" s="3" t="s">
        <v>198</v>
      </c>
    </row>
    <row r="128" spans="1:8" x14ac:dyDescent="0.2">
      <c r="A128" s="3">
        <v>404110001</v>
      </c>
      <c r="B128" s="4" t="s">
        <v>504</v>
      </c>
      <c r="C128" s="4" t="s">
        <v>506</v>
      </c>
      <c r="D128" s="3">
        <v>1</v>
      </c>
      <c r="E128" s="3" t="s">
        <v>16</v>
      </c>
      <c r="F128" s="3" t="s">
        <v>291</v>
      </c>
      <c r="G128" s="3" t="s">
        <v>26</v>
      </c>
      <c r="H128" s="3" t="s">
        <v>198</v>
      </c>
    </row>
    <row r="129" spans="1:8" x14ac:dyDescent="0.2">
      <c r="A129" s="3">
        <v>404100025</v>
      </c>
      <c r="B129" s="4" t="s">
        <v>1093</v>
      </c>
      <c r="C129" s="4" t="s">
        <v>1094</v>
      </c>
      <c r="D129" s="3">
        <v>1</v>
      </c>
      <c r="E129" s="3" t="s">
        <v>16</v>
      </c>
      <c r="F129" s="3" t="s">
        <v>301</v>
      </c>
      <c r="G129" s="3" t="s">
        <v>32</v>
      </c>
      <c r="H129" s="3" t="s">
        <v>198</v>
      </c>
    </row>
    <row r="130" spans="1:8" x14ac:dyDescent="0.2">
      <c r="A130" s="3">
        <v>403030054</v>
      </c>
      <c r="B130" s="4" t="s">
        <v>801</v>
      </c>
      <c r="C130" s="4" t="s">
        <v>1205</v>
      </c>
      <c r="D130" s="3">
        <v>1</v>
      </c>
      <c r="E130" s="3" t="s">
        <v>16</v>
      </c>
      <c r="F130" s="3" t="s">
        <v>301</v>
      </c>
      <c r="G130" s="3" t="s">
        <v>32</v>
      </c>
      <c r="H130" s="3" t="s">
        <v>198</v>
      </c>
    </row>
    <row r="131" spans="1:8" x14ac:dyDescent="0.2">
      <c r="A131" s="3">
        <v>403030012</v>
      </c>
      <c r="B131" s="4" t="s">
        <v>366</v>
      </c>
      <c r="C131" s="4" t="s">
        <v>507</v>
      </c>
      <c r="D131" s="3">
        <v>2</v>
      </c>
      <c r="E131" s="3" t="s">
        <v>16</v>
      </c>
      <c r="F131" s="3" t="s">
        <v>291</v>
      </c>
      <c r="G131" s="3" t="s">
        <v>26</v>
      </c>
      <c r="H131" s="3" t="s">
        <v>198</v>
      </c>
    </row>
    <row r="132" spans="1:8" x14ac:dyDescent="0.2">
      <c r="A132" s="3">
        <v>401070022</v>
      </c>
      <c r="B132" s="4" t="s">
        <v>35</v>
      </c>
      <c r="C132" s="4" t="s">
        <v>203</v>
      </c>
      <c r="D132" s="3">
        <v>1</v>
      </c>
      <c r="E132" s="3" t="s">
        <v>16</v>
      </c>
      <c r="F132" s="3" t="s">
        <v>301</v>
      </c>
      <c r="G132" s="3" t="s">
        <v>32</v>
      </c>
      <c r="H132" s="3" t="s">
        <v>198</v>
      </c>
    </row>
    <row r="133" spans="1:8" x14ac:dyDescent="0.2">
      <c r="A133" s="3">
        <v>401070018</v>
      </c>
      <c r="B133" s="4" t="s">
        <v>35</v>
      </c>
      <c r="C133" s="4" t="s">
        <v>202</v>
      </c>
      <c r="D133" s="3">
        <v>1</v>
      </c>
      <c r="E133" s="3" t="s">
        <v>16</v>
      </c>
      <c r="F133" s="3" t="s">
        <v>291</v>
      </c>
      <c r="G133" s="3" t="s">
        <v>26</v>
      </c>
      <c r="H133" s="3" t="s">
        <v>198</v>
      </c>
    </row>
    <row r="134" spans="1:8" x14ac:dyDescent="0.2">
      <c r="A134" s="3">
        <v>404100041</v>
      </c>
      <c r="B134" s="4" t="s">
        <v>205</v>
      </c>
      <c r="C134" s="4" t="s">
        <v>1206</v>
      </c>
      <c r="D134" s="3">
        <v>1</v>
      </c>
      <c r="E134" s="3" t="s">
        <v>16</v>
      </c>
      <c r="F134" s="3" t="s">
        <v>291</v>
      </c>
      <c r="G134" s="3" t="s">
        <v>26</v>
      </c>
      <c r="H134" s="3" t="s">
        <v>198</v>
      </c>
    </row>
    <row r="135" spans="1:8" x14ac:dyDescent="0.2">
      <c r="A135" s="3">
        <v>404100040</v>
      </c>
      <c r="B135" s="4" t="s">
        <v>207</v>
      </c>
      <c r="C135" s="4" t="s">
        <v>1207</v>
      </c>
      <c r="D135" s="3">
        <v>1</v>
      </c>
      <c r="E135" s="3" t="s">
        <v>16</v>
      </c>
      <c r="F135" s="3" t="s">
        <v>291</v>
      </c>
      <c r="G135" s="3" t="s">
        <v>26</v>
      </c>
      <c r="H135" s="3" t="s">
        <v>198</v>
      </c>
    </row>
    <row r="136" spans="1:8" x14ac:dyDescent="0.2">
      <c r="A136" s="3">
        <v>3030305007</v>
      </c>
      <c r="B136" s="4" t="s">
        <v>511</v>
      </c>
      <c r="C136" s="4" t="s">
        <v>512</v>
      </c>
      <c r="D136" s="3">
        <v>1</v>
      </c>
      <c r="E136" s="3" t="s">
        <v>16</v>
      </c>
      <c r="F136" s="3" t="s">
        <v>295</v>
      </c>
      <c r="G136" s="3" t="s">
        <v>17</v>
      </c>
      <c r="H136" s="3" t="s">
        <v>211</v>
      </c>
    </row>
    <row r="137" spans="1:8" x14ac:dyDescent="0.2">
      <c r="A137" s="3">
        <v>3030305006</v>
      </c>
      <c r="B137" s="4" t="s">
        <v>513</v>
      </c>
      <c r="C137" s="4" t="s">
        <v>512</v>
      </c>
      <c r="D137" s="3">
        <v>1</v>
      </c>
      <c r="E137" s="3" t="s">
        <v>16</v>
      </c>
      <c r="F137" s="3" t="s">
        <v>295</v>
      </c>
      <c r="G137" s="3" t="s">
        <v>17</v>
      </c>
      <c r="H137" s="3" t="s">
        <v>211</v>
      </c>
    </row>
    <row r="138" spans="1:8" x14ac:dyDescent="0.2">
      <c r="A138" s="3">
        <v>3069904001</v>
      </c>
      <c r="B138" s="4" t="s">
        <v>514</v>
      </c>
      <c r="C138" s="4" t="s">
        <v>355</v>
      </c>
      <c r="D138" s="3">
        <v>4</v>
      </c>
      <c r="E138" s="3" t="s">
        <v>16</v>
      </c>
      <c r="F138" s="3" t="s">
        <v>295</v>
      </c>
      <c r="G138" s="3" t="s">
        <v>17</v>
      </c>
      <c r="H138" s="3" t="s">
        <v>214</v>
      </c>
    </row>
    <row r="139" spans="1:8" x14ac:dyDescent="0.2">
      <c r="A139" s="3">
        <v>3030201003</v>
      </c>
      <c r="B139" s="4" t="s">
        <v>515</v>
      </c>
      <c r="C139" s="4" t="s">
        <v>516</v>
      </c>
      <c r="D139" s="3">
        <v>1</v>
      </c>
      <c r="E139" s="3" t="s">
        <v>16</v>
      </c>
      <c r="F139" s="3" t="s">
        <v>295</v>
      </c>
      <c r="G139" s="3" t="s">
        <v>17</v>
      </c>
      <c r="H139" s="3" t="s">
        <v>214</v>
      </c>
    </row>
    <row r="140" spans="1:8" x14ac:dyDescent="0.2">
      <c r="A140" s="3">
        <v>3049903001</v>
      </c>
      <c r="B140" s="4" t="s">
        <v>517</v>
      </c>
      <c r="C140" s="4" t="s">
        <v>355</v>
      </c>
      <c r="D140" s="3">
        <v>2</v>
      </c>
      <c r="E140" s="3" t="s">
        <v>16</v>
      </c>
      <c r="F140" s="3" t="s">
        <v>293</v>
      </c>
      <c r="G140" s="3" t="s">
        <v>29</v>
      </c>
      <c r="H140" s="3" t="s">
        <v>214</v>
      </c>
    </row>
    <row r="141" spans="1:8" x14ac:dyDescent="0.2">
      <c r="A141" s="3">
        <v>3049904001</v>
      </c>
      <c r="B141" s="4" t="s">
        <v>354</v>
      </c>
      <c r="C141" s="4" t="s">
        <v>355</v>
      </c>
      <c r="D141" s="3">
        <v>4</v>
      </c>
      <c r="E141" s="3" t="s">
        <v>16</v>
      </c>
      <c r="F141" s="3" t="s">
        <v>293</v>
      </c>
      <c r="G141" s="3" t="s">
        <v>29</v>
      </c>
      <c r="H141" s="3" t="s">
        <v>214</v>
      </c>
    </row>
    <row r="142" spans="1:8" x14ac:dyDescent="0.2">
      <c r="A142" s="3">
        <v>3049902001</v>
      </c>
      <c r="B142" s="4" t="s">
        <v>518</v>
      </c>
      <c r="C142" s="4" t="s">
        <v>355</v>
      </c>
      <c r="D142" s="3">
        <v>2</v>
      </c>
      <c r="E142" s="3" t="s">
        <v>16</v>
      </c>
      <c r="F142" s="3" t="s">
        <v>293</v>
      </c>
      <c r="G142" s="3" t="s">
        <v>29</v>
      </c>
      <c r="H142" s="3" t="s">
        <v>214</v>
      </c>
    </row>
    <row r="143" spans="1:8" x14ac:dyDescent="0.2">
      <c r="A143" s="3">
        <v>3050204001</v>
      </c>
      <c r="B143" s="4" t="s">
        <v>519</v>
      </c>
      <c r="C143" s="4" t="s">
        <v>355</v>
      </c>
      <c r="D143" s="3">
        <v>2</v>
      </c>
      <c r="E143" s="3" t="s">
        <v>16</v>
      </c>
      <c r="F143" s="3" t="s">
        <v>291</v>
      </c>
      <c r="G143" s="3" t="s">
        <v>26</v>
      </c>
      <c r="H143" s="3" t="s">
        <v>214</v>
      </c>
    </row>
    <row r="144" spans="1:8" x14ac:dyDescent="0.2">
      <c r="A144" s="3">
        <v>3050204002</v>
      </c>
      <c r="B144" s="4" t="s">
        <v>520</v>
      </c>
      <c r="C144" s="4" t="s">
        <v>355</v>
      </c>
      <c r="D144" s="3">
        <v>2</v>
      </c>
      <c r="E144" s="3" t="s">
        <v>16</v>
      </c>
      <c r="F144" s="3" t="s">
        <v>291</v>
      </c>
      <c r="G144" s="3" t="s">
        <v>26</v>
      </c>
      <c r="H144" s="3" t="s">
        <v>214</v>
      </c>
    </row>
    <row r="145" spans="1:8" x14ac:dyDescent="0.2">
      <c r="A145" s="3">
        <v>403030051</v>
      </c>
      <c r="B145" s="4" t="s">
        <v>366</v>
      </c>
      <c r="C145" s="4" t="s">
        <v>367</v>
      </c>
      <c r="D145" s="3">
        <v>3</v>
      </c>
      <c r="E145" s="3" t="s">
        <v>16</v>
      </c>
      <c r="F145" s="3" t="s">
        <v>301</v>
      </c>
      <c r="G145" s="3" t="s">
        <v>32</v>
      </c>
      <c r="H145" s="3" t="s">
        <v>221</v>
      </c>
    </row>
    <row r="146" spans="1:8" x14ac:dyDescent="0.2">
      <c r="A146" s="3">
        <v>403030005</v>
      </c>
      <c r="B146" s="4" t="s">
        <v>366</v>
      </c>
      <c r="C146" s="4" t="s">
        <v>368</v>
      </c>
      <c r="D146" s="3">
        <v>2</v>
      </c>
      <c r="E146" s="3" t="s">
        <v>16</v>
      </c>
      <c r="F146" s="3" t="s">
        <v>301</v>
      </c>
      <c r="G146" s="3" t="s">
        <v>32</v>
      </c>
      <c r="H146" s="3" t="s">
        <v>221</v>
      </c>
    </row>
    <row r="147" spans="1:8" x14ac:dyDescent="0.2">
      <c r="A147" s="3">
        <v>4081200011</v>
      </c>
      <c r="B147" s="4" t="s">
        <v>525</v>
      </c>
      <c r="C147" s="4" t="s">
        <v>1246</v>
      </c>
      <c r="D147" s="3">
        <v>2</v>
      </c>
      <c r="E147" s="3" t="s">
        <v>16</v>
      </c>
      <c r="F147" s="3" t="s">
        <v>289</v>
      </c>
      <c r="G147" s="3" t="s">
        <v>23</v>
      </c>
      <c r="H147" s="3" t="s">
        <v>524</v>
      </c>
    </row>
    <row r="148" spans="1:8" x14ac:dyDescent="0.2">
      <c r="A148" s="3">
        <v>408120032</v>
      </c>
      <c r="B148" s="4" t="s">
        <v>525</v>
      </c>
      <c r="C148" s="4" t="s">
        <v>1210</v>
      </c>
      <c r="D148" s="3">
        <v>23</v>
      </c>
      <c r="E148" s="3" t="s">
        <v>16</v>
      </c>
      <c r="F148" s="3" t="s">
        <v>289</v>
      </c>
      <c r="G148" s="3" t="s">
        <v>23</v>
      </c>
      <c r="H148" s="3" t="s">
        <v>524</v>
      </c>
    </row>
    <row r="149" spans="1:8" x14ac:dyDescent="0.2">
      <c r="A149" s="3">
        <v>408120038</v>
      </c>
      <c r="B149" s="4" t="s">
        <v>525</v>
      </c>
      <c r="C149" s="4" t="s">
        <v>1247</v>
      </c>
      <c r="D149" s="3">
        <v>1</v>
      </c>
      <c r="E149" s="3" t="s">
        <v>16</v>
      </c>
      <c r="F149" s="3" t="s">
        <v>289</v>
      </c>
      <c r="G149" s="3" t="s">
        <v>23</v>
      </c>
      <c r="H149" s="3" t="s">
        <v>524</v>
      </c>
    </row>
    <row r="150" spans="1:8" x14ac:dyDescent="0.2">
      <c r="A150" s="3">
        <v>408120032</v>
      </c>
      <c r="B150" s="4" t="s">
        <v>525</v>
      </c>
      <c r="C150" s="4" t="s">
        <v>1210</v>
      </c>
      <c r="D150" s="3">
        <v>6</v>
      </c>
      <c r="E150" s="3" t="s">
        <v>16</v>
      </c>
      <c r="F150" s="3" t="s">
        <v>317</v>
      </c>
      <c r="G150" s="3" t="s">
        <v>318</v>
      </c>
      <c r="H150" s="3" t="s">
        <v>524</v>
      </c>
    </row>
    <row r="151" spans="1:8" x14ac:dyDescent="0.2">
      <c r="A151" s="3">
        <v>408120036</v>
      </c>
      <c r="B151" s="4" t="s">
        <v>525</v>
      </c>
      <c r="C151" s="4" t="s">
        <v>526</v>
      </c>
      <c r="D151" s="3">
        <v>2</v>
      </c>
      <c r="E151" s="3" t="s">
        <v>16</v>
      </c>
      <c r="F151" s="3" t="s">
        <v>291</v>
      </c>
      <c r="G151" s="3" t="s">
        <v>26</v>
      </c>
      <c r="H151" s="3" t="s">
        <v>524</v>
      </c>
    </row>
    <row r="152" spans="1:8" x14ac:dyDescent="0.2">
      <c r="A152" s="3">
        <v>407010082</v>
      </c>
      <c r="B152" s="4" t="s">
        <v>149</v>
      </c>
      <c r="C152" s="4" t="s">
        <v>1262</v>
      </c>
      <c r="D152" s="3">
        <v>1</v>
      </c>
      <c r="E152" s="3" t="s">
        <v>16</v>
      </c>
      <c r="F152" s="3" t="s">
        <v>289</v>
      </c>
      <c r="G152" s="3" t="s">
        <v>23</v>
      </c>
      <c r="H152" s="3" t="s">
        <v>524</v>
      </c>
    </row>
    <row r="153" spans="1:8" x14ac:dyDescent="0.2">
      <c r="A153" s="3">
        <v>3060501009</v>
      </c>
      <c r="B153" s="4" t="s">
        <v>1213</v>
      </c>
      <c r="C153" s="4" t="s">
        <v>1248</v>
      </c>
      <c r="D153" s="3">
        <v>1</v>
      </c>
      <c r="E153" s="3" t="s">
        <v>16</v>
      </c>
      <c r="F153" s="3" t="s">
        <v>289</v>
      </c>
      <c r="G153" s="3" t="s">
        <v>23</v>
      </c>
      <c r="H153" s="3" t="s">
        <v>226</v>
      </c>
    </row>
    <row r="154" spans="1:8" x14ac:dyDescent="0.2">
      <c r="A154" s="3">
        <v>3060350003</v>
      </c>
      <c r="B154" s="4" t="s">
        <v>1215</v>
      </c>
      <c r="C154" s="4" t="s">
        <v>1216</v>
      </c>
      <c r="D154" s="3">
        <v>1</v>
      </c>
      <c r="E154" s="3" t="s">
        <v>16</v>
      </c>
      <c r="F154" s="3" t="s">
        <v>289</v>
      </c>
      <c r="G154" s="3" t="s">
        <v>23</v>
      </c>
      <c r="H154" s="3" t="s">
        <v>226</v>
      </c>
    </row>
    <row r="155" spans="1:8" x14ac:dyDescent="0.2">
      <c r="A155" s="3">
        <v>3060353006</v>
      </c>
      <c r="B155" s="4" t="s">
        <v>1217</v>
      </c>
      <c r="C155" s="4" t="s">
        <v>1232</v>
      </c>
      <c r="D155" s="3">
        <v>1</v>
      </c>
      <c r="E155" s="3" t="s">
        <v>16</v>
      </c>
      <c r="F155" s="3" t="s">
        <v>289</v>
      </c>
      <c r="G155" s="3" t="s">
        <v>23</v>
      </c>
      <c r="H155" s="3" t="s">
        <v>226</v>
      </c>
    </row>
    <row r="156" spans="1:8" x14ac:dyDescent="0.2">
      <c r="A156" s="3">
        <v>3060324003</v>
      </c>
      <c r="B156" s="4" t="s">
        <v>1185</v>
      </c>
      <c r="C156" s="4" t="s">
        <v>1249</v>
      </c>
      <c r="D156" s="3">
        <v>1</v>
      </c>
      <c r="E156" s="3" t="s">
        <v>16</v>
      </c>
      <c r="F156" s="3" t="s">
        <v>289</v>
      </c>
      <c r="G156" s="3" t="s">
        <v>23</v>
      </c>
      <c r="H156" s="3" t="s">
        <v>226</v>
      </c>
    </row>
    <row r="157" spans="1:8" x14ac:dyDescent="0.2">
      <c r="A157" s="3">
        <v>3060404053</v>
      </c>
      <c r="B157" s="4" t="s">
        <v>729</v>
      </c>
      <c r="C157" s="4" t="s">
        <v>1250</v>
      </c>
      <c r="D157" s="3">
        <v>1</v>
      </c>
      <c r="E157" s="3" t="s">
        <v>16</v>
      </c>
      <c r="F157" s="3" t="s">
        <v>289</v>
      </c>
      <c r="G157" s="3" t="s">
        <v>23</v>
      </c>
      <c r="H157" s="3" t="s">
        <v>226</v>
      </c>
    </row>
    <row r="158" spans="1:8" x14ac:dyDescent="0.2">
      <c r="A158" s="3">
        <v>3060316002</v>
      </c>
      <c r="B158" s="4" t="s">
        <v>1219</v>
      </c>
      <c r="C158" s="4" t="s">
        <v>1251</v>
      </c>
      <c r="D158" s="3">
        <v>1</v>
      </c>
      <c r="E158" s="3" t="s">
        <v>16</v>
      </c>
      <c r="F158" s="3" t="s">
        <v>289</v>
      </c>
      <c r="G158" s="3" t="s">
        <v>23</v>
      </c>
      <c r="H158" s="3" t="s">
        <v>226</v>
      </c>
    </row>
    <row r="159" spans="1:8" x14ac:dyDescent="0.2">
      <c r="A159" s="3">
        <v>3050305016</v>
      </c>
      <c r="B159" s="4" t="s">
        <v>527</v>
      </c>
      <c r="C159" s="4" t="s">
        <v>528</v>
      </c>
      <c r="D159" s="3">
        <v>1</v>
      </c>
      <c r="E159" s="3" t="s">
        <v>16</v>
      </c>
      <c r="F159" s="3" t="s">
        <v>291</v>
      </c>
      <c r="G159" s="3" t="s">
        <v>26</v>
      </c>
      <c r="H159" s="3" t="s">
        <v>226</v>
      </c>
    </row>
    <row r="160" spans="1:8" x14ac:dyDescent="0.2">
      <c r="A160" s="3">
        <v>3050305015</v>
      </c>
      <c r="B160" s="4" t="s">
        <v>529</v>
      </c>
      <c r="C160" s="4" t="s">
        <v>530</v>
      </c>
      <c r="D160" s="3">
        <v>1</v>
      </c>
      <c r="E160" s="3" t="s">
        <v>16</v>
      </c>
      <c r="F160" s="3" t="s">
        <v>291</v>
      </c>
      <c r="G160" s="3" t="s">
        <v>26</v>
      </c>
      <c r="H160" s="3" t="s">
        <v>226</v>
      </c>
    </row>
    <row r="161" spans="1:8" x14ac:dyDescent="0.2">
      <c r="A161" s="3">
        <v>3030309020</v>
      </c>
      <c r="B161" s="4" t="s">
        <v>531</v>
      </c>
      <c r="C161" s="4" t="s">
        <v>532</v>
      </c>
      <c r="D161" s="3">
        <v>1</v>
      </c>
      <c r="E161" s="3" t="s">
        <v>16</v>
      </c>
      <c r="F161" s="3" t="s">
        <v>291</v>
      </c>
      <c r="G161" s="3" t="s">
        <v>26</v>
      </c>
      <c r="H161" s="3" t="s">
        <v>226</v>
      </c>
    </row>
    <row r="162" spans="1:8" x14ac:dyDescent="0.2">
      <c r="A162" s="3">
        <v>3030302002</v>
      </c>
      <c r="B162" s="4" t="s">
        <v>533</v>
      </c>
      <c r="C162" s="4" t="s">
        <v>534</v>
      </c>
      <c r="D162" s="3">
        <v>1</v>
      </c>
      <c r="E162" s="3" t="s">
        <v>16</v>
      </c>
      <c r="F162" s="3" t="s">
        <v>295</v>
      </c>
      <c r="G162" s="3" t="s">
        <v>17</v>
      </c>
      <c r="H162" s="3" t="s">
        <v>226</v>
      </c>
    </row>
    <row r="163" spans="1:8" x14ac:dyDescent="0.2">
      <c r="A163" s="3">
        <v>3030306012</v>
      </c>
      <c r="B163" s="4" t="s">
        <v>535</v>
      </c>
      <c r="C163" s="4" t="s">
        <v>536</v>
      </c>
      <c r="D163" s="3">
        <v>1</v>
      </c>
      <c r="E163" s="3" t="s">
        <v>16</v>
      </c>
      <c r="F163" s="3" t="s">
        <v>295</v>
      </c>
      <c r="G163" s="3" t="s">
        <v>17</v>
      </c>
      <c r="H163" s="3" t="s">
        <v>226</v>
      </c>
    </row>
    <row r="164" spans="1:8" x14ac:dyDescent="0.2">
      <c r="A164" s="3">
        <v>3030306011</v>
      </c>
      <c r="B164" s="4" t="s">
        <v>537</v>
      </c>
      <c r="C164" s="4" t="s">
        <v>536</v>
      </c>
      <c r="D164" s="3">
        <v>1</v>
      </c>
      <c r="E164" s="3" t="s">
        <v>16</v>
      </c>
      <c r="F164" s="3" t="s">
        <v>295</v>
      </c>
      <c r="G164" s="3" t="s">
        <v>17</v>
      </c>
      <c r="H164" s="3" t="s">
        <v>226</v>
      </c>
    </row>
    <row r="165" spans="1:8" x14ac:dyDescent="0.2">
      <c r="A165" s="3">
        <v>3030303002</v>
      </c>
      <c r="B165" s="4" t="s">
        <v>175</v>
      </c>
      <c r="C165" s="4" t="s">
        <v>538</v>
      </c>
      <c r="D165" s="3">
        <v>1</v>
      </c>
      <c r="E165" s="3" t="s">
        <v>16</v>
      </c>
      <c r="F165" s="3" t="s">
        <v>295</v>
      </c>
      <c r="G165" s="3" t="s">
        <v>17</v>
      </c>
      <c r="H165" s="3" t="s">
        <v>226</v>
      </c>
    </row>
    <row r="166" spans="1:8" x14ac:dyDescent="0.2">
      <c r="A166" s="3">
        <v>3030303017</v>
      </c>
      <c r="B166" s="4" t="s">
        <v>539</v>
      </c>
      <c r="C166" s="4" t="s">
        <v>540</v>
      </c>
      <c r="D166" s="3">
        <v>1</v>
      </c>
      <c r="E166" s="3" t="s">
        <v>16</v>
      </c>
      <c r="F166" s="3" t="s">
        <v>295</v>
      </c>
      <c r="G166" s="3" t="s">
        <v>17</v>
      </c>
      <c r="H166" s="3" t="s">
        <v>226</v>
      </c>
    </row>
    <row r="167" spans="1:8" x14ac:dyDescent="0.2">
      <c r="A167" s="3">
        <v>3040312012</v>
      </c>
      <c r="B167" s="4" t="s">
        <v>263</v>
      </c>
      <c r="C167" s="4" t="s">
        <v>541</v>
      </c>
      <c r="D167" s="3">
        <v>2</v>
      </c>
      <c r="E167" s="3" t="s">
        <v>16</v>
      </c>
      <c r="F167" s="3" t="s">
        <v>293</v>
      </c>
      <c r="G167" s="3" t="s">
        <v>29</v>
      </c>
      <c r="H167" s="3" t="s">
        <v>226</v>
      </c>
    </row>
    <row r="168" spans="1:8" x14ac:dyDescent="0.2">
      <c r="A168" s="3">
        <v>3040320010</v>
      </c>
      <c r="B168" s="4" t="s">
        <v>269</v>
      </c>
      <c r="C168" s="4" t="s">
        <v>542</v>
      </c>
      <c r="D168" s="3">
        <v>1</v>
      </c>
      <c r="E168" s="3" t="s">
        <v>16</v>
      </c>
      <c r="F168" s="3" t="s">
        <v>293</v>
      </c>
      <c r="G168" s="3" t="s">
        <v>29</v>
      </c>
      <c r="H168" s="3" t="s">
        <v>226</v>
      </c>
    </row>
    <row r="169" spans="1:8" x14ac:dyDescent="0.2">
      <c r="A169" s="3">
        <v>3040320011</v>
      </c>
      <c r="B169" s="4" t="s">
        <v>269</v>
      </c>
      <c r="C169" s="4" t="s">
        <v>543</v>
      </c>
      <c r="D169" s="3">
        <v>1</v>
      </c>
      <c r="E169" s="3" t="s">
        <v>16</v>
      </c>
      <c r="F169" s="3" t="s">
        <v>293</v>
      </c>
      <c r="G169" s="3" t="s">
        <v>29</v>
      </c>
      <c r="H169" s="3" t="s">
        <v>226</v>
      </c>
    </row>
    <row r="170" spans="1:8" x14ac:dyDescent="0.2">
      <c r="A170" s="3">
        <v>3030313003</v>
      </c>
      <c r="B170" s="4" t="s">
        <v>217</v>
      </c>
      <c r="C170" s="4" t="s">
        <v>544</v>
      </c>
      <c r="D170" s="3">
        <v>8</v>
      </c>
      <c r="E170" s="3" t="s">
        <v>16</v>
      </c>
      <c r="F170" s="3" t="s">
        <v>291</v>
      </c>
      <c r="G170" s="3" t="s">
        <v>26</v>
      </c>
      <c r="H170" s="3" t="s">
        <v>226</v>
      </c>
    </row>
    <row r="171" spans="1:8" x14ac:dyDescent="0.2">
      <c r="A171" s="3">
        <v>3020199010</v>
      </c>
      <c r="B171" s="4" t="s">
        <v>239</v>
      </c>
      <c r="C171" s="4" t="s">
        <v>545</v>
      </c>
      <c r="D171" s="3">
        <v>5</v>
      </c>
      <c r="E171" s="3" t="s">
        <v>16</v>
      </c>
      <c r="F171" s="3" t="s">
        <v>297</v>
      </c>
      <c r="G171" s="3" t="s">
        <v>204</v>
      </c>
      <c r="H171" s="3" t="s">
        <v>226</v>
      </c>
    </row>
    <row r="172" spans="1:8" x14ac:dyDescent="0.2">
      <c r="A172" s="3">
        <v>3070212001</v>
      </c>
      <c r="B172" s="4" t="s">
        <v>377</v>
      </c>
      <c r="C172" s="4" t="s">
        <v>378</v>
      </c>
      <c r="D172" s="3">
        <v>1</v>
      </c>
      <c r="E172" s="3" t="s">
        <v>16</v>
      </c>
      <c r="F172" s="3" t="s">
        <v>317</v>
      </c>
      <c r="G172" s="3" t="s">
        <v>318</v>
      </c>
      <c r="H172" s="3" t="s">
        <v>226</v>
      </c>
    </row>
    <row r="173" spans="1:8" x14ac:dyDescent="0.2">
      <c r="A173" s="3">
        <v>3070210001</v>
      </c>
      <c r="B173" s="4" t="s">
        <v>379</v>
      </c>
      <c r="C173" s="4" t="s">
        <v>280</v>
      </c>
      <c r="D173" s="3">
        <v>1</v>
      </c>
      <c r="E173" s="3" t="s">
        <v>16</v>
      </c>
      <c r="F173" s="3" t="s">
        <v>317</v>
      </c>
      <c r="G173" s="3" t="s">
        <v>318</v>
      </c>
      <c r="H173" s="3" t="s">
        <v>226</v>
      </c>
    </row>
    <row r="174" spans="1:8" x14ac:dyDescent="0.2">
      <c r="A174" s="3">
        <v>3991601007</v>
      </c>
      <c r="B174" s="4" t="s">
        <v>585</v>
      </c>
      <c r="C174" s="4" t="s">
        <v>1229</v>
      </c>
      <c r="D174" s="3">
        <v>4</v>
      </c>
      <c r="E174" s="3" t="s">
        <v>16</v>
      </c>
      <c r="F174" s="3" t="s">
        <v>289</v>
      </c>
      <c r="G174" s="3" t="s">
        <v>23</v>
      </c>
      <c r="H174" s="3" t="s">
        <v>226</v>
      </c>
    </row>
    <row r="175" spans="1:8" x14ac:dyDescent="0.2">
      <c r="A175" s="3">
        <v>3991601009</v>
      </c>
      <c r="B175" s="4" t="s">
        <v>585</v>
      </c>
      <c r="C175" s="4" t="s">
        <v>1230</v>
      </c>
      <c r="D175" s="3">
        <v>2</v>
      </c>
      <c r="E175" s="3" t="s">
        <v>16</v>
      </c>
      <c r="F175" s="3" t="s">
        <v>289</v>
      </c>
      <c r="G175" s="3" t="s">
        <v>23</v>
      </c>
      <c r="H175" s="3" t="s">
        <v>226</v>
      </c>
    </row>
    <row r="176" spans="1:8" x14ac:dyDescent="0.2">
      <c r="A176" s="3">
        <v>3050305019</v>
      </c>
      <c r="B176" s="4" t="s">
        <v>549</v>
      </c>
      <c r="C176" s="4" t="s">
        <v>530</v>
      </c>
      <c r="D176" s="3">
        <v>1</v>
      </c>
      <c r="E176" s="3" t="s">
        <v>16</v>
      </c>
      <c r="F176" s="3" t="s">
        <v>291</v>
      </c>
      <c r="G176" s="3" t="s">
        <v>26</v>
      </c>
      <c r="H176" s="3" t="s">
        <v>226</v>
      </c>
    </row>
    <row r="177" spans="1:8" x14ac:dyDescent="0.2">
      <c r="A177" s="3">
        <v>3050401014</v>
      </c>
      <c r="B177" s="4" t="s">
        <v>222</v>
      </c>
      <c r="C177" s="4" t="s">
        <v>550</v>
      </c>
      <c r="D177" s="3">
        <v>1</v>
      </c>
      <c r="E177" s="3" t="s">
        <v>16</v>
      </c>
      <c r="F177" s="3" t="s">
        <v>291</v>
      </c>
      <c r="G177" s="3" t="s">
        <v>26</v>
      </c>
      <c r="H177" s="3" t="s">
        <v>226</v>
      </c>
    </row>
    <row r="178" spans="1:8" x14ac:dyDescent="0.2">
      <c r="A178" s="3">
        <v>3080401031</v>
      </c>
      <c r="B178" s="4" t="s">
        <v>41</v>
      </c>
      <c r="C178" s="4" t="s">
        <v>551</v>
      </c>
      <c r="D178" s="3">
        <v>1</v>
      </c>
      <c r="E178" s="3" t="s">
        <v>16</v>
      </c>
      <c r="F178" s="3" t="s">
        <v>291</v>
      </c>
      <c r="G178" s="3" t="s">
        <v>26</v>
      </c>
      <c r="H178" s="3" t="s">
        <v>249</v>
      </c>
    </row>
    <row r="179" spans="1:8" x14ac:dyDescent="0.2">
      <c r="A179" s="3">
        <v>3030211001</v>
      </c>
      <c r="B179" s="4" t="s">
        <v>552</v>
      </c>
      <c r="C179" s="4" t="s">
        <v>553</v>
      </c>
      <c r="D179" s="3">
        <v>1</v>
      </c>
      <c r="E179" s="3" t="s">
        <v>16</v>
      </c>
      <c r="F179" s="3" t="s">
        <v>295</v>
      </c>
      <c r="G179" s="3" t="s">
        <v>17</v>
      </c>
      <c r="H179" s="3" t="s">
        <v>249</v>
      </c>
    </row>
    <row r="180" spans="1:8" x14ac:dyDescent="0.2">
      <c r="A180" s="3">
        <v>3080309001</v>
      </c>
      <c r="B180" s="4" t="s">
        <v>554</v>
      </c>
      <c r="C180" s="4" t="s">
        <v>555</v>
      </c>
      <c r="D180" s="3">
        <v>1</v>
      </c>
      <c r="E180" s="3" t="s">
        <v>16</v>
      </c>
      <c r="F180" s="3" t="s">
        <v>295</v>
      </c>
      <c r="G180" s="3" t="s">
        <v>17</v>
      </c>
      <c r="H180" s="3" t="s">
        <v>249</v>
      </c>
    </row>
    <row r="181" spans="1:8" x14ac:dyDescent="0.2">
      <c r="A181" s="3">
        <v>3080107268</v>
      </c>
      <c r="B181" s="4" t="s">
        <v>69</v>
      </c>
      <c r="C181" s="4" t="s">
        <v>556</v>
      </c>
      <c r="D181" s="3">
        <v>2</v>
      </c>
      <c r="E181" s="3" t="s">
        <v>16</v>
      </c>
      <c r="F181" s="3" t="s">
        <v>291</v>
      </c>
      <c r="G181" s="3" t="s">
        <v>26</v>
      </c>
      <c r="H181" s="3" t="s">
        <v>249</v>
      </c>
    </row>
    <row r="182" spans="1:8" x14ac:dyDescent="0.2">
      <c r="A182" s="3">
        <v>3080107269</v>
      </c>
      <c r="B182" s="4" t="s">
        <v>69</v>
      </c>
      <c r="C182" s="4" t="s">
        <v>557</v>
      </c>
      <c r="D182" s="3">
        <v>2</v>
      </c>
      <c r="E182" s="3" t="s">
        <v>16</v>
      </c>
      <c r="F182" s="3" t="s">
        <v>291</v>
      </c>
      <c r="G182" s="3" t="s">
        <v>26</v>
      </c>
      <c r="H182" s="3" t="s">
        <v>249</v>
      </c>
    </row>
    <row r="183" spans="1:8" x14ac:dyDescent="0.2">
      <c r="A183" s="3">
        <v>3060333011</v>
      </c>
      <c r="B183" s="4" t="s">
        <v>227</v>
      </c>
      <c r="C183" s="4" t="s">
        <v>1231</v>
      </c>
      <c r="D183" s="3">
        <v>1</v>
      </c>
      <c r="E183" s="3" t="s">
        <v>16</v>
      </c>
      <c r="F183" s="3" t="s">
        <v>289</v>
      </c>
      <c r="G183" s="3" t="s">
        <v>23</v>
      </c>
      <c r="H183" s="3" t="s">
        <v>254</v>
      </c>
    </row>
    <row r="184" spans="1:8" x14ac:dyDescent="0.2">
      <c r="A184" s="3">
        <v>3060401003</v>
      </c>
      <c r="B184" s="4" t="s">
        <v>727</v>
      </c>
      <c r="C184" s="4" t="s">
        <v>1232</v>
      </c>
      <c r="D184" s="3">
        <v>1</v>
      </c>
      <c r="E184" s="3" t="s">
        <v>16</v>
      </c>
      <c r="F184" s="3" t="s">
        <v>289</v>
      </c>
      <c r="G184" s="3" t="s">
        <v>23</v>
      </c>
      <c r="H184" s="3" t="s">
        <v>254</v>
      </c>
    </row>
    <row r="185" spans="1:8" x14ac:dyDescent="0.2">
      <c r="A185" s="3">
        <v>3060335013</v>
      </c>
      <c r="B185" s="4" t="s">
        <v>233</v>
      </c>
      <c r="C185" s="4" t="s">
        <v>1253</v>
      </c>
      <c r="D185" s="3">
        <v>1</v>
      </c>
      <c r="E185" s="3" t="s">
        <v>16</v>
      </c>
      <c r="F185" s="3" t="s">
        <v>289</v>
      </c>
      <c r="G185" s="3" t="s">
        <v>23</v>
      </c>
      <c r="H185" s="3" t="s">
        <v>254</v>
      </c>
    </row>
    <row r="186" spans="1:8" x14ac:dyDescent="0.2">
      <c r="A186" s="3">
        <v>3030302001</v>
      </c>
      <c r="B186" s="4" t="s">
        <v>558</v>
      </c>
      <c r="C186" s="4" t="s">
        <v>534</v>
      </c>
      <c r="D186" s="3">
        <v>1</v>
      </c>
      <c r="E186" s="3" t="s">
        <v>16</v>
      </c>
      <c r="F186" s="3" t="s">
        <v>295</v>
      </c>
      <c r="G186" s="3" t="s">
        <v>17</v>
      </c>
      <c r="H186" s="3" t="s">
        <v>254</v>
      </c>
    </row>
    <row r="187" spans="1:8" x14ac:dyDescent="0.2">
      <c r="A187" s="3">
        <v>3030306031</v>
      </c>
      <c r="B187" s="4" t="s">
        <v>559</v>
      </c>
      <c r="C187" s="4" t="s">
        <v>560</v>
      </c>
      <c r="D187" s="3">
        <v>1</v>
      </c>
      <c r="E187" s="3" t="s">
        <v>16</v>
      </c>
      <c r="F187" s="3" t="s">
        <v>295</v>
      </c>
      <c r="G187" s="3" t="s">
        <v>17</v>
      </c>
      <c r="H187" s="3" t="s">
        <v>254</v>
      </c>
    </row>
    <row r="188" spans="1:8" x14ac:dyDescent="0.2">
      <c r="A188" s="3">
        <v>3080311002</v>
      </c>
      <c r="B188" s="4" t="s">
        <v>561</v>
      </c>
      <c r="C188" s="4" t="s">
        <v>536</v>
      </c>
      <c r="D188" s="3">
        <v>1</v>
      </c>
      <c r="E188" s="3" t="s">
        <v>16</v>
      </c>
      <c r="F188" s="3" t="s">
        <v>295</v>
      </c>
      <c r="G188" s="3" t="s">
        <v>17</v>
      </c>
      <c r="H188" s="3" t="s">
        <v>254</v>
      </c>
    </row>
    <row r="189" spans="1:8" x14ac:dyDescent="0.2">
      <c r="A189" s="3">
        <v>3030303016</v>
      </c>
      <c r="B189" s="4" t="s">
        <v>562</v>
      </c>
      <c r="C189" s="4" t="s">
        <v>563</v>
      </c>
      <c r="D189" s="3">
        <v>1</v>
      </c>
      <c r="E189" s="3" t="s">
        <v>16</v>
      </c>
      <c r="F189" s="3" t="s">
        <v>295</v>
      </c>
      <c r="G189" s="3" t="s">
        <v>17</v>
      </c>
      <c r="H189" s="3" t="s">
        <v>254</v>
      </c>
    </row>
    <row r="190" spans="1:8" x14ac:dyDescent="0.2">
      <c r="A190" s="3">
        <v>3030303015</v>
      </c>
      <c r="B190" s="4" t="s">
        <v>564</v>
      </c>
      <c r="C190" s="4" t="s">
        <v>563</v>
      </c>
      <c r="D190" s="3">
        <v>1</v>
      </c>
      <c r="E190" s="3" t="s">
        <v>16</v>
      </c>
      <c r="F190" s="3" t="s">
        <v>295</v>
      </c>
      <c r="G190" s="3" t="s">
        <v>17</v>
      </c>
      <c r="H190" s="3" t="s">
        <v>254</v>
      </c>
    </row>
    <row r="191" spans="1:8" x14ac:dyDescent="0.2">
      <c r="A191" s="3">
        <v>3040323001</v>
      </c>
      <c r="B191" s="4" t="s">
        <v>565</v>
      </c>
      <c r="C191" s="4" t="s">
        <v>566</v>
      </c>
      <c r="D191" s="3">
        <v>2</v>
      </c>
      <c r="E191" s="3" t="s">
        <v>16</v>
      </c>
      <c r="F191" s="3" t="s">
        <v>293</v>
      </c>
      <c r="G191" s="3" t="s">
        <v>29</v>
      </c>
      <c r="H191" s="3" t="s">
        <v>254</v>
      </c>
    </row>
    <row r="192" spans="1:8" x14ac:dyDescent="0.2">
      <c r="A192" s="3">
        <v>3040302001</v>
      </c>
      <c r="B192" s="4" t="s">
        <v>567</v>
      </c>
      <c r="C192" s="4" t="s">
        <v>568</v>
      </c>
      <c r="D192" s="3">
        <v>1</v>
      </c>
      <c r="E192" s="3" t="s">
        <v>16</v>
      </c>
      <c r="F192" s="3" t="s">
        <v>293</v>
      </c>
      <c r="G192" s="3" t="s">
        <v>29</v>
      </c>
      <c r="H192" s="3" t="s">
        <v>254</v>
      </c>
    </row>
    <row r="193" spans="1:8" x14ac:dyDescent="0.2">
      <c r="A193" s="3">
        <v>3040302002</v>
      </c>
      <c r="B193" s="4" t="s">
        <v>567</v>
      </c>
      <c r="C193" s="4" t="s">
        <v>569</v>
      </c>
      <c r="D193" s="3">
        <v>1</v>
      </c>
      <c r="E193" s="3" t="s">
        <v>16</v>
      </c>
      <c r="F193" s="3" t="s">
        <v>293</v>
      </c>
      <c r="G193" s="3" t="s">
        <v>29</v>
      </c>
      <c r="H193" s="3" t="s">
        <v>254</v>
      </c>
    </row>
    <row r="194" spans="1:8" x14ac:dyDescent="0.2">
      <c r="A194" s="3">
        <v>3040324004</v>
      </c>
      <c r="B194" s="4" t="s">
        <v>570</v>
      </c>
      <c r="C194" s="4" t="s">
        <v>536</v>
      </c>
      <c r="D194" s="3">
        <v>2</v>
      </c>
      <c r="E194" s="3" t="s">
        <v>16</v>
      </c>
      <c r="F194" s="3" t="s">
        <v>293</v>
      </c>
      <c r="G194" s="3" t="s">
        <v>29</v>
      </c>
      <c r="H194" s="3" t="s">
        <v>254</v>
      </c>
    </row>
    <row r="195" spans="1:8" x14ac:dyDescent="0.2">
      <c r="A195" s="3">
        <v>3030302008</v>
      </c>
      <c r="B195" s="4" t="s">
        <v>571</v>
      </c>
      <c r="C195" s="4" t="s">
        <v>572</v>
      </c>
      <c r="D195" s="3">
        <v>1</v>
      </c>
      <c r="E195" s="3" t="s">
        <v>16</v>
      </c>
      <c r="F195" s="3" t="s">
        <v>295</v>
      </c>
      <c r="G195" s="3" t="s">
        <v>17</v>
      </c>
      <c r="H195" s="3" t="s">
        <v>254</v>
      </c>
    </row>
    <row r="196" spans="1:8" x14ac:dyDescent="0.2">
      <c r="A196" s="3">
        <v>3030302009</v>
      </c>
      <c r="B196" s="4" t="s">
        <v>571</v>
      </c>
      <c r="C196" s="4" t="s">
        <v>573</v>
      </c>
      <c r="D196" s="3">
        <v>1</v>
      </c>
      <c r="E196" s="3" t="s">
        <v>16</v>
      </c>
      <c r="F196" s="3" t="s">
        <v>295</v>
      </c>
      <c r="G196" s="3" t="s">
        <v>17</v>
      </c>
      <c r="H196" s="3" t="s">
        <v>254</v>
      </c>
    </row>
    <row r="197" spans="1:8" x14ac:dyDescent="0.2">
      <c r="A197" s="3">
        <v>3030302004</v>
      </c>
      <c r="B197" s="4" t="s">
        <v>574</v>
      </c>
      <c r="C197" s="4" t="s">
        <v>575</v>
      </c>
      <c r="D197" s="3">
        <v>1</v>
      </c>
      <c r="E197" s="3" t="s">
        <v>16</v>
      </c>
      <c r="F197" s="3" t="s">
        <v>295</v>
      </c>
      <c r="G197" s="3" t="s">
        <v>17</v>
      </c>
      <c r="H197" s="3" t="s">
        <v>254</v>
      </c>
    </row>
    <row r="198" spans="1:8" x14ac:dyDescent="0.2">
      <c r="A198" s="3">
        <v>3030302006</v>
      </c>
      <c r="B198" s="4" t="s">
        <v>576</v>
      </c>
      <c r="C198" s="4" t="s">
        <v>575</v>
      </c>
      <c r="D198" s="3">
        <v>1</v>
      </c>
      <c r="E198" s="3" t="s">
        <v>16</v>
      </c>
      <c r="F198" s="3" t="s">
        <v>295</v>
      </c>
      <c r="G198" s="3" t="s">
        <v>17</v>
      </c>
      <c r="H198" s="3" t="s">
        <v>254</v>
      </c>
    </row>
    <row r="199" spans="1:8" x14ac:dyDescent="0.2">
      <c r="A199" s="3">
        <v>3030314004</v>
      </c>
      <c r="B199" s="4" t="s">
        <v>577</v>
      </c>
      <c r="C199" s="4" t="s">
        <v>575</v>
      </c>
      <c r="D199" s="3">
        <v>1</v>
      </c>
      <c r="E199" s="3" t="s">
        <v>16</v>
      </c>
      <c r="F199" s="3" t="s">
        <v>295</v>
      </c>
      <c r="G199" s="3" t="s">
        <v>17</v>
      </c>
      <c r="H199" s="3" t="s">
        <v>254</v>
      </c>
    </row>
    <row r="200" spans="1:8" x14ac:dyDescent="0.2">
      <c r="A200" s="3">
        <v>3030308001</v>
      </c>
      <c r="B200" s="4" t="s">
        <v>578</v>
      </c>
      <c r="C200" s="4" t="s">
        <v>575</v>
      </c>
      <c r="D200" s="3">
        <v>1</v>
      </c>
      <c r="E200" s="3" t="s">
        <v>16</v>
      </c>
      <c r="F200" s="3" t="s">
        <v>295</v>
      </c>
      <c r="G200" s="3" t="s">
        <v>17</v>
      </c>
      <c r="H200" s="3" t="s">
        <v>254</v>
      </c>
    </row>
    <row r="201" spans="1:8" x14ac:dyDescent="0.2">
      <c r="A201" s="3">
        <v>3030314003</v>
      </c>
      <c r="B201" s="4" t="s">
        <v>579</v>
      </c>
      <c r="C201" s="4" t="s">
        <v>575</v>
      </c>
      <c r="D201" s="3">
        <v>1</v>
      </c>
      <c r="E201" s="3" t="s">
        <v>16</v>
      </c>
      <c r="F201" s="3" t="s">
        <v>295</v>
      </c>
      <c r="G201" s="3" t="s">
        <v>17</v>
      </c>
      <c r="H201" s="3" t="s">
        <v>254</v>
      </c>
    </row>
    <row r="202" spans="1:8" x14ac:dyDescent="0.2">
      <c r="A202" s="3">
        <v>3030308003</v>
      </c>
      <c r="B202" s="4" t="s">
        <v>580</v>
      </c>
      <c r="C202" s="4" t="s">
        <v>581</v>
      </c>
      <c r="D202" s="3">
        <v>1</v>
      </c>
      <c r="E202" s="3" t="s">
        <v>16</v>
      </c>
      <c r="F202" s="3" t="s">
        <v>295</v>
      </c>
      <c r="G202" s="3" t="s">
        <v>17</v>
      </c>
      <c r="H202" s="3" t="s">
        <v>254</v>
      </c>
    </row>
    <row r="203" spans="1:8" x14ac:dyDescent="0.2">
      <c r="A203" s="3">
        <v>3040325007</v>
      </c>
      <c r="B203" s="4" t="s">
        <v>582</v>
      </c>
      <c r="C203" s="4" t="s">
        <v>543</v>
      </c>
      <c r="D203" s="3">
        <v>1</v>
      </c>
      <c r="E203" s="3" t="s">
        <v>16</v>
      </c>
      <c r="F203" s="3" t="s">
        <v>293</v>
      </c>
      <c r="G203" s="3" t="s">
        <v>29</v>
      </c>
      <c r="H203" s="3" t="s">
        <v>254</v>
      </c>
    </row>
    <row r="204" spans="1:8" x14ac:dyDescent="0.2">
      <c r="A204" s="3">
        <v>3040325008</v>
      </c>
      <c r="B204" s="4" t="s">
        <v>582</v>
      </c>
      <c r="C204" s="4" t="s">
        <v>542</v>
      </c>
      <c r="D204" s="3">
        <v>1</v>
      </c>
      <c r="E204" s="3" t="s">
        <v>16</v>
      </c>
      <c r="F204" s="3" t="s">
        <v>293</v>
      </c>
      <c r="G204" s="3" t="s">
        <v>29</v>
      </c>
      <c r="H204" s="3" t="s">
        <v>254</v>
      </c>
    </row>
    <row r="205" spans="1:8" x14ac:dyDescent="0.2">
      <c r="A205" s="3">
        <v>3040308003</v>
      </c>
      <c r="B205" s="4" t="s">
        <v>583</v>
      </c>
      <c r="C205" s="4" t="s">
        <v>536</v>
      </c>
      <c r="D205" s="3">
        <v>2</v>
      </c>
      <c r="E205" s="3" t="s">
        <v>16</v>
      </c>
      <c r="F205" s="3" t="s">
        <v>293</v>
      </c>
      <c r="G205" s="3" t="s">
        <v>29</v>
      </c>
      <c r="H205" s="3" t="s">
        <v>254</v>
      </c>
    </row>
    <row r="206" spans="1:8" x14ac:dyDescent="0.2">
      <c r="A206" s="3">
        <v>3030302007</v>
      </c>
      <c r="B206" s="4" t="s">
        <v>584</v>
      </c>
      <c r="C206" s="4" t="s">
        <v>575</v>
      </c>
      <c r="D206" s="3">
        <v>1</v>
      </c>
      <c r="E206" s="3" t="s">
        <v>16</v>
      </c>
      <c r="F206" s="3" t="s">
        <v>295</v>
      </c>
      <c r="G206" s="3" t="s">
        <v>17</v>
      </c>
      <c r="H206" s="3" t="s">
        <v>254</v>
      </c>
    </row>
    <row r="207" spans="1:8" x14ac:dyDescent="0.2">
      <c r="A207" s="3">
        <v>3070201008</v>
      </c>
      <c r="B207" s="4" t="s">
        <v>348</v>
      </c>
      <c r="C207" s="4" t="s">
        <v>1263</v>
      </c>
      <c r="D207" s="3">
        <v>1</v>
      </c>
      <c r="E207" s="3" t="s">
        <v>16</v>
      </c>
      <c r="F207" s="3" t="s">
        <v>317</v>
      </c>
      <c r="G207" s="3" t="s">
        <v>318</v>
      </c>
      <c r="H207" s="3" t="s">
        <v>254</v>
      </c>
    </row>
    <row r="208" spans="1:8" x14ac:dyDescent="0.2">
      <c r="A208" s="3">
        <v>3070216005</v>
      </c>
      <c r="B208" s="4" t="s">
        <v>1264</v>
      </c>
      <c r="C208" s="4" t="s">
        <v>1301</v>
      </c>
      <c r="D208" s="3">
        <v>1</v>
      </c>
      <c r="E208" s="3" t="s">
        <v>16</v>
      </c>
      <c r="F208" s="3" t="s">
        <v>317</v>
      </c>
      <c r="G208" s="3" t="s">
        <v>318</v>
      </c>
      <c r="H208" s="3" t="s">
        <v>254</v>
      </c>
    </row>
    <row r="209" spans="1:8" x14ac:dyDescent="0.2">
      <c r="A209" s="3">
        <v>3070214004</v>
      </c>
      <c r="B209" s="4" t="s">
        <v>1266</v>
      </c>
      <c r="C209" s="4" t="s">
        <v>1301</v>
      </c>
      <c r="D209" s="3">
        <v>1</v>
      </c>
      <c r="E209" s="3" t="s">
        <v>16</v>
      </c>
      <c r="F209" s="3" t="s">
        <v>317</v>
      </c>
      <c r="G209" s="3" t="s">
        <v>318</v>
      </c>
      <c r="H209" s="3" t="s">
        <v>254</v>
      </c>
    </row>
    <row r="210" spans="1:8" x14ac:dyDescent="0.2">
      <c r="A210" s="3">
        <v>3070202017</v>
      </c>
      <c r="B210" s="4" t="s">
        <v>1267</v>
      </c>
      <c r="C210" s="4" t="s">
        <v>1302</v>
      </c>
      <c r="D210" s="3">
        <v>1</v>
      </c>
      <c r="E210" s="3" t="s">
        <v>16</v>
      </c>
      <c r="F210" s="3" t="s">
        <v>317</v>
      </c>
      <c r="G210" s="3" t="s">
        <v>318</v>
      </c>
      <c r="H210" s="3" t="s">
        <v>254</v>
      </c>
    </row>
    <row r="211" spans="1:8" x14ac:dyDescent="0.2">
      <c r="A211" s="3">
        <v>3111601004</v>
      </c>
      <c r="B211" s="4" t="s">
        <v>585</v>
      </c>
      <c r="C211" s="4" t="s">
        <v>1235</v>
      </c>
      <c r="D211" s="3">
        <v>4</v>
      </c>
      <c r="E211" s="3" t="s">
        <v>16</v>
      </c>
      <c r="F211" s="3" t="s">
        <v>289</v>
      </c>
      <c r="G211" s="3" t="s">
        <v>23</v>
      </c>
      <c r="H211" s="3" t="s">
        <v>254</v>
      </c>
    </row>
    <row r="212" spans="1:8" x14ac:dyDescent="0.2">
      <c r="A212" s="3">
        <v>3111601003</v>
      </c>
      <c r="B212" s="4" t="s">
        <v>585</v>
      </c>
      <c r="C212" s="4" t="s">
        <v>586</v>
      </c>
      <c r="D212" s="3">
        <v>13</v>
      </c>
      <c r="E212" s="3" t="s">
        <v>16</v>
      </c>
      <c r="F212" s="3" t="s">
        <v>289</v>
      </c>
      <c r="G212" s="3" t="s">
        <v>23</v>
      </c>
      <c r="H212" s="3" t="s">
        <v>254</v>
      </c>
    </row>
    <row r="213" spans="1:8" x14ac:dyDescent="0.2">
      <c r="A213" s="3">
        <v>3111601001</v>
      </c>
      <c r="B213" s="4" t="s">
        <v>585</v>
      </c>
      <c r="C213" s="4" t="s">
        <v>1269</v>
      </c>
      <c r="D213" s="3">
        <v>8</v>
      </c>
      <c r="E213" s="3" t="s">
        <v>16</v>
      </c>
      <c r="F213" s="3" t="s">
        <v>317</v>
      </c>
      <c r="G213" s="3" t="s">
        <v>318</v>
      </c>
      <c r="H213" s="3" t="s">
        <v>254</v>
      </c>
    </row>
    <row r="214" spans="1:8" x14ac:dyDescent="0.2">
      <c r="A214" s="3">
        <v>3111601003</v>
      </c>
      <c r="B214" s="4" t="s">
        <v>585</v>
      </c>
      <c r="C214" s="4" t="s">
        <v>586</v>
      </c>
      <c r="D214" s="3">
        <v>2</v>
      </c>
      <c r="E214" s="3" t="s">
        <v>16</v>
      </c>
      <c r="F214" s="3" t="s">
        <v>291</v>
      </c>
      <c r="G214" s="3" t="s">
        <v>26</v>
      </c>
      <c r="H214" s="3" t="s">
        <v>254</v>
      </c>
    </row>
    <row r="215" spans="1:8" x14ac:dyDescent="0.2">
      <c r="A215" s="3">
        <v>3060340003</v>
      </c>
      <c r="B215" s="4" t="s">
        <v>725</v>
      </c>
      <c r="C215" s="4" t="s">
        <v>1236</v>
      </c>
      <c r="D215" s="3">
        <v>1</v>
      </c>
      <c r="E215" s="3" t="s">
        <v>16</v>
      </c>
      <c r="F215" s="3" t="s">
        <v>289</v>
      </c>
      <c r="G215" s="3" t="s">
        <v>23</v>
      </c>
      <c r="H215" s="3" t="s">
        <v>254</v>
      </c>
    </row>
    <row r="216" spans="1:8" x14ac:dyDescent="0.2">
      <c r="A216" s="3">
        <v>3060339004</v>
      </c>
      <c r="B216" s="4" t="s">
        <v>737</v>
      </c>
      <c r="C216" s="4" t="s">
        <v>1253</v>
      </c>
      <c r="D216" s="3">
        <v>1</v>
      </c>
      <c r="E216" s="3" t="s">
        <v>16</v>
      </c>
      <c r="F216" s="3" t="s">
        <v>289</v>
      </c>
      <c r="G216" s="3" t="s">
        <v>23</v>
      </c>
      <c r="H216" s="3" t="s">
        <v>254</v>
      </c>
    </row>
    <row r="217" spans="1:8" x14ac:dyDescent="0.2">
      <c r="A217" s="3">
        <v>3050303009</v>
      </c>
      <c r="B217" s="4" t="s">
        <v>245</v>
      </c>
      <c r="C217" s="4" t="s">
        <v>1253</v>
      </c>
      <c r="D217" s="3">
        <v>1</v>
      </c>
      <c r="E217" s="3" t="s">
        <v>16</v>
      </c>
      <c r="F217" s="3" t="s">
        <v>291</v>
      </c>
      <c r="G217" s="3" t="s">
        <v>26</v>
      </c>
      <c r="H217" s="3" t="s">
        <v>254</v>
      </c>
    </row>
    <row r="218" spans="1:8" x14ac:dyDescent="0.2">
      <c r="A218" s="3">
        <v>3080310002</v>
      </c>
      <c r="B218" s="4" t="s">
        <v>588</v>
      </c>
      <c r="C218" s="4" t="s">
        <v>589</v>
      </c>
      <c r="D218" s="3">
        <v>1</v>
      </c>
      <c r="E218" s="3" t="s">
        <v>16</v>
      </c>
      <c r="F218" s="3" t="s">
        <v>295</v>
      </c>
      <c r="G218" s="3" t="s">
        <v>17</v>
      </c>
      <c r="H218" s="3" t="s">
        <v>590</v>
      </c>
    </row>
    <row r="219" spans="1:8" x14ac:dyDescent="0.2">
      <c r="A219" s="3">
        <v>3020301012</v>
      </c>
      <c r="B219" s="4" t="s">
        <v>209</v>
      </c>
      <c r="C219" s="4" t="s">
        <v>768</v>
      </c>
      <c r="D219" s="3">
        <v>1</v>
      </c>
      <c r="E219" s="3" t="s">
        <v>16</v>
      </c>
      <c r="F219" s="3" t="s">
        <v>301</v>
      </c>
      <c r="G219" s="3" t="s">
        <v>32</v>
      </c>
      <c r="H219" s="3" t="s">
        <v>769</v>
      </c>
    </row>
  </sheetData>
  <phoneticPr fontId="2" type="noConversion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970DE-DDDD-41D0-B096-DFA57B96711D}">
  <dimension ref="A1:H119"/>
  <sheetViews>
    <sheetView workbookViewId="0">
      <selection activeCell="O19" sqref="O19"/>
    </sheetView>
  </sheetViews>
  <sheetFormatPr defaultRowHeight="14.25" x14ac:dyDescent="0.2"/>
  <cols>
    <col min="1" max="1" width="13.375" customWidth="1"/>
    <col min="2" max="3" width="13.75" customWidth="1"/>
  </cols>
  <sheetData>
    <row r="1" spans="1:8" x14ac:dyDescent="0.2">
      <c r="A1" s="3" t="s">
        <v>1311</v>
      </c>
      <c r="B1" s="4"/>
      <c r="C1" s="4"/>
      <c r="D1" s="3"/>
      <c r="E1" s="3"/>
      <c r="F1" s="3"/>
      <c r="G1" s="3"/>
      <c r="H1" s="3"/>
    </row>
    <row r="2" spans="1:8" ht="28.5" x14ac:dyDescent="0.2">
      <c r="A2" s="1" t="s">
        <v>0</v>
      </c>
      <c r="B2" s="2" t="s">
        <v>1</v>
      </c>
      <c r="C2" s="2" t="s">
        <v>2</v>
      </c>
      <c r="D2" s="1" t="s">
        <v>4</v>
      </c>
      <c r="E2" s="1" t="s">
        <v>3</v>
      </c>
      <c r="F2" s="1" t="s">
        <v>5</v>
      </c>
      <c r="G2" s="1" t="s">
        <v>6</v>
      </c>
      <c r="H2" s="1" t="s">
        <v>7</v>
      </c>
    </row>
    <row r="3" spans="1:8" s="10" customFormat="1" x14ac:dyDescent="0.2">
      <c r="A3" s="8" t="s">
        <v>390</v>
      </c>
      <c r="B3" s="9" t="s">
        <v>8</v>
      </c>
      <c r="C3" s="9" t="s">
        <v>9</v>
      </c>
      <c r="D3" s="13">
        <f>0.3322/0.94</f>
        <v>0.35340425531914893</v>
      </c>
      <c r="E3" s="8" t="s">
        <v>596</v>
      </c>
      <c r="F3" s="8" t="s">
        <v>283</v>
      </c>
      <c r="G3" s="8" t="s">
        <v>13</v>
      </c>
      <c r="H3" s="8" t="s">
        <v>12</v>
      </c>
    </row>
    <row r="4" spans="1:8" x14ac:dyDescent="0.2">
      <c r="A4" s="3">
        <v>402030028</v>
      </c>
      <c r="B4" s="4" t="s">
        <v>107</v>
      </c>
      <c r="C4" s="4" t="s">
        <v>305</v>
      </c>
      <c r="D4" s="3">
        <v>1</v>
      </c>
      <c r="E4" s="3" t="s">
        <v>16</v>
      </c>
      <c r="F4" s="3" t="s">
        <v>289</v>
      </c>
      <c r="G4" s="3" t="s">
        <v>23</v>
      </c>
      <c r="H4" s="3" t="s">
        <v>306</v>
      </c>
    </row>
    <row r="5" spans="1:8" x14ac:dyDescent="0.2">
      <c r="A5" s="3">
        <v>40901009</v>
      </c>
      <c r="B5" s="4" t="s">
        <v>801</v>
      </c>
      <c r="C5" s="4" t="s">
        <v>1153</v>
      </c>
      <c r="D5" s="3">
        <v>1</v>
      </c>
      <c r="E5" s="3" t="s">
        <v>16</v>
      </c>
      <c r="F5" s="3" t="s">
        <v>289</v>
      </c>
      <c r="G5" s="3" t="s">
        <v>23</v>
      </c>
      <c r="H5" s="3" t="s">
        <v>306</v>
      </c>
    </row>
    <row r="6" spans="1:8" x14ac:dyDescent="0.2">
      <c r="A6" s="3">
        <v>3030314005</v>
      </c>
      <c r="B6" s="4" t="s">
        <v>394</v>
      </c>
      <c r="C6" s="4" t="s">
        <v>395</v>
      </c>
      <c r="D6" s="3">
        <v>1</v>
      </c>
      <c r="E6" s="3" t="s">
        <v>16</v>
      </c>
      <c r="F6" s="3" t="s">
        <v>291</v>
      </c>
      <c r="G6" s="3" t="s">
        <v>26</v>
      </c>
      <c r="H6" s="3" t="s">
        <v>18</v>
      </c>
    </row>
    <row r="7" spans="1:8" x14ac:dyDescent="0.2">
      <c r="A7" s="3">
        <v>404010128</v>
      </c>
      <c r="B7" s="4" t="s">
        <v>30</v>
      </c>
      <c r="C7" s="4" t="s">
        <v>624</v>
      </c>
      <c r="D7" s="3">
        <v>1</v>
      </c>
      <c r="E7" s="3" t="s">
        <v>16</v>
      </c>
      <c r="F7" s="3" t="s">
        <v>289</v>
      </c>
      <c r="G7" s="3" t="s">
        <v>23</v>
      </c>
      <c r="H7" s="3" t="s">
        <v>33</v>
      </c>
    </row>
    <row r="8" spans="1:8" x14ac:dyDescent="0.2">
      <c r="A8" s="3">
        <v>404090156</v>
      </c>
      <c r="B8" s="4" t="s">
        <v>30</v>
      </c>
      <c r="C8" s="4" t="s">
        <v>1304</v>
      </c>
      <c r="D8" s="3">
        <v>1</v>
      </c>
      <c r="E8" s="3" t="s">
        <v>16</v>
      </c>
      <c r="F8" s="3" t="s">
        <v>301</v>
      </c>
      <c r="G8" s="3" t="s">
        <v>32</v>
      </c>
      <c r="H8" s="3" t="s">
        <v>33</v>
      </c>
    </row>
    <row r="9" spans="1:8" x14ac:dyDescent="0.2">
      <c r="A9" s="3">
        <v>404090099</v>
      </c>
      <c r="B9" s="4" t="s">
        <v>30</v>
      </c>
      <c r="C9" s="4" t="s">
        <v>1305</v>
      </c>
      <c r="D9" s="3">
        <v>1</v>
      </c>
      <c r="E9" s="3" t="s">
        <v>16</v>
      </c>
      <c r="F9" s="3" t="s">
        <v>301</v>
      </c>
      <c r="G9" s="3" t="s">
        <v>32</v>
      </c>
      <c r="H9" s="3" t="s">
        <v>33</v>
      </c>
    </row>
    <row r="10" spans="1:8" x14ac:dyDescent="0.2">
      <c r="A10" s="3">
        <v>404090103</v>
      </c>
      <c r="B10" s="4" t="s">
        <v>30</v>
      </c>
      <c r="C10" s="4" t="s">
        <v>625</v>
      </c>
      <c r="D10" s="3">
        <v>1</v>
      </c>
      <c r="E10" s="3" t="s">
        <v>16</v>
      </c>
      <c r="F10" s="3" t="s">
        <v>301</v>
      </c>
      <c r="G10" s="3" t="s">
        <v>32</v>
      </c>
      <c r="H10" s="3" t="s">
        <v>33</v>
      </c>
    </row>
    <row r="11" spans="1:8" x14ac:dyDescent="0.2">
      <c r="A11" s="3">
        <v>401020131</v>
      </c>
      <c r="B11" s="4" t="s">
        <v>35</v>
      </c>
      <c r="C11" s="4" t="s">
        <v>1306</v>
      </c>
      <c r="D11" s="3">
        <v>1</v>
      </c>
      <c r="E11" s="3" t="s">
        <v>16</v>
      </c>
      <c r="F11" s="3" t="s">
        <v>301</v>
      </c>
      <c r="G11" s="3" t="s">
        <v>32</v>
      </c>
      <c r="H11" s="3" t="s">
        <v>33</v>
      </c>
    </row>
    <row r="12" spans="1:8" x14ac:dyDescent="0.2">
      <c r="A12" s="3">
        <v>3080101002</v>
      </c>
      <c r="B12" s="4" t="s">
        <v>411</v>
      </c>
      <c r="C12" s="4" t="s">
        <v>413</v>
      </c>
      <c r="D12" s="3">
        <v>19</v>
      </c>
      <c r="E12" s="3" t="s">
        <v>16</v>
      </c>
      <c r="F12" s="3" t="s">
        <v>289</v>
      </c>
      <c r="G12" s="3" t="s">
        <v>23</v>
      </c>
      <c r="H12" s="3" t="s">
        <v>40</v>
      </c>
    </row>
    <row r="13" spans="1:8" x14ac:dyDescent="0.2">
      <c r="A13" s="3">
        <v>3080401014</v>
      </c>
      <c r="B13" s="4" t="s">
        <v>41</v>
      </c>
      <c r="C13" s="4" t="s">
        <v>417</v>
      </c>
      <c r="D13" s="3">
        <v>4</v>
      </c>
      <c r="E13" s="3" t="s">
        <v>16</v>
      </c>
      <c r="F13" s="3" t="s">
        <v>291</v>
      </c>
      <c r="G13" s="3" t="s">
        <v>26</v>
      </c>
      <c r="H13" s="3" t="s">
        <v>40</v>
      </c>
    </row>
    <row r="14" spans="1:8" x14ac:dyDescent="0.2">
      <c r="A14" s="3">
        <v>3080104073</v>
      </c>
      <c r="B14" s="4" t="s">
        <v>45</v>
      </c>
      <c r="C14" s="4" t="s">
        <v>1155</v>
      </c>
      <c r="D14" s="3">
        <v>3</v>
      </c>
      <c r="E14" s="3" t="s">
        <v>16</v>
      </c>
      <c r="F14" s="3" t="s">
        <v>289</v>
      </c>
      <c r="G14" s="3" t="s">
        <v>23</v>
      </c>
      <c r="H14" s="3" t="s">
        <v>40</v>
      </c>
    </row>
    <row r="15" spans="1:8" x14ac:dyDescent="0.2">
      <c r="A15" s="3">
        <v>3080104014</v>
      </c>
      <c r="B15" s="4" t="s">
        <v>45</v>
      </c>
      <c r="C15" s="4" t="s">
        <v>312</v>
      </c>
      <c r="D15" s="3">
        <v>2</v>
      </c>
      <c r="E15" s="3" t="s">
        <v>16</v>
      </c>
      <c r="F15" s="3" t="s">
        <v>293</v>
      </c>
      <c r="G15" s="3" t="s">
        <v>29</v>
      </c>
      <c r="H15" s="3" t="s">
        <v>40</v>
      </c>
    </row>
    <row r="16" spans="1:8" x14ac:dyDescent="0.2">
      <c r="A16" s="3">
        <v>3080104079</v>
      </c>
      <c r="B16" s="4" t="s">
        <v>45</v>
      </c>
      <c r="C16" s="4" t="s">
        <v>627</v>
      </c>
      <c r="D16" s="3">
        <v>4</v>
      </c>
      <c r="E16" s="3" t="s">
        <v>16</v>
      </c>
      <c r="F16" s="3" t="s">
        <v>291</v>
      </c>
      <c r="G16" s="3" t="s">
        <v>26</v>
      </c>
      <c r="H16" s="3" t="s">
        <v>40</v>
      </c>
    </row>
    <row r="17" spans="1:8" x14ac:dyDescent="0.2">
      <c r="A17" s="3">
        <v>3080104099</v>
      </c>
      <c r="B17" s="4" t="s">
        <v>45</v>
      </c>
      <c r="C17" s="4" t="s">
        <v>419</v>
      </c>
      <c r="D17" s="3">
        <v>2</v>
      </c>
      <c r="E17" s="3" t="s">
        <v>16</v>
      </c>
      <c r="F17" s="3" t="s">
        <v>291</v>
      </c>
      <c r="G17" s="3" t="s">
        <v>26</v>
      </c>
      <c r="H17" s="3" t="s">
        <v>40</v>
      </c>
    </row>
    <row r="18" spans="1:8" x14ac:dyDescent="0.2">
      <c r="A18" s="3">
        <v>3080105006</v>
      </c>
      <c r="B18" s="4" t="s">
        <v>50</v>
      </c>
      <c r="C18" s="4" t="s">
        <v>1157</v>
      </c>
      <c r="D18" s="3">
        <v>8</v>
      </c>
      <c r="E18" s="3" t="s">
        <v>16</v>
      </c>
      <c r="F18" s="3" t="s">
        <v>289</v>
      </c>
      <c r="G18" s="3" t="s">
        <v>23</v>
      </c>
      <c r="H18" s="3" t="s">
        <v>40</v>
      </c>
    </row>
    <row r="19" spans="1:8" x14ac:dyDescent="0.2">
      <c r="A19" s="3">
        <v>3080105014</v>
      </c>
      <c r="B19" s="4" t="s">
        <v>50</v>
      </c>
      <c r="C19" s="4" t="s">
        <v>1238</v>
      </c>
      <c r="D19" s="3">
        <v>2</v>
      </c>
      <c r="E19" s="3" t="s">
        <v>16</v>
      </c>
      <c r="F19" s="3" t="s">
        <v>289</v>
      </c>
      <c r="G19" s="3" t="s">
        <v>23</v>
      </c>
      <c r="H19" s="3" t="s">
        <v>40</v>
      </c>
    </row>
    <row r="20" spans="1:8" x14ac:dyDescent="0.2">
      <c r="A20" s="3">
        <v>3080105023</v>
      </c>
      <c r="B20" s="4" t="s">
        <v>50</v>
      </c>
      <c r="C20" s="4" t="s">
        <v>1159</v>
      </c>
      <c r="D20" s="3">
        <v>4</v>
      </c>
      <c r="E20" s="3" t="s">
        <v>16</v>
      </c>
      <c r="F20" s="3" t="s">
        <v>289</v>
      </c>
      <c r="G20" s="3" t="s">
        <v>23</v>
      </c>
      <c r="H20" s="3" t="s">
        <v>40</v>
      </c>
    </row>
    <row r="21" spans="1:8" x14ac:dyDescent="0.2">
      <c r="A21" s="3">
        <v>3080105007</v>
      </c>
      <c r="B21" s="4" t="s">
        <v>50</v>
      </c>
      <c r="C21" s="4" t="s">
        <v>52</v>
      </c>
      <c r="D21" s="3">
        <v>2</v>
      </c>
      <c r="E21" s="3" t="s">
        <v>16</v>
      </c>
      <c r="F21" s="3" t="s">
        <v>293</v>
      </c>
      <c r="G21" s="3" t="s">
        <v>29</v>
      </c>
      <c r="H21" s="3" t="s">
        <v>40</v>
      </c>
    </row>
    <row r="22" spans="1:8" x14ac:dyDescent="0.2">
      <c r="A22" s="3">
        <v>3080105068</v>
      </c>
      <c r="B22" s="4" t="s">
        <v>50</v>
      </c>
      <c r="C22" s="4" t="s">
        <v>314</v>
      </c>
      <c r="D22" s="3">
        <v>10</v>
      </c>
      <c r="E22" s="3" t="s">
        <v>16</v>
      </c>
      <c r="F22" s="3" t="s">
        <v>293</v>
      </c>
      <c r="G22" s="3" t="s">
        <v>29</v>
      </c>
      <c r="H22" s="3" t="s">
        <v>40</v>
      </c>
    </row>
    <row r="23" spans="1:8" x14ac:dyDescent="0.2">
      <c r="A23" s="3">
        <v>3080105033</v>
      </c>
      <c r="B23" s="4" t="s">
        <v>50</v>
      </c>
      <c r="C23" s="4" t="s">
        <v>628</v>
      </c>
      <c r="D23" s="3">
        <v>4</v>
      </c>
      <c r="E23" s="3" t="s">
        <v>16</v>
      </c>
      <c r="F23" s="3" t="s">
        <v>293</v>
      </c>
      <c r="G23" s="3" t="s">
        <v>29</v>
      </c>
      <c r="H23" s="3" t="s">
        <v>40</v>
      </c>
    </row>
    <row r="24" spans="1:8" x14ac:dyDescent="0.2">
      <c r="A24" s="3">
        <v>3080105040</v>
      </c>
      <c r="B24" s="4" t="s">
        <v>50</v>
      </c>
      <c r="C24" s="4" t="s">
        <v>421</v>
      </c>
      <c r="D24" s="3">
        <v>2</v>
      </c>
      <c r="E24" s="3" t="s">
        <v>16</v>
      </c>
      <c r="F24" s="3" t="s">
        <v>291</v>
      </c>
      <c r="G24" s="3" t="s">
        <v>26</v>
      </c>
      <c r="H24" s="3" t="s">
        <v>40</v>
      </c>
    </row>
    <row r="25" spans="1:8" x14ac:dyDescent="0.2">
      <c r="A25" s="3">
        <v>3080105043</v>
      </c>
      <c r="B25" s="4" t="s">
        <v>50</v>
      </c>
      <c r="C25" s="4" t="s">
        <v>629</v>
      </c>
      <c r="D25" s="3">
        <v>6</v>
      </c>
      <c r="E25" s="3" t="s">
        <v>16</v>
      </c>
      <c r="F25" s="3" t="s">
        <v>291</v>
      </c>
      <c r="G25" s="3" t="s">
        <v>26</v>
      </c>
      <c r="H25" s="3" t="s">
        <v>40</v>
      </c>
    </row>
    <row r="26" spans="1:8" x14ac:dyDescent="0.2">
      <c r="A26" s="3">
        <v>3080501013</v>
      </c>
      <c r="B26" s="4" t="s">
        <v>57</v>
      </c>
      <c r="C26" s="4" t="s">
        <v>58</v>
      </c>
      <c r="D26" s="3">
        <v>2</v>
      </c>
      <c r="E26" s="3" t="s">
        <v>16</v>
      </c>
      <c r="F26" s="3" t="s">
        <v>293</v>
      </c>
      <c r="G26" s="3" t="s">
        <v>29</v>
      </c>
      <c r="H26" s="3" t="s">
        <v>40</v>
      </c>
    </row>
    <row r="27" spans="1:8" x14ac:dyDescent="0.2">
      <c r="A27" s="3">
        <v>3080501003</v>
      </c>
      <c r="B27" s="4" t="s">
        <v>57</v>
      </c>
      <c r="C27" s="4" t="s">
        <v>630</v>
      </c>
      <c r="D27" s="3">
        <v>2</v>
      </c>
      <c r="E27" s="3" t="s">
        <v>16</v>
      </c>
      <c r="F27" s="3" t="s">
        <v>291</v>
      </c>
      <c r="G27" s="3" t="s">
        <v>26</v>
      </c>
      <c r="H27" s="3" t="s">
        <v>40</v>
      </c>
    </row>
    <row r="28" spans="1:8" x14ac:dyDescent="0.2">
      <c r="A28" s="3">
        <v>3080106015</v>
      </c>
      <c r="B28" s="4" t="s">
        <v>66</v>
      </c>
      <c r="C28" s="4" t="s">
        <v>631</v>
      </c>
      <c r="D28" s="3">
        <v>4</v>
      </c>
      <c r="E28" s="3" t="s">
        <v>16</v>
      </c>
      <c r="F28" s="3" t="s">
        <v>291</v>
      </c>
      <c r="G28" s="3" t="s">
        <v>26</v>
      </c>
      <c r="H28" s="3" t="s">
        <v>40</v>
      </c>
    </row>
    <row r="29" spans="1:8" x14ac:dyDescent="0.2">
      <c r="A29" s="3">
        <v>3080107271</v>
      </c>
      <c r="B29" s="4" t="s">
        <v>69</v>
      </c>
      <c r="C29" s="4" t="s">
        <v>1161</v>
      </c>
      <c r="D29" s="3">
        <v>2</v>
      </c>
      <c r="E29" s="3" t="s">
        <v>16</v>
      </c>
      <c r="F29" s="3" t="s">
        <v>289</v>
      </c>
      <c r="G29" s="3" t="s">
        <v>23</v>
      </c>
      <c r="H29" s="3" t="s">
        <v>40</v>
      </c>
    </row>
    <row r="30" spans="1:8" x14ac:dyDescent="0.2">
      <c r="A30" s="3">
        <v>3080107092</v>
      </c>
      <c r="B30" s="4" t="s">
        <v>69</v>
      </c>
      <c r="C30" s="4" t="s">
        <v>1162</v>
      </c>
      <c r="D30" s="3">
        <v>4</v>
      </c>
      <c r="E30" s="3" t="s">
        <v>16</v>
      </c>
      <c r="F30" s="3" t="s">
        <v>289</v>
      </c>
      <c r="G30" s="3" t="s">
        <v>23</v>
      </c>
      <c r="H30" s="3" t="s">
        <v>40</v>
      </c>
    </row>
    <row r="31" spans="1:8" x14ac:dyDescent="0.2">
      <c r="A31" s="3">
        <v>3080107014</v>
      </c>
      <c r="B31" s="4" t="s">
        <v>69</v>
      </c>
      <c r="C31" s="4" t="s">
        <v>322</v>
      </c>
      <c r="D31" s="3">
        <v>2</v>
      </c>
      <c r="E31" s="3" t="s">
        <v>16</v>
      </c>
      <c r="F31" s="3" t="s">
        <v>291</v>
      </c>
      <c r="G31" s="3" t="s">
        <v>26</v>
      </c>
      <c r="H31" s="3" t="s">
        <v>40</v>
      </c>
    </row>
    <row r="32" spans="1:8" x14ac:dyDescent="0.2">
      <c r="A32" s="3">
        <v>3080107072</v>
      </c>
      <c r="B32" s="4" t="s">
        <v>69</v>
      </c>
      <c r="C32" s="4" t="s">
        <v>435</v>
      </c>
      <c r="D32" s="3">
        <v>4</v>
      </c>
      <c r="E32" s="3" t="s">
        <v>16</v>
      </c>
      <c r="F32" s="3" t="s">
        <v>291</v>
      </c>
      <c r="G32" s="3" t="s">
        <v>26</v>
      </c>
      <c r="H32" s="3" t="s">
        <v>40</v>
      </c>
    </row>
    <row r="33" spans="1:8" x14ac:dyDescent="0.2">
      <c r="A33" s="3">
        <v>3080108052</v>
      </c>
      <c r="B33" s="4" t="s">
        <v>77</v>
      </c>
      <c r="C33" s="4" t="s">
        <v>1164</v>
      </c>
      <c r="D33" s="3">
        <v>1</v>
      </c>
      <c r="E33" s="3" t="s">
        <v>16</v>
      </c>
      <c r="F33" s="3" t="s">
        <v>289</v>
      </c>
      <c r="G33" s="3" t="s">
        <v>23</v>
      </c>
      <c r="H33" s="3" t="s">
        <v>40</v>
      </c>
    </row>
    <row r="34" spans="1:8" x14ac:dyDescent="0.2">
      <c r="A34" s="3">
        <v>3080101008</v>
      </c>
      <c r="B34" s="4" t="s">
        <v>77</v>
      </c>
      <c r="C34" s="4" t="s">
        <v>1165</v>
      </c>
      <c r="D34" s="3">
        <v>4</v>
      </c>
      <c r="E34" s="3" t="s">
        <v>16</v>
      </c>
      <c r="F34" s="3" t="s">
        <v>289</v>
      </c>
      <c r="G34" s="3" t="s">
        <v>23</v>
      </c>
      <c r="H34" s="3" t="s">
        <v>40</v>
      </c>
    </row>
    <row r="35" spans="1:8" x14ac:dyDescent="0.2">
      <c r="A35" s="3">
        <v>3080108040</v>
      </c>
      <c r="B35" s="4" t="s">
        <v>77</v>
      </c>
      <c r="C35" s="4" t="s">
        <v>1166</v>
      </c>
      <c r="D35" s="3">
        <v>2</v>
      </c>
      <c r="E35" s="3" t="s">
        <v>16</v>
      </c>
      <c r="F35" s="3" t="s">
        <v>289</v>
      </c>
      <c r="G35" s="3" t="s">
        <v>23</v>
      </c>
      <c r="H35" s="3" t="s">
        <v>40</v>
      </c>
    </row>
    <row r="36" spans="1:8" x14ac:dyDescent="0.2">
      <c r="A36" s="3">
        <v>3080110010</v>
      </c>
      <c r="B36" s="4" t="s">
        <v>632</v>
      </c>
      <c r="C36" s="4" t="s">
        <v>633</v>
      </c>
      <c r="D36" s="3">
        <v>2</v>
      </c>
      <c r="E36" s="3" t="s">
        <v>16</v>
      </c>
      <c r="F36" s="3" t="s">
        <v>291</v>
      </c>
      <c r="G36" s="3" t="s">
        <v>26</v>
      </c>
      <c r="H36" s="3" t="s">
        <v>40</v>
      </c>
    </row>
    <row r="37" spans="1:8" x14ac:dyDescent="0.2">
      <c r="A37" s="3">
        <v>3080111087</v>
      </c>
      <c r="B37" s="4" t="s">
        <v>79</v>
      </c>
      <c r="C37" s="4" t="s">
        <v>80</v>
      </c>
      <c r="D37" s="3">
        <v>15</v>
      </c>
      <c r="E37" s="3" t="s">
        <v>16</v>
      </c>
      <c r="F37" s="3" t="s">
        <v>291</v>
      </c>
      <c r="G37" s="3" t="s">
        <v>26</v>
      </c>
      <c r="H37" s="3" t="s">
        <v>40</v>
      </c>
    </row>
    <row r="38" spans="1:8" x14ac:dyDescent="0.2">
      <c r="A38" s="3">
        <v>3080111087</v>
      </c>
      <c r="B38" s="4" t="s">
        <v>79</v>
      </c>
      <c r="C38" s="4" t="s">
        <v>80</v>
      </c>
      <c r="D38" s="3">
        <v>1</v>
      </c>
      <c r="E38" s="3" t="s">
        <v>16</v>
      </c>
      <c r="F38" s="3" t="s">
        <v>291</v>
      </c>
      <c r="G38" s="3" t="s">
        <v>26</v>
      </c>
      <c r="H38" s="3" t="s">
        <v>40</v>
      </c>
    </row>
    <row r="39" spans="1:8" x14ac:dyDescent="0.2">
      <c r="A39" s="3">
        <v>3080111074</v>
      </c>
      <c r="B39" s="4" t="s">
        <v>79</v>
      </c>
      <c r="C39" s="4" t="s">
        <v>634</v>
      </c>
      <c r="D39" s="3">
        <v>4</v>
      </c>
      <c r="E39" s="3" t="s">
        <v>16</v>
      </c>
      <c r="F39" s="3" t="s">
        <v>291</v>
      </c>
      <c r="G39" s="3" t="s">
        <v>26</v>
      </c>
      <c r="H39" s="3" t="s">
        <v>40</v>
      </c>
    </row>
    <row r="40" spans="1:8" x14ac:dyDescent="0.2">
      <c r="A40" s="3">
        <v>407030075</v>
      </c>
      <c r="B40" s="4" t="s">
        <v>81</v>
      </c>
      <c r="C40" s="4" t="s">
        <v>635</v>
      </c>
      <c r="D40" s="3">
        <v>1</v>
      </c>
      <c r="E40" s="3" t="s">
        <v>16</v>
      </c>
      <c r="F40" s="3" t="s">
        <v>301</v>
      </c>
      <c r="G40" s="3" t="s">
        <v>32</v>
      </c>
      <c r="H40" s="3" t="s">
        <v>40</v>
      </c>
    </row>
    <row r="41" spans="1:8" x14ac:dyDescent="0.2">
      <c r="A41" s="3">
        <v>3030101051</v>
      </c>
      <c r="B41" s="4" t="s">
        <v>636</v>
      </c>
      <c r="C41" s="4" t="s">
        <v>637</v>
      </c>
      <c r="D41" s="3">
        <v>1</v>
      </c>
      <c r="E41" s="3" t="s">
        <v>16</v>
      </c>
      <c r="F41" s="3" t="s">
        <v>291</v>
      </c>
      <c r="G41" s="3" t="s">
        <v>26</v>
      </c>
      <c r="H41" s="3" t="s">
        <v>88</v>
      </c>
    </row>
    <row r="42" spans="1:8" x14ac:dyDescent="0.2">
      <c r="A42" s="3">
        <v>3099991105</v>
      </c>
      <c r="B42" s="4" t="s">
        <v>1169</v>
      </c>
      <c r="C42" s="4" t="s">
        <v>1170</v>
      </c>
      <c r="D42" s="3">
        <v>1</v>
      </c>
      <c r="E42" s="3" t="s">
        <v>16</v>
      </c>
      <c r="F42" s="3" t="s">
        <v>299</v>
      </c>
      <c r="G42" s="3" t="s">
        <v>106</v>
      </c>
      <c r="H42" s="3" t="s">
        <v>103</v>
      </c>
    </row>
    <row r="43" spans="1:8" x14ac:dyDescent="0.2">
      <c r="A43" s="3">
        <v>3099990110</v>
      </c>
      <c r="B43" s="4" t="s">
        <v>104</v>
      </c>
      <c r="C43" s="4" t="s">
        <v>1170</v>
      </c>
      <c r="D43" s="3">
        <v>1</v>
      </c>
      <c r="E43" s="3" t="s">
        <v>16</v>
      </c>
      <c r="F43" s="3" t="s">
        <v>299</v>
      </c>
      <c r="G43" s="3" t="s">
        <v>106</v>
      </c>
      <c r="H43" s="3" t="s">
        <v>103</v>
      </c>
    </row>
    <row r="44" spans="1:8" x14ac:dyDescent="0.2">
      <c r="A44" s="3">
        <v>402030019</v>
      </c>
      <c r="B44" s="4" t="s">
        <v>107</v>
      </c>
      <c r="C44" s="4" t="s">
        <v>638</v>
      </c>
      <c r="D44" s="3">
        <v>2</v>
      </c>
      <c r="E44" s="3" t="s">
        <v>16</v>
      </c>
      <c r="F44" s="3" t="s">
        <v>293</v>
      </c>
      <c r="G44" s="3" t="s">
        <v>29</v>
      </c>
      <c r="H44" s="3" t="s">
        <v>109</v>
      </c>
    </row>
    <row r="45" spans="1:8" x14ac:dyDescent="0.2">
      <c r="A45" s="3">
        <v>402030027</v>
      </c>
      <c r="B45" s="4" t="s">
        <v>107</v>
      </c>
      <c r="C45" s="4" t="s">
        <v>110</v>
      </c>
      <c r="D45" s="3">
        <v>1</v>
      </c>
      <c r="E45" s="3" t="s">
        <v>16</v>
      </c>
      <c r="F45" s="3" t="s">
        <v>291</v>
      </c>
      <c r="G45" s="3" t="s">
        <v>26</v>
      </c>
      <c r="H45" s="3" t="s">
        <v>109</v>
      </c>
    </row>
    <row r="46" spans="1:8" x14ac:dyDescent="0.2">
      <c r="A46" s="3">
        <v>3060209002</v>
      </c>
      <c r="B46" s="4" t="s">
        <v>113</v>
      </c>
      <c r="C46" s="4" t="s">
        <v>114</v>
      </c>
      <c r="D46" s="3">
        <v>2</v>
      </c>
      <c r="E46" s="3" t="s">
        <v>16</v>
      </c>
      <c r="F46" s="3" t="s">
        <v>289</v>
      </c>
      <c r="G46" s="3" t="s">
        <v>23</v>
      </c>
      <c r="H46" s="3" t="s">
        <v>115</v>
      </c>
    </row>
    <row r="47" spans="1:8" x14ac:dyDescent="0.2">
      <c r="A47" s="3">
        <v>3040113002</v>
      </c>
      <c r="B47" s="4" t="s">
        <v>118</v>
      </c>
      <c r="C47" s="4" t="s">
        <v>119</v>
      </c>
      <c r="D47" s="3">
        <v>2</v>
      </c>
      <c r="E47" s="3" t="s">
        <v>16</v>
      </c>
      <c r="F47" s="3" t="s">
        <v>293</v>
      </c>
      <c r="G47" s="3" t="s">
        <v>29</v>
      </c>
      <c r="H47" s="3" t="s">
        <v>115</v>
      </c>
    </row>
    <row r="48" spans="1:8" x14ac:dyDescent="0.2">
      <c r="A48" s="3">
        <v>3040216001</v>
      </c>
      <c r="B48" s="4" t="s">
        <v>328</v>
      </c>
      <c r="C48" s="4" t="s">
        <v>329</v>
      </c>
      <c r="D48" s="3">
        <v>4</v>
      </c>
      <c r="E48" s="3" t="s">
        <v>16</v>
      </c>
      <c r="F48" s="3" t="s">
        <v>293</v>
      </c>
      <c r="G48" s="3" t="s">
        <v>29</v>
      </c>
      <c r="H48" s="3" t="s">
        <v>115</v>
      </c>
    </row>
    <row r="49" spans="1:8" x14ac:dyDescent="0.2">
      <c r="A49" s="3">
        <v>3050203003</v>
      </c>
      <c r="B49" s="4" t="s">
        <v>120</v>
      </c>
      <c r="C49" s="4" t="s">
        <v>457</v>
      </c>
      <c r="D49" s="3">
        <v>2</v>
      </c>
      <c r="E49" s="3" t="s">
        <v>16</v>
      </c>
      <c r="F49" s="3" t="s">
        <v>291</v>
      </c>
      <c r="G49" s="3" t="s">
        <v>26</v>
      </c>
      <c r="H49" s="3" t="s">
        <v>115</v>
      </c>
    </row>
    <row r="50" spans="1:8" x14ac:dyDescent="0.2">
      <c r="A50" s="3">
        <v>3030204008</v>
      </c>
      <c r="B50" s="4" t="s">
        <v>122</v>
      </c>
      <c r="C50" s="4" t="s">
        <v>123</v>
      </c>
      <c r="D50" s="3">
        <v>1</v>
      </c>
      <c r="E50" s="3" t="s">
        <v>16</v>
      </c>
      <c r="F50" s="3" t="s">
        <v>291</v>
      </c>
      <c r="G50" s="3" t="s">
        <v>26</v>
      </c>
      <c r="H50" s="3" t="s">
        <v>115</v>
      </c>
    </row>
    <row r="51" spans="1:8" x14ac:dyDescent="0.2">
      <c r="A51" s="3">
        <v>401040438</v>
      </c>
      <c r="B51" s="4" t="s">
        <v>35</v>
      </c>
      <c r="C51" s="4" t="s">
        <v>639</v>
      </c>
      <c r="D51" s="3">
        <v>1</v>
      </c>
      <c r="E51" s="3" t="s">
        <v>16</v>
      </c>
      <c r="F51" s="3" t="s">
        <v>291</v>
      </c>
      <c r="G51" s="3" t="s">
        <v>26</v>
      </c>
      <c r="H51" s="3" t="s">
        <v>134</v>
      </c>
    </row>
    <row r="52" spans="1:8" x14ac:dyDescent="0.2">
      <c r="A52" s="3">
        <v>3110207001</v>
      </c>
      <c r="B52" s="4" t="s">
        <v>140</v>
      </c>
      <c r="C52" s="4" t="s">
        <v>1173</v>
      </c>
      <c r="D52" s="3">
        <v>1</v>
      </c>
      <c r="E52" s="3" t="s">
        <v>16</v>
      </c>
      <c r="F52" s="3" t="s">
        <v>285</v>
      </c>
      <c r="G52" s="3" t="s">
        <v>142</v>
      </c>
      <c r="H52" s="3" t="s">
        <v>143</v>
      </c>
    </row>
    <row r="53" spans="1:8" x14ac:dyDescent="0.2">
      <c r="A53" s="3">
        <v>3030301005</v>
      </c>
      <c r="B53" s="4" t="s">
        <v>144</v>
      </c>
      <c r="C53" s="4" t="s">
        <v>145</v>
      </c>
      <c r="D53" s="3">
        <v>2</v>
      </c>
      <c r="E53" s="3" t="s">
        <v>16</v>
      </c>
      <c r="F53" s="3" t="s">
        <v>291</v>
      </c>
      <c r="G53" s="3" t="s">
        <v>26</v>
      </c>
      <c r="H53" s="3" t="s">
        <v>143</v>
      </c>
    </row>
    <row r="54" spans="1:8" x14ac:dyDescent="0.2">
      <c r="A54" s="3">
        <v>3110206001</v>
      </c>
      <c r="B54" s="4" t="s">
        <v>715</v>
      </c>
      <c r="C54" s="4" t="s">
        <v>1175</v>
      </c>
      <c r="D54" s="3">
        <v>1</v>
      </c>
      <c r="E54" s="3" t="s">
        <v>16</v>
      </c>
      <c r="F54" s="3" t="s">
        <v>285</v>
      </c>
      <c r="G54" s="3" t="s">
        <v>142</v>
      </c>
      <c r="H54" s="3" t="s">
        <v>143</v>
      </c>
    </row>
    <row r="55" spans="1:8" x14ac:dyDescent="0.2">
      <c r="A55" s="3">
        <v>3990205003</v>
      </c>
      <c r="B55" s="4" t="s">
        <v>146</v>
      </c>
      <c r="C55" s="4" t="s">
        <v>460</v>
      </c>
      <c r="D55" s="3">
        <v>1</v>
      </c>
      <c r="E55" s="3" t="s">
        <v>16</v>
      </c>
      <c r="F55" s="3" t="s">
        <v>287</v>
      </c>
      <c r="G55" s="3" t="s">
        <v>148</v>
      </c>
      <c r="H55" s="3" t="s">
        <v>143</v>
      </c>
    </row>
    <row r="56" spans="1:8" x14ac:dyDescent="0.2">
      <c r="A56" s="3">
        <v>3060204002</v>
      </c>
      <c r="B56" s="4" t="s">
        <v>1176</v>
      </c>
      <c r="C56" s="4" t="s">
        <v>1177</v>
      </c>
      <c r="D56" s="3">
        <v>1</v>
      </c>
      <c r="E56" s="3" t="s">
        <v>16</v>
      </c>
      <c r="F56" s="3" t="s">
        <v>289</v>
      </c>
      <c r="G56" s="3" t="s">
        <v>23</v>
      </c>
      <c r="H56" s="3" t="s">
        <v>154</v>
      </c>
    </row>
    <row r="57" spans="1:8" x14ac:dyDescent="0.2">
      <c r="A57" s="3">
        <v>3060206002</v>
      </c>
      <c r="B57" s="4" t="s">
        <v>1178</v>
      </c>
      <c r="C57" s="4" t="s">
        <v>1179</v>
      </c>
      <c r="D57" s="3">
        <v>1</v>
      </c>
      <c r="E57" s="3" t="s">
        <v>16</v>
      </c>
      <c r="F57" s="3" t="s">
        <v>289</v>
      </c>
      <c r="G57" s="3" t="s">
        <v>23</v>
      </c>
      <c r="H57" s="3" t="s">
        <v>154</v>
      </c>
    </row>
    <row r="58" spans="1:8" x14ac:dyDescent="0.2">
      <c r="A58" s="3">
        <v>3060211003</v>
      </c>
      <c r="B58" s="4" t="s">
        <v>1180</v>
      </c>
      <c r="C58" s="4" t="s">
        <v>1181</v>
      </c>
      <c r="D58" s="3">
        <v>1</v>
      </c>
      <c r="E58" s="3" t="s">
        <v>16</v>
      </c>
      <c r="F58" s="3" t="s">
        <v>289</v>
      </c>
      <c r="G58" s="3" t="s">
        <v>23</v>
      </c>
      <c r="H58" s="3" t="s">
        <v>154</v>
      </c>
    </row>
    <row r="59" spans="1:8" x14ac:dyDescent="0.2">
      <c r="A59" s="3">
        <v>3050206006</v>
      </c>
      <c r="B59" s="4" t="s">
        <v>640</v>
      </c>
      <c r="C59" s="4" t="s">
        <v>641</v>
      </c>
      <c r="D59" s="3">
        <v>1</v>
      </c>
      <c r="E59" s="3" t="s">
        <v>16</v>
      </c>
      <c r="F59" s="3" t="s">
        <v>291</v>
      </c>
      <c r="G59" s="3" t="s">
        <v>26</v>
      </c>
      <c r="H59" s="3" t="s">
        <v>154</v>
      </c>
    </row>
    <row r="60" spans="1:8" x14ac:dyDescent="0.2">
      <c r="A60" s="3">
        <v>3060328001</v>
      </c>
      <c r="B60" s="4" t="s">
        <v>1182</v>
      </c>
      <c r="C60" s="4" t="s">
        <v>1183</v>
      </c>
      <c r="D60" s="3">
        <v>1</v>
      </c>
      <c r="E60" s="3" t="s">
        <v>16</v>
      </c>
      <c r="F60" s="3" t="s">
        <v>289</v>
      </c>
      <c r="G60" s="3" t="s">
        <v>23</v>
      </c>
      <c r="H60" s="3" t="s">
        <v>165</v>
      </c>
    </row>
    <row r="61" spans="1:8" x14ac:dyDescent="0.2">
      <c r="A61" s="3">
        <v>3060328002</v>
      </c>
      <c r="B61" s="4" t="s">
        <v>1182</v>
      </c>
      <c r="C61" s="4" t="s">
        <v>1184</v>
      </c>
      <c r="D61" s="3">
        <v>1</v>
      </c>
      <c r="E61" s="3" t="s">
        <v>16</v>
      </c>
      <c r="F61" s="3" t="s">
        <v>289</v>
      </c>
      <c r="G61" s="3" t="s">
        <v>23</v>
      </c>
      <c r="H61" s="3" t="s">
        <v>165</v>
      </c>
    </row>
    <row r="62" spans="1:8" x14ac:dyDescent="0.2">
      <c r="A62" s="3">
        <v>3110103002</v>
      </c>
      <c r="B62" s="4" t="s">
        <v>473</v>
      </c>
      <c r="C62" s="4" t="s">
        <v>474</v>
      </c>
      <c r="D62" s="3">
        <v>1</v>
      </c>
      <c r="E62" s="3" t="s">
        <v>16</v>
      </c>
      <c r="F62" s="3" t="s">
        <v>291</v>
      </c>
      <c r="G62" s="3" t="s">
        <v>26</v>
      </c>
      <c r="H62" s="3" t="s">
        <v>165</v>
      </c>
    </row>
    <row r="63" spans="1:8" x14ac:dyDescent="0.2">
      <c r="A63" s="3">
        <v>3030314007</v>
      </c>
      <c r="B63" s="4" t="s">
        <v>477</v>
      </c>
      <c r="C63" s="4" t="s">
        <v>478</v>
      </c>
      <c r="D63" s="3">
        <v>1</v>
      </c>
      <c r="E63" s="3" t="s">
        <v>16</v>
      </c>
      <c r="F63" s="3" t="s">
        <v>291</v>
      </c>
      <c r="G63" s="3" t="s">
        <v>26</v>
      </c>
      <c r="H63" s="3" t="s">
        <v>165</v>
      </c>
    </row>
    <row r="64" spans="1:8" x14ac:dyDescent="0.2">
      <c r="A64" s="3">
        <v>3030308013</v>
      </c>
      <c r="B64" s="4" t="s">
        <v>479</v>
      </c>
      <c r="C64" s="4" t="s">
        <v>478</v>
      </c>
      <c r="D64" s="3">
        <v>1</v>
      </c>
      <c r="E64" s="3" t="s">
        <v>16</v>
      </c>
      <c r="F64" s="3" t="s">
        <v>291</v>
      </c>
      <c r="G64" s="3" t="s">
        <v>26</v>
      </c>
      <c r="H64" s="3" t="s">
        <v>165</v>
      </c>
    </row>
    <row r="65" spans="1:8" x14ac:dyDescent="0.2">
      <c r="A65" s="3">
        <v>3060304005</v>
      </c>
      <c r="B65" s="4" t="s">
        <v>1194</v>
      </c>
      <c r="C65" s="4" t="s">
        <v>1196</v>
      </c>
      <c r="D65" s="3">
        <v>3</v>
      </c>
      <c r="E65" s="3" t="s">
        <v>16</v>
      </c>
      <c r="F65" s="3" t="s">
        <v>289</v>
      </c>
      <c r="G65" s="3" t="s">
        <v>23</v>
      </c>
      <c r="H65" s="3" t="s">
        <v>173</v>
      </c>
    </row>
    <row r="66" spans="1:8" x14ac:dyDescent="0.2">
      <c r="A66" s="3">
        <v>3040309001</v>
      </c>
      <c r="B66" s="4" t="s">
        <v>346</v>
      </c>
      <c r="C66" s="4" t="s">
        <v>347</v>
      </c>
      <c r="D66" s="3">
        <v>8</v>
      </c>
      <c r="E66" s="3" t="s">
        <v>16</v>
      </c>
      <c r="F66" s="3" t="s">
        <v>293</v>
      </c>
      <c r="G66" s="3" t="s">
        <v>29</v>
      </c>
      <c r="H66" s="3" t="s">
        <v>173</v>
      </c>
    </row>
    <row r="67" spans="1:8" x14ac:dyDescent="0.2">
      <c r="A67" s="3">
        <v>3050304007</v>
      </c>
      <c r="B67" s="4" t="s">
        <v>181</v>
      </c>
      <c r="C67" s="4" t="s">
        <v>1198</v>
      </c>
      <c r="D67" s="3">
        <v>1</v>
      </c>
      <c r="E67" s="3" t="s">
        <v>16</v>
      </c>
      <c r="F67" s="3" t="s">
        <v>291</v>
      </c>
      <c r="G67" s="3" t="s">
        <v>26</v>
      </c>
      <c r="H67" s="3" t="s">
        <v>173</v>
      </c>
    </row>
    <row r="68" spans="1:8" x14ac:dyDescent="0.2">
      <c r="A68" s="3">
        <v>3020502014</v>
      </c>
      <c r="B68" s="4" t="s">
        <v>183</v>
      </c>
      <c r="C68" s="4" t="s">
        <v>1307</v>
      </c>
      <c r="D68" s="3">
        <v>1</v>
      </c>
      <c r="E68" s="3" t="s">
        <v>16</v>
      </c>
      <c r="F68" s="3" t="s">
        <v>291</v>
      </c>
      <c r="G68" s="3" t="s">
        <v>26</v>
      </c>
      <c r="H68" s="3" t="s">
        <v>185</v>
      </c>
    </row>
    <row r="69" spans="1:8" x14ac:dyDescent="0.2">
      <c r="A69" s="3">
        <v>3110203003</v>
      </c>
      <c r="B69" s="4" t="s">
        <v>189</v>
      </c>
      <c r="C69" s="4" t="s">
        <v>643</v>
      </c>
      <c r="D69" s="3">
        <v>1</v>
      </c>
      <c r="E69" s="3" t="s">
        <v>16</v>
      </c>
      <c r="F69" s="3" t="s">
        <v>291</v>
      </c>
      <c r="G69" s="3" t="s">
        <v>26</v>
      </c>
      <c r="H69" s="3" t="s">
        <v>187</v>
      </c>
    </row>
    <row r="70" spans="1:8" x14ac:dyDescent="0.2">
      <c r="A70" s="3">
        <v>403030054</v>
      </c>
      <c r="B70" s="4" t="s">
        <v>801</v>
      </c>
      <c r="C70" s="4" t="s">
        <v>1205</v>
      </c>
      <c r="D70" s="3">
        <v>1</v>
      </c>
      <c r="E70" s="3" t="s">
        <v>16</v>
      </c>
      <c r="F70" s="3" t="s">
        <v>301</v>
      </c>
      <c r="G70" s="3" t="s">
        <v>32</v>
      </c>
      <c r="H70" s="3" t="s">
        <v>198</v>
      </c>
    </row>
    <row r="71" spans="1:8" x14ac:dyDescent="0.2">
      <c r="A71" s="3">
        <v>401040473</v>
      </c>
      <c r="B71" s="4" t="s">
        <v>35</v>
      </c>
      <c r="C71" s="4" t="s">
        <v>645</v>
      </c>
      <c r="D71" s="3">
        <v>1</v>
      </c>
      <c r="E71" s="3" t="s">
        <v>16</v>
      </c>
      <c r="F71" s="3" t="s">
        <v>293</v>
      </c>
      <c r="G71" s="3" t="s">
        <v>29</v>
      </c>
      <c r="H71" s="3" t="s">
        <v>198</v>
      </c>
    </row>
    <row r="72" spans="1:8" x14ac:dyDescent="0.2">
      <c r="A72" s="3">
        <v>401070022</v>
      </c>
      <c r="B72" s="4" t="s">
        <v>35</v>
      </c>
      <c r="C72" s="4" t="s">
        <v>203</v>
      </c>
      <c r="D72" s="3">
        <v>1</v>
      </c>
      <c r="E72" s="3" t="s">
        <v>16</v>
      </c>
      <c r="F72" s="3" t="s">
        <v>297</v>
      </c>
      <c r="G72" s="3" t="s">
        <v>204</v>
      </c>
      <c r="H72" s="3" t="s">
        <v>198</v>
      </c>
    </row>
    <row r="73" spans="1:8" x14ac:dyDescent="0.2">
      <c r="A73" s="3">
        <v>401070018</v>
      </c>
      <c r="B73" s="4" t="s">
        <v>35</v>
      </c>
      <c r="C73" s="4" t="s">
        <v>202</v>
      </c>
      <c r="D73" s="3">
        <v>1</v>
      </c>
      <c r="E73" s="3" t="s">
        <v>16</v>
      </c>
      <c r="F73" s="3" t="s">
        <v>291</v>
      </c>
      <c r="G73" s="3" t="s">
        <v>26</v>
      </c>
      <c r="H73" s="3" t="s">
        <v>198</v>
      </c>
    </row>
    <row r="74" spans="1:8" x14ac:dyDescent="0.2">
      <c r="A74" s="3">
        <v>3020302016</v>
      </c>
      <c r="B74" s="4" t="s">
        <v>209</v>
      </c>
      <c r="C74" s="4" t="s">
        <v>1308</v>
      </c>
      <c r="D74" s="3">
        <v>1</v>
      </c>
      <c r="E74" s="3" t="s">
        <v>16</v>
      </c>
      <c r="F74" s="3" t="s">
        <v>301</v>
      </c>
      <c r="G74" s="3" t="s">
        <v>32</v>
      </c>
      <c r="H74" s="3" t="s">
        <v>211</v>
      </c>
    </row>
    <row r="75" spans="1:8" x14ac:dyDescent="0.2">
      <c r="A75" s="3">
        <v>3049904001</v>
      </c>
      <c r="B75" s="4" t="s">
        <v>354</v>
      </c>
      <c r="C75" s="4" t="s">
        <v>355</v>
      </c>
      <c r="D75" s="3">
        <v>4</v>
      </c>
      <c r="E75" s="3" t="s">
        <v>16</v>
      </c>
      <c r="F75" s="3" t="s">
        <v>293</v>
      </c>
      <c r="G75" s="3" t="s">
        <v>29</v>
      </c>
      <c r="H75" s="3" t="s">
        <v>214</v>
      </c>
    </row>
    <row r="76" spans="1:8" x14ac:dyDescent="0.2">
      <c r="A76" s="3">
        <v>3049902012</v>
      </c>
      <c r="B76" s="4" t="s">
        <v>518</v>
      </c>
      <c r="C76" s="4" t="s">
        <v>646</v>
      </c>
      <c r="D76" s="3">
        <v>2</v>
      </c>
      <c r="E76" s="3" t="s">
        <v>16</v>
      </c>
      <c r="F76" s="3" t="s">
        <v>293</v>
      </c>
      <c r="G76" s="3" t="s">
        <v>29</v>
      </c>
      <c r="H76" s="3" t="s">
        <v>214</v>
      </c>
    </row>
    <row r="77" spans="1:8" x14ac:dyDescent="0.2">
      <c r="A77" s="3">
        <v>3049902005</v>
      </c>
      <c r="B77" s="4" t="s">
        <v>356</v>
      </c>
      <c r="C77" s="4" t="s">
        <v>357</v>
      </c>
      <c r="D77" s="3">
        <v>2</v>
      </c>
      <c r="E77" s="3" t="s">
        <v>16</v>
      </c>
      <c r="F77" s="3" t="s">
        <v>293</v>
      </c>
      <c r="G77" s="3" t="s">
        <v>29</v>
      </c>
      <c r="H77" s="3" t="s">
        <v>214</v>
      </c>
    </row>
    <row r="78" spans="1:8" x14ac:dyDescent="0.2">
      <c r="A78" s="3">
        <v>4081200011</v>
      </c>
      <c r="B78" s="4" t="s">
        <v>525</v>
      </c>
      <c r="C78" s="4" t="s">
        <v>1246</v>
      </c>
      <c r="D78" s="3">
        <v>2</v>
      </c>
      <c r="E78" s="3" t="s">
        <v>16</v>
      </c>
      <c r="F78" s="3" t="s">
        <v>289</v>
      </c>
      <c r="G78" s="3" t="s">
        <v>23</v>
      </c>
      <c r="H78" s="3" t="s">
        <v>524</v>
      </c>
    </row>
    <row r="79" spans="1:8" x14ac:dyDescent="0.2">
      <c r="A79" s="3">
        <v>408120032</v>
      </c>
      <c r="B79" s="4" t="s">
        <v>525</v>
      </c>
      <c r="C79" s="4" t="s">
        <v>1210</v>
      </c>
      <c r="D79" s="3">
        <v>23</v>
      </c>
      <c r="E79" s="3" t="s">
        <v>16</v>
      </c>
      <c r="F79" s="3" t="s">
        <v>289</v>
      </c>
      <c r="G79" s="3" t="s">
        <v>23</v>
      </c>
      <c r="H79" s="3" t="s">
        <v>524</v>
      </c>
    </row>
    <row r="80" spans="1:8" x14ac:dyDescent="0.2">
      <c r="A80" s="3">
        <v>408120038</v>
      </c>
      <c r="B80" s="4" t="s">
        <v>525</v>
      </c>
      <c r="C80" s="4" t="s">
        <v>1247</v>
      </c>
      <c r="D80" s="3">
        <v>1</v>
      </c>
      <c r="E80" s="3" t="s">
        <v>16</v>
      </c>
      <c r="F80" s="3" t="s">
        <v>289</v>
      </c>
      <c r="G80" s="3" t="s">
        <v>23</v>
      </c>
      <c r="H80" s="3" t="s">
        <v>524</v>
      </c>
    </row>
    <row r="81" spans="1:8" x14ac:dyDescent="0.2">
      <c r="A81" s="3">
        <v>407010188</v>
      </c>
      <c r="B81" s="4" t="s">
        <v>149</v>
      </c>
      <c r="C81" s="4" t="s">
        <v>1309</v>
      </c>
      <c r="D81" s="3">
        <v>1</v>
      </c>
      <c r="E81" s="3" t="s">
        <v>16</v>
      </c>
      <c r="F81" s="3" t="s">
        <v>289</v>
      </c>
      <c r="G81" s="3" t="s">
        <v>23</v>
      </c>
      <c r="H81" s="3" t="s">
        <v>524</v>
      </c>
    </row>
    <row r="82" spans="1:8" x14ac:dyDescent="0.2">
      <c r="A82" s="3">
        <v>3040502063</v>
      </c>
      <c r="B82" s="4" t="s">
        <v>136</v>
      </c>
      <c r="C82" s="4" t="s">
        <v>648</v>
      </c>
      <c r="D82" s="3">
        <v>2</v>
      </c>
      <c r="E82" s="3" t="s">
        <v>16</v>
      </c>
      <c r="F82" s="3" t="s">
        <v>293</v>
      </c>
      <c r="G82" s="3" t="s">
        <v>29</v>
      </c>
      <c r="H82" s="3" t="s">
        <v>370</v>
      </c>
    </row>
    <row r="83" spans="1:8" x14ac:dyDescent="0.2">
      <c r="A83" s="3">
        <v>3060501014</v>
      </c>
      <c r="B83" s="4" t="s">
        <v>224</v>
      </c>
      <c r="C83" s="4" t="s">
        <v>1310</v>
      </c>
      <c r="D83" s="3">
        <v>1</v>
      </c>
      <c r="E83" s="3" t="s">
        <v>16</v>
      </c>
      <c r="F83" s="3" t="s">
        <v>289</v>
      </c>
      <c r="G83" s="3" t="s">
        <v>23</v>
      </c>
      <c r="H83" s="3" t="s">
        <v>226</v>
      </c>
    </row>
    <row r="84" spans="1:8" x14ac:dyDescent="0.2">
      <c r="A84" s="3">
        <v>3060350003</v>
      </c>
      <c r="B84" s="4" t="s">
        <v>1215</v>
      </c>
      <c r="C84" s="4" t="s">
        <v>1216</v>
      </c>
      <c r="D84" s="3">
        <v>1</v>
      </c>
      <c r="E84" s="3" t="s">
        <v>16</v>
      </c>
      <c r="F84" s="3" t="s">
        <v>289</v>
      </c>
      <c r="G84" s="3" t="s">
        <v>23</v>
      </c>
      <c r="H84" s="3" t="s">
        <v>226</v>
      </c>
    </row>
    <row r="85" spans="1:8" x14ac:dyDescent="0.2">
      <c r="A85" s="3">
        <v>3060353006</v>
      </c>
      <c r="B85" s="4" t="s">
        <v>1217</v>
      </c>
      <c r="C85" s="4" t="s">
        <v>1232</v>
      </c>
      <c r="D85" s="3">
        <v>1</v>
      </c>
      <c r="E85" s="3" t="s">
        <v>16</v>
      </c>
      <c r="F85" s="3" t="s">
        <v>289</v>
      </c>
      <c r="G85" s="3" t="s">
        <v>23</v>
      </c>
      <c r="H85" s="3" t="s">
        <v>226</v>
      </c>
    </row>
    <row r="86" spans="1:8" x14ac:dyDescent="0.2">
      <c r="A86" s="3">
        <v>3060324003</v>
      </c>
      <c r="B86" s="4" t="s">
        <v>1185</v>
      </c>
      <c r="C86" s="4" t="s">
        <v>1249</v>
      </c>
      <c r="D86" s="3">
        <v>1</v>
      </c>
      <c r="E86" s="3" t="s">
        <v>16</v>
      </c>
      <c r="F86" s="3" t="s">
        <v>289</v>
      </c>
      <c r="G86" s="3" t="s">
        <v>23</v>
      </c>
      <c r="H86" s="3" t="s">
        <v>226</v>
      </c>
    </row>
    <row r="87" spans="1:8" x14ac:dyDescent="0.2">
      <c r="A87" s="3">
        <v>3060404053</v>
      </c>
      <c r="B87" s="4" t="s">
        <v>729</v>
      </c>
      <c r="C87" s="4" t="s">
        <v>1250</v>
      </c>
      <c r="D87" s="3">
        <v>1</v>
      </c>
      <c r="E87" s="3" t="s">
        <v>16</v>
      </c>
      <c r="F87" s="3" t="s">
        <v>289</v>
      </c>
      <c r="G87" s="3" t="s">
        <v>23</v>
      </c>
      <c r="H87" s="3" t="s">
        <v>226</v>
      </c>
    </row>
    <row r="88" spans="1:8" x14ac:dyDescent="0.2">
      <c r="A88" s="3">
        <v>3060316002</v>
      </c>
      <c r="B88" s="4" t="s">
        <v>1219</v>
      </c>
      <c r="C88" s="4" t="s">
        <v>1251</v>
      </c>
      <c r="D88" s="3">
        <v>1</v>
      </c>
      <c r="E88" s="3" t="s">
        <v>16</v>
      </c>
      <c r="F88" s="3" t="s">
        <v>289</v>
      </c>
      <c r="G88" s="3" t="s">
        <v>23</v>
      </c>
      <c r="H88" s="3" t="s">
        <v>226</v>
      </c>
    </row>
    <row r="89" spans="1:8" x14ac:dyDescent="0.2">
      <c r="A89" s="3">
        <v>3060313007</v>
      </c>
      <c r="B89" s="4" t="s">
        <v>1188</v>
      </c>
      <c r="C89" s="4" t="s">
        <v>1252</v>
      </c>
      <c r="D89" s="3">
        <v>1</v>
      </c>
      <c r="E89" s="3" t="s">
        <v>16</v>
      </c>
      <c r="F89" s="3" t="s">
        <v>289</v>
      </c>
      <c r="G89" s="3" t="s">
        <v>23</v>
      </c>
      <c r="H89" s="3" t="s">
        <v>226</v>
      </c>
    </row>
    <row r="90" spans="1:8" x14ac:dyDescent="0.2">
      <c r="A90" s="3">
        <v>3050305016</v>
      </c>
      <c r="B90" s="4" t="s">
        <v>527</v>
      </c>
      <c r="C90" s="4" t="s">
        <v>528</v>
      </c>
      <c r="D90" s="3">
        <v>1</v>
      </c>
      <c r="E90" s="3" t="s">
        <v>16</v>
      </c>
      <c r="F90" s="3" t="s">
        <v>291</v>
      </c>
      <c r="G90" s="3" t="s">
        <v>26</v>
      </c>
      <c r="H90" s="3" t="s">
        <v>226</v>
      </c>
    </row>
    <row r="91" spans="1:8" x14ac:dyDescent="0.2">
      <c r="A91" s="3">
        <v>3050305015</v>
      </c>
      <c r="B91" s="4" t="s">
        <v>529</v>
      </c>
      <c r="C91" s="4" t="s">
        <v>530</v>
      </c>
      <c r="D91" s="3">
        <v>1</v>
      </c>
      <c r="E91" s="3" t="s">
        <v>16</v>
      </c>
      <c r="F91" s="3" t="s">
        <v>291</v>
      </c>
      <c r="G91" s="3" t="s">
        <v>26</v>
      </c>
      <c r="H91" s="3" t="s">
        <v>226</v>
      </c>
    </row>
    <row r="92" spans="1:8" x14ac:dyDescent="0.2">
      <c r="A92" s="3">
        <v>3050306011</v>
      </c>
      <c r="B92" s="4" t="s">
        <v>531</v>
      </c>
      <c r="C92" s="4" t="s">
        <v>609</v>
      </c>
      <c r="D92" s="3">
        <v>1</v>
      </c>
      <c r="E92" s="3" t="s">
        <v>16</v>
      </c>
      <c r="F92" s="3" t="s">
        <v>291</v>
      </c>
      <c r="G92" s="3" t="s">
        <v>26</v>
      </c>
      <c r="H92" s="3" t="s">
        <v>226</v>
      </c>
    </row>
    <row r="93" spans="1:8" x14ac:dyDescent="0.2">
      <c r="A93" s="3">
        <v>3030303046</v>
      </c>
      <c r="B93" s="4" t="s">
        <v>649</v>
      </c>
      <c r="C93" s="4" t="s">
        <v>650</v>
      </c>
      <c r="D93" s="3">
        <v>1</v>
      </c>
      <c r="E93" s="3" t="s">
        <v>16</v>
      </c>
      <c r="F93" s="3" t="s">
        <v>291</v>
      </c>
      <c r="G93" s="3" t="s">
        <v>26</v>
      </c>
      <c r="H93" s="3" t="s">
        <v>226</v>
      </c>
    </row>
    <row r="94" spans="1:8" x14ac:dyDescent="0.2">
      <c r="A94" s="3">
        <v>3030303047</v>
      </c>
      <c r="B94" s="4" t="s">
        <v>651</v>
      </c>
      <c r="C94" s="4" t="s">
        <v>650</v>
      </c>
      <c r="D94" s="3">
        <v>1</v>
      </c>
      <c r="E94" s="3" t="s">
        <v>16</v>
      </c>
      <c r="F94" s="3" t="s">
        <v>291</v>
      </c>
      <c r="G94" s="3" t="s">
        <v>26</v>
      </c>
      <c r="H94" s="3" t="s">
        <v>226</v>
      </c>
    </row>
    <row r="95" spans="1:8" x14ac:dyDescent="0.2">
      <c r="A95" s="3">
        <v>3040312026</v>
      </c>
      <c r="B95" s="4" t="s">
        <v>263</v>
      </c>
      <c r="C95" s="4" t="s">
        <v>652</v>
      </c>
      <c r="D95" s="3">
        <v>2</v>
      </c>
      <c r="E95" s="3" t="s">
        <v>16</v>
      </c>
      <c r="F95" s="3" t="s">
        <v>293</v>
      </c>
      <c r="G95" s="3" t="s">
        <v>29</v>
      </c>
      <c r="H95" s="3" t="s">
        <v>226</v>
      </c>
    </row>
    <row r="96" spans="1:8" x14ac:dyDescent="0.2">
      <c r="A96" s="3">
        <v>3040303008</v>
      </c>
      <c r="B96" s="4" t="s">
        <v>265</v>
      </c>
      <c r="C96" s="4" t="s">
        <v>653</v>
      </c>
      <c r="D96" s="3">
        <v>2</v>
      </c>
      <c r="E96" s="3" t="s">
        <v>16</v>
      </c>
      <c r="F96" s="3" t="s">
        <v>293</v>
      </c>
      <c r="G96" s="3" t="s">
        <v>29</v>
      </c>
      <c r="H96" s="3" t="s">
        <v>226</v>
      </c>
    </row>
    <row r="97" spans="1:8" x14ac:dyDescent="0.2">
      <c r="A97" s="3">
        <v>3040320017</v>
      </c>
      <c r="B97" s="4" t="s">
        <v>269</v>
      </c>
      <c r="C97" s="4" t="s">
        <v>654</v>
      </c>
      <c r="D97" s="3">
        <v>1</v>
      </c>
      <c r="E97" s="3" t="s">
        <v>16</v>
      </c>
      <c r="F97" s="3" t="s">
        <v>293</v>
      </c>
      <c r="G97" s="3" t="s">
        <v>29</v>
      </c>
      <c r="H97" s="3" t="s">
        <v>226</v>
      </c>
    </row>
    <row r="98" spans="1:8" x14ac:dyDescent="0.2">
      <c r="A98" s="3">
        <v>3040320016</v>
      </c>
      <c r="B98" s="4" t="s">
        <v>269</v>
      </c>
      <c r="C98" s="4" t="s">
        <v>655</v>
      </c>
      <c r="D98" s="3">
        <v>1</v>
      </c>
      <c r="E98" s="3" t="s">
        <v>16</v>
      </c>
      <c r="F98" s="3" t="s">
        <v>293</v>
      </c>
      <c r="G98" s="3" t="s">
        <v>29</v>
      </c>
      <c r="H98" s="3" t="s">
        <v>226</v>
      </c>
    </row>
    <row r="99" spans="1:8" x14ac:dyDescent="0.2">
      <c r="A99" s="3">
        <v>3040113006</v>
      </c>
      <c r="B99" s="4" t="s">
        <v>500</v>
      </c>
      <c r="C99" s="4" t="s">
        <v>656</v>
      </c>
      <c r="D99" s="3">
        <v>1</v>
      </c>
      <c r="E99" s="3" t="s">
        <v>16</v>
      </c>
      <c r="F99" s="3" t="s">
        <v>293</v>
      </c>
      <c r="G99" s="3" t="s">
        <v>29</v>
      </c>
      <c r="H99" s="3" t="s">
        <v>226</v>
      </c>
    </row>
    <row r="100" spans="1:8" x14ac:dyDescent="0.2">
      <c r="A100" s="3">
        <v>3040113007</v>
      </c>
      <c r="B100" s="4" t="s">
        <v>500</v>
      </c>
      <c r="C100" s="4" t="s">
        <v>657</v>
      </c>
      <c r="D100" s="3">
        <v>1</v>
      </c>
      <c r="E100" s="3" t="s">
        <v>16</v>
      </c>
      <c r="F100" s="3" t="s">
        <v>293</v>
      </c>
      <c r="G100" s="3" t="s">
        <v>29</v>
      </c>
      <c r="H100" s="3" t="s">
        <v>226</v>
      </c>
    </row>
    <row r="101" spans="1:8" x14ac:dyDescent="0.2">
      <c r="A101" s="3">
        <v>3030313003</v>
      </c>
      <c r="B101" s="4" t="s">
        <v>217</v>
      </c>
      <c r="C101" s="4" t="s">
        <v>544</v>
      </c>
      <c r="D101" s="3">
        <v>8</v>
      </c>
      <c r="E101" s="3" t="s">
        <v>16</v>
      </c>
      <c r="F101" s="3" t="s">
        <v>291</v>
      </c>
      <c r="G101" s="3" t="s">
        <v>26</v>
      </c>
      <c r="H101" s="3" t="s">
        <v>226</v>
      </c>
    </row>
    <row r="102" spans="1:8" x14ac:dyDescent="0.2">
      <c r="A102" s="3">
        <v>3020101004</v>
      </c>
      <c r="B102" s="4" t="s">
        <v>239</v>
      </c>
      <c r="C102" s="4" t="s">
        <v>1098</v>
      </c>
      <c r="D102" s="3">
        <v>5</v>
      </c>
      <c r="E102" s="3" t="s">
        <v>16</v>
      </c>
      <c r="F102" s="3" t="s">
        <v>297</v>
      </c>
      <c r="G102" s="3" t="s">
        <v>204</v>
      </c>
      <c r="H102" s="3" t="s">
        <v>226</v>
      </c>
    </row>
    <row r="103" spans="1:8" x14ac:dyDescent="0.2">
      <c r="A103" s="3">
        <v>3991601007</v>
      </c>
      <c r="B103" s="4" t="s">
        <v>585</v>
      </c>
      <c r="C103" s="4" t="s">
        <v>1229</v>
      </c>
      <c r="D103" s="3">
        <v>4</v>
      </c>
      <c r="E103" s="3" t="s">
        <v>16</v>
      </c>
      <c r="F103" s="3" t="s">
        <v>289</v>
      </c>
      <c r="G103" s="3" t="s">
        <v>23</v>
      </c>
      <c r="H103" s="3" t="s">
        <v>226</v>
      </c>
    </row>
    <row r="104" spans="1:8" x14ac:dyDescent="0.2">
      <c r="A104" s="3">
        <v>3991601009</v>
      </c>
      <c r="B104" s="4" t="s">
        <v>585</v>
      </c>
      <c r="C104" s="4" t="s">
        <v>1230</v>
      </c>
      <c r="D104" s="3">
        <v>2</v>
      </c>
      <c r="E104" s="3" t="s">
        <v>16</v>
      </c>
      <c r="F104" s="3" t="s">
        <v>289</v>
      </c>
      <c r="G104" s="3" t="s">
        <v>23</v>
      </c>
      <c r="H104" s="3" t="s">
        <v>226</v>
      </c>
    </row>
    <row r="105" spans="1:8" x14ac:dyDescent="0.2">
      <c r="A105" s="3">
        <v>3050305019</v>
      </c>
      <c r="B105" s="4" t="s">
        <v>549</v>
      </c>
      <c r="C105" s="4" t="s">
        <v>530</v>
      </c>
      <c r="D105" s="3">
        <v>1</v>
      </c>
      <c r="E105" s="3" t="s">
        <v>16</v>
      </c>
      <c r="F105" s="3" t="s">
        <v>291</v>
      </c>
      <c r="G105" s="3" t="s">
        <v>26</v>
      </c>
      <c r="H105" s="3" t="s">
        <v>226</v>
      </c>
    </row>
    <row r="106" spans="1:8" x14ac:dyDescent="0.2">
      <c r="A106" s="3">
        <v>3050401019</v>
      </c>
      <c r="B106" s="4" t="s">
        <v>222</v>
      </c>
      <c r="C106" s="4" t="s">
        <v>658</v>
      </c>
      <c r="D106" s="3">
        <v>1</v>
      </c>
      <c r="E106" s="3" t="s">
        <v>16</v>
      </c>
      <c r="F106" s="3" t="s">
        <v>291</v>
      </c>
      <c r="G106" s="3" t="s">
        <v>26</v>
      </c>
      <c r="H106" s="3" t="s">
        <v>226</v>
      </c>
    </row>
    <row r="107" spans="1:8" x14ac:dyDescent="0.2">
      <c r="A107" s="3">
        <v>3050305026</v>
      </c>
      <c r="B107" s="4" t="s">
        <v>659</v>
      </c>
      <c r="C107" s="4" t="s">
        <v>660</v>
      </c>
      <c r="D107" s="3">
        <v>1</v>
      </c>
      <c r="E107" s="3" t="s">
        <v>16</v>
      </c>
      <c r="F107" s="3" t="s">
        <v>291</v>
      </c>
      <c r="G107" s="3" t="s">
        <v>26</v>
      </c>
      <c r="H107" s="3" t="s">
        <v>226</v>
      </c>
    </row>
    <row r="108" spans="1:8" x14ac:dyDescent="0.2">
      <c r="A108" s="3">
        <v>3050305027</v>
      </c>
      <c r="B108" s="4" t="s">
        <v>659</v>
      </c>
      <c r="C108" s="4" t="s">
        <v>661</v>
      </c>
      <c r="D108" s="3">
        <v>1</v>
      </c>
      <c r="E108" s="3" t="s">
        <v>16</v>
      </c>
      <c r="F108" s="3" t="s">
        <v>291</v>
      </c>
      <c r="G108" s="3" t="s">
        <v>26</v>
      </c>
      <c r="H108" s="3" t="s">
        <v>226</v>
      </c>
    </row>
    <row r="109" spans="1:8" x14ac:dyDescent="0.2">
      <c r="A109" s="3">
        <v>3080401031</v>
      </c>
      <c r="B109" s="4" t="s">
        <v>41</v>
      </c>
      <c r="C109" s="4" t="s">
        <v>551</v>
      </c>
      <c r="D109" s="3">
        <v>1</v>
      </c>
      <c r="E109" s="3" t="s">
        <v>16</v>
      </c>
      <c r="F109" s="3" t="s">
        <v>291</v>
      </c>
      <c r="G109" s="3" t="s">
        <v>26</v>
      </c>
      <c r="H109" s="3" t="s">
        <v>249</v>
      </c>
    </row>
    <row r="110" spans="1:8" x14ac:dyDescent="0.2">
      <c r="A110" s="3">
        <v>3060333011</v>
      </c>
      <c r="B110" s="4" t="s">
        <v>227</v>
      </c>
      <c r="C110" s="4" t="s">
        <v>1231</v>
      </c>
      <c r="D110" s="3">
        <v>1</v>
      </c>
      <c r="E110" s="3" t="s">
        <v>16</v>
      </c>
      <c r="F110" s="3" t="s">
        <v>289</v>
      </c>
      <c r="G110" s="3" t="s">
        <v>23</v>
      </c>
      <c r="H110" s="3" t="s">
        <v>254</v>
      </c>
    </row>
    <row r="111" spans="1:8" x14ac:dyDescent="0.2">
      <c r="A111" s="3">
        <v>3060401003</v>
      </c>
      <c r="B111" s="4" t="s">
        <v>727</v>
      </c>
      <c r="C111" s="4" t="s">
        <v>1232</v>
      </c>
      <c r="D111" s="3">
        <v>1</v>
      </c>
      <c r="E111" s="3" t="s">
        <v>16</v>
      </c>
      <c r="F111" s="3" t="s">
        <v>289</v>
      </c>
      <c r="G111" s="3" t="s">
        <v>23</v>
      </c>
      <c r="H111" s="3" t="s">
        <v>254</v>
      </c>
    </row>
    <row r="112" spans="1:8" x14ac:dyDescent="0.2">
      <c r="A112" s="3">
        <v>3060335013</v>
      </c>
      <c r="B112" s="4" t="s">
        <v>233</v>
      </c>
      <c r="C112" s="4" t="s">
        <v>1253</v>
      </c>
      <c r="D112" s="3">
        <v>1</v>
      </c>
      <c r="E112" s="3" t="s">
        <v>16</v>
      </c>
      <c r="F112" s="3" t="s">
        <v>289</v>
      </c>
      <c r="G112" s="3" t="s">
        <v>23</v>
      </c>
      <c r="H112" s="3" t="s">
        <v>254</v>
      </c>
    </row>
    <row r="113" spans="1:8" x14ac:dyDescent="0.2">
      <c r="A113" s="3">
        <v>3049902004</v>
      </c>
      <c r="B113" s="4" t="s">
        <v>383</v>
      </c>
      <c r="C113" s="4" t="s">
        <v>384</v>
      </c>
      <c r="D113" s="3">
        <v>2</v>
      </c>
      <c r="E113" s="3" t="s">
        <v>16</v>
      </c>
      <c r="F113" s="3" t="s">
        <v>293</v>
      </c>
      <c r="G113" s="3" t="s">
        <v>29</v>
      </c>
      <c r="H113" s="3" t="s">
        <v>254</v>
      </c>
    </row>
    <row r="114" spans="1:8" x14ac:dyDescent="0.2">
      <c r="A114" s="3">
        <v>3040326018</v>
      </c>
      <c r="B114" s="4" t="s">
        <v>385</v>
      </c>
      <c r="C114" s="4" t="s">
        <v>384</v>
      </c>
      <c r="D114" s="3">
        <v>2</v>
      </c>
      <c r="E114" s="3" t="s">
        <v>16</v>
      </c>
      <c r="F114" s="3" t="s">
        <v>293</v>
      </c>
      <c r="G114" s="3" t="s">
        <v>29</v>
      </c>
      <c r="H114" s="3" t="s">
        <v>254</v>
      </c>
    </row>
    <row r="115" spans="1:8" x14ac:dyDescent="0.2">
      <c r="A115" s="3">
        <v>3111601004</v>
      </c>
      <c r="B115" s="4" t="s">
        <v>585</v>
      </c>
      <c r="C115" s="4" t="s">
        <v>1235</v>
      </c>
      <c r="D115" s="3">
        <v>4</v>
      </c>
      <c r="E115" s="3" t="s">
        <v>16</v>
      </c>
      <c r="F115" s="3" t="s">
        <v>289</v>
      </c>
      <c r="G115" s="3" t="s">
        <v>23</v>
      </c>
      <c r="H115" s="3" t="s">
        <v>254</v>
      </c>
    </row>
    <row r="116" spans="1:8" x14ac:dyDescent="0.2">
      <c r="A116" s="3">
        <v>3111601003</v>
      </c>
      <c r="B116" s="4" t="s">
        <v>585</v>
      </c>
      <c r="C116" s="4" t="s">
        <v>586</v>
      </c>
      <c r="D116" s="3">
        <v>13</v>
      </c>
      <c r="E116" s="3" t="s">
        <v>16</v>
      </c>
      <c r="F116" s="3" t="s">
        <v>289</v>
      </c>
      <c r="G116" s="3" t="s">
        <v>23</v>
      </c>
      <c r="H116" s="3" t="s">
        <v>254</v>
      </c>
    </row>
    <row r="117" spans="1:8" x14ac:dyDescent="0.2">
      <c r="A117" s="3">
        <v>3060340003</v>
      </c>
      <c r="B117" s="4" t="s">
        <v>725</v>
      </c>
      <c r="C117" s="4" t="s">
        <v>1236</v>
      </c>
      <c r="D117" s="3">
        <v>1</v>
      </c>
      <c r="E117" s="3" t="s">
        <v>16</v>
      </c>
      <c r="F117" s="3" t="s">
        <v>289</v>
      </c>
      <c r="G117" s="3" t="s">
        <v>23</v>
      </c>
      <c r="H117" s="3" t="s">
        <v>254</v>
      </c>
    </row>
    <row r="118" spans="1:8" x14ac:dyDescent="0.2">
      <c r="A118" s="3">
        <v>3060339004</v>
      </c>
      <c r="B118" s="4" t="s">
        <v>737</v>
      </c>
      <c r="C118" s="4" t="s">
        <v>1253</v>
      </c>
      <c r="D118" s="3">
        <v>1</v>
      </c>
      <c r="E118" s="3" t="s">
        <v>16</v>
      </c>
      <c r="F118" s="3" t="s">
        <v>289</v>
      </c>
      <c r="G118" s="3" t="s">
        <v>23</v>
      </c>
      <c r="H118" s="3" t="s">
        <v>254</v>
      </c>
    </row>
    <row r="119" spans="1:8" x14ac:dyDescent="0.2">
      <c r="A119" s="3">
        <v>3050303009</v>
      </c>
      <c r="B119" s="4" t="s">
        <v>245</v>
      </c>
      <c r="C119" s="4" t="s">
        <v>1253</v>
      </c>
      <c r="D119" s="3">
        <v>1</v>
      </c>
      <c r="E119" s="3" t="s">
        <v>16</v>
      </c>
      <c r="F119" s="3" t="s">
        <v>291</v>
      </c>
      <c r="G119" s="3" t="s">
        <v>26</v>
      </c>
      <c r="H119" s="3" t="s">
        <v>254</v>
      </c>
    </row>
  </sheetData>
  <phoneticPr fontId="2" type="noConversion"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8272F-6BEF-4F63-8D46-708097CD8FA2}">
  <dimension ref="A1:H128"/>
  <sheetViews>
    <sheetView workbookViewId="0">
      <selection activeCell="D3" sqref="D3"/>
    </sheetView>
  </sheetViews>
  <sheetFormatPr defaultRowHeight="14.25" x14ac:dyDescent="0.2"/>
  <cols>
    <col min="1" max="1" width="11.625" customWidth="1"/>
    <col min="2" max="3" width="15.25" customWidth="1"/>
  </cols>
  <sheetData>
    <row r="1" spans="1:8" x14ac:dyDescent="0.2">
      <c r="A1" s="3" t="s">
        <v>1327</v>
      </c>
      <c r="B1" s="4"/>
      <c r="C1" s="4"/>
      <c r="D1" s="3"/>
      <c r="E1" s="3"/>
      <c r="F1" s="3"/>
      <c r="G1" s="3"/>
      <c r="H1" s="3"/>
    </row>
    <row r="2" spans="1:8" ht="28.5" x14ac:dyDescent="0.2">
      <c r="A2" s="1" t="s">
        <v>0</v>
      </c>
      <c r="B2" s="2" t="s">
        <v>1</v>
      </c>
      <c r="C2" s="2" t="s">
        <v>2</v>
      </c>
      <c r="D2" s="1" t="s">
        <v>4</v>
      </c>
      <c r="E2" s="1" t="s">
        <v>3</v>
      </c>
      <c r="F2" s="1" t="s">
        <v>5</v>
      </c>
      <c r="G2" s="1" t="s">
        <v>6</v>
      </c>
      <c r="H2" s="1" t="s">
        <v>7</v>
      </c>
    </row>
    <row r="3" spans="1:8" s="10" customFormat="1" x14ac:dyDescent="0.2">
      <c r="A3" s="8" t="s">
        <v>390</v>
      </c>
      <c r="B3" s="9" t="s">
        <v>8</v>
      </c>
      <c r="C3" s="9" t="s">
        <v>9</v>
      </c>
      <c r="D3" s="13">
        <f>0.338/0.94</f>
        <v>0.3595744680851064</v>
      </c>
      <c r="E3" s="8" t="s">
        <v>596</v>
      </c>
      <c r="F3" s="8" t="s">
        <v>283</v>
      </c>
      <c r="G3" s="8" t="s">
        <v>13</v>
      </c>
      <c r="H3" s="8" t="s">
        <v>12</v>
      </c>
    </row>
    <row r="4" spans="1:8" x14ac:dyDescent="0.2">
      <c r="A4" s="3">
        <v>402030028</v>
      </c>
      <c r="B4" s="4" t="s">
        <v>107</v>
      </c>
      <c r="C4" s="4" t="s">
        <v>305</v>
      </c>
      <c r="D4" s="3">
        <v>1</v>
      </c>
      <c r="E4" s="3" t="s">
        <v>16</v>
      </c>
      <c r="F4" s="3" t="s">
        <v>289</v>
      </c>
      <c r="G4" s="3" t="s">
        <v>23</v>
      </c>
      <c r="H4" s="3" t="s">
        <v>306</v>
      </c>
    </row>
    <row r="5" spans="1:8" x14ac:dyDescent="0.2">
      <c r="A5" s="3">
        <v>40901009</v>
      </c>
      <c r="B5" s="4" t="s">
        <v>801</v>
      </c>
      <c r="C5" s="4" t="s">
        <v>1153</v>
      </c>
      <c r="D5" s="3">
        <v>1</v>
      </c>
      <c r="E5" s="3" t="s">
        <v>16</v>
      </c>
      <c r="F5" s="3" t="s">
        <v>289</v>
      </c>
      <c r="G5" s="3" t="s">
        <v>23</v>
      </c>
      <c r="H5" s="3" t="s">
        <v>306</v>
      </c>
    </row>
    <row r="6" spans="1:8" x14ac:dyDescent="0.2">
      <c r="A6" s="3">
        <v>3030314005</v>
      </c>
      <c r="B6" s="4" t="s">
        <v>394</v>
      </c>
      <c r="C6" s="4" t="s">
        <v>395</v>
      </c>
      <c r="D6" s="3">
        <v>1</v>
      </c>
      <c r="E6" s="3" t="s">
        <v>16</v>
      </c>
      <c r="F6" s="3" t="s">
        <v>291</v>
      </c>
      <c r="G6" s="3" t="s">
        <v>26</v>
      </c>
      <c r="H6" s="3" t="s">
        <v>18</v>
      </c>
    </row>
    <row r="7" spans="1:8" x14ac:dyDescent="0.2">
      <c r="A7" s="3">
        <v>404010128</v>
      </c>
      <c r="B7" s="4" t="s">
        <v>30</v>
      </c>
      <c r="C7" s="4" t="s">
        <v>624</v>
      </c>
      <c r="D7" s="3">
        <v>1</v>
      </c>
      <c r="E7" s="3" t="s">
        <v>16</v>
      </c>
      <c r="F7" s="3" t="s">
        <v>289</v>
      </c>
      <c r="G7" s="3" t="s">
        <v>23</v>
      </c>
      <c r="H7" s="3" t="s">
        <v>33</v>
      </c>
    </row>
    <row r="8" spans="1:8" x14ac:dyDescent="0.2">
      <c r="A8" s="3">
        <v>404090099</v>
      </c>
      <c r="B8" s="4" t="s">
        <v>30</v>
      </c>
      <c r="C8" s="4" t="s">
        <v>1305</v>
      </c>
      <c r="D8" s="3">
        <v>1</v>
      </c>
      <c r="E8" s="3" t="s">
        <v>16</v>
      </c>
      <c r="F8" s="3" t="s">
        <v>301</v>
      </c>
      <c r="G8" s="3" t="s">
        <v>32</v>
      </c>
      <c r="H8" s="3" t="s">
        <v>33</v>
      </c>
    </row>
    <row r="9" spans="1:8" x14ac:dyDescent="0.2">
      <c r="A9" s="3">
        <v>404090103</v>
      </c>
      <c r="B9" s="4" t="s">
        <v>30</v>
      </c>
      <c r="C9" s="4" t="s">
        <v>625</v>
      </c>
      <c r="D9" s="3">
        <v>1</v>
      </c>
      <c r="E9" s="3" t="s">
        <v>16</v>
      </c>
      <c r="F9" s="3" t="s">
        <v>301</v>
      </c>
      <c r="G9" s="3" t="s">
        <v>32</v>
      </c>
      <c r="H9" s="3" t="s">
        <v>33</v>
      </c>
    </row>
    <row r="10" spans="1:8" x14ac:dyDescent="0.2">
      <c r="A10" s="3">
        <v>404090156</v>
      </c>
      <c r="B10" s="4" t="s">
        <v>30</v>
      </c>
      <c r="C10" s="4" t="s">
        <v>1304</v>
      </c>
      <c r="D10" s="3">
        <v>1</v>
      </c>
      <c r="E10" s="3" t="s">
        <v>16</v>
      </c>
      <c r="F10" s="3" t="s">
        <v>301</v>
      </c>
      <c r="G10" s="3" t="s">
        <v>32</v>
      </c>
      <c r="H10" s="3" t="s">
        <v>33</v>
      </c>
    </row>
    <row r="11" spans="1:8" x14ac:dyDescent="0.2">
      <c r="A11" s="3">
        <v>401020131</v>
      </c>
      <c r="B11" s="4" t="s">
        <v>35</v>
      </c>
      <c r="C11" s="4" t="s">
        <v>1306</v>
      </c>
      <c r="D11" s="3">
        <v>1</v>
      </c>
      <c r="E11" s="3" t="s">
        <v>16</v>
      </c>
      <c r="F11" s="3" t="s">
        <v>301</v>
      </c>
      <c r="G11" s="3" t="s">
        <v>32</v>
      </c>
      <c r="H11" s="3" t="s">
        <v>33</v>
      </c>
    </row>
    <row r="12" spans="1:8" x14ac:dyDescent="0.2">
      <c r="A12" s="3">
        <v>3080101002</v>
      </c>
      <c r="B12" s="4" t="s">
        <v>411</v>
      </c>
      <c r="C12" s="4" t="s">
        <v>413</v>
      </c>
      <c r="D12" s="3">
        <v>19</v>
      </c>
      <c r="E12" s="3" t="s">
        <v>16</v>
      </c>
      <c r="F12" s="3" t="s">
        <v>289</v>
      </c>
      <c r="G12" s="3" t="s">
        <v>23</v>
      </c>
      <c r="H12" s="3" t="s">
        <v>40</v>
      </c>
    </row>
    <row r="13" spans="1:8" x14ac:dyDescent="0.2">
      <c r="A13" s="3">
        <v>3080401014</v>
      </c>
      <c r="B13" s="4" t="s">
        <v>41</v>
      </c>
      <c r="C13" s="4" t="s">
        <v>417</v>
      </c>
      <c r="D13" s="3">
        <v>4</v>
      </c>
      <c r="E13" s="3" t="s">
        <v>16</v>
      </c>
      <c r="F13" s="3" t="s">
        <v>291</v>
      </c>
      <c r="G13" s="3" t="s">
        <v>26</v>
      </c>
      <c r="H13" s="3" t="s">
        <v>40</v>
      </c>
    </row>
    <row r="14" spans="1:8" x14ac:dyDescent="0.2">
      <c r="A14" s="3">
        <v>3080104079</v>
      </c>
      <c r="B14" s="4" t="s">
        <v>45</v>
      </c>
      <c r="C14" s="4" t="s">
        <v>627</v>
      </c>
      <c r="D14" s="3">
        <v>4</v>
      </c>
      <c r="E14" s="3" t="s">
        <v>16</v>
      </c>
      <c r="F14" s="3" t="s">
        <v>291</v>
      </c>
      <c r="G14" s="3" t="s">
        <v>26</v>
      </c>
      <c r="H14" s="3" t="s">
        <v>40</v>
      </c>
    </row>
    <row r="15" spans="1:8" x14ac:dyDescent="0.2">
      <c r="A15" s="3">
        <v>3080104099</v>
      </c>
      <c r="B15" s="4" t="s">
        <v>45</v>
      </c>
      <c r="C15" s="4" t="s">
        <v>419</v>
      </c>
      <c r="D15" s="3">
        <v>2</v>
      </c>
      <c r="E15" s="3" t="s">
        <v>16</v>
      </c>
      <c r="F15" s="3" t="s">
        <v>291</v>
      </c>
      <c r="G15" s="3" t="s">
        <v>26</v>
      </c>
      <c r="H15" s="3" t="s">
        <v>40</v>
      </c>
    </row>
    <row r="16" spans="1:8" x14ac:dyDescent="0.2">
      <c r="A16" s="3">
        <v>3080104014</v>
      </c>
      <c r="B16" s="4" t="s">
        <v>45</v>
      </c>
      <c r="C16" s="4" t="s">
        <v>312</v>
      </c>
      <c r="D16" s="3">
        <v>2</v>
      </c>
      <c r="E16" s="3" t="s">
        <v>16</v>
      </c>
      <c r="F16" s="3" t="s">
        <v>293</v>
      </c>
      <c r="G16" s="3" t="s">
        <v>29</v>
      </c>
      <c r="H16" s="3" t="s">
        <v>40</v>
      </c>
    </row>
    <row r="17" spans="1:8" x14ac:dyDescent="0.2">
      <c r="A17" s="3">
        <v>3080104073</v>
      </c>
      <c r="B17" s="4" t="s">
        <v>45</v>
      </c>
      <c r="C17" s="4" t="s">
        <v>1155</v>
      </c>
      <c r="D17" s="3">
        <v>3</v>
      </c>
      <c r="E17" s="3" t="s">
        <v>16</v>
      </c>
      <c r="F17" s="3" t="s">
        <v>289</v>
      </c>
      <c r="G17" s="3" t="s">
        <v>23</v>
      </c>
      <c r="H17" s="3" t="s">
        <v>40</v>
      </c>
    </row>
    <row r="18" spans="1:8" x14ac:dyDescent="0.2">
      <c r="A18" s="3">
        <v>3080105006</v>
      </c>
      <c r="B18" s="4" t="s">
        <v>50</v>
      </c>
      <c r="C18" s="4" t="s">
        <v>1157</v>
      </c>
      <c r="D18" s="3">
        <v>8</v>
      </c>
      <c r="E18" s="3" t="s">
        <v>16</v>
      </c>
      <c r="F18" s="3" t="s">
        <v>289</v>
      </c>
      <c r="G18" s="3" t="s">
        <v>23</v>
      </c>
      <c r="H18" s="3" t="s">
        <v>40</v>
      </c>
    </row>
    <row r="19" spans="1:8" x14ac:dyDescent="0.2">
      <c r="A19" s="3">
        <v>3080105036</v>
      </c>
      <c r="B19" s="4" t="s">
        <v>50</v>
      </c>
      <c r="C19" s="4" t="s">
        <v>1295</v>
      </c>
      <c r="D19" s="3">
        <v>6</v>
      </c>
      <c r="E19" s="3" t="s">
        <v>16</v>
      </c>
      <c r="F19" s="3" t="s">
        <v>291</v>
      </c>
      <c r="G19" s="3" t="s">
        <v>26</v>
      </c>
      <c r="H19" s="3" t="s">
        <v>40</v>
      </c>
    </row>
    <row r="20" spans="1:8" x14ac:dyDescent="0.2">
      <c r="A20" s="3">
        <v>3080105007</v>
      </c>
      <c r="B20" s="4" t="s">
        <v>50</v>
      </c>
      <c r="C20" s="4" t="s">
        <v>52</v>
      </c>
      <c r="D20" s="3">
        <v>2</v>
      </c>
      <c r="E20" s="3" t="s">
        <v>16</v>
      </c>
      <c r="F20" s="3" t="s">
        <v>293</v>
      </c>
      <c r="G20" s="3" t="s">
        <v>29</v>
      </c>
      <c r="H20" s="3" t="s">
        <v>40</v>
      </c>
    </row>
    <row r="21" spans="1:8" x14ac:dyDescent="0.2">
      <c r="A21" s="3">
        <v>3080105068</v>
      </c>
      <c r="B21" s="4" t="s">
        <v>50</v>
      </c>
      <c r="C21" s="4" t="s">
        <v>314</v>
      </c>
      <c r="D21" s="3">
        <v>10</v>
      </c>
      <c r="E21" s="3" t="s">
        <v>16</v>
      </c>
      <c r="F21" s="3" t="s">
        <v>293</v>
      </c>
      <c r="G21" s="3" t="s">
        <v>29</v>
      </c>
      <c r="H21" s="3" t="s">
        <v>40</v>
      </c>
    </row>
    <row r="22" spans="1:8" x14ac:dyDescent="0.2">
      <c r="A22" s="3">
        <v>3080105014</v>
      </c>
      <c r="B22" s="4" t="s">
        <v>50</v>
      </c>
      <c r="C22" s="4" t="s">
        <v>1238</v>
      </c>
      <c r="D22" s="3">
        <v>2</v>
      </c>
      <c r="E22" s="3" t="s">
        <v>16</v>
      </c>
      <c r="F22" s="3" t="s">
        <v>289</v>
      </c>
      <c r="G22" s="3" t="s">
        <v>23</v>
      </c>
      <c r="H22" s="3" t="s">
        <v>40</v>
      </c>
    </row>
    <row r="23" spans="1:8" x14ac:dyDescent="0.2">
      <c r="A23" s="3">
        <v>3080105033</v>
      </c>
      <c r="B23" s="4" t="s">
        <v>50</v>
      </c>
      <c r="C23" s="4" t="s">
        <v>628</v>
      </c>
      <c r="D23" s="3">
        <v>4</v>
      </c>
      <c r="E23" s="3" t="s">
        <v>16</v>
      </c>
      <c r="F23" s="3" t="s">
        <v>293</v>
      </c>
      <c r="G23" s="3" t="s">
        <v>29</v>
      </c>
      <c r="H23" s="3" t="s">
        <v>40</v>
      </c>
    </row>
    <row r="24" spans="1:8" x14ac:dyDescent="0.2">
      <c r="A24" s="3">
        <v>3080105040</v>
      </c>
      <c r="B24" s="4" t="s">
        <v>50</v>
      </c>
      <c r="C24" s="4" t="s">
        <v>421</v>
      </c>
      <c r="D24" s="3">
        <v>2</v>
      </c>
      <c r="E24" s="3" t="s">
        <v>16</v>
      </c>
      <c r="F24" s="3" t="s">
        <v>291</v>
      </c>
      <c r="G24" s="3" t="s">
        <v>26</v>
      </c>
      <c r="H24" s="3" t="s">
        <v>40</v>
      </c>
    </row>
    <row r="25" spans="1:8" x14ac:dyDescent="0.2">
      <c r="A25" s="3">
        <v>3080105043</v>
      </c>
      <c r="B25" s="4" t="s">
        <v>50</v>
      </c>
      <c r="C25" s="4" t="s">
        <v>629</v>
      </c>
      <c r="D25" s="3">
        <v>6</v>
      </c>
      <c r="E25" s="3" t="s">
        <v>16</v>
      </c>
      <c r="F25" s="3" t="s">
        <v>291</v>
      </c>
      <c r="G25" s="3" t="s">
        <v>26</v>
      </c>
      <c r="H25" s="3" t="s">
        <v>40</v>
      </c>
    </row>
    <row r="26" spans="1:8" x14ac:dyDescent="0.2">
      <c r="A26" s="3">
        <v>3080105023</v>
      </c>
      <c r="B26" s="4" t="s">
        <v>50</v>
      </c>
      <c r="C26" s="4" t="s">
        <v>1159</v>
      </c>
      <c r="D26" s="3">
        <v>4</v>
      </c>
      <c r="E26" s="3" t="s">
        <v>16</v>
      </c>
      <c r="F26" s="3" t="s">
        <v>289</v>
      </c>
      <c r="G26" s="3" t="s">
        <v>23</v>
      </c>
      <c r="H26" s="3" t="s">
        <v>40</v>
      </c>
    </row>
    <row r="27" spans="1:8" x14ac:dyDescent="0.2">
      <c r="A27" s="3">
        <v>3080501013</v>
      </c>
      <c r="B27" s="4" t="s">
        <v>57</v>
      </c>
      <c r="C27" s="4" t="s">
        <v>58</v>
      </c>
      <c r="D27" s="3">
        <v>2</v>
      </c>
      <c r="E27" s="3" t="s">
        <v>16</v>
      </c>
      <c r="F27" s="3" t="s">
        <v>293</v>
      </c>
      <c r="G27" s="3" t="s">
        <v>29</v>
      </c>
      <c r="H27" s="3" t="s">
        <v>40</v>
      </c>
    </row>
    <row r="28" spans="1:8" x14ac:dyDescent="0.2">
      <c r="A28" s="3">
        <v>3080501003</v>
      </c>
      <c r="B28" s="4" t="s">
        <v>57</v>
      </c>
      <c r="C28" s="4" t="s">
        <v>630</v>
      </c>
      <c r="D28" s="3">
        <v>2</v>
      </c>
      <c r="E28" s="3" t="s">
        <v>16</v>
      </c>
      <c r="F28" s="3" t="s">
        <v>291</v>
      </c>
      <c r="G28" s="3" t="s">
        <v>26</v>
      </c>
      <c r="H28" s="3" t="s">
        <v>40</v>
      </c>
    </row>
    <row r="29" spans="1:8" x14ac:dyDescent="0.2">
      <c r="A29" s="3">
        <v>3080106015</v>
      </c>
      <c r="B29" s="4" t="s">
        <v>66</v>
      </c>
      <c r="C29" s="4" t="s">
        <v>631</v>
      </c>
      <c r="D29" s="3">
        <v>4</v>
      </c>
      <c r="E29" s="3" t="s">
        <v>16</v>
      </c>
      <c r="F29" s="3" t="s">
        <v>291</v>
      </c>
      <c r="G29" s="3" t="s">
        <v>26</v>
      </c>
      <c r="H29" s="3" t="s">
        <v>40</v>
      </c>
    </row>
    <row r="30" spans="1:8" x14ac:dyDescent="0.2">
      <c r="A30" s="3">
        <v>3080107271</v>
      </c>
      <c r="B30" s="4" t="s">
        <v>69</v>
      </c>
      <c r="C30" s="4" t="s">
        <v>1161</v>
      </c>
      <c r="D30" s="3">
        <v>2</v>
      </c>
      <c r="E30" s="3" t="s">
        <v>16</v>
      </c>
      <c r="F30" s="3" t="s">
        <v>289</v>
      </c>
      <c r="G30" s="3" t="s">
        <v>23</v>
      </c>
      <c r="H30" s="3" t="s">
        <v>40</v>
      </c>
    </row>
    <row r="31" spans="1:8" x14ac:dyDescent="0.2">
      <c r="A31" s="3">
        <v>3080107014</v>
      </c>
      <c r="B31" s="4" t="s">
        <v>69</v>
      </c>
      <c r="C31" s="4" t="s">
        <v>322</v>
      </c>
      <c r="D31" s="3">
        <v>2</v>
      </c>
      <c r="E31" s="3" t="s">
        <v>16</v>
      </c>
      <c r="F31" s="3" t="s">
        <v>291</v>
      </c>
      <c r="G31" s="3" t="s">
        <v>26</v>
      </c>
      <c r="H31" s="3" t="s">
        <v>40</v>
      </c>
    </row>
    <row r="32" spans="1:8" x14ac:dyDescent="0.2">
      <c r="A32" s="3">
        <v>3080107072</v>
      </c>
      <c r="B32" s="4" t="s">
        <v>69</v>
      </c>
      <c r="C32" s="4" t="s">
        <v>435</v>
      </c>
      <c r="D32" s="3">
        <v>4</v>
      </c>
      <c r="E32" s="3" t="s">
        <v>16</v>
      </c>
      <c r="F32" s="3" t="s">
        <v>291</v>
      </c>
      <c r="G32" s="3" t="s">
        <v>26</v>
      </c>
      <c r="H32" s="3" t="s">
        <v>40</v>
      </c>
    </row>
    <row r="33" spans="1:8" x14ac:dyDescent="0.2">
      <c r="A33" s="3">
        <v>3080107092</v>
      </c>
      <c r="B33" s="4" t="s">
        <v>69</v>
      </c>
      <c r="C33" s="4" t="s">
        <v>1162</v>
      </c>
      <c r="D33" s="3">
        <v>4</v>
      </c>
      <c r="E33" s="3" t="s">
        <v>16</v>
      </c>
      <c r="F33" s="3" t="s">
        <v>289</v>
      </c>
      <c r="G33" s="3" t="s">
        <v>23</v>
      </c>
      <c r="H33" s="3" t="s">
        <v>40</v>
      </c>
    </row>
    <row r="34" spans="1:8" x14ac:dyDescent="0.2">
      <c r="A34" s="3">
        <v>3080108052</v>
      </c>
      <c r="B34" s="4" t="s">
        <v>77</v>
      </c>
      <c r="C34" s="4" t="s">
        <v>1164</v>
      </c>
      <c r="D34" s="3">
        <v>1</v>
      </c>
      <c r="E34" s="3" t="s">
        <v>16</v>
      </c>
      <c r="F34" s="3" t="s">
        <v>289</v>
      </c>
      <c r="G34" s="3" t="s">
        <v>23</v>
      </c>
      <c r="H34" s="3" t="s">
        <v>40</v>
      </c>
    </row>
    <row r="35" spans="1:8" x14ac:dyDescent="0.2">
      <c r="A35" s="3">
        <v>3080101008</v>
      </c>
      <c r="B35" s="4" t="s">
        <v>77</v>
      </c>
      <c r="C35" s="4" t="s">
        <v>1165</v>
      </c>
      <c r="D35" s="3">
        <v>4</v>
      </c>
      <c r="E35" s="3" t="s">
        <v>16</v>
      </c>
      <c r="F35" s="3" t="s">
        <v>289</v>
      </c>
      <c r="G35" s="3" t="s">
        <v>23</v>
      </c>
      <c r="H35" s="3" t="s">
        <v>40</v>
      </c>
    </row>
    <row r="36" spans="1:8" x14ac:dyDescent="0.2">
      <c r="A36" s="3">
        <v>3080108040</v>
      </c>
      <c r="B36" s="4" t="s">
        <v>77</v>
      </c>
      <c r="C36" s="4" t="s">
        <v>1166</v>
      </c>
      <c r="D36" s="3">
        <v>2</v>
      </c>
      <c r="E36" s="3" t="s">
        <v>16</v>
      </c>
      <c r="F36" s="3" t="s">
        <v>289</v>
      </c>
      <c r="G36" s="3" t="s">
        <v>23</v>
      </c>
      <c r="H36" s="3" t="s">
        <v>40</v>
      </c>
    </row>
    <row r="37" spans="1:8" x14ac:dyDescent="0.2">
      <c r="A37" s="3">
        <v>3080110010</v>
      </c>
      <c r="B37" s="4" t="s">
        <v>632</v>
      </c>
      <c r="C37" s="4" t="s">
        <v>633</v>
      </c>
      <c r="D37" s="3">
        <v>2</v>
      </c>
      <c r="E37" s="3" t="s">
        <v>16</v>
      </c>
      <c r="F37" s="3" t="s">
        <v>291</v>
      </c>
      <c r="G37" s="3" t="s">
        <v>26</v>
      </c>
      <c r="H37" s="3" t="s">
        <v>40</v>
      </c>
    </row>
    <row r="38" spans="1:8" x14ac:dyDescent="0.2">
      <c r="A38" s="3">
        <v>3080111087</v>
      </c>
      <c r="B38" s="4" t="s">
        <v>79</v>
      </c>
      <c r="C38" s="4" t="s">
        <v>80</v>
      </c>
      <c r="D38" s="3">
        <v>16</v>
      </c>
      <c r="E38" s="3" t="s">
        <v>16</v>
      </c>
      <c r="F38" s="3" t="s">
        <v>291</v>
      </c>
      <c r="G38" s="3" t="s">
        <v>26</v>
      </c>
      <c r="H38" s="3" t="s">
        <v>40</v>
      </c>
    </row>
    <row r="39" spans="1:8" x14ac:dyDescent="0.2">
      <c r="A39" s="3">
        <v>3080111087</v>
      </c>
      <c r="B39" s="4" t="s">
        <v>79</v>
      </c>
      <c r="C39" s="4" t="s">
        <v>80</v>
      </c>
      <c r="D39" s="3">
        <v>2</v>
      </c>
      <c r="E39" s="3" t="s">
        <v>16</v>
      </c>
      <c r="F39" s="3" t="s">
        <v>291</v>
      </c>
      <c r="G39" s="3" t="s">
        <v>26</v>
      </c>
      <c r="H39" s="3" t="s">
        <v>40</v>
      </c>
    </row>
    <row r="40" spans="1:8" x14ac:dyDescent="0.2">
      <c r="A40" s="3">
        <v>3080111074</v>
      </c>
      <c r="B40" s="4" t="s">
        <v>79</v>
      </c>
      <c r="C40" s="4" t="s">
        <v>634</v>
      </c>
      <c r="D40" s="3">
        <v>4</v>
      </c>
      <c r="E40" s="3" t="s">
        <v>16</v>
      </c>
      <c r="F40" s="3" t="s">
        <v>291</v>
      </c>
      <c r="G40" s="3" t="s">
        <v>26</v>
      </c>
      <c r="H40" s="3" t="s">
        <v>40</v>
      </c>
    </row>
    <row r="41" spans="1:8" x14ac:dyDescent="0.2">
      <c r="A41" s="3">
        <v>407030075</v>
      </c>
      <c r="B41" s="4" t="s">
        <v>81</v>
      </c>
      <c r="C41" s="4" t="s">
        <v>635</v>
      </c>
      <c r="D41" s="3">
        <v>1</v>
      </c>
      <c r="E41" s="3" t="s">
        <v>16</v>
      </c>
      <c r="F41" s="3" t="s">
        <v>301</v>
      </c>
      <c r="G41" s="3" t="s">
        <v>32</v>
      </c>
      <c r="H41" s="3" t="s">
        <v>40</v>
      </c>
    </row>
    <row r="42" spans="1:8" x14ac:dyDescent="0.2">
      <c r="A42" s="3">
        <v>3030101051</v>
      </c>
      <c r="B42" s="4" t="s">
        <v>636</v>
      </c>
      <c r="C42" s="4" t="s">
        <v>637</v>
      </c>
      <c r="D42" s="3">
        <v>1</v>
      </c>
      <c r="E42" s="3" t="s">
        <v>16</v>
      </c>
      <c r="F42" s="3" t="s">
        <v>291</v>
      </c>
      <c r="G42" s="3" t="s">
        <v>26</v>
      </c>
      <c r="H42" s="3" t="s">
        <v>88</v>
      </c>
    </row>
    <row r="43" spans="1:8" x14ac:dyDescent="0.2">
      <c r="A43" s="3">
        <v>3099991201</v>
      </c>
      <c r="B43" s="4" t="s">
        <v>1280</v>
      </c>
      <c r="C43" s="4" t="s">
        <v>1281</v>
      </c>
      <c r="D43" s="3">
        <v>1</v>
      </c>
      <c r="E43" s="3" t="s">
        <v>16</v>
      </c>
      <c r="F43" s="3" t="s">
        <v>299</v>
      </c>
      <c r="G43" s="3" t="s">
        <v>106</v>
      </c>
      <c r="H43" s="3" t="s">
        <v>103</v>
      </c>
    </row>
    <row r="44" spans="1:8" x14ac:dyDescent="0.2">
      <c r="A44" s="3">
        <v>3099990103</v>
      </c>
      <c r="B44" s="4" t="s">
        <v>104</v>
      </c>
      <c r="C44" s="4" t="s">
        <v>1282</v>
      </c>
      <c r="D44" s="3">
        <v>1</v>
      </c>
      <c r="E44" s="3" t="s">
        <v>16</v>
      </c>
      <c r="F44" s="3" t="s">
        <v>299</v>
      </c>
      <c r="G44" s="3" t="s">
        <v>106</v>
      </c>
      <c r="H44" s="3" t="s">
        <v>103</v>
      </c>
    </row>
    <row r="45" spans="1:8" x14ac:dyDescent="0.2">
      <c r="A45" s="3">
        <v>402030019</v>
      </c>
      <c r="B45" s="4" t="s">
        <v>107</v>
      </c>
      <c r="C45" s="4" t="s">
        <v>638</v>
      </c>
      <c r="D45" s="3">
        <v>2</v>
      </c>
      <c r="E45" s="3" t="s">
        <v>16</v>
      </c>
      <c r="F45" s="3" t="s">
        <v>293</v>
      </c>
      <c r="G45" s="3" t="s">
        <v>29</v>
      </c>
      <c r="H45" s="3" t="s">
        <v>109</v>
      </c>
    </row>
    <row r="46" spans="1:8" x14ac:dyDescent="0.2">
      <c r="A46" s="3">
        <v>402030027</v>
      </c>
      <c r="B46" s="4" t="s">
        <v>107</v>
      </c>
      <c r="C46" s="4" t="s">
        <v>110</v>
      </c>
      <c r="D46" s="3">
        <v>1</v>
      </c>
      <c r="E46" s="3" t="s">
        <v>16</v>
      </c>
      <c r="F46" s="3" t="s">
        <v>291</v>
      </c>
      <c r="G46" s="3" t="s">
        <v>26</v>
      </c>
      <c r="H46" s="3" t="s">
        <v>109</v>
      </c>
    </row>
    <row r="47" spans="1:8" x14ac:dyDescent="0.2">
      <c r="A47" s="3">
        <v>3060209002</v>
      </c>
      <c r="B47" s="4" t="s">
        <v>113</v>
      </c>
      <c r="C47" s="4" t="s">
        <v>114</v>
      </c>
      <c r="D47" s="3">
        <v>2</v>
      </c>
      <c r="E47" s="3" t="s">
        <v>16</v>
      </c>
      <c r="F47" s="3" t="s">
        <v>289</v>
      </c>
      <c r="G47" s="3" t="s">
        <v>23</v>
      </c>
      <c r="H47" s="3" t="s">
        <v>115</v>
      </c>
    </row>
    <row r="48" spans="1:8" x14ac:dyDescent="0.2">
      <c r="A48" s="3">
        <v>3040113002</v>
      </c>
      <c r="B48" s="4" t="s">
        <v>118</v>
      </c>
      <c r="C48" s="4" t="s">
        <v>119</v>
      </c>
      <c r="D48" s="3">
        <v>2</v>
      </c>
      <c r="E48" s="3" t="s">
        <v>16</v>
      </c>
      <c r="F48" s="3" t="s">
        <v>293</v>
      </c>
      <c r="G48" s="3" t="s">
        <v>29</v>
      </c>
      <c r="H48" s="3" t="s">
        <v>115</v>
      </c>
    </row>
    <row r="49" spans="1:8" x14ac:dyDescent="0.2">
      <c r="A49" s="3">
        <v>3040216001</v>
      </c>
      <c r="B49" s="4" t="s">
        <v>328</v>
      </c>
      <c r="C49" s="4" t="s">
        <v>329</v>
      </c>
      <c r="D49" s="3">
        <v>4</v>
      </c>
      <c r="E49" s="3" t="s">
        <v>16</v>
      </c>
      <c r="F49" s="3" t="s">
        <v>293</v>
      </c>
      <c r="G49" s="3" t="s">
        <v>29</v>
      </c>
      <c r="H49" s="3" t="s">
        <v>115</v>
      </c>
    </row>
    <row r="50" spans="1:8" x14ac:dyDescent="0.2">
      <c r="A50" s="3">
        <v>3050203003</v>
      </c>
      <c r="B50" s="4" t="s">
        <v>120</v>
      </c>
      <c r="C50" s="4" t="s">
        <v>457</v>
      </c>
      <c r="D50" s="3">
        <v>2</v>
      </c>
      <c r="E50" s="3" t="s">
        <v>16</v>
      </c>
      <c r="F50" s="3" t="s">
        <v>291</v>
      </c>
      <c r="G50" s="3" t="s">
        <v>26</v>
      </c>
      <c r="H50" s="3" t="s">
        <v>115</v>
      </c>
    </row>
    <row r="51" spans="1:8" x14ac:dyDescent="0.2">
      <c r="A51" s="3">
        <v>3030204008</v>
      </c>
      <c r="B51" s="4" t="s">
        <v>122</v>
      </c>
      <c r="C51" s="4" t="s">
        <v>123</v>
      </c>
      <c r="D51" s="3">
        <v>1</v>
      </c>
      <c r="E51" s="3" t="s">
        <v>16</v>
      </c>
      <c r="F51" s="3" t="s">
        <v>291</v>
      </c>
      <c r="G51" s="3" t="s">
        <v>26</v>
      </c>
      <c r="H51" s="3" t="s">
        <v>115</v>
      </c>
    </row>
    <row r="52" spans="1:8" x14ac:dyDescent="0.2">
      <c r="A52" s="3">
        <v>401040438</v>
      </c>
      <c r="B52" s="4" t="s">
        <v>35</v>
      </c>
      <c r="C52" s="4" t="s">
        <v>639</v>
      </c>
      <c r="D52" s="3">
        <v>1</v>
      </c>
      <c r="E52" s="3" t="s">
        <v>16</v>
      </c>
      <c r="F52" s="3" t="s">
        <v>291</v>
      </c>
      <c r="G52" s="3" t="s">
        <v>26</v>
      </c>
      <c r="H52" s="3" t="s">
        <v>134</v>
      </c>
    </row>
    <row r="53" spans="1:8" x14ac:dyDescent="0.2">
      <c r="A53" s="3">
        <v>3110207001</v>
      </c>
      <c r="B53" s="4" t="s">
        <v>140</v>
      </c>
      <c r="C53" s="4" t="s">
        <v>1173</v>
      </c>
      <c r="D53" s="3">
        <v>1</v>
      </c>
      <c r="E53" s="3" t="s">
        <v>16</v>
      </c>
      <c r="F53" s="3" t="s">
        <v>285</v>
      </c>
      <c r="G53" s="3" t="s">
        <v>142</v>
      </c>
      <c r="H53" s="3" t="s">
        <v>143</v>
      </c>
    </row>
    <row r="54" spans="1:8" x14ac:dyDescent="0.2">
      <c r="A54" s="3">
        <v>3030301005</v>
      </c>
      <c r="B54" s="4" t="s">
        <v>144</v>
      </c>
      <c r="C54" s="4" t="s">
        <v>145</v>
      </c>
      <c r="D54" s="3">
        <v>2</v>
      </c>
      <c r="E54" s="3" t="s">
        <v>16</v>
      </c>
      <c r="F54" s="3" t="s">
        <v>291</v>
      </c>
      <c r="G54" s="3" t="s">
        <v>26</v>
      </c>
      <c r="H54" s="3" t="s">
        <v>143</v>
      </c>
    </row>
    <row r="55" spans="1:8" x14ac:dyDescent="0.2">
      <c r="A55" s="3">
        <v>3110206001</v>
      </c>
      <c r="B55" s="4" t="s">
        <v>715</v>
      </c>
      <c r="C55" s="4" t="s">
        <v>1175</v>
      </c>
      <c r="D55" s="3">
        <v>1</v>
      </c>
      <c r="E55" s="3" t="s">
        <v>16</v>
      </c>
      <c r="F55" s="3" t="s">
        <v>285</v>
      </c>
      <c r="G55" s="3" t="s">
        <v>142</v>
      </c>
      <c r="H55" s="3" t="s">
        <v>143</v>
      </c>
    </row>
    <row r="56" spans="1:8" x14ac:dyDescent="0.2">
      <c r="A56" s="3">
        <v>3990205004</v>
      </c>
      <c r="B56" s="4" t="s">
        <v>146</v>
      </c>
      <c r="C56" s="4" t="s">
        <v>1283</v>
      </c>
      <c r="D56" s="3">
        <v>1</v>
      </c>
      <c r="E56" s="3" t="s">
        <v>16</v>
      </c>
      <c r="F56" s="3" t="s">
        <v>287</v>
      </c>
      <c r="G56" s="3" t="s">
        <v>148</v>
      </c>
      <c r="H56" s="3" t="s">
        <v>143</v>
      </c>
    </row>
    <row r="57" spans="1:8" x14ac:dyDescent="0.2">
      <c r="A57" s="3">
        <v>408050047</v>
      </c>
      <c r="B57" s="4" t="s">
        <v>810</v>
      </c>
      <c r="C57" s="4" t="s">
        <v>1312</v>
      </c>
      <c r="D57" s="3">
        <v>1</v>
      </c>
      <c r="E57" s="3" t="s">
        <v>16</v>
      </c>
      <c r="F57" s="3" t="s">
        <v>291</v>
      </c>
      <c r="G57" s="3" t="s">
        <v>26</v>
      </c>
      <c r="H57" s="3" t="s">
        <v>151</v>
      </c>
    </row>
    <row r="58" spans="1:8" x14ac:dyDescent="0.2">
      <c r="A58" s="3">
        <v>408990163</v>
      </c>
      <c r="B58" s="4" t="s">
        <v>1313</v>
      </c>
      <c r="C58" s="4" t="s">
        <v>1314</v>
      </c>
      <c r="D58" s="3">
        <v>1</v>
      </c>
      <c r="E58" s="3" t="s">
        <v>16</v>
      </c>
      <c r="F58" s="3" t="s">
        <v>291</v>
      </c>
      <c r="G58" s="3" t="s">
        <v>26</v>
      </c>
      <c r="H58" s="3" t="s">
        <v>151</v>
      </c>
    </row>
    <row r="59" spans="1:8" x14ac:dyDescent="0.2">
      <c r="A59" s="3">
        <v>408990164</v>
      </c>
      <c r="B59" s="4" t="s">
        <v>1313</v>
      </c>
      <c r="C59" s="4" t="s">
        <v>1315</v>
      </c>
      <c r="D59" s="3">
        <v>1</v>
      </c>
      <c r="E59" s="3" t="s">
        <v>16</v>
      </c>
      <c r="F59" s="3" t="s">
        <v>301</v>
      </c>
      <c r="G59" s="3" t="s">
        <v>32</v>
      </c>
      <c r="H59" s="3" t="s">
        <v>151</v>
      </c>
    </row>
    <row r="60" spans="1:8" x14ac:dyDescent="0.2">
      <c r="A60" s="3">
        <v>407010213</v>
      </c>
      <c r="B60" s="4" t="s">
        <v>149</v>
      </c>
      <c r="C60" s="4" t="s">
        <v>1316</v>
      </c>
      <c r="D60" s="3">
        <v>1</v>
      </c>
      <c r="E60" s="3" t="s">
        <v>16</v>
      </c>
      <c r="F60" s="3" t="s">
        <v>289</v>
      </c>
      <c r="G60" s="3" t="s">
        <v>23</v>
      </c>
      <c r="H60" s="3" t="s">
        <v>151</v>
      </c>
    </row>
    <row r="61" spans="1:8" x14ac:dyDescent="0.2">
      <c r="A61" s="3">
        <v>3060204002</v>
      </c>
      <c r="B61" s="4" t="s">
        <v>1176</v>
      </c>
      <c r="C61" s="4" t="s">
        <v>1177</v>
      </c>
      <c r="D61" s="3">
        <v>1</v>
      </c>
      <c r="E61" s="3" t="s">
        <v>16</v>
      </c>
      <c r="F61" s="3" t="s">
        <v>289</v>
      </c>
      <c r="G61" s="3" t="s">
        <v>23</v>
      </c>
      <c r="H61" s="3" t="s">
        <v>154</v>
      </c>
    </row>
    <row r="62" spans="1:8" x14ac:dyDescent="0.2">
      <c r="A62" s="3">
        <v>3060206002</v>
      </c>
      <c r="B62" s="4" t="s">
        <v>1178</v>
      </c>
      <c r="C62" s="4" t="s">
        <v>1179</v>
      </c>
      <c r="D62" s="3">
        <v>1</v>
      </c>
      <c r="E62" s="3" t="s">
        <v>16</v>
      </c>
      <c r="F62" s="3" t="s">
        <v>289</v>
      </c>
      <c r="G62" s="3" t="s">
        <v>23</v>
      </c>
      <c r="H62" s="3" t="s">
        <v>154</v>
      </c>
    </row>
    <row r="63" spans="1:8" x14ac:dyDescent="0.2">
      <c r="A63" s="3">
        <v>3060211003</v>
      </c>
      <c r="B63" s="4" t="s">
        <v>1180</v>
      </c>
      <c r="C63" s="4" t="s">
        <v>1181</v>
      </c>
      <c r="D63" s="3">
        <v>1</v>
      </c>
      <c r="E63" s="3" t="s">
        <v>16</v>
      </c>
      <c r="F63" s="3" t="s">
        <v>289</v>
      </c>
      <c r="G63" s="3" t="s">
        <v>23</v>
      </c>
      <c r="H63" s="3" t="s">
        <v>154</v>
      </c>
    </row>
    <row r="64" spans="1:8" x14ac:dyDescent="0.2">
      <c r="A64" s="3">
        <v>3050206006</v>
      </c>
      <c r="B64" s="4" t="s">
        <v>640</v>
      </c>
      <c r="C64" s="4" t="s">
        <v>641</v>
      </c>
      <c r="D64" s="3">
        <v>1</v>
      </c>
      <c r="E64" s="3" t="s">
        <v>16</v>
      </c>
      <c r="F64" s="3" t="s">
        <v>291</v>
      </c>
      <c r="G64" s="3" t="s">
        <v>26</v>
      </c>
      <c r="H64" s="3" t="s">
        <v>154</v>
      </c>
    </row>
    <row r="65" spans="1:8" x14ac:dyDescent="0.2">
      <c r="A65" s="3">
        <v>3060501015</v>
      </c>
      <c r="B65" s="4" t="s">
        <v>224</v>
      </c>
      <c r="C65" s="4" t="s">
        <v>1317</v>
      </c>
      <c r="D65" s="3">
        <v>1</v>
      </c>
      <c r="E65" s="3" t="s">
        <v>16</v>
      </c>
      <c r="F65" s="3" t="s">
        <v>289</v>
      </c>
      <c r="G65" s="3" t="s">
        <v>23</v>
      </c>
      <c r="H65" s="3" t="s">
        <v>165</v>
      </c>
    </row>
    <row r="66" spans="1:8" x14ac:dyDescent="0.2">
      <c r="A66" s="3">
        <v>3060328001</v>
      </c>
      <c r="B66" s="4" t="s">
        <v>1182</v>
      </c>
      <c r="C66" s="4" t="s">
        <v>1183</v>
      </c>
      <c r="D66" s="3">
        <v>1</v>
      </c>
      <c r="E66" s="3" t="s">
        <v>16</v>
      </c>
      <c r="F66" s="3" t="s">
        <v>289</v>
      </c>
      <c r="G66" s="3" t="s">
        <v>23</v>
      </c>
      <c r="H66" s="3" t="s">
        <v>165</v>
      </c>
    </row>
    <row r="67" spans="1:8" x14ac:dyDescent="0.2">
      <c r="A67" s="3">
        <v>3060328002</v>
      </c>
      <c r="B67" s="4" t="s">
        <v>1182</v>
      </c>
      <c r="C67" s="4" t="s">
        <v>1184</v>
      </c>
      <c r="D67" s="3">
        <v>1</v>
      </c>
      <c r="E67" s="3" t="s">
        <v>16</v>
      </c>
      <c r="F67" s="3" t="s">
        <v>289</v>
      </c>
      <c r="G67" s="3" t="s">
        <v>23</v>
      </c>
      <c r="H67" s="3" t="s">
        <v>165</v>
      </c>
    </row>
    <row r="68" spans="1:8" x14ac:dyDescent="0.2">
      <c r="A68" s="3">
        <v>3110103002</v>
      </c>
      <c r="B68" s="4" t="s">
        <v>473</v>
      </c>
      <c r="C68" s="4" t="s">
        <v>474</v>
      </c>
      <c r="D68" s="3">
        <v>1</v>
      </c>
      <c r="E68" s="3" t="s">
        <v>16</v>
      </c>
      <c r="F68" s="3" t="s">
        <v>291</v>
      </c>
      <c r="G68" s="3" t="s">
        <v>26</v>
      </c>
      <c r="H68" s="3" t="s">
        <v>165</v>
      </c>
    </row>
    <row r="69" spans="1:8" x14ac:dyDescent="0.2">
      <c r="A69" s="3">
        <v>3030314007</v>
      </c>
      <c r="B69" s="4" t="s">
        <v>477</v>
      </c>
      <c r="C69" s="4" t="s">
        <v>478</v>
      </c>
      <c r="D69" s="3">
        <v>1</v>
      </c>
      <c r="E69" s="3" t="s">
        <v>16</v>
      </c>
      <c r="F69" s="3" t="s">
        <v>291</v>
      </c>
      <c r="G69" s="3" t="s">
        <v>26</v>
      </c>
      <c r="H69" s="3" t="s">
        <v>165</v>
      </c>
    </row>
    <row r="70" spans="1:8" x14ac:dyDescent="0.2">
      <c r="A70" s="3">
        <v>3030308013</v>
      </c>
      <c r="B70" s="4" t="s">
        <v>479</v>
      </c>
      <c r="C70" s="4" t="s">
        <v>478</v>
      </c>
      <c r="D70" s="3">
        <v>1</v>
      </c>
      <c r="E70" s="3" t="s">
        <v>16</v>
      </c>
      <c r="F70" s="3" t="s">
        <v>291</v>
      </c>
      <c r="G70" s="3" t="s">
        <v>26</v>
      </c>
      <c r="H70" s="3" t="s">
        <v>165</v>
      </c>
    </row>
    <row r="71" spans="1:8" x14ac:dyDescent="0.2">
      <c r="A71" s="3">
        <v>3060304005</v>
      </c>
      <c r="B71" s="4" t="s">
        <v>1194</v>
      </c>
      <c r="C71" s="4" t="s">
        <v>1196</v>
      </c>
      <c r="D71" s="3">
        <v>3</v>
      </c>
      <c r="E71" s="3" t="s">
        <v>16</v>
      </c>
      <c r="F71" s="3" t="s">
        <v>289</v>
      </c>
      <c r="G71" s="3" t="s">
        <v>23</v>
      </c>
      <c r="H71" s="3" t="s">
        <v>173</v>
      </c>
    </row>
    <row r="72" spans="1:8" x14ac:dyDescent="0.2">
      <c r="A72" s="3">
        <v>3040309001</v>
      </c>
      <c r="B72" s="4" t="s">
        <v>346</v>
      </c>
      <c r="C72" s="4" t="s">
        <v>347</v>
      </c>
      <c r="D72" s="3">
        <v>8</v>
      </c>
      <c r="E72" s="3" t="s">
        <v>16</v>
      </c>
      <c r="F72" s="3" t="s">
        <v>293</v>
      </c>
      <c r="G72" s="3" t="s">
        <v>29</v>
      </c>
      <c r="H72" s="3" t="s">
        <v>173</v>
      </c>
    </row>
    <row r="73" spans="1:8" x14ac:dyDescent="0.2">
      <c r="A73" s="3">
        <v>3050304005</v>
      </c>
      <c r="B73" s="4" t="s">
        <v>181</v>
      </c>
      <c r="C73" s="4" t="s">
        <v>487</v>
      </c>
      <c r="D73" s="3">
        <v>1</v>
      </c>
      <c r="E73" s="3" t="s">
        <v>16</v>
      </c>
      <c r="F73" s="3" t="s">
        <v>291</v>
      </c>
      <c r="G73" s="3" t="s">
        <v>26</v>
      </c>
      <c r="H73" s="3" t="s">
        <v>173</v>
      </c>
    </row>
    <row r="74" spans="1:8" x14ac:dyDescent="0.2">
      <c r="A74" s="3">
        <v>3050305009</v>
      </c>
      <c r="B74" s="4" t="s">
        <v>1290</v>
      </c>
      <c r="C74" s="4" t="s">
        <v>487</v>
      </c>
      <c r="D74" s="3">
        <v>2</v>
      </c>
      <c r="E74" s="3" t="s">
        <v>16</v>
      </c>
      <c r="F74" s="3" t="s">
        <v>291</v>
      </c>
      <c r="G74" s="3" t="s">
        <v>26</v>
      </c>
      <c r="H74" s="3" t="s">
        <v>173</v>
      </c>
    </row>
    <row r="75" spans="1:8" x14ac:dyDescent="0.2">
      <c r="A75" s="3">
        <v>3020502014</v>
      </c>
      <c r="B75" s="4" t="s">
        <v>183</v>
      </c>
      <c r="C75" s="4" t="s">
        <v>1307</v>
      </c>
      <c r="D75" s="3">
        <v>1</v>
      </c>
      <c r="E75" s="3" t="s">
        <v>16</v>
      </c>
      <c r="F75" s="3" t="s">
        <v>291</v>
      </c>
      <c r="G75" s="3" t="s">
        <v>26</v>
      </c>
      <c r="H75" s="3" t="s">
        <v>185</v>
      </c>
    </row>
    <row r="76" spans="1:8" x14ac:dyDescent="0.2">
      <c r="A76" s="3">
        <v>3110203003</v>
      </c>
      <c r="B76" s="4" t="s">
        <v>189</v>
      </c>
      <c r="C76" s="4" t="s">
        <v>643</v>
      </c>
      <c r="D76" s="3">
        <v>1</v>
      </c>
      <c r="E76" s="3" t="s">
        <v>16</v>
      </c>
      <c r="F76" s="3" t="s">
        <v>291</v>
      </c>
      <c r="G76" s="3" t="s">
        <v>26</v>
      </c>
      <c r="H76" s="3" t="s">
        <v>187</v>
      </c>
    </row>
    <row r="77" spans="1:8" x14ac:dyDescent="0.2">
      <c r="A77" s="3">
        <v>403030054</v>
      </c>
      <c r="B77" s="4" t="s">
        <v>801</v>
      </c>
      <c r="C77" s="4" t="s">
        <v>1205</v>
      </c>
      <c r="D77" s="3">
        <v>1</v>
      </c>
      <c r="E77" s="3" t="s">
        <v>16</v>
      </c>
      <c r="F77" s="3" t="s">
        <v>301</v>
      </c>
      <c r="G77" s="3" t="s">
        <v>32</v>
      </c>
      <c r="H77" s="3" t="s">
        <v>198</v>
      </c>
    </row>
    <row r="78" spans="1:8" x14ac:dyDescent="0.2">
      <c r="A78" s="3">
        <v>401040473</v>
      </c>
      <c r="B78" s="4" t="s">
        <v>35</v>
      </c>
      <c r="C78" s="4" t="s">
        <v>645</v>
      </c>
      <c r="D78" s="3">
        <v>1</v>
      </c>
      <c r="E78" s="3" t="s">
        <v>16</v>
      </c>
      <c r="F78" s="3" t="s">
        <v>293</v>
      </c>
      <c r="G78" s="3" t="s">
        <v>29</v>
      </c>
      <c r="H78" s="3" t="s">
        <v>198</v>
      </c>
    </row>
    <row r="79" spans="1:8" x14ac:dyDescent="0.2">
      <c r="A79" s="3">
        <v>401070018</v>
      </c>
      <c r="B79" s="4" t="s">
        <v>35</v>
      </c>
      <c r="C79" s="4" t="s">
        <v>202</v>
      </c>
      <c r="D79" s="3">
        <v>1</v>
      </c>
      <c r="E79" s="3" t="s">
        <v>16</v>
      </c>
      <c r="F79" s="3" t="s">
        <v>291</v>
      </c>
      <c r="G79" s="3" t="s">
        <v>26</v>
      </c>
      <c r="H79" s="3" t="s">
        <v>198</v>
      </c>
    </row>
    <row r="80" spans="1:8" x14ac:dyDescent="0.2">
      <c r="A80" s="3">
        <v>401070022</v>
      </c>
      <c r="B80" s="4" t="s">
        <v>35</v>
      </c>
      <c r="C80" s="4" t="s">
        <v>203</v>
      </c>
      <c r="D80" s="3">
        <v>1</v>
      </c>
      <c r="E80" s="3" t="s">
        <v>16</v>
      </c>
      <c r="F80" s="3" t="s">
        <v>297</v>
      </c>
      <c r="G80" s="3" t="s">
        <v>204</v>
      </c>
      <c r="H80" s="3" t="s">
        <v>198</v>
      </c>
    </row>
    <row r="81" spans="1:8" x14ac:dyDescent="0.2">
      <c r="A81" s="3">
        <v>3020302019</v>
      </c>
      <c r="B81" s="4" t="s">
        <v>209</v>
      </c>
      <c r="C81" s="4" t="s">
        <v>1318</v>
      </c>
      <c r="D81" s="3">
        <v>1</v>
      </c>
      <c r="E81" s="3" t="s">
        <v>16</v>
      </c>
      <c r="F81" s="3" t="s">
        <v>301</v>
      </c>
      <c r="G81" s="3" t="s">
        <v>32</v>
      </c>
      <c r="H81" s="3" t="s">
        <v>211</v>
      </c>
    </row>
    <row r="82" spans="1:8" x14ac:dyDescent="0.2">
      <c r="A82" s="3">
        <v>3049904001</v>
      </c>
      <c r="B82" s="4" t="s">
        <v>354</v>
      </c>
      <c r="C82" s="4" t="s">
        <v>355</v>
      </c>
      <c r="D82" s="3">
        <v>4</v>
      </c>
      <c r="E82" s="3" t="s">
        <v>16</v>
      </c>
      <c r="F82" s="3" t="s">
        <v>293</v>
      </c>
      <c r="G82" s="3" t="s">
        <v>29</v>
      </c>
      <c r="H82" s="3" t="s">
        <v>214</v>
      </c>
    </row>
    <row r="83" spans="1:8" x14ac:dyDescent="0.2">
      <c r="A83" s="3">
        <v>3049902012</v>
      </c>
      <c r="B83" s="4" t="s">
        <v>518</v>
      </c>
      <c r="C83" s="4" t="s">
        <v>646</v>
      </c>
      <c r="D83" s="3">
        <v>2</v>
      </c>
      <c r="E83" s="3" t="s">
        <v>16</v>
      </c>
      <c r="F83" s="3" t="s">
        <v>293</v>
      </c>
      <c r="G83" s="3" t="s">
        <v>29</v>
      </c>
      <c r="H83" s="3" t="s">
        <v>214</v>
      </c>
    </row>
    <row r="84" spans="1:8" x14ac:dyDescent="0.2">
      <c r="A84" s="3">
        <v>3049902005</v>
      </c>
      <c r="B84" s="4" t="s">
        <v>356</v>
      </c>
      <c r="C84" s="4" t="s">
        <v>357</v>
      </c>
      <c r="D84" s="3">
        <v>2</v>
      </c>
      <c r="E84" s="3" t="s">
        <v>16</v>
      </c>
      <c r="F84" s="3" t="s">
        <v>293</v>
      </c>
      <c r="G84" s="3" t="s">
        <v>29</v>
      </c>
      <c r="H84" s="3" t="s">
        <v>214</v>
      </c>
    </row>
    <row r="85" spans="1:8" x14ac:dyDescent="0.2">
      <c r="A85" s="3">
        <v>408010104</v>
      </c>
      <c r="B85" s="4" t="s">
        <v>1319</v>
      </c>
      <c r="C85" s="4" t="s">
        <v>1320</v>
      </c>
      <c r="D85" s="3">
        <v>1</v>
      </c>
      <c r="E85" s="3" t="s">
        <v>16</v>
      </c>
      <c r="F85" s="3" t="s">
        <v>291</v>
      </c>
      <c r="G85" s="3" t="s">
        <v>26</v>
      </c>
      <c r="H85" s="3" t="s">
        <v>524</v>
      </c>
    </row>
    <row r="86" spans="1:8" x14ac:dyDescent="0.2">
      <c r="A86" s="3">
        <v>407050039</v>
      </c>
      <c r="B86" s="4" t="s">
        <v>1321</v>
      </c>
      <c r="C86" s="4" t="s">
        <v>1322</v>
      </c>
      <c r="D86" s="3">
        <v>1</v>
      </c>
      <c r="E86" s="3" t="s">
        <v>16</v>
      </c>
      <c r="F86" s="3" t="s">
        <v>289</v>
      </c>
      <c r="G86" s="3" t="s">
        <v>23</v>
      </c>
      <c r="H86" s="3" t="s">
        <v>524</v>
      </c>
    </row>
    <row r="87" spans="1:8" x14ac:dyDescent="0.2">
      <c r="A87" s="3">
        <v>408990240</v>
      </c>
      <c r="B87" s="4" t="s">
        <v>1323</v>
      </c>
      <c r="C87" s="4" t="s">
        <v>1324</v>
      </c>
      <c r="D87" s="3">
        <v>1</v>
      </c>
      <c r="E87" s="3" t="s">
        <v>16</v>
      </c>
      <c r="F87" s="3" t="s">
        <v>291</v>
      </c>
      <c r="G87" s="3" t="s">
        <v>26</v>
      </c>
      <c r="H87" s="3" t="s">
        <v>524</v>
      </c>
    </row>
    <row r="88" spans="1:8" x14ac:dyDescent="0.2">
      <c r="A88" s="3">
        <v>402050003</v>
      </c>
      <c r="B88" s="4" t="s">
        <v>1325</v>
      </c>
      <c r="C88" s="4" t="s">
        <v>1326</v>
      </c>
      <c r="D88" s="3">
        <v>1</v>
      </c>
      <c r="E88" s="3" t="s">
        <v>16</v>
      </c>
      <c r="F88" s="3" t="s">
        <v>289</v>
      </c>
      <c r="G88" s="3" t="s">
        <v>23</v>
      </c>
      <c r="H88" s="3" t="s">
        <v>524</v>
      </c>
    </row>
    <row r="89" spans="1:8" x14ac:dyDescent="0.2">
      <c r="A89" s="3">
        <v>4081200011</v>
      </c>
      <c r="B89" s="4" t="s">
        <v>525</v>
      </c>
      <c r="C89" s="4" t="s">
        <v>1246</v>
      </c>
      <c r="D89" s="3">
        <v>2</v>
      </c>
      <c r="E89" s="3" t="s">
        <v>16</v>
      </c>
      <c r="F89" s="3" t="s">
        <v>289</v>
      </c>
      <c r="G89" s="3" t="s">
        <v>23</v>
      </c>
      <c r="H89" s="3" t="s">
        <v>524</v>
      </c>
    </row>
    <row r="90" spans="1:8" x14ac:dyDescent="0.2">
      <c r="A90" s="3">
        <v>408120032</v>
      </c>
      <c r="B90" s="4" t="s">
        <v>525</v>
      </c>
      <c r="C90" s="4" t="s">
        <v>1210</v>
      </c>
      <c r="D90" s="3">
        <v>23</v>
      </c>
      <c r="E90" s="3" t="s">
        <v>16</v>
      </c>
      <c r="F90" s="3" t="s">
        <v>289</v>
      </c>
      <c r="G90" s="3" t="s">
        <v>23</v>
      </c>
      <c r="H90" s="3" t="s">
        <v>524</v>
      </c>
    </row>
    <row r="91" spans="1:8" x14ac:dyDescent="0.2">
      <c r="A91" s="3">
        <v>408120038</v>
      </c>
      <c r="B91" s="4" t="s">
        <v>525</v>
      </c>
      <c r="C91" s="4" t="s">
        <v>1247</v>
      </c>
      <c r="D91" s="3">
        <v>1</v>
      </c>
      <c r="E91" s="3" t="s">
        <v>16</v>
      </c>
      <c r="F91" s="3" t="s">
        <v>289</v>
      </c>
      <c r="G91" s="3" t="s">
        <v>23</v>
      </c>
      <c r="H91" s="3" t="s">
        <v>524</v>
      </c>
    </row>
    <row r="92" spans="1:8" x14ac:dyDescent="0.2">
      <c r="A92" s="3">
        <v>3040502063</v>
      </c>
      <c r="B92" s="4" t="s">
        <v>136</v>
      </c>
      <c r="C92" s="4" t="s">
        <v>648</v>
      </c>
      <c r="D92" s="3">
        <v>2</v>
      </c>
      <c r="E92" s="3" t="s">
        <v>16</v>
      </c>
      <c r="F92" s="3" t="s">
        <v>293</v>
      </c>
      <c r="G92" s="3" t="s">
        <v>29</v>
      </c>
      <c r="H92" s="3" t="s">
        <v>370</v>
      </c>
    </row>
    <row r="93" spans="1:8" x14ac:dyDescent="0.2">
      <c r="A93" s="3">
        <v>3060350003</v>
      </c>
      <c r="B93" s="4" t="s">
        <v>1215</v>
      </c>
      <c r="C93" s="4" t="s">
        <v>1216</v>
      </c>
      <c r="D93" s="3">
        <v>1</v>
      </c>
      <c r="E93" s="3" t="s">
        <v>16</v>
      </c>
      <c r="F93" s="3" t="s">
        <v>289</v>
      </c>
      <c r="G93" s="3" t="s">
        <v>23</v>
      </c>
      <c r="H93" s="3" t="s">
        <v>226</v>
      </c>
    </row>
    <row r="94" spans="1:8" x14ac:dyDescent="0.2">
      <c r="A94" s="3">
        <v>3060353006</v>
      </c>
      <c r="B94" s="4" t="s">
        <v>1217</v>
      </c>
      <c r="C94" s="4" t="s">
        <v>1232</v>
      </c>
      <c r="D94" s="3">
        <v>1</v>
      </c>
      <c r="E94" s="3" t="s">
        <v>16</v>
      </c>
      <c r="F94" s="3" t="s">
        <v>289</v>
      </c>
      <c r="G94" s="3" t="s">
        <v>23</v>
      </c>
      <c r="H94" s="3" t="s">
        <v>226</v>
      </c>
    </row>
    <row r="95" spans="1:8" x14ac:dyDescent="0.2">
      <c r="A95" s="3">
        <v>3060324003</v>
      </c>
      <c r="B95" s="4" t="s">
        <v>1185</v>
      </c>
      <c r="C95" s="4" t="s">
        <v>1249</v>
      </c>
      <c r="D95" s="3">
        <v>1</v>
      </c>
      <c r="E95" s="3" t="s">
        <v>16</v>
      </c>
      <c r="F95" s="3" t="s">
        <v>289</v>
      </c>
      <c r="G95" s="3" t="s">
        <v>23</v>
      </c>
      <c r="H95" s="3" t="s">
        <v>226</v>
      </c>
    </row>
    <row r="96" spans="1:8" x14ac:dyDescent="0.2">
      <c r="A96" s="3">
        <v>3060404053</v>
      </c>
      <c r="B96" s="4" t="s">
        <v>729</v>
      </c>
      <c r="C96" s="4" t="s">
        <v>1250</v>
      </c>
      <c r="D96" s="3">
        <v>1</v>
      </c>
      <c r="E96" s="3" t="s">
        <v>16</v>
      </c>
      <c r="F96" s="3" t="s">
        <v>289</v>
      </c>
      <c r="G96" s="3" t="s">
        <v>23</v>
      </c>
      <c r="H96" s="3" t="s">
        <v>226</v>
      </c>
    </row>
    <row r="97" spans="1:8" x14ac:dyDescent="0.2">
      <c r="A97" s="3">
        <v>3060316002</v>
      </c>
      <c r="B97" s="4" t="s">
        <v>1219</v>
      </c>
      <c r="C97" s="4" t="s">
        <v>1251</v>
      </c>
      <c r="D97" s="3">
        <v>1</v>
      </c>
      <c r="E97" s="3" t="s">
        <v>16</v>
      </c>
      <c r="F97" s="3" t="s">
        <v>289</v>
      </c>
      <c r="G97" s="3" t="s">
        <v>23</v>
      </c>
      <c r="H97" s="3" t="s">
        <v>226</v>
      </c>
    </row>
    <row r="98" spans="1:8" x14ac:dyDescent="0.2">
      <c r="A98" s="3">
        <v>3060313007</v>
      </c>
      <c r="B98" s="4" t="s">
        <v>1188</v>
      </c>
      <c r="C98" s="4" t="s">
        <v>1252</v>
      </c>
      <c r="D98" s="3">
        <v>1</v>
      </c>
      <c r="E98" s="3" t="s">
        <v>16</v>
      </c>
      <c r="F98" s="3" t="s">
        <v>289</v>
      </c>
      <c r="G98" s="3" t="s">
        <v>23</v>
      </c>
      <c r="H98" s="3" t="s">
        <v>226</v>
      </c>
    </row>
    <row r="99" spans="1:8" x14ac:dyDescent="0.2">
      <c r="A99" s="3">
        <v>3050305016</v>
      </c>
      <c r="B99" s="4" t="s">
        <v>527</v>
      </c>
      <c r="C99" s="4" t="s">
        <v>528</v>
      </c>
      <c r="D99" s="3">
        <v>1</v>
      </c>
      <c r="E99" s="3" t="s">
        <v>16</v>
      </c>
      <c r="F99" s="3" t="s">
        <v>291</v>
      </c>
      <c r="G99" s="3" t="s">
        <v>26</v>
      </c>
      <c r="H99" s="3" t="s">
        <v>226</v>
      </c>
    </row>
    <row r="100" spans="1:8" x14ac:dyDescent="0.2">
      <c r="A100" s="3">
        <v>3050305015</v>
      </c>
      <c r="B100" s="4" t="s">
        <v>529</v>
      </c>
      <c r="C100" s="4" t="s">
        <v>530</v>
      </c>
      <c r="D100" s="3">
        <v>1</v>
      </c>
      <c r="E100" s="3" t="s">
        <v>16</v>
      </c>
      <c r="F100" s="3" t="s">
        <v>291</v>
      </c>
      <c r="G100" s="3" t="s">
        <v>26</v>
      </c>
      <c r="H100" s="3" t="s">
        <v>226</v>
      </c>
    </row>
    <row r="101" spans="1:8" x14ac:dyDescent="0.2">
      <c r="A101" s="3">
        <v>3050306011</v>
      </c>
      <c r="B101" s="4" t="s">
        <v>531</v>
      </c>
      <c r="C101" s="4" t="s">
        <v>609</v>
      </c>
      <c r="D101" s="3">
        <v>1</v>
      </c>
      <c r="E101" s="3" t="s">
        <v>16</v>
      </c>
      <c r="F101" s="3" t="s">
        <v>291</v>
      </c>
      <c r="G101" s="3" t="s">
        <v>26</v>
      </c>
      <c r="H101" s="3" t="s">
        <v>226</v>
      </c>
    </row>
    <row r="102" spans="1:8" x14ac:dyDescent="0.2">
      <c r="A102" s="3">
        <v>3030303046</v>
      </c>
      <c r="B102" s="4" t="s">
        <v>649</v>
      </c>
      <c r="C102" s="4" t="s">
        <v>650</v>
      </c>
      <c r="D102" s="3">
        <v>1</v>
      </c>
      <c r="E102" s="3" t="s">
        <v>16</v>
      </c>
      <c r="F102" s="3" t="s">
        <v>291</v>
      </c>
      <c r="G102" s="3" t="s">
        <v>26</v>
      </c>
      <c r="H102" s="3" t="s">
        <v>226</v>
      </c>
    </row>
    <row r="103" spans="1:8" x14ac:dyDescent="0.2">
      <c r="A103" s="3">
        <v>3030303047</v>
      </c>
      <c r="B103" s="4" t="s">
        <v>651</v>
      </c>
      <c r="C103" s="4" t="s">
        <v>650</v>
      </c>
      <c r="D103" s="3">
        <v>1</v>
      </c>
      <c r="E103" s="3" t="s">
        <v>16</v>
      </c>
      <c r="F103" s="3" t="s">
        <v>291</v>
      </c>
      <c r="G103" s="3" t="s">
        <v>26</v>
      </c>
      <c r="H103" s="3" t="s">
        <v>226</v>
      </c>
    </row>
    <row r="104" spans="1:8" x14ac:dyDescent="0.2">
      <c r="A104" s="3">
        <v>3040312026</v>
      </c>
      <c r="B104" s="4" t="s">
        <v>263</v>
      </c>
      <c r="C104" s="4" t="s">
        <v>652</v>
      </c>
      <c r="D104" s="3">
        <v>2</v>
      </c>
      <c r="E104" s="3" t="s">
        <v>16</v>
      </c>
      <c r="F104" s="3" t="s">
        <v>293</v>
      </c>
      <c r="G104" s="3" t="s">
        <v>29</v>
      </c>
      <c r="H104" s="3" t="s">
        <v>226</v>
      </c>
    </row>
    <row r="105" spans="1:8" x14ac:dyDescent="0.2">
      <c r="A105" s="3">
        <v>3040303008</v>
      </c>
      <c r="B105" s="4" t="s">
        <v>265</v>
      </c>
      <c r="C105" s="4" t="s">
        <v>653</v>
      </c>
      <c r="D105" s="3">
        <v>2</v>
      </c>
      <c r="E105" s="3" t="s">
        <v>16</v>
      </c>
      <c r="F105" s="3" t="s">
        <v>293</v>
      </c>
      <c r="G105" s="3" t="s">
        <v>29</v>
      </c>
      <c r="H105" s="3" t="s">
        <v>226</v>
      </c>
    </row>
    <row r="106" spans="1:8" x14ac:dyDescent="0.2">
      <c r="A106" s="3">
        <v>3040320017</v>
      </c>
      <c r="B106" s="4" t="s">
        <v>269</v>
      </c>
      <c r="C106" s="4" t="s">
        <v>654</v>
      </c>
      <c r="D106" s="3">
        <v>1</v>
      </c>
      <c r="E106" s="3" t="s">
        <v>16</v>
      </c>
      <c r="F106" s="3" t="s">
        <v>293</v>
      </c>
      <c r="G106" s="3" t="s">
        <v>29</v>
      </c>
      <c r="H106" s="3" t="s">
        <v>226</v>
      </c>
    </row>
    <row r="107" spans="1:8" x14ac:dyDescent="0.2">
      <c r="A107" s="3">
        <v>3040320016</v>
      </c>
      <c r="B107" s="4" t="s">
        <v>269</v>
      </c>
      <c r="C107" s="4" t="s">
        <v>655</v>
      </c>
      <c r="D107" s="3">
        <v>1</v>
      </c>
      <c r="E107" s="3" t="s">
        <v>16</v>
      </c>
      <c r="F107" s="3" t="s">
        <v>293</v>
      </c>
      <c r="G107" s="3" t="s">
        <v>29</v>
      </c>
      <c r="H107" s="3" t="s">
        <v>226</v>
      </c>
    </row>
    <row r="108" spans="1:8" x14ac:dyDescent="0.2">
      <c r="A108" s="3">
        <v>3040113006</v>
      </c>
      <c r="B108" s="4" t="s">
        <v>500</v>
      </c>
      <c r="C108" s="4" t="s">
        <v>656</v>
      </c>
      <c r="D108" s="3">
        <v>1</v>
      </c>
      <c r="E108" s="3" t="s">
        <v>16</v>
      </c>
      <c r="F108" s="3" t="s">
        <v>293</v>
      </c>
      <c r="G108" s="3" t="s">
        <v>29</v>
      </c>
      <c r="H108" s="3" t="s">
        <v>226</v>
      </c>
    </row>
    <row r="109" spans="1:8" x14ac:dyDescent="0.2">
      <c r="A109" s="3">
        <v>3040113007</v>
      </c>
      <c r="B109" s="4" t="s">
        <v>500</v>
      </c>
      <c r="C109" s="4" t="s">
        <v>657</v>
      </c>
      <c r="D109" s="3">
        <v>1</v>
      </c>
      <c r="E109" s="3" t="s">
        <v>16</v>
      </c>
      <c r="F109" s="3" t="s">
        <v>293</v>
      </c>
      <c r="G109" s="3" t="s">
        <v>29</v>
      </c>
      <c r="H109" s="3" t="s">
        <v>226</v>
      </c>
    </row>
    <row r="110" spans="1:8" x14ac:dyDescent="0.2">
      <c r="A110" s="3">
        <v>3030313003</v>
      </c>
      <c r="B110" s="4" t="s">
        <v>217</v>
      </c>
      <c r="C110" s="4" t="s">
        <v>544</v>
      </c>
      <c r="D110" s="3">
        <v>8</v>
      </c>
      <c r="E110" s="3" t="s">
        <v>16</v>
      </c>
      <c r="F110" s="3" t="s">
        <v>291</v>
      </c>
      <c r="G110" s="3" t="s">
        <v>26</v>
      </c>
      <c r="H110" s="3" t="s">
        <v>226</v>
      </c>
    </row>
    <row r="111" spans="1:8" x14ac:dyDescent="0.2">
      <c r="A111" s="3">
        <v>3020101004</v>
      </c>
      <c r="B111" s="4" t="s">
        <v>239</v>
      </c>
      <c r="C111" s="4" t="s">
        <v>1098</v>
      </c>
      <c r="D111" s="3">
        <v>5</v>
      </c>
      <c r="E111" s="3" t="s">
        <v>16</v>
      </c>
      <c r="F111" s="3" t="s">
        <v>297</v>
      </c>
      <c r="G111" s="3" t="s">
        <v>204</v>
      </c>
      <c r="H111" s="3" t="s">
        <v>226</v>
      </c>
    </row>
    <row r="112" spans="1:8" x14ac:dyDescent="0.2">
      <c r="A112" s="3">
        <v>3991601007</v>
      </c>
      <c r="B112" s="4" t="s">
        <v>585</v>
      </c>
      <c r="C112" s="4" t="s">
        <v>1229</v>
      </c>
      <c r="D112" s="3">
        <v>4</v>
      </c>
      <c r="E112" s="3" t="s">
        <v>16</v>
      </c>
      <c r="F112" s="3" t="s">
        <v>289</v>
      </c>
      <c r="G112" s="3" t="s">
        <v>23</v>
      </c>
      <c r="H112" s="3" t="s">
        <v>226</v>
      </c>
    </row>
    <row r="113" spans="1:8" x14ac:dyDescent="0.2">
      <c r="A113" s="3">
        <v>3991601009</v>
      </c>
      <c r="B113" s="4" t="s">
        <v>585</v>
      </c>
      <c r="C113" s="4" t="s">
        <v>1230</v>
      </c>
      <c r="D113" s="3">
        <v>2</v>
      </c>
      <c r="E113" s="3" t="s">
        <v>16</v>
      </c>
      <c r="F113" s="3" t="s">
        <v>289</v>
      </c>
      <c r="G113" s="3" t="s">
        <v>23</v>
      </c>
      <c r="H113" s="3" t="s">
        <v>226</v>
      </c>
    </row>
    <row r="114" spans="1:8" x14ac:dyDescent="0.2">
      <c r="A114" s="3">
        <v>3050305019</v>
      </c>
      <c r="B114" s="4" t="s">
        <v>549</v>
      </c>
      <c r="C114" s="4" t="s">
        <v>530</v>
      </c>
      <c r="D114" s="3">
        <v>1</v>
      </c>
      <c r="E114" s="3" t="s">
        <v>16</v>
      </c>
      <c r="F114" s="3" t="s">
        <v>291</v>
      </c>
      <c r="G114" s="3" t="s">
        <v>26</v>
      </c>
      <c r="H114" s="3" t="s">
        <v>226</v>
      </c>
    </row>
    <row r="115" spans="1:8" x14ac:dyDescent="0.2">
      <c r="A115" s="3">
        <v>3050401019</v>
      </c>
      <c r="B115" s="4" t="s">
        <v>222</v>
      </c>
      <c r="C115" s="4" t="s">
        <v>658</v>
      </c>
      <c r="D115" s="3">
        <v>1</v>
      </c>
      <c r="E115" s="3" t="s">
        <v>16</v>
      </c>
      <c r="F115" s="3" t="s">
        <v>291</v>
      </c>
      <c r="G115" s="3" t="s">
        <v>26</v>
      </c>
      <c r="H115" s="3" t="s">
        <v>226</v>
      </c>
    </row>
    <row r="116" spans="1:8" x14ac:dyDescent="0.2">
      <c r="A116" s="3">
        <v>3050305026</v>
      </c>
      <c r="B116" s="4" t="s">
        <v>659</v>
      </c>
      <c r="C116" s="4" t="s">
        <v>660</v>
      </c>
      <c r="D116" s="3">
        <v>1</v>
      </c>
      <c r="E116" s="3" t="s">
        <v>16</v>
      </c>
      <c r="F116" s="3" t="s">
        <v>291</v>
      </c>
      <c r="G116" s="3" t="s">
        <v>26</v>
      </c>
      <c r="H116" s="3" t="s">
        <v>226</v>
      </c>
    </row>
    <row r="117" spans="1:8" x14ac:dyDescent="0.2">
      <c r="A117" s="3">
        <v>3050305027</v>
      </c>
      <c r="B117" s="4" t="s">
        <v>659</v>
      </c>
      <c r="C117" s="4" t="s">
        <v>661</v>
      </c>
      <c r="D117" s="3">
        <v>1</v>
      </c>
      <c r="E117" s="3" t="s">
        <v>16</v>
      </c>
      <c r="F117" s="3" t="s">
        <v>291</v>
      </c>
      <c r="G117" s="3" t="s">
        <v>26</v>
      </c>
      <c r="H117" s="3" t="s">
        <v>226</v>
      </c>
    </row>
    <row r="118" spans="1:8" x14ac:dyDescent="0.2">
      <c r="A118" s="3">
        <v>3080401031</v>
      </c>
      <c r="B118" s="4" t="s">
        <v>41</v>
      </c>
      <c r="C118" s="4" t="s">
        <v>551</v>
      </c>
      <c r="D118" s="3">
        <v>1</v>
      </c>
      <c r="E118" s="3" t="s">
        <v>16</v>
      </c>
      <c r="F118" s="3" t="s">
        <v>291</v>
      </c>
      <c r="G118" s="3" t="s">
        <v>26</v>
      </c>
      <c r="H118" s="3" t="s">
        <v>249</v>
      </c>
    </row>
    <row r="119" spans="1:8" x14ac:dyDescent="0.2">
      <c r="A119" s="3">
        <v>3060333011</v>
      </c>
      <c r="B119" s="4" t="s">
        <v>227</v>
      </c>
      <c r="C119" s="4" t="s">
        <v>1231</v>
      </c>
      <c r="D119" s="3">
        <v>1</v>
      </c>
      <c r="E119" s="3" t="s">
        <v>16</v>
      </c>
      <c r="F119" s="3" t="s">
        <v>289</v>
      </c>
      <c r="G119" s="3" t="s">
        <v>23</v>
      </c>
      <c r="H119" s="3" t="s">
        <v>254</v>
      </c>
    </row>
    <row r="120" spans="1:8" x14ac:dyDescent="0.2">
      <c r="A120" s="3">
        <v>3060401003</v>
      </c>
      <c r="B120" s="4" t="s">
        <v>727</v>
      </c>
      <c r="C120" s="4" t="s">
        <v>1232</v>
      </c>
      <c r="D120" s="3">
        <v>1</v>
      </c>
      <c r="E120" s="3" t="s">
        <v>16</v>
      </c>
      <c r="F120" s="3" t="s">
        <v>289</v>
      </c>
      <c r="G120" s="3" t="s">
        <v>23</v>
      </c>
      <c r="H120" s="3" t="s">
        <v>254</v>
      </c>
    </row>
    <row r="121" spans="1:8" x14ac:dyDescent="0.2">
      <c r="A121" s="3">
        <v>3060335013</v>
      </c>
      <c r="B121" s="4" t="s">
        <v>233</v>
      </c>
      <c r="C121" s="4" t="s">
        <v>1253</v>
      </c>
      <c r="D121" s="3">
        <v>1</v>
      </c>
      <c r="E121" s="3" t="s">
        <v>16</v>
      </c>
      <c r="F121" s="3" t="s">
        <v>289</v>
      </c>
      <c r="G121" s="3" t="s">
        <v>23</v>
      </c>
      <c r="H121" s="3" t="s">
        <v>254</v>
      </c>
    </row>
    <row r="122" spans="1:8" x14ac:dyDescent="0.2">
      <c r="A122" s="3">
        <v>3049902004</v>
      </c>
      <c r="B122" s="4" t="s">
        <v>383</v>
      </c>
      <c r="C122" s="4" t="s">
        <v>384</v>
      </c>
      <c r="D122" s="3">
        <v>2</v>
      </c>
      <c r="E122" s="3" t="s">
        <v>16</v>
      </c>
      <c r="F122" s="3" t="s">
        <v>293</v>
      </c>
      <c r="G122" s="3" t="s">
        <v>29</v>
      </c>
      <c r="H122" s="3" t="s">
        <v>254</v>
      </c>
    </row>
    <row r="123" spans="1:8" x14ac:dyDescent="0.2">
      <c r="A123" s="3">
        <v>3040326018</v>
      </c>
      <c r="B123" s="4" t="s">
        <v>385</v>
      </c>
      <c r="C123" s="4" t="s">
        <v>384</v>
      </c>
      <c r="D123" s="3">
        <v>2</v>
      </c>
      <c r="E123" s="3" t="s">
        <v>16</v>
      </c>
      <c r="F123" s="3" t="s">
        <v>293</v>
      </c>
      <c r="G123" s="3" t="s">
        <v>29</v>
      </c>
      <c r="H123" s="3" t="s">
        <v>254</v>
      </c>
    </row>
    <row r="124" spans="1:8" x14ac:dyDescent="0.2">
      <c r="A124" s="3">
        <v>3111601004</v>
      </c>
      <c r="B124" s="4" t="s">
        <v>585</v>
      </c>
      <c r="C124" s="4" t="s">
        <v>1235</v>
      </c>
      <c r="D124" s="3">
        <v>4</v>
      </c>
      <c r="E124" s="3" t="s">
        <v>16</v>
      </c>
      <c r="F124" s="3" t="s">
        <v>289</v>
      </c>
      <c r="G124" s="3" t="s">
        <v>23</v>
      </c>
      <c r="H124" s="3" t="s">
        <v>254</v>
      </c>
    </row>
    <row r="125" spans="1:8" x14ac:dyDescent="0.2">
      <c r="A125" s="3">
        <v>3111601003</v>
      </c>
      <c r="B125" s="4" t="s">
        <v>585</v>
      </c>
      <c r="C125" s="4" t="s">
        <v>586</v>
      </c>
      <c r="D125" s="3">
        <v>13</v>
      </c>
      <c r="E125" s="3" t="s">
        <v>16</v>
      </c>
      <c r="F125" s="3" t="s">
        <v>289</v>
      </c>
      <c r="G125" s="3" t="s">
        <v>23</v>
      </c>
      <c r="H125" s="3" t="s">
        <v>254</v>
      </c>
    </row>
    <row r="126" spans="1:8" x14ac:dyDescent="0.2">
      <c r="A126" s="3">
        <v>3060340003</v>
      </c>
      <c r="B126" s="4" t="s">
        <v>725</v>
      </c>
      <c r="C126" s="4" t="s">
        <v>1236</v>
      </c>
      <c r="D126" s="3">
        <v>1</v>
      </c>
      <c r="E126" s="3" t="s">
        <v>16</v>
      </c>
      <c r="F126" s="3" t="s">
        <v>289</v>
      </c>
      <c r="G126" s="3" t="s">
        <v>23</v>
      </c>
      <c r="H126" s="3" t="s">
        <v>254</v>
      </c>
    </row>
    <row r="127" spans="1:8" x14ac:dyDescent="0.2">
      <c r="A127" s="3">
        <v>3060339004</v>
      </c>
      <c r="B127" s="4" t="s">
        <v>737</v>
      </c>
      <c r="C127" s="4" t="s">
        <v>1253</v>
      </c>
      <c r="D127" s="3">
        <v>1</v>
      </c>
      <c r="E127" s="3" t="s">
        <v>16</v>
      </c>
      <c r="F127" s="3" t="s">
        <v>289</v>
      </c>
      <c r="G127" s="3" t="s">
        <v>23</v>
      </c>
      <c r="H127" s="3" t="s">
        <v>254</v>
      </c>
    </row>
    <row r="128" spans="1:8" x14ac:dyDescent="0.2">
      <c r="A128" s="3">
        <v>3050303008</v>
      </c>
      <c r="B128" s="4" t="s">
        <v>245</v>
      </c>
      <c r="C128" s="4" t="s">
        <v>540</v>
      </c>
      <c r="D128" s="3">
        <v>1</v>
      </c>
      <c r="E128" s="3" t="s">
        <v>16</v>
      </c>
      <c r="F128" s="3" t="s">
        <v>291</v>
      </c>
      <c r="G128" s="3" t="s">
        <v>26</v>
      </c>
      <c r="H128" s="3" t="s">
        <v>254</v>
      </c>
    </row>
  </sheetData>
  <phoneticPr fontId="2" type="noConversion"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D26DE-941D-448F-A82E-805BFF109148}">
  <dimension ref="A1:H224"/>
  <sheetViews>
    <sheetView workbookViewId="0">
      <selection activeCell="D3" sqref="D3"/>
    </sheetView>
  </sheetViews>
  <sheetFormatPr defaultRowHeight="14.25" x14ac:dyDescent="0.2"/>
  <cols>
    <col min="1" max="1" width="11.375" customWidth="1"/>
    <col min="2" max="3" width="12.25" customWidth="1"/>
  </cols>
  <sheetData>
    <row r="1" spans="1:8" x14ac:dyDescent="0.2">
      <c r="A1" s="3" t="s">
        <v>1409</v>
      </c>
      <c r="B1" s="4"/>
      <c r="C1" s="4"/>
      <c r="D1" s="3"/>
      <c r="E1" s="3"/>
      <c r="F1" s="3"/>
      <c r="G1" s="3"/>
      <c r="H1" s="3"/>
    </row>
    <row r="2" spans="1:8" ht="28.5" x14ac:dyDescent="0.2">
      <c r="A2" s="1" t="s">
        <v>0</v>
      </c>
      <c r="B2" s="2" t="s">
        <v>1</v>
      </c>
      <c r="C2" s="2" t="s">
        <v>2</v>
      </c>
      <c r="D2" s="1" t="s">
        <v>4</v>
      </c>
      <c r="E2" s="1" t="s">
        <v>3</v>
      </c>
      <c r="F2" s="1" t="s">
        <v>5</v>
      </c>
      <c r="G2" s="1" t="s">
        <v>6</v>
      </c>
      <c r="H2" s="1" t="s">
        <v>7</v>
      </c>
    </row>
    <row r="3" spans="1:8" s="10" customFormat="1" x14ac:dyDescent="0.2">
      <c r="A3" s="8" t="s">
        <v>390</v>
      </c>
      <c r="B3" s="9" t="s">
        <v>8</v>
      </c>
      <c r="C3" s="9" t="s">
        <v>9</v>
      </c>
      <c r="D3" s="13">
        <f>0.4021/0.94</f>
        <v>0.42776595744680856</v>
      </c>
      <c r="E3" s="8" t="s">
        <v>596</v>
      </c>
      <c r="F3" s="8" t="s">
        <v>283</v>
      </c>
      <c r="G3" s="8" t="s">
        <v>13</v>
      </c>
      <c r="H3" s="8" t="s">
        <v>12</v>
      </c>
    </row>
    <row r="4" spans="1:8" x14ac:dyDescent="0.2">
      <c r="A4" s="3">
        <v>402030028</v>
      </c>
      <c r="B4" s="4" t="s">
        <v>107</v>
      </c>
      <c r="C4" s="4" t="s">
        <v>305</v>
      </c>
      <c r="D4" s="3">
        <v>1</v>
      </c>
      <c r="E4" s="3" t="s">
        <v>16</v>
      </c>
      <c r="F4" s="3" t="s">
        <v>289</v>
      </c>
      <c r="G4" s="3" t="s">
        <v>23</v>
      </c>
      <c r="H4" s="3" t="s">
        <v>306</v>
      </c>
    </row>
    <row r="5" spans="1:8" x14ac:dyDescent="0.2">
      <c r="A5" s="3">
        <v>3099980014</v>
      </c>
      <c r="B5" s="4" t="s">
        <v>391</v>
      </c>
      <c r="C5" s="4" t="s">
        <v>392</v>
      </c>
      <c r="D5" s="3">
        <v>1</v>
      </c>
      <c r="E5" s="3" t="s">
        <v>16</v>
      </c>
      <c r="F5" s="3" t="s">
        <v>291</v>
      </c>
      <c r="G5" s="3" t="s">
        <v>26</v>
      </c>
      <c r="H5" s="3" t="s">
        <v>393</v>
      </c>
    </row>
    <row r="6" spans="1:8" x14ac:dyDescent="0.2">
      <c r="A6" s="3">
        <v>3030314005</v>
      </c>
      <c r="B6" s="4" t="s">
        <v>394</v>
      </c>
      <c r="C6" s="4" t="s">
        <v>395</v>
      </c>
      <c r="D6" s="3">
        <v>1</v>
      </c>
      <c r="E6" s="3" t="s">
        <v>16</v>
      </c>
      <c r="F6" s="3" t="s">
        <v>291</v>
      </c>
      <c r="G6" s="3" t="s">
        <v>26</v>
      </c>
      <c r="H6" s="3" t="s">
        <v>18</v>
      </c>
    </row>
    <row r="7" spans="1:8" x14ac:dyDescent="0.2">
      <c r="A7" s="3">
        <v>3030210001</v>
      </c>
      <c r="B7" s="4" t="s">
        <v>396</v>
      </c>
      <c r="C7" s="4" t="s">
        <v>397</v>
      </c>
      <c r="D7" s="3">
        <v>1</v>
      </c>
      <c r="E7" s="3" t="s">
        <v>16</v>
      </c>
      <c r="F7" s="3" t="s">
        <v>295</v>
      </c>
      <c r="G7" s="3" t="s">
        <v>17</v>
      </c>
      <c r="H7" s="3" t="s">
        <v>18</v>
      </c>
    </row>
    <row r="8" spans="1:8" x14ac:dyDescent="0.2">
      <c r="A8" s="3">
        <v>3080301001</v>
      </c>
      <c r="B8" s="4" t="s">
        <v>247</v>
      </c>
      <c r="C8" s="4" t="s">
        <v>398</v>
      </c>
      <c r="D8" s="3">
        <v>1</v>
      </c>
      <c r="E8" s="3" t="s">
        <v>16</v>
      </c>
      <c r="F8" s="3" t="s">
        <v>295</v>
      </c>
      <c r="G8" s="3" t="s">
        <v>17</v>
      </c>
      <c r="H8" s="3" t="s">
        <v>18</v>
      </c>
    </row>
    <row r="9" spans="1:8" x14ac:dyDescent="0.2">
      <c r="A9" s="3">
        <v>3040201001</v>
      </c>
      <c r="B9" s="4" t="s">
        <v>399</v>
      </c>
      <c r="C9" s="4" t="s">
        <v>400</v>
      </c>
      <c r="D9" s="3">
        <v>2</v>
      </c>
      <c r="E9" s="3" t="s">
        <v>16</v>
      </c>
      <c r="F9" s="3" t="s">
        <v>293</v>
      </c>
      <c r="G9" s="3" t="s">
        <v>29</v>
      </c>
      <c r="H9" s="3" t="s">
        <v>18</v>
      </c>
    </row>
    <row r="10" spans="1:8" x14ac:dyDescent="0.2">
      <c r="A10" s="3">
        <v>3030202002</v>
      </c>
      <c r="B10" s="4" t="s">
        <v>401</v>
      </c>
      <c r="C10" s="4" t="s">
        <v>402</v>
      </c>
      <c r="D10" s="3">
        <v>1</v>
      </c>
      <c r="E10" s="3" t="s">
        <v>16</v>
      </c>
      <c r="F10" s="3" t="s">
        <v>295</v>
      </c>
      <c r="G10" s="3" t="s">
        <v>17</v>
      </c>
      <c r="H10" s="3" t="s">
        <v>18</v>
      </c>
    </row>
    <row r="11" spans="1:8" x14ac:dyDescent="0.2">
      <c r="A11" s="3">
        <v>3030202003</v>
      </c>
      <c r="B11" s="4" t="s">
        <v>403</v>
      </c>
      <c r="C11" s="4" t="s">
        <v>404</v>
      </c>
      <c r="D11" s="3">
        <v>1</v>
      </c>
      <c r="E11" s="3" t="s">
        <v>16</v>
      </c>
      <c r="F11" s="3" t="s">
        <v>295</v>
      </c>
      <c r="G11" s="3" t="s">
        <v>17</v>
      </c>
      <c r="H11" s="3" t="s">
        <v>18</v>
      </c>
    </row>
    <row r="12" spans="1:8" x14ac:dyDescent="0.2">
      <c r="A12" s="3">
        <v>3030212001</v>
      </c>
      <c r="B12" s="4" t="s">
        <v>405</v>
      </c>
      <c r="C12" s="4" t="s">
        <v>406</v>
      </c>
      <c r="D12" s="3">
        <v>1</v>
      </c>
      <c r="E12" s="3" t="s">
        <v>16</v>
      </c>
      <c r="F12" s="3" t="s">
        <v>295</v>
      </c>
      <c r="G12" s="3" t="s">
        <v>17</v>
      </c>
      <c r="H12" s="3" t="s">
        <v>18</v>
      </c>
    </row>
    <row r="13" spans="1:8" x14ac:dyDescent="0.2">
      <c r="A13" s="3">
        <v>3030206003</v>
      </c>
      <c r="B13" s="4" t="s">
        <v>407</v>
      </c>
      <c r="C13" s="4" t="s">
        <v>408</v>
      </c>
      <c r="D13" s="3">
        <v>1</v>
      </c>
      <c r="E13" s="3" t="s">
        <v>16</v>
      </c>
      <c r="F13" s="3" t="s">
        <v>295</v>
      </c>
      <c r="G13" s="3" t="s">
        <v>17</v>
      </c>
      <c r="H13" s="3" t="s">
        <v>18</v>
      </c>
    </row>
    <row r="14" spans="1:8" x14ac:dyDescent="0.2">
      <c r="A14" s="3">
        <v>3070102006</v>
      </c>
      <c r="B14" s="4" t="s">
        <v>1328</v>
      </c>
      <c r="C14" s="4" t="s">
        <v>1329</v>
      </c>
      <c r="D14" s="3">
        <v>1</v>
      </c>
      <c r="E14" s="3" t="s">
        <v>16</v>
      </c>
      <c r="F14" s="3" t="s">
        <v>289</v>
      </c>
      <c r="G14" s="3" t="s">
        <v>23</v>
      </c>
      <c r="H14" s="3" t="s">
        <v>18</v>
      </c>
    </row>
    <row r="15" spans="1:8" x14ac:dyDescent="0.2">
      <c r="A15" s="3">
        <v>3070102005</v>
      </c>
      <c r="B15" s="4" t="s">
        <v>1330</v>
      </c>
      <c r="C15" s="4" t="s">
        <v>1331</v>
      </c>
      <c r="D15" s="3">
        <v>1</v>
      </c>
      <c r="E15" s="3" t="s">
        <v>16</v>
      </c>
      <c r="F15" s="3" t="s">
        <v>317</v>
      </c>
      <c r="G15" s="3" t="s">
        <v>318</v>
      </c>
      <c r="H15" s="3" t="s">
        <v>18</v>
      </c>
    </row>
    <row r="16" spans="1:8" x14ac:dyDescent="0.2">
      <c r="A16" s="3">
        <v>3050207003</v>
      </c>
      <c r="B16" s="4" t="s">
        <v>1108</v>
      </c>
      <c r="C16" s="4" t="s">
        <v>1109</v>
      </c>
      <c r="D16" s="3">
        <v>1</v>
      </c>
      <c r="E16" s="3" t="s">
        <v>16</v>
      </c>
      <c r="F16" s="3" t="s">
        <v>291</v>
      </c>
      <c r="G16" s="3" t="s">
        <v>26</v>
      </c>
      <c r="H16" s="3" t="s">
        <v>18</v>
      </c>
    </row>
    <row r="17" spans="1:8" x14ac:dyDescent="0.2">
      <c r="A17" s="3">
        <v>3080312001</v>
      </c>
      <c r="B17" s="4" t="s">
        <v>1110</v>
      </c>
      <c r="C17" s="4" t="s">
        <v>1111</v>
      </c>
      <c r="D17" s="3">
        <v>1</v>
      </c>
      <c r="E17" s="3" t="s">
        <v>16</v>
      </c>
      <c r="F17" s="3" t="s">
        <v>291</v>
      </c>
      <c r="G17" s="3" t="s">
        <v>26</v>
      </c>
      <c r="H17" s="3" t="s">
        <v>18</v>
      </c>
    </row>
    <row r="18" spans="1:8" x14ac:dyDescent="0.2">
      <c r="A18" s="3">
        <v>404010093</v>
      </c>
      <c r="B18" s="4" t="s">
        <v>30</v>
      </c>
      <c r="C18" s="4" t="s">
        <v>1332</v>
      </c>
      <c r="D18" s="3">
        <v>1</v>
      </c>
      <c r="E18" s="3" t="s">
        <v>16</v>
      </c>
      <c r="F18" s="3" t="s">
        <v>301</v>
      </c>
      <c r="G18" s="3" t="s">
        <v>32</v>
      </c>
      <c r="H18" s="3" t="s">
        <v>33</v>
      </c>
    </row>
    <row r="19" spans="1:8" x14ac:dyDescent="0.2">
      <c r="A19" s="3">
        <v>404020072</v>
      </c>
      <c r="B19" s="4" t="s">
        <v>30</v>
      </c>
      <c r="C19" s="4" t="s">
        <v>308</v>
      </c>
      <c r="D19" s="3">
        <v>1</v>
      </c>
      <c r="E19" s="3" t="s">
        <v>16</v>
      </c>
      <c r="F19" s="3" t="s">
        <v>301</v>
      </c>
      <c r="G19" s="3" t="s">
        <v>32</v>
      </c>
      <c r="H19" s="3" t="s">
        <v>33</v>
      </c>
    </row>
    <row r="20" spans="1:8" x14ac:dyDescent="0.2">
      <c r="A20" s="3">
        <v>401020235</v>
      </c>
      <c r="B20" s="4" t="s">
        <v>35</v>
      </c>
      <c r="C20" s="4" t="s">
        <v>1333</v>
      </c>
      <c r="D20" s="3">
        <v>1</v>
      </c>
      <c r="E20" s="3" t="s">
        <v>16</v>
      </c>
      <c r="F20" s="3" t="s">
        <v>301</v>
      </c>
      <c r="G20" s="3" t="s">
        <v>32</v>
      </c>
      <c r="H20" s="3" t="s">
        <v>33</v>
      </c>
    </row>
    <row r="21" spans="1:8" x14ac:dyDescent="0.2">
      <c r="A21" s="3">
        <v>3080101002</v>
      </c>
      <c r="B21" s="4" t="s">
        <v>411</v>
      </c>
      <c r="C21" s="4" t="s">
        <v>413</v>
      </c>
      <c r="D21" s="3">
        <v>16</v>
      </c>
      <c r="E21" s="3" t="s">
        <v>16</v>
      </c>
      <c r="F21" s="3" t="s">
        <v>289</v>
      </c>
      <c r="G21" s="3" t="s">
        <v>23</v>
      </c>
      <c r="H21" s="3" t="s">
        <v>40</v>
      </c>
    </row>
    <row r="22" spans="1:8" x14ac:dyDescent="0.2">
      <c r="A22" s="3">
        <v>3080101015</v>
      </c>
      <c r="B22" s="4" t="s">
        <v>411</v>
      </c>
      <c r="C22" s="4" t="s">
        <v>412</v>
      </c>
      <c r="D22" s="3">
        <v>2</v>
      </c>
      <c r="E22" s="3" t="s">
        <v>16</v>
      </c>
      <c r="F22" s="3" t="s">
        <v>293</v>
      </c>
      <c r="G22" s="3" t="s">
        <v>29</v>
      </c>
      <c r="H22" s="3" t="s">
        <v>40</v>
      </c>
    </row>
    <row r="23" spans="1:8" x14ac:dyDescent="0.2">
      <c r="A23" s="3">
        <v>3080101002</v>
      </c>
      <c r="B23" s="4" t="s">
        <v>411</v>
      </c>
      <c r="C23" s="4" t="s">
        <v>413</v>
      </c>
      <c r="D23" s="3">
        <v>10</v>
      </c>
      <c r="E23" s="3" t="s">
        <v>16</v>
      </c>
      <c r="F23" s="3" t="s">
        <v>317</v>
      </c>
      <c r="G23" s="3" t="s">
        <v>318</v>
      </c>
      <c r="H23" s="3" t="s">
        <v>40</v>
      </c>
    </row>
    <row r="24" spans="1:8" x14ac:dyDescent="0.2">
      <c r="A24" s="3">
        <v>3080101002</v>
      </c>
      <c r="B24" s="4" t="s">
        <v>411</v>
      </c>
      <c r="C24" s="4" t="s">
        <v>413</v>
      </c>
      <c r="D24" s="3">
        <v>2</v>
      </c>
      <c r="E24" s="3" t="s">
        <v>16</v>
      </c>
      <c r="F24" s="3" t="s">
        <v>291</v>
      </c>
      <c r="G24" s="3" t="s">
        <v>26</v>
      </c>
      <c r="H24" s="3" t="s">
        <v>40</v>
      </c>
    </row>
    <row r="25" spans="1:8" x14ac:dyDescent="0.2">
      <c r="A25" s="3">
        <v>3080108028</v>
      </c>
      <c r="B25" s="4" t="s">
        <v>411</v>
      </c>
      <c r="C25" s="4" t="s">
        <v>1334</v>
      </c>
      <c r="D25" s="3">
        <v>1</v>
      </c>
      <c r="E25" s="3" t="s">
        <v>16</v>
      </c>
      <c r="F25" s="3" t="s">
        <v>291</v>
      </c>
      <c r="G25" s="3" t="s">
        <v>26</v>
      </c>
      <c r="H25" s="3" t="s">
        <v>40</v>
      </c>
    </row>
    <row r="26" spans="1:8" x14ac:dyDescent="0.2">
      <c r="A26" s="3">
        <v>3080401064</v>
      </c>
      <c r="B26" s="4" t="s">
        <v>41</v>
      </c>
      <c r="C26" s="4" t="s">
        <v>414</v>
      </c>
      <c r="D26" s="3">
        <v>1</v>
      </c>
      <c r="E26" s="3" t="s">
        <v>16</v>
      </c>
      <c r="F26" s="3" t="s">
        <v>295</v>
      </c>
      <c r="G26" s="3" t="s">
        <v>17</v>
      </c>
      <c r="H26" s="3" t="s">
        <v>40</v>
      </c>
    </row>
    <row r="27" spans="1:8" x14ac:dyDescent="0.2">
      <c r="A27" s="3">
        <v>3080401016</v>
      </c>
      <c r="B27" s="4" t="s">
        <v>41</v>
      </c>
      <c r="C27" s="4" t="s">
        <v>415</v>
      </c>
      <c r="D27" s="3">
        <v>1</v>
      </c>
      <c r="E27" s="3" t="s">
        <v>16</v>
      </c>
      <c r="F27" s="3" t="s">
        <v>295</v>
      </c>
      <c r="G27" s="3" t="s">
        <v>17</v>
      </c>
      <c r="H27" s="3" t="s">
        <v>40</v>
      </c>
    </row>
    <row r="28" spans="1:8" x14ac:dyDescent="0.2">
      <c r="A28" s="3">
        <v>3080401007</v>
      </c>
      <c r="B28" s="4" t="s">
        <v>41</v>
      </c>
      <c r="C28" s="4" t="s">
        <v>416</v>
      </c>
      <c r="D28" s="3">
        <v>2</v>
      </c>
      <c r="E28" s="3" t="s">
        <v>16</v>
      </c>
      <c r="F28" s="3" t="s">
        <v>293</v>
      </c>
      <c r="G28" s="3" t="s">
        <v>29</v>
      </c>
      <c r="H28" s="3" t="s">
        <v>40</v>
      </c>
    </row>
    <row r="29" spans="1:8" x14ac:dyDescent="0.2">
      <c r="A29" s="3">
        <v>3080401014</v>
      </c>
      <c r="B29" s="4" t="s">
        <v>41</v>
      </c>
      <c r="C29" s="4" t="s">
        <v>417</v>
      </c>
      <c r="D29" s="3">
        <v>4</v>
      </c>
      <c r="E29" s="3" t="s">
        <v>16</v>
      </c>
      <c r="F29" s="3" t="s">
        <v>291</v>
      </c>
      <c r="G29" s="3" t="s">
        <v>26</v>
      </c>
      <c r="H29" s="3" t="s">
        <v>40</v>
      </c>
    </row>
    <row r="30" spans="1:8" x14ac:dyDescent="0.2">
      <c r="A30" s="3">
        <v>3080104009</v>
      </c>
      <c r="B30" s="4" t="s">
        <v>45</v>
      </c>
      <c r="C30" s="4" t="s">
        <v>1335</v>
      </c>
      <c r="D30" s="3">
        <v>2</v>
      </c>
      <c r="E30" s="3" t="s">
        <v>16</v>
      </c>
      <c r="F30" s="3" t="s">
        <v>289</v>
      </c>
      <c r="G30" s="3" t="s">
        <v>23</v>
      </c>
      <c r="H30" s="3" t="s">
        <v>40</v>
      </c>
    </row>
    <row r="31" spans="1:8" x14ac:dyDescent="0.2">
      <c r="A31" s="3">
        <v>3080104007</v>
      </c>
      <c r="B31" s="4" t="s">
        <v>45</v>
      </c>
      <c r="C31" s="4" t="s">
        <v>1336</v>
      </c>
      <c r="D31" s="3">
        <v>2</v>
      </c>
      <c r="E31" s="3" t="s">
        <v>16</v>
      </c>
      <c r="F31" s="3" t="s">
        <v>289</v>
      </c>
      <c r="G31" s="3" t="s">
        <v>23</v>
      </c>
      <c r="H31" s="3" t="s">
        <v>40</v>
      </c>
    </row>
    <row r="32" spans="1:8" x14ac:dyDescent="0.2">
      <c r="A32" s="3">
        <v>3080104040</v>
      </c>
      <c r="B32" s="4" t="s">
        <v>45</v>
      </c>
      <c r="C32" s="4" t="s">
        <v>859</v>
      </c>
      <c r="D32" s="3">
        <v>8</v>
      </c>
      <c r="E32" s="3" t="s">
        <v>16</v>
      </c>
      <c r="F32" s="3" t="s">
        <v>289</v>
      </c>
      <c r="G32" s="3" t="s">
        <v>23</v>
      </c>
      <c r="H32" s="3" t="s">
        <v>40</v>
      </c>
    </row>
    <row r="33" spans="1:8" x14ac:dyDescent="0.2">
      <c r="A33" s="3">
        <v>3080104018</v>
      </c>
      <c r="B33" s="4" t="s">
        <v>45</v>
      </c>
      <c r="C33" s="4" t="s">
        <v>418</v>
      </c>
      <c r="D33" s="3">
        <v>2</v>
      </c>
      <c r="E33" s="3" t="s">
        <v>16</v>
      </c>
      <c r="F33" s="3" t="s">
        <v>293</v>
      </c>
      <c r="G33" s="3" t="s">
        <v>29</v>
      </c>
      <c r="H33" s="3" t="s">
        <v>40</v>
      </c>
    </row>
    <row r="34" spans="1:8" x14ac:dyDescent="0.2">
      <c r="A34" s="3">
        <v>3080104100</v>
      </c>
      <c r="B34" s="4" t="s">
        <v>45</v>
      </c>
      <c r="C34" s="4" t="s">
        <v>1337</v>
      </c>
      <c r="D34" s="3">
        <v>2</v>
      </c>
      <c r="E34" s="3" t="s">
        <v>16</v>
      </c>
      <c r="F34" s="3" t="s">
        <v>291</v>
      </c>
      <c r="G34" s="3" t="s">
        <v>26</v>
      </c>
      <c r="H34" s="3" t="s">
        <v>40</v>
      </c>
    </row>
    <row r="35" spans="1:8" x14ac:dyDescent="0.2">
      <c r="A35" s="3">
        <v>3080104035</v>
      </c>
      <c r="B35" s="4" t="s">
        <v>45</v>
      </c>
      <c r="C35" s="4" t="s">
        <v>1338</v>
      </c>
      <c r="D35" s="3">
        <v>2</v>
      </c>
      <c r="E35" s="3" t="s">
        <v>16</v>
      </c>
      <c r="F35" s="3" t="s">
        <v>291</v>
      </c>
      <c r="G35" s="3" t="s">
        <v>26</v>
      </c>
      <c r="H35" s="3" t="s">
        <v>40</v>
      </c>
    </row>
    <row r="36" spans="1:8" x14ac:dyDescent="0.2">
      <c r="A36" s="3">
        <v>3080104016</v>
      </c>
      <c r="B36" s="4" t="s">
        <v>45</v>
      </c>
      <c r="C36" s="4" t="s">
        <v>1339</v>
      </c>
      <c r="D36" s="3">
        <v>4</v>
      </c>
      <c r="E36" s="3" t="s">
        <v>16</v>
      </c>
      <c r="F36" s="3" t="s">
        <v>291</v>
      </c>
      <c r="G36" s="3" t="s">
        <v>26</v>
      </c>
      <c r="H36" s="3" t="s">
        <v>40</v>
      </c>
    </row>
    <row r="37" spans="1:8" x14ac:dyDescent="0.2">
      <c r="A37" s="3">
        <v>3080104032</v>
      </c>
      <c r="B37" s="4" t="s">
        <v>50</v>
      </c>
      <c r="C37" s="4" t="s">
        <v>1340</v>
      </c>
      <c r="D37" s="3">
        <v>4</v>
      </c>
      <c r="E37" s="3" t="s">
        <v>16</v>
      </c>
      <c r="F37" s="3" t="s">
        <v>289</v>
      </c>
      <c r="G37" s="3" t="s">
        <v>23</v>
      </c>
      <c r="H37" s="3" t="s">
        <v>40</v>
      </c>
    </row>
    <row r="38" spans="1:8" x14ac:dyDescent="0.2">
      <c r="A38" s="3">
        <v>3080105088</v>
      </c>
      <c r="B38" s="4" t="s">
        <v>50</v>
      </c>
      <c r="C38" s="4" t="s">
        <v>423</v>
      </c>
      <c r="D38" s="3">
        <v>2</v>
      </c>
      <c r="E38" s="3" t="s">
        <v>16</v>
      </c>
      <c r="F38" s="3" t="s">
        <v>293</v>
      </c>
      <c r="G38" s="3" t="s">
        <v>29</v>
      </c>
      <c r="H38" s="3" t="s">
        <v>40</v>
      </c>
    </row>
    <row r="39" spans="1:8" x14ac:dyDescent="0.2">
      <c r="A39" s="3">
        <v>3080105008</v>
      </c>
      <c r="B39" s="4" t="s">
        <v>50</v>
      </c>
      <c r="C39" s="4" t="s">
        <v>424</v>
      </c>
      <c r="D39" s="3">
        <v>8</v>
      </c>
      <c r="E39" s="3" t="s">
        <v>16</v>
      </c>
      <c r="F39" s="3" t="s">
        <v>293</v>
      </c>
      <c r="G39" s="3" t="s">
        <v>29</v>
      </c>
      <c r="H39" s="3" t="s">
        <v>40</v>
      </c>
    </row>
    <row r="40" spans="1:8" x14ac:dyDescent="0.2">
      <c r="A40" s="3">
        <v>3080105015</v>
      </c>
      <c r="B40" s="4" t="s">
        <v>50</v>
      </c>
      <c r="C40" s="4" t="s">
        <v>422</v>
      </c>
      <c r="D40" s="3">
        <v>8</v>
      </c>
      <c r="E40" s="3" t="s">
        <v>16</v>
      </c>
      <c r="F40" s="3" t="s">
        <v>293</v>
      </c>
      <c r="G40" s="3" t="s">
        <v>29</v>
      </c>
      <c r="H40" s="3" t="s">
        <v>40</v>
      </c>
    </row>
    <row r="41" spans="1:8" x14ac:dyDescent="0.2">
      <c r="A41" s="3">
        <v>3080105039</v>
      </c>
      <c r="B41" s="4" t="s">
        <v>50</v>
      </c>
      <c r="C41" s="4" t="s">
        <v>1341</v>
      </c>
      <c r="D41" s="3">
        <v>14</v>
      </c>
      <c r="E41" s="3" t="s">
        <v>16</v>
      </c>
      <c r="F41" s="3" t="s">
        <v>293</v>
      </c>
      <c r="G41" s="3" t="s">
        <v>29</v>
      </c>
      <c r="H41" s="3" t="s">
        <v>40</v>
      </c>
    </row>
    <row r="42" spans="1:8" x14ac:dyDescent="0.2">
      <c r="A42" s="3">
        <v>3080105042</v>
      </c>
      <c r="B42" s="4" t="s">
        <v>50</v>
      </c>
      <c r="C42" s="4" t="s">
        <v>1342</v>
      </c>
      <c r="D42" s="3">
        <v>4</v>
      </c>
      <c r="E42" s="3" t="s">
        <v>16</v>
      </c>
      <c r="F42" s="3" t="s">
        <v>317</v>
      </c>
      <c r="G42" s="3" t="s">
        <v>318</v>
      </c>
      <c r="H42" s="3" t="s">
        <v>40</v>
      </c>
    </row>
    <row r="43" spans="1:8" x14ac:dyDescent="0.2">
      <c r="A43" s="3">
        <v>3080104055</v>
      </c>
      <c r="B43" s="4" t="s">
        <v>50</v>
      </c>
      <c r="C43" s="4" t="s">
        <v>425</v>
      </c>
      <c r="D43" s="3">
        <v>2</v>
      </c>
      <c r="E43" s="3" t="s">
        <v>16</v>
      </c>
      <c r="F43" s="3" t="s">
        <v>291</v>
      </c>
      <c r="G43" s="3" t="s">
        <v>26</v>
      </c>
      <c r="H43" s="3" t="s">
        <v>40</v>
      </c>
    </row>
    <row r="44" spans="1:8" x14ac:dyDescent="0.2">
      <c r="A44" s="3">
        <v>3080105005</v>
      </c>
      <c r="B44" s="4" t="s">
        <v>50</v>
      </c>
      <c r="C44" s="4" t="s">
        <v>1343</v>
      </c>
      <c r="D44" s="3">
        <v>2</v>
      </c>
      <c r="E44" s="3" t="s">
        <v>16</v>
      </c>
      <c r="F44" s="3" t="s">
        <v>291</v>
      </c>
      <c r="G44" s="3" t="s">
        <v>26</v>
      </c>
      <c r="H44" s="3" t="s">
        <v>40</v>
      </c>
    </row>
    <row r="45" spans="1:8" x14ac:dyDescent="0.2">
      <c r="A45" s="3">
        <v>3080105035</v>
      </c>
      <c r="B45" s="4" t="s">
        <v>50</v>
      </c>
      <c r="C45" s="4" t="s">
        <v>1344</v>
      </c>
      <c r="D45" s="3">
        <v>6</v>
      </c>
      <c r="E45" s="3" t="s">
        <v>16</v>
      </c>
      <c r="F45" s="3" t="s">
        <v>291</v>
      </c>
      <c r="G45" s="3" t="s">
        <v>26</v>
      </c>
      <c r="H45" s="3" t="s">
        <v>40</v>
      </c>
    </row>
    <row r="46" spans="1:8" x14ac:dyDescent="0.2">
      <c r="A46" s="3">
        <v>3080502003</v>
      </c>
      <c r="B46" s="4" t="s">
        <v>55</v>
      </c>
      <c r="C46" s="4" t="s">
        <v>426</v>
      </c>
      <c r="D46" s="3">
        <v>2</v>
      </c>
      <c r="E46" s="3" t="s">
        <v>16</v>
      </c>
      <c r="F46" s="3" t="s">
        <v>291</v>
      </c>
      <c r="G46" s="3" t="s">
        <v>26</v>
      </c>
      <c r="H46" s="3" t="s">
        <v>40</v>
      </c>
    </row>
    <row r="47" spans="1:8" x14ac:dyDescent="0.2">
      <c r="A47" s="3">
        <v>3080501030</v>
      </c>
      <c r="B47" s="4" t="s">
        <v>57</v>
      </c>
      <c r="C47" s="4" t="s">
        <v>868</v>
      </c>
      <c r="D47" s="3">
        <v>2</v>
      </c>
      <c r="E47" s="3" t="s">
        <v>16</v>
      </c>
      <c r="F47" s="3" t="s">
        <v>291</v>
      </c>
      <c r="G47" s="3" t="s">
        <v>26</v>
      </c>
      <c r="H47" s="3" t="s">
        <v>40</v>
      </c>
    </row>
    <row r="48" spans="1:8" x14ac:dyDescent="0.2">
      <c r="A48" s="3">
        <v>3080201005</v>
      </c>
      <c r="B48" s="4" t="s">
        <v>60</v>
      </c>
      <c r="C48" s="4" t="s">
        <v>427</v>
      </c>
      <c r="D48" s="3">
        <v>1</v>
      </c>
      <c r="E48" s="3" t="s">
        <v>16</v>
      </c>
      <c r="F48" s="3" t="s">
        <v>291</v>
      </c>
      <c r="G48" s="3" t="s">
        <v>26</v>
      </c>
      <c r="H48" s="3" t="s">
        <v>40</v>
      </c>
    </row>
    <row r="49" spans="1:8" x14ac:dyDescent="0.2">
      <c r="A49" s="3">
        <v>3080201006</v>
      </c>
      <c r="B49" s="4" t="s">
        <v>60</v>
      </c>
      <c r="C49" s="4" t="s">
        <v>428</v>
      </c>
      <c r="D49" s="3">
        <v>1</v>
      </c>
      <c r="E49" s="3" t="s">
        <v>16</v>
      </c>
      <c r="F49" s="3" t="s">
        <v>291</v>
      </c>
      <c r="G49" s="3" t="s">
        <v>26</v>
      </c>
      <c r="H49" s="3" t="s">
        <v>40</v>
      </c>
    </row>
    <row r="50" spans="1:8" x14ac:dyDescent="0.2">
      <c r="A50" s="3">
        <v>3080107271</v>
      </c>
      <c r="B50" s="4" t="s">
        <v>69</v>
      </c>
      <c r="C50" s="4" t="s">
        <v>1161</v>
      </c>
      <c r="D50" s="3">
        <v>4</v>
      </c>
      <c r="E50" s="3" t="s">
        <v>16</v>
      </c>
      <c r="F50" s="3" t="s">
        <v>289</v>
      </c>
      <c r="G50" s="3" t="s">
        <v>23</v>
      </c>
      <c r="H50" s="3" t="s">
        <v>40</v>
      </c>
    </row>
    <row r="51" spans="1:8" x14ac:dyDescent="0.2">
      <c r="A51" s="3">
        <v>3080107034</v>
      </c>
      <c r="B51" s="4" t="s">
        <v>69</v>
      </c>
      <c r="C51" s="4" t="s">
        <v>429</v>
      </c>
      <c r="D51" s="3">
        <v>2</v>
      </c>
      <c r="E51" s="3" t="s">
        <v>16</v>
      </c>
      <c r="F51" s="3" t="s">
        <v>295</v>
      </c>
      <c r="G51" s="3" t="s">
        <v>17</v>
      </c>
      <c r="H51" s="3" t="s">
        <v>40</v>
      </c>
    </row>
    <row r="52" spans="1:8" x14ac:dyDescent="0.2">
      <c r="A52" s="3">
        <v>3080107002</v>
      </c>
      <c r="B52" s="4" t="s">
        <v>69</v>
      </c>
      <c r="C52" s="4" t="s">
        <v>430</v>
      </c>
      <c r="D52" s="3">
        <v>4</v>
      </c>
      <c r="E52" s="3" t="s">
        <v>16</v>
      </c>
      <c r="F52" s="3" t="s">
        <v>295</v>
      </c>
      <c r="G52" s="3" t="s">
        <v>17</v>
      </c>
      <c r="H52" s="3" t="s">
        <v>40</v>
      </c>
    </row>
    <row r="53" spans="1:8" x14ac:dyDescent="0.2">
      <c r="A53" s="3">
        <v>3080107052</v>
      </c>
      <c r="B53" s="4" t="s">
        <v>69</v>
      </c>
      <c r="C53" s="4" t="s">
        <v>431</v>
      </c>
      <c r="D53" s="3">
        <v>1</v>
      </c>
      <c r="E53" s="3" t="s">
        <v>16</v>
      </c>
      <c r="F53" s="3" t="s">
        <v>295</v>
      </c>
      <c r="G53" s="3" t="s">
        <v>17</v>
      </c>
      <c r="H53" s="3" t="s">
        <v>40</v>
      </c>
    </row>
    <row r="54" spans="1:8" x14ac:dyDescent="0.2">
      <c r="A54" s="3">
        <v>3080107034</v>
      </c>
      <c r="B54" s="4" t="s">
        <v>69</v>
      </c>
      <c r="C54" s="4" t="s">
        <v>429</v>
      </c>
      <c r="D54" s="3">
        <v>6</v>
      </c>
      <c r="E54" s="3" t="s">
        <v>16</v>
      </c>
      <c r="F54" s="3" t="s">
        <v>295</v>
      </c>
      <c r="G54" s="3" t="s">
        <v>17</v>
      </c>
      <c r="H54" s="3" t="s">
        <v>40</v>
      </c>
    </row>
    <row r="55" spans="1:8" x14ac:dyDescent="0.2">
      <c r="A55" s="3">
        <v>3080107160</v>
      </c>
      <c r="B55" s="4" t="s">
        <v>69</v>
      </c>
      <c r="C55" s="4" t="s">
        <v>432</v>
      </c>
      <c r="D55" s="3">
        <v>4</v>
      </c>
      <c r="E55" s="3" t="s">
        <v>16</v>
      </c>
      <c r="F55" s="3" t="s">
        <v>293</v>
      </c>
      <c r="G55" s="3" t="s">
        <v>29</v>
      </c>
      <c r="H55" s="3" t="s">
        <v>40</v>
      </c>
    </row>
    <row r="56" spans="1:8" x14ac:dyDescent="0.2">
      <c r="A56" s="3">
        <v>3080107091</v>
      </c>
      <c r="B56" s="4" t="s">
        <v>69</v>
      </c>
      <c r="C56" s="4" t="s">
        <v>872</v>
      </c>
      <c r="D56" s="3">
        <v>2</v>
      </c>
      <c r="E56" s="3" t="s">
        <v>16</v>
      </c>
      <c r="F56" s="3" t="s">
        <v>317</v>
      </c>
      <c r="G56" s="3" t="s">
        <v>318</v>
      </c>
      <c r="H56" s="3" t="s">
        <v>40</v>
      </c>
    </row>
    <row r="57" spans="1:8" x14ac:dyDescent="0.2">
      <c r="A57" s="3">
        <v>3080107305</v>
      </c>
      <c r="B57" s="4" t="s">
        <v>69</v>
      </c>
      <c r="C57" s="4" t="s">
        <v>434</v>
      </c>
      <c r="D57" s="3">
        <v>2</v>
      </c>
      <c r="E57" s="3" t="s">
        <v>16</v>
      </c>
      <c r="F57" s="3" t="s">
        <v>291</v>
      </c>
      <c r="G57" s="3" t="s">
        <v>26</v>
      </c>
      <c r="H57" s="3" t="s">
        <v>40</v>
      </c>
    </row>
    <row r="58" spans="1:8" x14ac:dyDescent="0.2">
      <c r="A58" s="3">
        <v>3080107308</v>
      </c>
      <c r="B58" s="4" t="s">
        <v>69</v>
      </c>
      <c r="C58" s="4" t="s">
        <v>433</v>
      </c>
      <c r="D58" s="3">
        <v>2</v>
      </c>
      <c r="E58" s="3" t="s">
        <v>16</v>
      </c>
      <c r="F58" s="3" t="s">
        <v>291</v>
      </c>
      <c r="G58" s="3" t="s">
        <v>26</v>
      </c>
      <c r="H58" s="3" t="s">
        <v>40</v>
      </c>
    </row>
    <row r="59" spans="1:8" x14ac:dyDescent="0.2">
      <c r="A59" s="3">
        <v>3080107072</v>
      </c>
      <c r="B59" s="4" t="s">
        <v>69</v>
      </c>
      <c r="C59" s="4" t="s">
        <v>435</v>
      </c>
      <c r="D59" s="3">
        <v>4</v>
      </c>
      <c r="E59" s="3" t="s">
        <v>16</v>
      </c>
      <c r="F59" s="3" t="s">
        <v>291</v>
      </c>
      <c r="G59" s="3" t="s">
        <v>26</v>
      </c>
      <c r="H59" s="3" t="s">
        <v>40</v>
      </c>
    </row>
    <row r="60" spans="1:8" x14ac:dyDescent="0.2">
      <c r="A60" s="3">
        <v>3080107101</v>
      </c>
      <c r="B60" s="4" t="s">
        <v>69</v>
      </c>
      <c r="C60" s="4" t="s">
        <v>1345</v>
      </c>
      <c r="D60" s="3">
        <v>2</v>
      </c>
      <c r="E60" s="3" t="s">
        <v>16</v>
      </c>
      <c r="F60" s="3" t="s">
        <v>291</v>
      </c>
      <c r="G60" s="3" t="s">
        <v>26</v>
      </c>
      <c r="H60" s="3" t="s">
        <v>40</v>
      </c>
    </row>
    <row r="61" spans="1:8" x14ac:dyDescent="0.2">
      <c r="A61" s="3">
        <v>3080101008</v>
      </c>
      <c r="B61" s="4" t="s">
        <v>77</v>
      </c>
      <c r="C61" s="4" t="s">
        <v>1165</v>
      </c>
      <c r="D61" s="3">
        <v>2</v>
      </c>
      <c r="E61" s="3" t="s">
        <v>16</v>
      </c>
      <c r="F61" s="3" t="s">
        <v>289</v>
      </c>
      <c r="G61" s="3" t="s">
        <v>23</v>
      </c>
      <c r="H61" s="3" t="s">
        <v>40</v>
      </c>
    </row>
    <row r="62" spans="1:8" x14ac:dyDescent="0.2">
      <c r="A62" s="3">
        <v>3080108025</v>
      </c>
      <c r="B62" s="4" t="s">
        <v>77</v>
      </c>
      <c r="C62" s="4" t="s">
        <v>437</v>
      </c>
      <c r="D62" s="3">
        <v>7</v>
      </c>
      <c r="E62" s="3" t="s">
        <v>16</v>
      </c>
      <c r="F62" s="3" t="s">
        <v>295</v>
      </c>
      <c r="G62" s="3" t="s">
        <v>17</v>
      </c>
      <c r="H62" s="3" t="s">
        <v>40</v>
      </c>
    </row>
    <row r="63" spans="1:8" x14ac:dyDescent="0.2">
      <c r="A63" s="3">
        <v>3080108024</v>
      </c>
      <c r="B63" s="4" t="s">
        <v>77</v>
      </c>
      <c r="C63" s="4" t="s">
        <v>1346</v>
      </c>
      <c r="D63" s="3">
        <v>2</v>
      </c>
      <c r="E63" s="3" t="s">
        <v>16</v>
      </c>
      <c r="F63" s="3" t="s">
        <v>317</v>
      </c>
      <c r="G63" s="3" t="s">
        <v>318</v>
      </c>
      <c r="H63" s="3" t="s">
        <v>40</v>
      </c>
    </row>
    <row r="64" spans="1:8" x14ac:dyDescent="0.2">
      <c r="A64" s="3">
        <v>3080108025</v>
      </c>
      <c r="B64" s="4" t="s">
        <v>77</v>
      </c>
      <c r="C64" s="4" t="s">
        <v>437</v>
      </c>
      <c r="D64" s="3">
        <v>1</v>
      </c>
      <c r="E64" s="3" t="s">
        <v>16</v>
      </c>
      <c r="F64" s="3" t="s">
        <v>291</v>
      </c>
      <c r="G64" s="3" t="s">
        <v>26</v>
      </c>
      <c r="H64" s="3" t="s">
        <v>40</v>
      </c>
    </row>
    <row r="65" spans="1:8" x14ac:dyDescent="0.2">
      <c r="A65" s="3">
        <v>3080108031</v>
      </c>
      <c r="B65" s="4" t="s">
        <v>77</v>
      </c>
      <c r="C65" s="4" t="s">
        <v>1347</v>
      </c>
      <c r="D65" s="3">
        <v>4</v>
      </c>
      <c r="E65" s="3" t="s">
        <v>16</v>
      </c>
      <c r="F65" s="3" t="s">
        <v>291</v>
      </c>
      <c r="G65" s="3" t="s">
        <v>26</v>
      </c>
      <c r="H65" s="3" t="s">
        <v>40</v>
      </c>
    </row>
    <row r="66" spans="1:8" x14ac:dyDescent="0.2">
      <c r="A66" s="3">
        <v>3080108029</v>
      </c>
      <c r="B66" s="4" t="s">
        <v>77</v>
      </c>
      <c r="C66" s="4" t="s">
        <v>1116</v>
      </c>
      <c r="D66" s="3">
        <v>2</v>
      </c>
      <c r="E66" s="3" t="s">
        <v>16</v>
      </c>
      <c r="F66" s="3" t="s">
        <v>291</v>
      </c>
      <c r="G66" s="3" t="s">
        <v>26</v>
      </c>
      <c r="H66" s="3" t="s">
        <v>40</v>
      </c>
    </row>
    <row r="67" spans="1:8" x14ac:dyDescent="0.2">
      <c r="A67" s="3">
        <v>3080403001</v>
      </c>
      <c r="B67" s="4" t="s">
        <v>439</v>
      </c>
      <c r="C67" s="4" t="s">
        <v>440</v>
      </c>
      <c r="D67" s="3">
        <v>1</v>
      </c>
      <c r="E67" s="3" t="s">
        <v>16</v>
      </c>
      <c r="F67" s="3" t="s">
        <v>295</v>
      </c>
      <c r="G67" s="3" t="s">
        <v>17</v>
      </c>
      <c r="H67" s="3" t="s">
        <v>40</v>
      </c>
    </row>
    <row r="68" spans="1:8" x14ac:dyDescent="0.2">
      <c r="A68" s="3">
        <v>3080109002</v>
      </c>
      <c r="B68" s="4" t="s">
        <v>441</v>
      </c>
      <c r="C68" s="4" t="s">
        <v>442</v>
      </c>
      <c r="D68" s="3">
        <v>2</v>
      </c>
      <c r="E68" s="3" t="s">
        <v>16</v>
      </c>
      <c r="F68" s="3" t="s">
        <v>295</v>
      </c>
      <c r="G68" s="3" t="s">
        <v>17</v>
      </c>
      <c r="H68" s="3" t="s">
        <v>40</v>
      </c>
    </row>
    <row r="69" spans="1:8" x14ac:dyDescent="0.2">
      <c r="A69" s="3">
        <v>3080111012</v>
      </c>
      <c r="B69" s="4" t="s">
        <v>79</v>
      </c>
      <c r="C69" s="4" t="s">
        <v>443</v>
      </c>
      <c r="D69" s="3">
        <v>2</v>
      </c>
      <c r="E69" s="3" t="s">
        <v>16</v>
      </c>
      <c r="F69" s="3" t="s">
        <v>295</v>
      </c>
      <c r="G69" s="3" t="s">
        <v>17</v>
      </c>
      <c r="H69" s="3" t="s">
        <v>40</v>
      </c>
    </row>
    <row r="70" spans="1:8" x14ac:dyDescent="0.2">
      <c r="A70" s="3">
        <v>3080111006</v>
      </c>
      <c r="B70" s="4" t="s">
        <v>79</v>
      </c>
      <c r="C70" s="4" t="s">
        <v>444</v>
      </c>
      <c r="D70" s="3">
        <v>1</v>
      </c>
      <c r="E70" s="3" t="s">
        <v>16</v>
      </c>
      <c r="F70" s="3" t="s">
        <v>295</v>
      </c>
      <c r="G70" s="3" t="s">
        <v>17</v>
      </c>
      <c r="H70" s="3" t="s">
        <v>40</v>
      </c>
    </row>
    <row r="71" spans="1:8" x14ac:dyDescent="0.2">
      <c r="A71" s="3">
        <v>3080111004</v>
      </c>
      <c r="B71" s="4" t="s">
        <v>79</v>
      </c>
      <c r="C71" s="4" t="s">
        <v>445</v>
      </c>
      <c r="D71" s="3">
        <v>2</v>
      </c>
      <c r="E71" s="3" t="s">
        <v>16</v>
      </c>
      <c r="F71" s="3" t="s">
        <v>293</v>
      </c>
      <c r="G71" s="3" t="s">
        <v>29</v>
      </c>
      <c r="H71" s="3" t="s">
        <v>40</v>
      </c>
    </row>
    <row r="72" spans="1:8" x14ac:dyDescent="0.2">
      <c r="A72" s="3">
        <v>3080111085</v>
      </c>
      <c r="B72" s="4" t="s">
        <v>79</v>
      </c>
      <c r="C72" s="4" t="s">
        <v>1348</v>
      </c>
      <c r="D72" s="3">
        <v>16</v>
      </c>
      <c r="E72" s="3" t="s">
        <v>16</v>
      </c>
      <c r="F72" s="3" t="s">
        <v>291</v>
      </c>
      <c r="G72" s="3" t="s">
        <v>26</v>
      </c>
      <c r="H72" s="3" t="s">
        <v>40</v>
      </c>
    </row>
    <row r="73" spans="1:8" x14ac:dyDescent="0.2">
      <c r="A73" s="3">
        <v>3080111085</v>
      </c>
      <c r="B73" s="4" t="s">
        <v>79</v>
      </c>
      <c r="C73" s="4" t="s">
        <v>1348</v>
      </c>
      <c r="D73" s="3">
        <v>2</v>
      </c>
      <c r="E73" s="3" t="s">
        <v>16</v>
      </c>
      <c r="F73" s="3" t="s">
        <v>291</v>
      </c>
      <c r="G73" s="3" t="s">
        <v>26</v>
      </c>
      <c r="H73" s="3" t="s">
        <v>40</v>
      </c>
    </row>
    <row r="74" spans="1:8" x14ac:dyDescent="0.2">
      <c r="A74" s="3">
        <v>3080111015</v>
      </c>
      <c r="B74" s="4" t="s">
        <v>79</v>
      </c>
      <c r="C74" s="4" t="s">
        <v>446</v>
      </c>
      <c r="D74" s="3">
        <v>2</v>
      </c>
      <c r="E74" s="3" t="s">
        <v>16</v>
      </c>
      <c r="F74" s="3" t="s">
        <v>291</v>
      </c>
      <c r="G74" s="3" t="s">
        <v>26</v>
      </c>
      <c r="H74" s="3" t="s">
        <v>40</v>
      </c>
    </row>
    <row r="75" spans="1:8" x14ac:dyDescent="0.2">
      <c r="A75" s="3">
        <v>407030130</v>
      </c>
      <c r="B75" s="4" t="s">
        <v>81</v>
      </c>
      <c r="C75" s="4" t="s">
        <v>1349</v>
      </c>
      <c r="D75" s="3">
        <v>1</v>
      </c>
      <c r="E75" s="3" t="s">
        <v>16</v>
      </c>
      <c r="F75" s="3" t="s">
        <v>301</v>
      </c>
      <c r="G75" s="3" t="s">
        <v>32</v>
      </c>
      <c r="H75" s="3" t="s">
        <v>40</v>
      </c>
    </row>
    <row r="76" spans="1:8" x14ac:dyDescent="0.2">
      <c r="A76" s="3">
        <v>3099991302</v>
      </c>
      <c r="B76" s="4" t="s">
        <v>1350</v>
      </c>
      <c r="C76" s="4" t="s">
        <v>1351</v>
      </c>
      <c r="D76" s="3">
        <v>1</v>
      </c>
      <c r="E76" s="3" t="s">
        <v>16</v>
      </c>
      <c r="F76" s="3" t="s">
        <v>289</v>
      </c>
      <c r="G76" s="3" t="s">
        <v>23</v>
      </c>
      <c r="H76" s="3" t="s">
        <v>103</v>
      </c>
    </row>
    <row r="77" spans="1:8" x14ac:dyDescent="0.2">
      <c r="A77" s="3">
        <v>3099991402</v>
      </c>
      <c r="B77" s="4" t="s">
        <v>1352</v>
      </c>
      <c r="C77" s="4" t="s">
        <v>1353</v>
      </c>
      <c r="D77" s="3">
        <v>1</v>
      </c>
      <c r="E77" s="3" t="s">
        <v>16</v>
      </c>
      <c r="F77" s="3" t="s">
        <v>289</v>
      </c>
      <c r="G77" s="3" t="s">
        <v>23</v>
      </c>
      <c r="H77" s="3" t="s">
        <v>103</v>
      </c>
    </row>
    <row r="78" spans="1:8" x14ac:dyDescent="0.2">
      <c r="A78" s="3">
        <v>3099991201</v>
      </c>
      <c r="B78" s="4" t="s">
        <v>1280</v>
      </c>
      <c r="C78" s="4" t="s">
        <v>1281</v>
      </c>
      <c r="D78" s="3">
        <v>1</v>
      </c>
      <c r="E78" s="3" t="s">
        <v>16</v>
      </c>
      <c r="F78" s="3" t="s">
        <v>299</v>
      </c>
      <c r="G78" s="3" t="s">
        <v>106</v>
      </c>
      <c r="H78" s="3" t="s">
        <v>103</v>
      </c>
    </row>
    <row r="79" spans="1:8" x14ac:dyDescent="0.2">
      <c r="A79" s="3">
        <v>3099990103</v>
      </c>
      <c r="B79" s="4" t="s">
        <v>104</v>
      </c>
      <c r="C79" s="4" t="s">
        <v>1282</v>
      </c>
      <c r="D79" s="3">
        <v>1</v>
      </c>
      <c r="E79" s="3" t="s">
        <v>16</v>
      </c>
      <c r="F79" s="3" t="s">
        <v>299</v>
      </c>
      <c r="G79" s="3" t="s">
        <v>106</v>
      </c>
      <c r="H79" s="3" t="s">
        <v>103</v>
      </c>
    </row>
    <row r="80" spans="1:8" x14ac:dyDescent="0.2">
      <c r="A80" s="3">
        <v>402030027</v>
      </c>
      <c r="B80" s="4" t="s">
        <v>107</v>
      </c>
      <c r="C80" s="4" t="s">
        <v>110</v>
      </c>
      <c r="D80" s="3">
        <v>1</v>
      </c>
      <c r="E80" s="3" t="s">
        <v>16</v>
      </c>
      <c r="F80" s="3" t="s">
        <v>291</v>
      </c>
      <c r="G80" s="3" t="s">
        <v>26</v>
      </c>
      <c r="H80" s="3" t="s">
        <v>109</v>
      </c>
    </row>
    <row r="81" spans="1:8" x14ac:dyDescent="0.2">
      <c r="A81" s="3">
        <v>402020002</v>
      </c>
      <c r="B81" s="4" t="s">
        <v>111</v>
      </c>
      <c r="C81" s="4" t="s">
        <v>452</v>
      </c>
      <c r="D81" s="3">
        <v>2</v>
      </c>
      <c r="E81" s="3" t="s">
        <v>16</v>
      </c>
      <c r="F81" s="3" t="s">
        <v>293</v>
      </c>
      <c r="G81" s="3" t="s">
        <v>29</v>
      </c>
      <c r="H81" s="3" t="s">
        <v>109</v>
      </c>
    </row>
    <row r="82" spans="1:8" x14ac:dyDescent="0.2">
      <c r="A82" s="3">
        <v>404100029</v>
      </c>
      <c r="B82" s="4" t="s">
        <v>600</v>
      </c>
      <c r="C82" s="4" t="s">
        <v>602</v>
      </c>
      <c r="D82" s="3">
        <v>1</v>
      </c>
      <c r="E82" s="3" t="s">
        <v>16</v>
      </c>
      <c r="F82" s="3" t="s">
        <v>301</v>
      </c>
      <c r="G82" s="3" t="s">
        <v>32</v>
      </c>
      <c r="H82" s="3" t="s">
        <v>109</v>
      </c>
    </row>
    <row r="83" spans="1:8" x14ac:dyDescent="0.2">
      <c r="A83" s="3">
        <v>3040216001</v>
      </c>
      <c r="B83" s="4" t="s">
        <v>328</v>
      </c>
      <c r="C83" s="4" t="s">
        <v>329</v>
      </c>
      <c r="D83" s="3">
        <v>4</v>
      </c>
      <c r="E83" s="3" t="s">
        <v>16</v>
      </c>
      <c r="F83" s="3" t="s">
        <v>293</v>
      </c>
      <c r="G83" s="3" t="s">
        <v>29</v>
      </c>
      <c r="H83" s="3" t="s">
        <v>115</v>
      </c>
    </row>
    <row r="84" spans="1:8" x14ac:dyDescent="0.2">
      <c r="A84" s="3">
        <v>3030204017</v>
      </c>
      <c r="B84" s="4" t="s">
        <v>453</v>
      </c>
      <c r="C84" s="4" t="s">
        <v>454</v>
      </c>
      <c r="D84" s="3">
        <v>1</v>
      </c>
      <c r="E84" s="3" t="s">
        <v>16</v>
      </c>
      <c r="F84" s="3" t="s">
        <v>295</v>
      </c>
      <c r="G84" s="3" t="s">
        <v>17</v>
      </c>
      <c r="H84" s="3" t="s">
        <v>115</v>
      </c>
    </row>
    <row r="85" spans="1:8" x14ac:dyDescent="0.2">
      <c r="A85" s="3">
        <v>3030204005</v>
      </c>
      <c r="B85" s="4" t="s">
        <v>455</v>
      </c>
      <c r="C85" s="4" t="s">
        <v>456</v>
      </c>
      <c r="D85" s="3">
        <v>1</v>
      </c>
      <c r="E85" s="3" t="s">
        <v>16</v>
      </c>
      <c r="F85" s="3" t="s">
        <v>295</v>
      </c>
      <c r="G85" s="3" t="s">
        <v>17</v>
      </c>
      <c r="H85" s="3" t="s">
        <v>115</v>
      </c>
    </row>
    <row r="86" spans="1:8" x14ac:dyDescent="0.2">
      <c r="A86" s="3">
        <v>3050203003</v>
      </c>
      <c r="B86" s="4" t="s">
        <v>120</v>
      </c>
      <c r="C86" s="4" t="s">
        <v>457</v>
      </c>
      <c r="D86" s="3">
        <v>2</v>
      </c>
      <c r="E86" s="3" t="s">
        <v>16</v>
      </c>
      <c r="F86" s="3" t="s">
        <v>291</v>
      </c>
      <c r="G86" s="3" t="s">
        <v>26</v>
      </c>
      <c r="H86" s="3" t="s">
        <v>115</v>
      </c>
    </row>
    <row r="87" spans="1:8" x14ac:dyDescent="0.2">
      <c r="A87" s="3">
        <v>3030204008</v>
      </c>
      <c r="B87" s="4" t="s">
        <v>122</v>
      </c>
      <c r="C87" s="4" t="s">
        <v>123</v>
      </c>
      <c r="D87" s="3">
        <v>1</v>
      </c>
      <c r="E87" s="3" t="s">
        <v>16</v>
      </c>
      <c r="F87" s="3" t="s">
        <v>291</v>
      </c>
      <c r="G87" s="3" t="s">
        <v>26</v>
      </c>
      <c r="H87" s="3" t="s">
        <v>115</v>
      </c>
    </row>
    <row r="88" spans="1:8" x14ac:dyDescent="0.2">
      <c r="A88" s="3">
        <v>3030206001</v>
      </c>
      <c r="B88" s="4" t="s">
        <v>458</v>
      </c>
      <c r="C88" s="4" t="s">
        <v>404</v>
      </c>
      <c r="D88" s="3">
        <v>1</v>
      </c>
      <c r="E88" s="3" t="s">
        <v>16</v>
      </c>
      <c r="F88" s="3" t="s">
        <v>295</v>
      </c>
      <c r="G88" s="3" t="s">
        <v>17</v>
      </c>
      <c r="H88" s="3" t="s">
        <v>132</v>
      </c>
    </row>
    <row r="89" spans="1:8" x14ac:dyDescent="0.2">
      <c r="A89" s="3">
        <v>401040033</v>
      </c>
      <c r="B89" s="4" t="s">
        <v>35</v>
      </c>
      <c r="C89" s="4" t="s">
        <v>1354</v>
      </c>
      <c r="D89" s="3">
        <v>1</v>
      </c>
      <c r="E89" s="3" t="s">
        <v>16</v>
      </c>
      <c r="F89" s="3" t="s">
        <v>291</v>
      </c>
      <c r="G89" s="3" t="s">
        <v>26</v>
      </c>
      <c r="H89" s="3" t="s">
        <v>134</v>
      </c>
    </row>
    <row r="90" spans="1:8" x14ac:dyDescent="0.2">
      <c r="A90" s="3">
        <v>3990207006</v>
      </c>
      <c r="B90" s="4" t="s">
        <v>140</v>
      </c>
      <c r="C90" s="4" t="s">
        <v>1355</v>
      </c>
      <c r="D90" s="3">
        <v>1</v>
      </c>
      <c r="E90" s="3" t="s">
        <v>16</v>
      </c>
      <c r="F90" s="3" t="s">
        <v>285</v>
      </c>
      <c r="G90" s="3" t="s">
        <v>142</v>
      </c>
      <c r="H90" s="3" t="s">
        <v>143</v>
      </c>
    </row>
    <row r="91" spans="1:8" x14ac:dyDescent="0.2">
      <c r="A91" s="3">
        <v>3030301006</v>
      </c>
      <c r="B91" s="4" t="s">
        <v>144</v>
      </c>
      <c r="C91" s="4" t="s">
        <v>1356</v>
      </c>
      <c r="D91" s="3">
        <v>2</v>
      </c>
      <c r="E91" s="3" t="s">
        <v>16</v>
      </c>
      <c r="F91" s="3" t="s">
        <v>291</v>
      </c>
      <c r="G91" s="3" t="s">
        <v>26</v>
      </c>
      <c r="H91" s="3" t="s">
        <v>143</v>
      </c>
    </row>
    <row r="92" spans="1:8" x14ac:dyDescent="0.2">
      <c r="A92" s="3">
        <v>3990204001</v>
      </c>
      <c r="B92" s="4" t="s">
        <v>333</v>
      </c>
      <c r="C92" s="4" t="s">
        <v>1357</v>
      </c>
      <c r="D92" s="3">
        <v>1</v>
      </c>
      <c r="E92" s="3" t="s">
        <v>16</v>
      </c>
      <c r="F92" s="3" t="s">
        <v>335</v>
      </c>
      <c r="G92" s="3" t="s">
        <v>336</v>
      </c>
      <c r="H92" s="3" t="s">
        <v>143</v>
      </c>
    </row>
    <row r="93" spans="1:8" x14ac:dyDescent="0.2">
      <c r="A93" s="3">
        <v>3990205004</v>
      </c>
      <c r="B93" s="4" t="s">
        <v>146</v>
      </c>
      <c r="C93" s="4" t="s">
        <v>1283</v>
      </c>
      <c r="D93" s="3">
        <v>1</v>
      </c>
      <c r="E93" s="3" t="s">
        <v>16</v>
      </c>
      <c r="F93" s="3" t="s">
        <v>287</v>
      </c>
      <c r="G93" s="3" t="s">
        <v>148</v>
      </c>
      <c r="H93" s="3" t="s">
        <v>143</v>
      </c>
    </row>
    <row r="94" spans="1:8" x14ac:dyDescent="0.2">
      <c r="A94" s="3">
        <v>408090008</v>
      </c>
      <c r="B94" s="4" t="s">
        <v>461</v>
      </c>
      <c r="C94" s="4" t="s">
        <v>462</v>
      </c>
      <c r="D94" s="3">
        <v>1</v>
      </c>
      <c r="E94" s="3" t="s">
        <v>16</v>
      </c>
      <c r="F94" s="3" t="s">
        <v>293</v>
      </c>
      <c r="G94" s="3" t="s">
        <v>29</v>
      </c>
      <c r="H94" s="3" t="s">
        <v>151</v>
      </c>
    </row>
    <row r="95" spans="1:8" x14ac:dyDescent="0.2">
      <c r="A95" s="3">
        <v>408090007</v>
      </c>
      <c r="B95" s="4" t="s">
        <v>463</v>
      </c>
      <c r="C95" s="4" t="s">
        <v>464</v>
      </c>
      <c r="D95" s="3">
        <v>1</v>
      </c>
      <c r="E95" s="3" t="s">
        <v>16</v>
      </c>
      <c r="F95" s="3" t="s">
        <v>293</v>
      </c>
      <c r="G95" s="3" t="s">
        <v>29</v>
      </c>
      <c r="H95" s="3" t="s">
        <v>151</v>
      </c>
    </row>
    <row r="96" spans="1:8" x14ac:dyDescent="0.2">
      <c r="A96" s="3">
        <v>3030301010</v>
      </c>
      <c r="B96" s="4" t="s">
        <v>468</v>
      </c>
      <c r="C96" s="4" t="s">
        <v>469</v>
      </c>
      <c r="D96" s="3">
        <v>4</v>
      </c>
      <c r="E96" s="3" t="s">
        <v>16</v>
      </c>
      <c r="F96" s="3" t="s">
        <v>295</v>
      </c>
      <c r="G96" s="3" t="s">
        <v>17</v>
      </c>
      <c r="H96" s="3" t="s">
        <v>165</v>
      </c>
    </row>
    <row r="97" spans="1:8" x14ac:dyDescent="0.2">
      <c r="A97" s="3">
        <v>3060347001</v>
      </c>
      <c r="B97" s="4" t="s">
        <v>470</v>
      </c>
      <c r="C97" s="4" t="s">
        <v>1358</v>
      </c>
      <c r="D97" s="3">
        <v>1</v>
      </c>
      <c r="E97" s="3" t="s">
        <v>16</v>
      </c>
      <c r="F97" s="3" t="s">
        <v>291</v>
      </c>
      <c r="G97" s="3" t="s">
        <v>26</v>
      </c>
      <c r="H97" s="3" t="s">
        <v>165</v>
      </c>
    </row>
    <row r="98" spans="1:8" x14ac:dyDescent="0.2">
      <c r="A98" s="3">
        <v>3060347002</v>
      </c>
      <c r="B98" s="4" t="s">
        <v>470</v>
      </c>
      <c r="C98" s="4" t="s">
        <v>1359</v>
      </c>
      <c r="D98" s="3">
        <v>1</v>
      </c>
      <c r="E98" s="3" t="s">
        <v>16</v>
      </c>
      <c r="F98" s="3" t="s">
        <v>291</v>
      </c>
      <c r="G98" s="3" t="s">
        <v>26</v>
      </c>
      <c r="H98" s="3" t="s">
        <v>165</v>
      </c>
    </row>
    <row r="99" spans="1:8" x14ac:dyDescent="0.2">
      <c r="A99" s="3">
        <v>3060307001</v>
      </c>
      <c r="B99" s="4" t="s">
        <v>1085</v>
      </c>
      <c r="C99" s="4" t="s">
        <v>1360</v>
      </c>
      <c r="D99" s="3">
        <v>1</v>
      </c>
      <c r="E99" s="3" t="s">
        <v>16</v>
      </c>
      <c r="F99" s="3" t="s">
        <v>291</v>
      </c>
      <c r="G99" s="3" t="s">
        <v>26</v>
      </c>
      <c r="H99" s="3" t="s">
        <v>165</v>
      </c>
    </row>
    <row r="100" spans="1:8" x14ac:dyDescent="0.2">
      <c r="A100" s="3">
        <v>3060307002</v>
      </c>
      <c r="B100" s="4" t="s">
        <v>1085</v>
      </c>
      <c r="C100" s="4" t="s">
        <v>1361</v>
      </c>
      <c r="D100" s="3">
        <v>1</v>
      </c>
      <c r="E100" s="3" t="s">
        <v>16</v>
      </c>
      <c r="F100" s="3" t="s">
        <v>291</v>
      </c>
      <c r="G100" s="3" t="s">
        <v>26</v>
      </c>
      <c r="H100" s="3" t="s">
        <v>165</v>
      </c>
    </row>
    <row r="101" spans="1:8" x14ac:dyDescent="0.2">
      <c r="A101" s="3">
        <v>3060351001</v>
      </c>
      <c r="B101" s="4" t="s">
        <v>1362</v>
      </c>
      <c r="C101" s="4" t="s">
        <v>1363</v>
      </c>
      <c r="D101" s="3">
        <v>1</v>
      </c>
      <c r="E101" s="3" t="s">
        <v>16</v>
      </c>
      <c r="F101" s="3" t="s">
        <v>289</v>
      </c>
      <c r="G101" s="3" t="s">
        <v>23</v>
      </c>
      <c r="H101" s="3" t="s">
        <v>165</v>
      </c>
    </row>
    <row r="102" spans="1:8" x14ac:dyDescent="0.2">
      <c r="A102" s="3">
        <v>3060351002</v>
      </c>
      <c r="B102" s="4" t="s">
        <v>1362</v>
      </c>
      <c r="C102" s="4" t="s">
        <v>1364</v>
      </c>
      <c r="D102" s="3">
        <v>1</v>
      </c>
      <c r="E102" s="3" t="s">
        <v>16</v>
      </c>
      <c r="F102" s="3" t="s">
        <v>289</v>
      </c>
      <c r="G102" s="3" t="s">
        <v>23</v>
      </c>
      <c r="H102" s="3" t="s">
        <v>165</v>
      </c>
    </row>
    <row r="103" spans="1:8" x14ac:dyDescent="0.2">
      <c r="A103" s="3">
        <v>3050305017</v>
      </c>
      <c r="B103" s="4" t="s">
        <v>527</v>
      </c>
      <c r="C103" s="4" t="s">
        <v>1365</v>
      </c>
      <c r="D103" s="3">
        <v>1</v>
      </c>
      <c r="E103" s="3" t="s">
        <v>16</v>
      </c>
      <c r="F103" s="3" t="s">
        <v>291</v>
      </c>
      <c r="G103" s="3" t="s">
        <v>26</v>
      </c>
      <c r="H103" s="3" t="s">
        <v>165</v>
      </c>
    </row>
    <row r="104" spans="1:8" x14ac:dyDescent="0.2">
      <c r="A104" s="3">
        <v>3050305014</v>
      </c>
      <c r="B104" s="4" t="s">
        <v>529</v>
      </c>
      <c r="C104" s="4" t="s">
        <v>1366</v>
      </c>
      <c r="D104" s="3">
        <v>1</v>
      </c>
      <c r="E104" s="3" t="s">
        <v>16</v>
      </c>
      <c r="F104" s="3" t="s">
        <v>291</v>
      </c>
      <c r="G104" s="3" t="s">
        <v>26</v>
      </c>
      <c r="H104" s="3" t="s">
        <v>165</v>
      </c>
    </row>
    <row r="105" spans="1:8" x14ac:dyDescent="0.2">
      <c r="A105" s="3">
        <v>3110103002</v>
      </c>
      <c r="B105" s="4" t="s">
        <v>473</v>
      </c>
      <c r="C105" s="4" t="s">
        <v>474</v>
      </c>
      <c r="D105" s="3">
        <v>1</v>
      </c>
      <c r="E105" s="3" t="s">
        <v>16</v>
      </c>
      <c r="F105" s="3" t="s">
        <v>291</v>
      </c>
      <c r="G105" s="3" t="s">
        <v>26</v>
      </c>
      <c r="H105" s="3" t="s">
        <v>165</v>
      </c>
    </row>
    <row r="106" spans="1:8" x14ac:dyDescent="0.2">
      <c r="A106" s="3">
        <v>3030316006</v>
      </c>
      <c r="B106" s="4" t="s">
        <v>475</v>
      </c>
      <c r="C106" s="4" t="s">
        <v>476</v>
      </c>
      <c r="D106" s="3">
        <v>1</v>
      </c>
      <c r="E106" s="3" t="s">
        <v>16</v>
      </c>
      <c r="F106" s="3" t="s">
        <v>295</v>
      </c>
      <c r="G106" s="3" t="s">
        <v>17</v>
      </c>
      <c r="H106" s="3" t="s">
        <v>165</v>
      </c>
    </row>
    <row r="107" spans="1:8" x14ac:dyDescent="0.2">
      <c r="A107" s="3">
        <v>3030306004</v>
      </c>
      <c r="B107" s="4" t="s">
        <v>535</v>
      </c>
      <c r="C107" s="4" t="s">
        <v>566</v>
      </c>
      <c r="D107" s="3">
        <v>1</v>
      </c>
      <c r="E107" s="3" t="s">
        <v>16</v>
      </c>
      <c r="F107" s="3" t="s">
        <v>295</v>
      </c>
      <c r="G107" s="3" t="s">
        <v>17</v>
      </c>
      <c r="H107" s="3" t="s">
        <v>165</v>
      </c>
    </row>
    <row r="108" spans="1:8" x14ac:dyDescent="0.2">
      <c r="A108" s="3">
        <v>3030306005</v>
      </c>
      <c r="B108" s="4" t="s">
        <v>537</v>
      </c>
      <c r="C108" s="4" t="s">
        <v>566</v>
      </c>
      <c r="D108" s="3">
        <v>1</v>
      </c>
      <c r="E108" s="3" t="s">
        <v>16</v>
      </c>
      <c r="F108" s="3" t="s">
        <v>295</v>
      </c>
      <c r="G108" s="3" t="s">
        <v>17</v>
      </c>
      <c r="H108" s="3" t="s">
        <v>165</v>
      </c>
    </row>
    <row r="109" spans="1:8" x14ac:dyDescent="0.2">
      <c r="A109" s="3">
        <v>3030305009</v>
      </c>
      <c r="B109" s="4" t="s">
        <v>511</v>
      </c>
      <c r="C109" s="4" t="s">
        <v>1367</v>
      </c>
      <c r="D109" s="3">
        <v>1</v>
      </c>
      <c r="E109" s="3" t="s">
        <v>16</v>
      </c>
      <c r="F109" s="3" t="s">
        <v>295</v>
      </c>
      <c r="G109" s="3" t="s">
        <v>17</v>
      </c>
      <c r="H109" s="3" t="s">
        <v>165</v>
      </c>
    </row>
    <row r="110" spans="1:8" x14ac:dyDescent="0.2">
      <c r="A110" s="3">
        <v>3030305008</v>
      </c>
      <c r="B110" s="4" t="s">
        <v>513</v>
      </c>
      <c r="C110" s="4" t="s">
        <v>1367</v>
      </c>
      <c r="D110" s="3">
        <v>1</v>
      </c>
      <c r="E110" s="3" t="s">
        <v>16</v>
      </c>
      <c r="F110" s="3" t="s">
        <v>295</v>
      </c>
      <c r="G110" s="3" t="s">
        <v>17</v>
      </c>
      <c r="H110" s="3" t="s">
        <v>165</v>
      </c>
    </row>
    <row r="111" spans="1:8" x14ac:dyDescent="0.2">
      <c r="A111" s="3">
        <v>3030305010</v>
      </c>
      <c r="B111" s="4" t="s">
        <v>539</v>
      </c>
      <c r="C111" s="4" t="s">
        <v>1368</v>
      </c>
      <c r="D111" s="3">
        <v>1</v>
      </c>
      <c r="E111" s="3" t="s">
        <v>16</v>
      </c>
      <c r="F111" s="3" t="s">
        <v>295</v>
      </c>
      <c r="G111" s="3" t="s">
        <v>17</v>
      </c>
      <c r="H111" s="3" t="s">
        <v>165</v>
      </c>
    </row>
    <row r="112" spans="1:8" x14ac:dyDescent="0.2">
      <c r="A112" s="3">
        <v>3040326004</v>
      </c>
      <c r="B112" s="4" t="s">
        <v>546</v>
      </c>
      <c r="C112" s="4" t="s">
        <v>1369</v>
      </c>
      <c r="D112" s="3">
        <v>1</v>
      </c>
      <c r="E112" s="3" t="s">
        <v>16</v>
      </c>
      <c r="F112" s="3" t="s">
        <v>293</v>
      </c>
      <c r="G112" s="3" t="s">
        <v>29</v>
      </c>
      <c r="H112" s="3" t="s">
        <v>165</v>
      </c>
    </row>
    <row r="113" spans="1:8" x14ac:dyDescent="0.2">
      <c r="A113" s="3">
        <v>3040326006</v>
      </c>
      <c r="B113" s="4" t="s">
        <v>546</v>
      </c>
      <c r="C113" s="4" t="s">
        <v>1370</v>
      </c>
      <c r="D113" s="3">
        <v>1</v>
      </c>
      <c r="E113" s="3" t="s">
        <v>16</v>
      </c>
      <c r="F113" s="3" t="s">
        <v>293</v>
      </c>
      <c r="G113" s="3" t="s">
        <v>29</v>
      </c>
      <c r="H113" s="3" t="s">
        <v>165</v>
      </c>
    </row>
    <row r="114" spans="1:8" x14ac:dyDescent="0.2">
      <c r="A114" s="3">
        <v>3070206002</v>
      </c>
      <c r="B114" s="4" t="s">
        <v>923</v>
      </c>
      <c r="C114" s="4" t="s">
        <v>924</v>
      </c>
      <c r="D114" s="3">
        <v>2</v>
      </c>
      <c r="E114" s="3" t="s">
        <v>16</v>
      </c>
      <c r="F114" s="3" t="s">
        <v>317</v>
      </c>
      <c r="G114" s="3" t="s">
        <v>318</v>
      </c>
      <c r="H114" s="3" t="s">
        <v>165</v>
      </c>
    </row>
    <row r="115" spans="1:8" x14ac:dyDescent="0.2">
      <c r="A115" s="3">
        <v>3070208005</v>
      </c>
      <c r="B115" s="4" t="s">
        <v>1371</v>
      </c>
      <c r="C115" s="4" t="s">
        <v>1372</v>
      </c>
      <c r="D115" s="3">
        <v>1</v>
      </c>
      <c r="E115" s="3" t="s">
        <v>16</v>
      </c>
      <c r="F115" s="3" t="s">
        <v>317</v>
      </c>
      <c r="G115" s="3" t="s">
        <v>318</v>
      </c>
      <c r="H115" s="3" t="s">
        <v>165</v>
      </c>
    </row>
    <row r="116" spans="1:8" x14ac:dyDescent="0.2">
      <c r="A116" s="3">
        <v>3070217017</v>
      </c>
      <c r="B116" s="4" t="s">
        <v>1373</v>
      </c>
      <c r="C116" s="4" t="s">
        <v>1374</v>
      </c>
      <c r="D116" s="3">
        <v>1</v>
      </c>
      <c r="E116" s="3" t="s">
        <v>16</v>
      </c>
      <c r="F116" s="3" t="s">
        <v>317</v>
      </c>
      <c r="G116" s="3" t="s">
        <v>318</v>
      </c>
      <c r="H116" s="3" t="s">
        <v>165</v>
      </c>
    </row>
    <row r="117" spans="1:8" x14ac:dyDescent="0.2">
      <c r="A117" s="3">
        <v>3070202005</v>
      </c>
      <c r="B117" s="4" t="s">
        <v>388</v>
      </c>
      <c r="C117" s="4" t="s">
        <v>1375</v>
      </c>
      <c r="D117" s="3">
        <v>1</v>
      </c>
      <c r="E117" s="3" t="s">
        <v>16</v>
      </c>
      <c r="F117" s="3" t="s">
        <v>317</v>
      </c>
      <c r="G117" s="3" t="s">
        <v>318</v>
      </c>
      <c r="H117" s="3" t="s">
        <v>165</v>
      </c>
    </row>
    <row r="118" spans="1:8" x14ac:dyDescent="0.2">
      <c r="A118" s="3">
        <v>3030314007</v>
      </c>
      <c r="B118" s="4" t="s">
        <v>477</v>
      </c>
      <c r="C118" s="4" t="s">
        <v>478</v>
      </c>
      <c r="D118" s="3">
        <v>1</v>
      </c>
      <c r="E118" s="3" t="s">
        <v>16</v>
      </c>
      <c r="F118" s="3" t="s">
        <v>291</v>
      </c>
      <c r="G118" s="3" t="s">
        <v>26</v>
      </c>
      <c r="H118" s="3" t="s">
        <v>165</v>
      </c>
    </row>
    <row r="119" spans="1:8" x14ac:dyDescent="0.2">
      <c r="A119" s="3">
        <v>3030308012</v>
      </c>
      <c r="B119" s="4" t="s">
        <v>479</v>
      </c>
      <c r="C119" s="4" t="s">
        <v>1376</v>
      </c>
      <c r="D119" s="3">
        <v>1</v>
      </c>
      <c r="E119" s="3" t="s">
        <v>16</v>
      </c>
      <c r="F119" s="3" t="s">
        <v>291</v>
      </c>
      <c r="G119" s="3" t="s">
        <v>26</v>
      </c>
      <c r="H119" s="3" t="s">
        <v>165</v>
      </c>
    </row>
    <row r="120" spans="1:8" x14ac:dyDescent="0.2">
      <c r="A120" s="3">
        <v>3050305018</v>
      </c>
      <c r="B120" s="4" t="s">
        <v>549</v>
      </c>
      <c r="C120" s="4" t="s">
        <v>1366</v>
      </c>
      <c r="D120" s="3">
        <v>1</v>
      </c>
      <c r="E120" s="3" t="s">
        <v>16</v>
      </c>
      <c r="F120" s="3" t="s">
        <v>291</v>
      </c>
      <c r="G120" s="3" t="s">
        <v>26</v>
      </c>
      <c r="H120" s="3" t="s">
        <v>165</v>
      </c>
    </row>
    <row r="121" spans="1:8" x14ac:dyDescent="0.2">
      <c r="A121" s="3">
        <v>3050310030</v>
      </c>
      <c r="B121" s="4" t="s">
        <v>480</v>
      </c>
      <c r="C121" s="4" t="s">
        <v>469</v>
      </c>
      <c r="D121" s="3">
        <v>2</v>
      </c>
      <c r="E121" s="3" t="s">
        <v>16</v>
      </c>
      <c r="F121" s="3" t="s">
        <v>291</v>
      </c>
      <c r="G121" s="3" t="s">
        <v>26</v>
      </c>
      <c r="H121" s="3" t="s">
        <v>165</v>
      </c>
    </row>
    <row r="122" spans="1:8" x14ac:dyDescent="0.2">
      <c r="A122" s="3">
        <v>3050305012</v>
      </c>
      <c r="B122" s="4" t="s">
        <v>484</v>
      </c>
      <c r="C122" s="4" t="s">
        <v>1377</v>
      </c>
      <c r="D122" s="3">
        <v>1</v>
      </c>
      <c r="E122" s="3" t="s">
        <v>16</v>
      </c>
      <c r="F122" s="3" t="s">
        <v>291</v>
      </c>
      <c r="G122" s="3" t="s">
        <v>26</v>
      </c>
      <c r="H122" s="3" t="s">
        <v>173</v>
      </c>
    </row>
    <row r="123" spans="1:8" x14ac:dyDescent="0.2">
      <c r="A123" s="3">
        <v>3040305003</v>
      </c>
      <c r="B123" s="4" t="s">
        <v>486</v>
      </c>
      <c r="C123" s="4" t="s">
        <v>1378</v>
      </c>
      <c r="D123" s="3">
        <v>2</v>
      </c>
      <c r="E123" s="3" t="s">
        <v>16</v>
      </c>
      <c r="F123" s="3" t="s">
        <v>293</v>
      </c>
      <c r="G123" s="3" t="s">
        <v>29</v>
      </c>
      <c r="H123" s="3" t="s">
        <v>173</v>
      </c>
    </row>
    <row r="124" spans="1:8" x14ac:dyDescent="0.2">
      <c r="A124" s="3">
        <v>3040313002</v>
      </c>
      <c r="B124" s="4" t="s">
        <v>488</v>
      </c>
      <c r="C124" s="4" t="s">
        <v>489</v>
      </c>
      <c r="D124" s="3">
        <v>8</v>
      </c>
      <c r="E124" s="3" t="s">
        <v>16</v>
      </c>
      <c r="F124" s="3" t="s">
        <v>293</v>
      </c>
      <c r="G124" s="3" t="s">
        <v>29</v>
      </c>
      <c r="H124" s="3" t="s">
        <v>173</v>
      </c>
    </row>
    <row r="125" spans="1:8" x14ac:dyDescent="0.2">
      <c r="A125" s="3">
        <v>3040321001</v>
      </c>
      <c r="B125" s="4" t="s">
        <v>490</v>
      </c>
      <c r="C125" s="4" t="s">
        <v>347</v>
      </c>
      <c r="D125" s="3">
        <v>8</v>
      </c>
      <c r="E125" s="3" t="s">
        <v>16</v>
      </c>
      <c r="F125" s="3" t="s">
        <v>293</v>
      </c>
      <c r="G125" s="3" t="s">
        <v>29</v>
      </c>
      <c r="H125" s="3" t="s">
        <v>173</v>
      </c>
    </row>
    <row r="126" spans="1:8" x14ac:dyDescent="0.2">
      <c r="A126" s="3">
        <v>3040309001</v>
      </c>
      <c r="B126" s="4" t="s">
        <v>346</v>
      </c>
      <c r="C126" s="4" t="s">
        <v>347</v>
      </c>
      <c r="D126" s="3">
        <v>4</v>
      </c>
      <c r="E126" s="3" t="s">
        <v>16</v>
      </c>
      <c r="F126" s="3" t="s">
        <v>293</v>
      </c>
      <c r="G126" s="3" t="s">
        <v>29</v>
      </c>
      <c r="H126" s="3" t="s">
        <v>173</v>
      </c>
    </row>
    <row r="127" spans="1:8" x14ac:dyDescent="0.2">
      <c r="A127" s="3">
        <v>3060337003</v>
      </c>
      <c r="B127" s="4" t="s">
        <v>1379</v>
      </c>
      <c r="C127" s="4" t="s">
        <v>1380</v>
      </c>
      <c r="D127" s="3">
        <v>1</v>
      </c>
      <c r="E127" s="3" t="s">
        <v>16</v>
      </c>
      <c r="F127" s="3" t="s">
        <v>289</v>
      </c>
      <c r="G127" s="3" t="s">
        <v>23</v>
      </c>
      <c r="H127" s="3" t="s">
        <v>173</v>
      </c>
    </row>
    <row r="128" spans="1:8" x14ac:dyDescent="0.2">
      <c r="A128" s="3">
        <v>3050304003</v>
      </c>
      <c r="B128" s="4" t="s">
        <v>181</v>
      </c>
      <c r="C128" s="4" t="s">
        <v>1378</v>
      </c>
      <c r="D128" s="3">
        <v>1</v>
      </c>
      <c r="E128" s="3" t="s">
        <v>16</v>
      </c>
      <c r="F128" s="3" t="s">
        <v>291</v>
      </c>
      <c r="G128" s="3" t="s">
        <v>26</v>
      </c>
      <c r="H128" s="3" t="s">
        <v>173</v>
      </c>
    </row>
    <row r="129" spans="1:8" x14ac:dyDescent="0.2">
      <c r="A129" s="3">
        <v>3050305005</v>
      </c>
      <c r="B129" s="4" t="s">
        <v>1290</v>
      </c>
      <c r="C129" s="4" t="s">
        <v>1378</v>
      </c>
      <c r="D129" s="3">
        <v>2</v>
      </c>
      <c r="E129" s="3" t="s">
        <v>16</v>
      </c>
      <c r="F129" s="3" t="s">
        <v>291</v>
      </c>
      <c r="G129" s="3" t="s">
        <v>26</v>
      </c>
      <c r="H129" s="3" t="s">
        <v>173</v>
      </c>
    </row>
    <row r="130" spans="1:8" x14ac:dyDescent="0.2">
      <c r="A130" s="3">
        <v>3020501004</v>
      </c>
      <c r="B130" s="4" t="s">
        <v>183</v>
      </c>
      <c r="C130" s="4" t="s">
        <v>761</v>
      </c>
      <c r="D130" s="3">
        <v>1</v>
      </c>
      <c r="E130" s="3" t="s">
        <v>16</v>
      </c>
      <c r="F130" s="3" t="s">
        <v>291</v>
      </c>
      <c r="G130" s="3" t="s">
        <v>26</v>
      </c>
      <c r="H130" s="3" t="s">
        <v>185</v>
      </c>
    </row>
    <row r="131" spans="1:8" x14ac:dyDescent="0.2">
      <c r="A131" s="3">
        <v>3030204003</v>
      </c>
      <c r="B131" s="4" t="s">
        <v>492</v>
      </c>
      <c r="C131" s="4" t="s">
        <v>493</v>
      </c>
      <c r="D131" s="3">
        <v>2</v>
      </c>
      <c r="E131" s="3" t="s">
        <v>16</v>
      </c>
      <c r="F131" s="3" t="s">
        <v>295</v>
      </c>
      <c r="G131" s="3" t="s">
        <v>17</v>
      </c>
      <c r="H131" s="3" t="s">
        <v>494</v>
      </c>
    </row>
    <row r="132" spans="1:8" x14ac:dyDescent="0.2">
      <c r="A132" s="3">
        <v>3990201007</v>
      </c>
      <c r="B132" s="4" t="s">
        <v>186</v>
      </c>
      <c r="C132" s="4" t="s">
        <v>1381</v>
      </c>
      <c r="D132" s="3">
        <v>1</v>
      </c>
      <c r="E132" s="3" t="s">
        <v>16</v>
      </c>
      <c r="F132" s="3" t="s">
        <v>295</v>
      </c>
      <c r="G132" s="3" t="s">
        <v>17</v>
      </c>
      <c r="H132" s="3" t="s">
        <v>187</v>
      </c>
    </row>
    <row r="133" spans="1:8" x14ac:dyDescent="0.2">
      <c r="A133" s="3">
        <v>3990202006</v>
      </c>
      <c r="B133" s="4" t="s">
        <v>188</v>
      </c>
      <c r="C133" s="4" t="s">
        <v>1381</v>
      </c>
      <c r="D133" s="3">
        <v>1</v>
      </c>
      <c r="E133" s="3" t="s">
        <v>16</v>
      </c>
      <c r="F133" s="3" t="s">
        <v>295</v>
      </c>
      <c r="G133" s="3" t="s">
        <v>17</v>
      </c>
      <c r="H133" s="3" t="s">
        <v>187</v>
      </c>
    </row>
    <row r="134" spans="1:8" x14ac:dyDescent="0.2">
      <c r="A134" s="3">
        <v>3990203003</v>
      </c>
      <c r="B134" s="4" t="s">
        <v>189</v>
      </c>
      <c r="C134" s="4" t="s">
        <v>1381</v>
      </c>
      <c r="D134" s="3">
        <v>1</v>
      </c>
      <c r="E134" s="3" t="s">
        <v>16</v>
      </c>
      <c r="F134" s="3" t="s">
        <v>295</v>
      </c>
      <c r="G134" s="3" t="s">
        <v>17</v>
      </c>
      <c r="H134" s="3" t="s">
        <v>187</v>
      </c>
    </row>
    <row r="135" spans="1:8" x14ac:dyDescent="0.2">
      <c r="A135" s="3">
        <v>3060403036</v>
      </c>
      <c r="B135" s="4" t="s">
        <v>957</v>
      </c>
      <c r="C135" s="4" t="s">
        <v>501</v>
      </c>
      <c r="D135" s="3">
        <v>1</v>
      </c>
      <c r="E135" s="3" t="s">
        <v>16</v>
      </c>
      <c r="F135" s="3" t="s">
        <v>295</v>
      </c>
      <c r="G135" s="3" t="s">
        <v>17</v>
      </c>
      <c r="H135" s="3" t="s">
        <v>192</v>
      </c>
    </row>
    <row r="136" spans="1:8" x14ac:dyDescent="0.2">
      <c r="A136" s="3">
        <v>3060403035</v>
      </c>
      <c r="B136" s="4" t="s">
        <v>957</v>
      </c>
      <c r="C136" s="4" t="s">
        <v>502</v>
      </c>
      <c r="D136" s="3">
        <v>1</v>
      </c>
      <c r="E136" s="3" t="s">
        <v>16</v>
      </c>
      <c r="F136" s="3" t="s">
        <v>295</v>
      </c>
      <c r="G136" s="3" t="s">
        <v>17</v>
      </c>
      <c r="H136" s="3" t="s">
        <v>192</v>
      </c>
    </row>
    <row r="137" spans="1:8" x14ac:dyDescent="0.2">
      <c r="A137" s="3">
        <v>3030402003</v>
      </c>
      <c r="B137" s="4" t="s">
        <v>498</v>
      </c>
      <c r="C137" s="4" t="s">
        <v>1382</v>
      </c>
      <c r="D137" s="3">
        <v>1</v>
      </c>
      <c r="E137" s="3" t="s">
        <v>16</v>
      </c>
      <c r="F137" s="3" t="s">
        <v>295</v>
      </c>
      <c r="G137" s="3" t="s">
        <v>17</v>
      </c>
      <c r="H137" s="3" t="s">
        <v>192</v>
      </c>
    </row>
    <row r="138" spans="1:8" x14ac:dyDescent="0.2">
      <c r="A138" s="3">
        <v>3040312014</v>
      </c>
      <c r="B138" s="4" t="s">
        <v>263</v>
      </c>
      <c r="C138" s="4" t="s">
        <v>1125</v>
      </c>
      <c r="D138" s="3">
        <v>2</v>
      </c>
      <c r="E138" s="3" t="s">
        <v>16</v>
      </c>
      <c r="F138" s="3" t="s">
        <v>293</v>
      </c>
      <c r="G138" s="3" t="s">
        <v>29</v>
      </c>
      <c r="H138" s="3" t="s">
        <v>192</v>
      </c>
    </row>
    <row r="139" spans="1:8" x14ac:dyDescent="0.2">
      <c r="A139" s="3">
        <v>3040402005</v>
      </c>
      <c r="B139" s="4" t="s">
        <v>500</v>
      </c>
      <c r="C139" s="4" t="s">
        <v>501</v>
      </c>
      <c r="D139" s="3">
        <v>1</v>
      </c>
      <c r="E139" s="3" t="s">
        <v>16</v>
      </c>
      <c r="F139" s="3" t="s">
        <v>293</v>
      </c>
      <c r="G139" s="3" t="s">
        <v>29</v>
      </c>
      <c r="H139" s="3" t="s">
        <v>192</v>
      </c>
    </row>
    <row r="140" spans="1:8" x14ac:dyDescent="0.2">
      <c r="A140" s="3">
        <v>3040402006</v>
      </c>
      <c r="B140" s="4" t="s">
        <v>500</v>
      </c>
      <c r="C140" s="4" t="s">
        <v>502</v>
      </c>
      <c r="D140" s="3">
        <v>1</v>
      </c>
      <c r="E140" s="3" t="s">
        <v>16</v>
      </c>
      <c r="F140" s="3" t="s">
        <v>293</v>
      </c>
      <c r="G140" s="3" t="s">
        <v>29</v>
      </c>
      <c r="H140" s="3" t="s">
        <v>192</v>
      </c>
    </row>
    <row r="141" spans="1:8" x14ac:dyDescent="0.2">
      <c r="A141" s="3">
        <v>3070204006</v>
      </c>
      <c r="B141" s="4" t="s">
        <v>1383</v>
      </c>
      <c r="C141" s="4" t="s">
        <v>1384</v>
      </c>
      <c r="D141" s="3">
        <v>1</v>
      </c>
      <c r="E141" s="3" t="s">
        <v>16</v>
      </c>
      <c r="F141" s="3" t="s">
        <v>317</v>
      </c>
      <c r="G141" s="3" t="s">
        <v>318</v>
      </c>
      <c r="H141" s="3" t="s">
        <v>192</v>
      </c>
    </row>
    <row r="142" spans="1:8" x14ac:dyDescent="0.2">
      <c r="A142" s="3">
        <v>3020301004</v>
      </c>
      <c r="B142" s="4" t="s">
        <v>209</v>
      </c>
      <c r="C142" s="4" t="s">
        <v>1090</v>
      </c>
      <c r="D142" s="3">
        <v>1</v>
      </c>
      <c r="E142" s="3" t="s">
        <v>16</v>
      </c>
      <c r="F142" s="3" t="s">
        <v>301</v>
      </c>
      <c r="G142" s="3" t="s">
        <v>32</v>
      </c>
      <c r="H142" s="3" t="s">
        <v>192</v>
      </c>
    </row>
    <row r="143" spans="1:8" x14ac:dyDescent="0.2">
      <c r="A143" s="3">
        <v>3050402002</v>
      </c>
      <c r="B143" s="4" t="s">
        <v>1127</v>
      </c>
      <c r="C143" s="4" t="s">
        <v>1128</v>
      </c>
      <c r="D143" s="3">
        <v>1</v>
      </c>
      <c r="E143" s="3" t="s">
        <v>16</v>
      </c>
      <c r="F143" s="3" t="s">
        <v>295</v>
      </c>
      <c r="G143" s="3" t="s">
        <v>17</v>
      </c>
      <c r="H143" s="3" t="s">
        <v>192</v>
      </c>
    </row>
    <row r="144" spans="1:8" x14ac:dyDescent="0.2">
      <c r="A144" s="3">
        <v>3050401008</v>
      </c>
      <c r="B144" s="4" t="s">
        <v>222</v>
      </c>
      <c r="C144" s="4" t="s">
        <v>1128</v>
      </c>
      <c r="D144" s="3">
        <v>1</v>
      </c>
      <c r="E144" s="3" t="s">
        <v>16</v>
      </c>
      <c r="F144" s="3" t="s">
        <v>291</v>
      </c>
      <c r="G144" s="3" t="s">
        <v>26</v>
      </c>
      <c r="H144" s="3" t="s">
        <v>192</v>
      </c>
    </row>
    <row r="145" spans="1:8" x14ac:dyDescent="0.2">
      <c r="A145" s="3">
        <v>404100024</v>
      </c>
      <c r="B145" s="4" t="s">
        <v>196</v>
      </c>
      <c r="C145" s="4" t="s">
        <v>621</v>
      </c>
      <c r="D145" s="3">
        <v>1</v>
      </c>
      <c r="E145" s="3" t="s">
        <v>16</v>
      </c>
      <c r="F145" s="3" t="s">
        <v>301</v>
      </c>
      <c r="G145" s="3" t="s">
        <v>32</v>
      </c>
      <c r="H145" s="3" t="s">
        <v>198</v>
      </c>
    </row>
    <row r="146" spans="1:8" x14ac:dyDescent="0.2">
      <c r="A146" s="3">
        <v>404110010</v>
      </c>
      <c r="B146" s="4" t="s">
        <v>504</v>
      </c>
      <c r="C146" s="4" t="s">
        <v>1291</v>
      </c>
      <c r="D146" s="3">
        <v>2</v>
      </c>
      <c r="E146" s="3" t="s">
        <v>16</v>
      </c>
      <c r="F146" s="3" t="s">
        <v>291</v>
      </c>
      <c r="G146" s="3" t="s">
        <v>26</v>
      </c>
      <c r="H146" s="3" t="s">
        <v>198</v>
      </c>
    </row>
    <row r="147" spans="1:8" x14ac:dyDescent="0.2">
      <c r="A147" s="3">
        <v>404100025</v>
      </c>
      <c r="B147" s="4" t="s">
        <v>1093</v>
      </c>
      <c r="C147" s="4" t="s">
        <v>1094</v>
      </c>
      <c r="D147" s="3">
        <v>1</v>
      </c>
      <c r="E147" s="3" t="s">
        <v>16</v>
      </c>
      <c r="F147" s="3" t="s">
        <v>301</v>
      </c>
      <c r="G147" s="3" t="s">
        <v>32</v>
      </c>
      <c r="H147" s="3" t="s">
        <v>198</v>
      </c>
    </row>
    <row r="148" spans="1:8" x14ac:dyDescent="0.2">
      <c r="A148" s="3">
        <v>404100021</v>
      </c>
      <c r="B148" s="4" t="s">
        <v>326</v>
      </c>
      <c r="C148" s="4" t="s">
        <v>1385</v>
      </c>
      <c r="D148" s="3">
        <v>1</v>
      </c>
      <c r="E148" s="3" t="s">
        <v>16</v>
      </c>
      <c r="F148" s="3" t="s">
        <v>301</v>
      </c>
      <c r="G148" s="3" t="s">
        <v>32</v>
      </c>
      <c r="H148" s="3" t="s">
        <v>198</v>
      </c>
    </row>
    <row r="149" spans="1:8" x14ac:dyDescent="0.2">
      <c r="A149" s="3">
        <v>404100022</v>
      </c>
      <c r="B149" s="4" t="s">
        <v>1096</v>
      </c>
      <c r="C149" s="4" t="s">
        <v>1386</v>
      </c>
      <c r="D149" s="3">
        <v>1</v>
      </c>
      <c r="E149" s="3" t="s">
        <v>16</v>
      </c>
      <c r="F149" s="3" t="s">
        <v>301</v>
      </c>
      <c r="G149" s="3" t="s">
        <v>32</v>
      </c>
      <c r="H149" s="3" t="s">
        <v>198</v>
      </c>
    </row>
    <row r="150" spans="1:8" x14ac:dyDescent="0.2">
      <c r="A150" s="3">
        <v>403030012</v>
      </c>
      <c r="B150" s="4" t="s">
        <v>366</v>
      </c>
      <c r="C150" s="4" t="s">
        <v>507</v>
      </c>
      <c r="D150" s="3">
        <v>2</v>
      </c>
      <c r="E150" s="3" t="s">
        <v>16</v>
      </c>
      <c r="F150" s="3" t="s">
        <v>291</v>
      </c>
      <c r="G150" s="3" t="s">
        <v>26</v>
      </c>
      <c r="H150" s="3" t="s">
        <v>198</v>
      </c>
    </row>
    <row r="151" spans="1:8" x14ac:dyDescent="0.2">
      <c r="A151" s="3">
        <v>401070022</v>
      </c>
      <c r="B151" s="4" t="s">
        <v>35</v>
      </c>
      <c r="C151" s="4" t="s">
        <v>203</v>
      </c>
      <c r="D151" s="3">
        <v>1</v>
      </c>
      <c r="E151" s="3" t="s">
        <v>16</v>
      </c>
      <c r="F151" s="3" t="s">
        <v>297</v>
      </c>
      <c r="G151" s="3" t="s">
        <v>204</v>
      </c>
      <c r="H151" s="3" t="s">
        <v>198</v>
      </c>
    </row>
    <row r="152" spans="1:8" x14ac:dyDescent="0.2">
      <c r="A152" s="3">
        <v>401070018</v>
      </c>
      <c r="B152" s="4" t="s">
        <v>35</v>
      </c>
      <c r="C152" s="4" t="s">
        <v>202</v>
      </c>
      <c r="D152" s="3">
        <v>1</v>
      </c>
      <c r="E152" s="3" t="s">
        <v>16</v>
      </c>
      <c r="F152" s="3" t="s">
        <v>291</v>
      </c>
      <c r="G152" s="3" t="s">
        <v>26</v>
      </c>
      <c r="H152" s="3" t="s">
        <v>198</v>
      </c>
    </row>
    <row r="153" spans="1:8" x14ac:dyDescent="0.2">
      <c r="A153" s="3">
        <v>404100020</v>
      </c>
      <c r="B153" s="4" t="s">
        <v>205</v>
      </c>
      <c r="C153" s="4" t="s">
        <v>1292</v>
      </c>
      <c r="D153" s="3">
        <v>1</v>
      </c>
      <c r="E153" s="3" t="s">
        <v>16</v>
      </c>
      <c r="F153" s="3" t="s">
        <v>291</v>
      </c>
      <c r="G153" s="3" t="s">
        <v>26</v>
      </c>
      <c r="H153" s="3" t="s">
        <v>198</v>
      </c>
    </row>
    <row r="154" spans="1:8" x14ac:dyDescent="0.2">
      <c r="A154" s="3">
        <v>404100019</v>
      </c>
      <c r="B154" s="4" t="s">
        <v>207</v>
      </c>
      <c r="C154" s="4" t="s">
        <v>1293</v>
      </c>
      <c r="D154" s="3">
        <v>1</v>
      </c>
      <c r="E154" s="3" t="s">
        <v>16</v>
      </c>
      <c r="F154" s="3" t="s">
        <v>291</v>
      </c>
      <c r="G154" s="3" t="s">
        <v>26</v>
      </c>
      <c r="H154" s="3" t="s">
        <v>198</v>
      </c>
    </row>
    <row r="155" spans="1:8" x14ac:dyDescent="0.2">
      <c r="A155" s="3">
        <v>3069904001</v>
      </c>
      <c r="B155" s="4" t="s">
        <v>514</v>
      </c>
      <c r="C155" s="4" t="s">
        <v>355</v>
      </c>
      <c r="D155" s="3">
        <v>4</v>
      </c>
      <c r="E155" s="3" t="s">
        <v>16</v>
      </c>
      <c r="F155" s="3" t="s">
        <v>295</v>
      </c>
      <c r="G155" s="3" t="s">
        <v>17</v>
      </c>
      <c r="H155" s="3" t="s">
        <v>214</v>
      </c>
    </row>
    <row r="156" spans="1:8" x14ac:dyDescent="0.2">
      <c r="A156" s="3">
        <v>3030201003</v>
      </c>
      <c r="B156" s="4" t="s">
        <v>515</v>
      </c>
      <c r="C156" s="4" t="s">
        <v>516</v>
      </c>
      <c r="D156" s="3">
        <v>1</v>
      </c>
      <c r="E156" s="3" t="s">
        <v>16</v>
      </c>
      <c r="F156" s="3" t="s">
        <v>295</v>
      </c>
      <c r="G156" s="3" t="s">
        <v>17</v>
      </c>
      <c r="H156" s="3" t="s">
        <v>214</v>
      </c>
    </row>
    <row r="157" spans="1:8" x14ac:dyDescent="0.2">
      <c r="A157" s="3">
        <v>3049903001</v>
      </c>
      <c r="B157" s="4" t="s">
        <v>517</v>
      </c>
      <c r="C157" s="4" t="s">
        <v>355</v>
      </c>
      <c r="D157" s="3">
        <v>2</v>
      </c>
      <c r="E157" s="3" t="s">
        <v>16</v>
      </c>
      <c r="F157" s="3" t="s">
        <v>293</v>
      </c>
      <c r="G157" s="3" t="s">
        <v>29</v>
      </c>
      <c r="H157" s="3" t="s">
        <v>214</v>
      </c>
    </row>
    <row r="158" spans="1:8" x14ac:dyDescent="0.2">
      <c r="A158" s="3">
        <v>3049904001</v>
      </c>
      <c r="B158" s="4" t="s">
        <v>354</v>
      </c>
      <c r="C158" s="4" t="s">
        <v>355</v>
      </c>
      <c r="D158" s="3">
        <v>4</v>
      </c>
      <c r="E158" s="3" t="s">
        <v>16</v>
      </c>
      <c r="F158" s="3" t="s">
        <v>293</v>
      </c>
      <c r="G158" s="3" t="s">
        <v>29</v>
      </c>
      <c r="H158" s="3" t="s">
        <v>214</v>
      </c>
    </row>
    <row r="159" spans="1:8" x14ac:dyDescent="0.2">
      <c r="A159" s="3">
        <v>3049902001</v>
      </c>
      <c r="B159" s="4" t="s">
        <v>518</v>
      </c>
      <c r="C159" s="4" t="s">
        <v>355</v>
      </c>
      <c r="D159" s="3">
        <v>2</v>
      </c>
      <c r="E159" s="3" t="s">
        <v>16</v>
      </c>
      <c r="F159" s="3" t="s">
        <v>293</v>
      </c>
      <c r="G159" s="3" t="s">
        <v>29</v>
      </c>
      <c r="H159" s="3" t="s">
        <v>214</v>
      </c>
    </row>
    <row r="160" spans="1:8" x14ac:dyDescent="0.2">
      <c r="A160" s="3">
        <v>3050204001</v>
      </c>
      <c r="B160" s="4" t="s">
        <v>519</v>
      </c>
      <c r="C160" s="4" t="s">
        <v>355</v>
      </c>
      <c r="D160" s="3">
        <v>2</v>
      </c>
      <c r="E160" s="3" t="s">
        <v>16</v>
      </c>
      <c r="F160" s="3" t="s">
        <v>291</v>
      </c>
      <c r="G160" s="3" t="s">
        <v>26</v>
      </c>
      <c r="H160" s="3" t="s">
        <v>214</v>
      </c>
    </row>
    <row r="161" spans="1:8" x14ac:dyDescent="0.2">
      <c r="A161" s="3">
        <v>3050204002</v>
      </c>
      <c r="B161" s="4" t="s">
        <v>520</v>
      </c>
      <c r="C161" s="4" t="s">
        <v>355</v>
      </c>
      <c r="D161" s="3">
        <v>2</v>
      </c>
      <c r="E161" s="3" t="s">
        <v>16</v>
      </c>
      <c r="F161" s="3" t="s">
        <v>291</v>
      </c>
      <c r="G161" s="3" t="s">
        <v>26</v>
      </c>
      <c r="H161" s="3" t="s">
        <v>214</v>
      </c>
    </row>
    <row r="162" spans="1:8" x14ac:dyDescent="0.2">
      <c r="A162" s="3">
        <v>3060404008</v>
      </c>
      <c r="B162" s="4" t="s">
        <v>729</v>
      </c>
      <c r="C162" s="4" t="s">
        <v>1387</v>
      </c>
      <c r="D162" s="3">
        <v>1</v>
      </c>
      <c r="E162" s="3" t="s">
        <v>16</v>
      </c>
      <c r="F162" s="3" t="s">
        <v>289</v>
      </c>
      <c r="G162" s="3" t="s">
        <v>23</v>
      </c>
      <c r="H162" s="3" t="s">
        <v>221</v>
      </c>
    </row>
    <row r="163" spans="1:8" x14ac:dyDescent="0.2">
      <c r="A163" s="3">
        <v>3060404009</v>
      </c>
      <c r="B163" s="4" t="s">
        <v>729</v>
      </c>
      <c r="C163" s="4" t="s">
        <v>1388</v>
      </c>
      <c r="D163" s="3">
        <v>1</v>
      </c>
      <c r="E163" s="3" t="s">
        <v>16</v>
      </c>
      <c r="F163" s="3" t="s">
        <v>289</v>
      </c>
      <c r="G163" s="3" t="s">
        <v>23</v>
      </c>
      <c r="H163" s="3" t="s">
        <v>221</v>
      </c>
    </row>
    <row r="164" spans="1:8" x14ac:dyDescent="0.2">
      <c r="A164" s="3">
        <v>3040324003</v>
      </c>
      <c r="B164" s="4" t="s">
        <v>570</v>
      </c>
      <c r="C164" s="4" t="s">
        <v>1128</v>
      </c>
      <c r="D164" s="3">
        <v>2</v>
      </c>
      <c r="E164" s="3" t="s">
        <v>16</v>
      </c>
      <c r="F164" s="3" t="s">
        <v>293</v>
      </c>
      <c r="G164" s="3" t="s">
        <v>29</v>
      </c>
      <c r="H164" s="3" t="s">
        <v>221</v>
      </c>
    </row>
    <row r="165" spans="1:8" x14ac:dyDescent="0.2">
      <c r="A165" s="3">
        <v>403030005</v>
      </c>
      <c r="B165" s="4" t="s">
        <v>366</v>
      </c>
      <c r="C165" s="4" t="s">
        <v>368</v>
      </c>
      <c r="D165" s="3">
        <v>2</v>
      </c>
      <c r="E165" s="3" t="s">
        <v>16</v>
      </c>
      <c r="F165" s="3" t="s">
        <v>301</v>
      </c>
      <c r="G165" s="3" t="s">
        <v>32</v>
      </c>
      <c r="H165" s="3" t="s">
        <v>221</v>
      </c>
    </row>
    <row r="166" spans="1:8" x14ac:dyDescent="0.2">
      <c r="A166" s="3">
        <v>403030051</v>
      </c>
      <c r="B166" s="4" t="s">
        <v>366</v>
      </c>
      <c r="C166" s="4" t="s">
        <v>367</v>
      </c>
      <c r="D166" s="3">
        <v>3</v>
      </c>
      <c r="E166" s="3" t="s">
        <v>16</v>
      </c>
      <c r="F166" s="3" t="s">
        <v>301</v>
      </c>
      <c r="G166" s="3" t="s">
        <v>32</v>
      </c>
      <c r="H166" s="3" t="s">
        <v>221</v>
      </c>
    </row>
    <row r="167" spans="1:8" x14ac:dyDescent="0.2">
      <c r="A167" s="3">
        <v>40706001</v>
      </c>
      <c r="B167" s="4" t="s">
        <v>1137</v>
      </c>
      <c r="C167" s="4" t="s">
        <v>1389</v>
      </c>
      <c r="D167" s="3">
        <v>1</v>
      </c>
      <c r="E167" s="3" t="s">
        <v>16</v>
      </c>
      <c r="F167" s="3" t="s">
        <v>291</v>
      </c>
      <c r="G167" s="3" t="s">
        <v>26</v>
      </c>
      <c r="H167" s="3" t="s">
        <v>524</v>
      </c>
    </row>
    <row r="168" spans="1:8" x14ac:dyDescent="0.2">
      <c r="A168" s="3">
        <v>408990052</v>
      </c>
      <c r="B168" s="4" t="s">
        <v>1131</v>
      </c>
      <c r="C168" s="4" t="s">
        <v>1390</v>
      </c>
      <c r="D168" s="3">
        <v>1</v>
      </c>
      <c r="E168" s="3" t="s">
        <v>16</v>
      </c>
      <c r="F168" s="3" t="s">
        <v>291</v>
      </c>
      <c r="G168" s="3" t="s">
        <v>26</v>
      </c>
      <c r="H168" s="3" t="s">
        <v>524</v>
      </c>
    </row>
    <row r="169" spans="1:8" x14ac:dyDescent="0.2">
      <c r="A169" s="3">
        <v>408120031</v>
      </c>
      <c r="B169" s="4" t="s">
        <v>525</v>
      </c>
      <c r="C169" s="4" t="s">
        <v>1391</v>
      </c>
      <c r="D169" s="3">
        <v>20</v>
      </c>
      <c r="E169" s="3" t="s">
        <v>16</v>
      </c>
      <c r="F169" s="3" t="s">
        <v>289</v>
      </c>
      <c r="G169" s="3" t="s">
        <v>23</v>
      </c>
      <c r="H169" s="3" t="s">
        <v>524</v>
      </c>
    </row>
    <row r="170" spans="1:8" x14ac:dyDescent="0.2">
      <c r="A170" s="3">
        <v>408120006</v>
      </c>
      <c r="B170" s="4" t="s">
        <v>525</v>
      </c>
      <c r="C170" s="4" t="s">
        <v>1392</v>
      </c>
      <c r="D170" s="3">
        <v>4</v>
      </c>
      <c r="E170" s="3" t="s">
        <v>16</v>
      </c>
      <c r="F170" s="3" t="s">
        <v>289</v>
      </c>
      <c r="G170" s="3" t="s">
        <v>23</v>
      </c>
      <c r="H170" s="3" t="s">
        <v>524</v>
      </c>
    </row>
    <row r="171" spans="1:8" x14ac:dyDescent="0.2">
      <c r="A171" s="3">
        <v>408120005</v>
      </c>
      <c r="B171" s="4" t="s">
        <v>525</v>
      </c>
      <c r="C171" s="4" t="s">
        <v>1393</v>
      </c>
      <c r="D171" s="3">
        <v>2</v>
      </c>
      <c r="E171" s="3" t="s">
        <v>16</v>
      </c>
      <c r="F171" s="3" t="s">
        <v>289</v>
      </c>
      <c r="G171" s="3" t="s">
        <v>23</v>
      </c>
      <c r="H171" s="3" t="s">
        <v>524</v>
      </c>
    </row>
    <row r="172" spans="1:8" x14ac:dyDescent="0.2">
      <c r="A172" s="3">
        <v>408120031</v>
      </c>
      <c r="B172" s="4" t="s">
        <v>525</v>
      </c>
      <c r="C172" s="4" t="s">
        <v>1391</v>
      </c>
      <c r="D172" s="3">
        <v>10</v>
      </c>
      <c r="E172" s="3" t="s">
        <v>16</v>
      </c>
      <c r="F172" s="3" t="s">
        <v>317</v>
      </c>
      <c r="G172" s="3" t="s">
        <v>318</v>
      </c>
      <c r="H172" s="3" t="s">
        <v>524</v>
      </c>
    </row>
    <row r="173" spans="1:8" x14ac:dyDescent="0.2">
      <c r="A173" s="3">
        <v>408120007</v>
      </c>
      <c r="B173" s="4" t="s">
        <v>525</v>
      </c>
      <c r="C173" s="4" t="s">
        <v>1394</v>
      </c>
      <c r="D173" s="3">
        <v>2</v>
      </c>
      <c r="E173" s="3" t="s">
        <v>16</v>
      </c>
      <c r="F173" s="3" t="s">
        <v>317</v>
      </c>
      <c r="G173" s="3" t="s">
        <v>318</v>
      </c>
      <c r="H173" s="3" t="s">
        <v>524</v>
      </c>
    </row>
    <row r="174" spans="1:8" x14ac:dyDescent="0.2">
      <c r="A174" s="3">
        <v>407010063</v>
      </c>
      <c r="B174" s="4" t="s">
        <v>149</v>
      </c>
      <c r="C174" s="4" t="s">
        <v>1395</v>
      </c>
      <c r="D174" s="3">
        <v>1</v>
      </c>
      <c r="E174" s="3" t="s">
        <v>16</v>
      </c>
      <c r="F174" s="3" t="s">
        <v>291</v>
      </c>
      <c r="G174" s="3" t="s">
        <v>26</v>
      </c>
      <c r="H174" s="3" t="s">
        <v>524</v>
      </c>
    </row>
    <row r="175" spans="1:8" x14ac:dyDescent="0.2">
      <c r="A175" s="3">
        <v>3040502072</v>
      </c>
      <c r="B175" s="4" t="s">
        <v>136</v>
      </c>
      <c r="C175" s="4" t="s">
        <v>1396</v>
      </c>
      <c r="D175" s="3">
        <v>1</v>
      </c>
      <c r="E175" s="3" t="s">
        <v>16</v>
      </c>
      <c r="F175" s="3" t="s">
        <v>293</v>
      </c>
      <c r="G175" s="3" t="s">
        <v>29</v>
      </c>
      <c r="H175" s="3" t="s">
        <v>370</v>
      </c>
    </row>
    <row r="176" spans="1:8" x14ac:dyDescent="0.2">
      <c r="A176" s="3">
        <v>3040502073</v>
      </c>
      <c r="B176" s="4" t="s">
        <v>136</v>
      </c>
      <c r="C176" s="4" t="s">
        <v>1397</v>
      </c>
      <c r="D176" s="3">
        <v>1</v>
      </c>
      <c r="E176" s="3" t="s">
        <v>16</v>
      </c>
      <c r="F176" s="3" t="s">
        <v>293</v>
      </c>
      <c r="G176" s="3" t="s">
        <v>29</v>
      </c>
      <c r="H176" s="3" t="s">
        <v>370</v>
      </c>
    </row>
    <row r="177" spans="1:8" x14ac:dyDescent="0.2">
      <c r="A177" s="3">
        <v>3030309017</v>
      </c>
      <c r="B177" s="4" t="s">
        <v>531</v>
      </c>
      <c r="C177" s="4" t="s">
        <v>1398</v>
      </c>
      <c r="D177" s="3">
        <v>1</v>
      </c>
      <c r="E177" s="3" t="s">
        <v>16</v>
      </c>
      <c r="F177" s="3" t="s">
        <v>291</v>
      </c>
      <c r="G177" s="3" t="s">
        <v>26</v>
      </c>
      <c r="H177" s="3" t="s">
        <v>226</v>
      </c>
    </row>
    <row r="178" spans="1:8" x14ac:dyDescent="0.2">
      <c r="A178" s="3">
        <v>3030302002</v>
      </c>
      <c r="B178" s="4" t="s">
        <v>533</v>
      </c>
      <c r="C178" s="4" t="s">
        <v>534</v>
      </c>
      <c r="D178" s="3">
        <v>1</v>
      </c>
      <c r="E178" s="3" t="s">
        <v>16</v>
      </c>
      <c r="F178" s="3" t="s">
        <v>295</v>
      </c>
      <c r="G178" s="3" t="s">
        <v>17</v>
      </c>
      <c r="H178" s="3" t="s">
        <v>226</v>
      </c>
    </row>
    <row r="179" spans="1:8" x14ac:dyDescent="0.2">
      <c r="A179" s="3">
        <v>3030303004</v>
      </c>
      <c r="B179" s="4" t="s">
        <v>175</v>
      </c>
      <c r="C179" s="4" t="s">
        <v>1399</v>
      </c>
      <c r="D179" s="3">
        <v>1</v>
      </c>
      <c r="E179" s="3" t="s">
        <v>16</v>
      </c>
      <c r="F179" s="3" t="s">
        <v>295</v>
      </c>
      <c r="G179" s="3" t="s">
        <v>17</v>
      </c>
      <c r="H179" s="3" t="s">
        <v>226</v>
      </c>
    </row>
    <row r="180" spans="1:8" x14ac:dyDescent="0.2">
      <c r="A180" s="3">
        <v>3040320008</v>
      </c>
      <c r="B180" s="4" t="s">
        <v>269</v>
      </c>
      <c r="C180" s="4" t="s">
        <v>568</v>
      </c>
      <c r="D180" s="3">
        <v>1</v>
      </c>
      <c r="E180" s="3" t="s">
        <v>16</v>
      </c>
      <c r="F180" s="3" t="s">
        <v>293</v>
      </c>
      <c r="G180" s="3" t="s">
        <v>29</v>
      </c>
      <c r="H180" s="3" t="s">
        <v>226</v>
      </c>
    </row>
    <row r="181" spans="1:8" x14ac:dyDescent="0.2">
      <c r="A181" s="3">
        <v>3040320009</v>
      </c>
      <c r="B181" s="4" t="s">
        <v>269</v>
      </c>
      <c r="C181" s="4" t="s">
        <v>569</v>
      </c>
      <c r="D181" s="3">
        <v>1</v>
      </c>
      <c r="E181" s="3" t="s">
        <v>16</v>
      </c>
      <c r="F181" s="3" t="s">
        <v>293</v>
      </c>
      <c r="G181" s="3" t="s">
        <v>29</v>
      </c>
      <c r="H181" s="3" t="s">
        <v>226</v>
      </c>
    </row>
    <row r="182" spans="1:8" x14ac:dyDescent="0.2">
      <c r="A182" s="3">
        <v>3030313003</v>
      </c>
      <c r="B182" s="4" t="s">
        <v>217</v>
      </c>
      <c r="C182" s="4" t="s">
        <v>544</v>
      </c>
      <c r="D182" s="3">
        <v>8</v>
      </c>
      <c r="E182" s="3" t="s">
        <v>16</v>
      </c>
      <c r="F182" s="3" t="s">
        <v>291</v>
      </c>
      <c r="G182" s="3" t="s">
        <v>26</v>
      </c>
      <c r="H182" s="3" t="s">
        <v>226</v>
      </c>
    </row>
    <row r="183" spans="1:8" x14ac:dyDescent="0.2">
      <c r="A183" s="3">
        <v>3020101004</v>
      </c>
      <c r="B183" s="4" t="s">
        <v>239</v>
      </c>
      <c r="C183" s="4" t="s">
        <v>1098</v>
      </c>
      <c r="D183" s="3">
        <v>5</v>
      </c>
      <c r="E183" s="3" t="s">
        <v>16</v>
      </c>
      <c r="F183" s="3" t="s">
        <v>297</v>
      </c>
      <c r="G183" s="3" t="s">
        <v>204</v>
      </c>
      <c r="H183" s="3" t="s">
        <v>226</v>
      </c>
    </row>
    <row r="184" spans="1:8" x14ac:dyDescent="0.2">
      <c r="A184" s="3">
        <v>3030317001</v>
      </c>
      <c r="B184" s="4" t="s">
        <v>1400</v>
      </c>
      <c r="C184" s="4" t="s">
        <v>1401</v>
      </c>
      <c r="D184" s="3">
        <v>1</v>
      </c>
      <c r="E184" s="3" t="s">
        <v>16</v>
      </c>
      <c r="F184" s="3" t="s">
        <v>291</v>
      </c>
      <c r="G184" s="3" t="s">
        <v>26</v>
      </c>
      <c r="H184" s="3" t="s">
        <v>226</v>
      </c>
    </row>
    <row r="185" spans="1:8" x14ac:dyDescent="0.2">
      <c r="A185" s="3">
        <v>3030319001</v>
      </c>
      <c r="B185" s="4" t="s">
        <v>1402</v>
      </c>
      <c r="C185" s="4" t="s">
        <v>1401</v>
      </c>
      <c r="D185" s="3">
        <v>1</v>
      </c>
      <c r="E185" s="3" t="s">
        <v>16</v>
      </c>
      <c r="F185" s="3" t="s">
        <v>291</v>
      </c>
      <c r="G185" s="3" t="s">
        <v>26</v>
      </c>
      <c r="H185" s="3" t="s">
        <v>226</v>
      </c>
    </row>
    <row r="186" spans="1:8" x14ac:dyDescent="0.2">
      <c r="A186" s="3">
        <v>3030318001</v>
      </c>
      <c r="B186" s="4" t="s">
        <v>1403</v>
      </c>
      <c r="C186" s="4" t="s">
        <v>1401</v>
      </c>
      <c r="D186" s="3">
        <v>1</v>
      </c>
      <c r="E186" s="3" t="s">
        <v>16</v>
      </c>
      <c r="F186" s="3" t="s">
        <v>291</v>
      </c>
      <c r="G186" s="3" t="s">
        <v>26</v>
      </c>
      <c r="H186" s="3" t="s">
        <v>226</v>
      </c>
    </row>
    <row r="187" spans="1:8" x14ac:dyDescent="0.2">
      <c r="A187" s="3">
        <v>3070201004</v>
      </c>
      <c r="B187" s="4" t="s">
        <v>348</v>
      </c>
      <c r="C187" s="4" t="s">
        <v>1404</v>
      </c>
      <c r="D187" s="3">
        <v>1</v>
      </c>
      <c r="E187" s="3" t="s">
        <v>16</v>
      </c>
      <c r="F187" s="3" t="s">
        <v>317</v>
      </c>
      <c r="G187" s="3" t="s">
        <v>318</v>
      </c>
      <c r="H187" s="3" t="s">
        <v>226</v>
      </c>
    </row>
    <row r="188" spans="1:8" x14ac:dyDescent="0.2">
      <c r="A188" s="3">
        <v>3991601009</v>
      </c>
      <c r="B188" s="4" t="s">
        <v>585</v>
      </c>
      <c r="C188" s="4" t="s">
        <v>1230</v>
      </c>
      <c r="D188" s="3">
        <v>2</v>
      </c>
      <c r="E188" s="3" t="s">
        <v>16</v>
      </c>
      <c r="F188" s="3" t="s">
        <v>289</v>
      </c>
      <c r="G188" s="3" t="s">
        <v>23</v>
      </c>
      <c r="H188" s="3" t="s">
        <v>226</v>
      </c>
    </row>
    <row r="189" spans="1:8" x14ac:dyDescent="0.2">
      <c r="A189" s="3">
        <v>3050306001</v>
      </c>
      <c r="B189" s="4" t="s">
        <v>1123</v>
      </c>
      <c r="C189" s="4" t="s">
        <v>566</v>
      </c>
      <c r="D189" s="3">
        <v>1</v>
      </c>
      <c r="E189" s="3" t="s">
        <v>16</v>
      </c>
      <c r="F189" s="3" t="s">
        <v>291</v>
      </c>
      <c r="G189" s="3" t="s">
        <v>26</v>
      </c>
      <c r="H189" s="3" t="s">
        <v>226</v>
      </c>
    </row>
    <row r="190" spans="1:8" x14ac:dyDescent="0.2">
      <c r="A190" s="3">
        <v>3080401031</v>
      </c>
      <c r="B190" s="4" t="s">
        <v>41</v>
      </c>
      <c r="C190" s="4" t="s">
        <v>551</v>
      </c>
      <c r="D190" s="3">
        <v>1</v>
      </c>
      <c r="E190" s="3" t="s">
        <v>16</v>
      </c>
      <c r="F190" s="3" t="s">
        <v>291</v>
      </c>
      <c r="G190" s="3" t="s">
        <v>26</v>
      </c>
      <c r="H190" s="3" t="s">
        <v>249</v>
      </c>
    </row>
    <row r="191" spans="1:8" x14ac:dyDescent="0.2">
      <c r="A191" s="3">
        <v>3030211001</v>
      </c>
      <c r="B191" s="4" t="s">
        <v>552</v>
      </c>
      <c r="C191" s="4" t="s">
        <v>553</v>
      </c>
      <c r="D191" s="3">
        <v>1</v>
      </c>
      <c r="E191" s="3" t="s">
        <v>16</v>
      </c>
      <c r="F191" s="3" t="s">
        <v>295</v>
      </c>
      <c r="G191" s="3" t="s">
        <v>17</v>
      </c>
      <c r="H191" s="3" t="s">
        <v>249</v>
      </c>
    </row>
    <row r="192" spans="1:8" x14ac:dyDescent="0.2">
      <c r="A192" s="3">
        <v>3030211001</v>
      </c>
      <c r="B192" s="4" t="s">
        <v>552</v>
      </c>
      <c r="C192" s="4" t="s">
        <v>553</v>
      </c>
      <c r="D192" s="3">
        <v>1</v>
      </c>
      <c r="E192" s="3" t="s">
        <v>16</v>
      </c>
      <c r="F192" s="3" t="s">
        <v>291</v>
      </c>
      <c r="G192" s="3" t="s">
        <v>26</v>
      </c>
      <c r="H192" s="3" t="s">
        <v>249</v>
      </c>
    </row>
    <row r="193" spans="1:8" x14ac:dyDescent="0.2">
      <c r="A193" s="3">
        <v>3080309001</v>
      </c>
      <c r="B193" s="4" t="s">
        <v>554</v>
      </c>
      <c r="C193" s="4" t="s">
        <v>555</v>
      </c>
      <c r="D193" s="3">
        <v>1</v>
      </c>
      <c r="E193" s="3" t="s">
        <v>16</v>
      </c>
      <c r="F193" s="3" t="s">
        <v>295</v>
      </c>
      <c r="G193" s="3" t="s">
        <v>17</v>
      </c>
      <c r="H193" s="3" t="s">
        <v>249</v>
      </c>
    </row>
    <row r="194" spans="1:8" x14ac:dyDescent="0.2">
      <c r="A194" s="3">
        <v>3080107268</v>
      </c>
      <c r="B194" s="4" t="s">
        <v>69</v>
      </c>
      <c r="C194" s="4" t="s">
        <v>556</v>
      </c>
      <c r="D194" s="3">
        <v>2</v>
      </c>
      <c r="E194" s="3" t="s">
        <v>16</v>
      </c>
      <c r="F194" s="3" t="s">
        <v>291</v>
      </c>
      <c r="G194" s="3" t="s">
        <v>26</v>
      </c>
      <c r="H194" s="3" t="s">
        <v>249</v>
      </c>
    </row>
    <row r="195" spans="1:8" x14ac:dyDescent="0.2">
      <c r="A195" s="3">
        <v>3080107269</v>
      </c>
      <c r="B195" s="4" t="s">
        <v>69</v>
      </c>
      <c r="C195" s="4" t="s">
        <v>557</v>
      </c>
      <c r="D195" s="3">
        <v>2</v>
      </c>
      <c r="E195" s="3" t="s">
        <v>16</v>
      </c>
      <c r="F195" s="3" t="s">
        <v>291</v>
      </c>
      <c r="G195" s="3" t="s">
        <v>26</v>
      </c>
      <c r="H195" s="3" t="s">
        <v>249</v>
      </c>
    </row>
    <row r="196" spans="1:8" x14ac:dyDescent="0.2">
      <c r="A196" s="3">
        <v>3060333005</v>
      </c>
      <c r="B196" s="4" t="s">
        <v>227</v>
      </c>
      <c r="C196" s="4" t="s">
        <v>1405</v>
      </c>
      <c r="D196" s="3">
        <v>1</v>
      </c>
      <c r="E196" s="3" t="s">
        <v>16</v>
      </c>
      <c r="F196" s="3" t="s">
        <v>289</v>
      </c>
      <c r="G196" s="3" t="s">
        <v>23</v>
      </c>
      <c r="H196" s="3" t="s">
        <v>254</v>
      </c>
    </row>
    <row r="197" spans="1:8" x14ac:dyDescent="0.2">
      <c r="A197" s="3">
        <v>3060335007</v>
      </c>
      <c r="B197" s="4" t="s">
        <v>233</v>
      </c>
      <c r="C197" s="4" t="s">
        <v>1368</v>
      </c>
      <c r="D197" s="3">
        <v>1</v>
      </c>
      <c r="E197" s="3" t="s">
        <v>16</v>
      </c>
      <c r="F197" s="3" t="s">
        <v>289</v>
      </c>
      <c r="G197" s="3" t="s">
        <v>23</v>
      </c>
      <c r="H197" s="3" t="s">
        <v>254</v>
      </c>
    </row>
    <row r="198" spans="1:8" x14ac:dyDescent="0.2">
      <c r="A198" s="3">
        <v>3030302001</v>
      </c>
      <c r="B198" s="4" t="s">
        <v>558</v>
      </c>
      <c r="C198" s="4" t="s">
        <v>534</v>
      </c>
      <c r="D198" s="3">
        <v>1</v>
      </c>
      <c r="E198" s="3" t="s">
        <v>16</v>
      </c>
      <c r="F198" s="3" t="s">
        <v>295</v>
      </c>
      <c r="G198" s="3" t="s">
        <v>17</v>
      </c>
      <c r="H198" s="3" t="s">
        <v>254</v>
      </c>
    </row>
    <row r="199" spans="1:8" x14ac:dyDescent="0.2">
      <c r="A199" s="3">
        <v>3030306032</v>
      </c>
      <c r="B199" s="4" t="s">
        <v>559</v>
      </c>
      <c r="C199" s="4" t="s">
        <v>1406</v>
      </c>
      <c r="D199" s="3">
        <v>1</v>
      </c>
      <c r="E199" s="3" t="s">
        <v>16</v>
      </c>
      <c r="F199" s="3" t="s">
        <v>295</v>
      </c>
      <c r="G199" s="3" t="s">
        <v>17</v>
      </c>
      <c r="H199" s="3" t="s">
        <v>254</v>
      </c>
    </row>
    <row r="200" spans="1:8" x14ac:dyDescent="0.2">
      <c r="A200" s="3">
        <v>3080311003</v>
      </c>
      <c r="B200" s="4" t="s">
        <v>561</v>
      </c>
      <c r="C200" s="4" t="s">
        <v>566</v>
      </c>
      <c r="D200" s="3">
        <v>1</v>
      </c>
      <c r="E200" s="3" t="s">
        <v>16</v>
      </c>
      <c r="F200" s="3" t="s">
        <v>295</v>
      </c>
      <c r="G200" s="3" t="s">
        <v>17</v>
      </c>
      <c r="H200" s="3" t="s">
        <v>254</v>
      </c>
    </row>
    <row r="201" spans="1:8" x14ac:dyDescent="0.2">
      <c r="A201" s="3">
        <v>3030303008</v>
      </c>
      <c r="B201" s="4" t="s">
        <v>562</v>
      </c>
      <c r="C201" s="4" t="s">
        <v>1407</v>
      </c>
      <c r="D201" s="3">
        <v>1</v>
      </c>
      <c r="E201" s="3" t="s">
        <v>16</v>
      </c>
      <c r="F201" s="3" t="s">
        <v>295</v>
      </c>
      <c r="G201" s="3" t="s">
        <v>17</v>
      </c>
      <c r="H201" s="3" t="s">
        <v>254</v>
      </c>
    </row>
    <row r="202" spans="1:8" x14ac:dyDescent="0.2">
      <c r="A202" s="3">
        <v>3030303009</v>
      </c>
      <c r="B202" s="4" t="s">
        <v>564</v>
      </c>
      <c r="C202" s="4" t="s">
        <v>1407</v>
      </c>
      <c r="D202" s="3">
        <v>1</v>
      </c>
      <c r="E202" s="3" t="s">
        <v>16</v>
      </c>
      <c r="F202" s="3" t="s">
        <v>295</v>
      </c>
      <c r="G202" s="3" t="s">
        <v>17</v>
      </c>
      <c r="H202" s="3" t="s">
        <v>254</v>
      </c>
    </row>
    <row r="203" spans="1:8" x14ac:dyDescent="0.2">
      <c r="A203" s="3">
        <v>3040323001</v>
      </c>
      <c r="B203" s="4" t="s">
        <v>565</v>
      </c>
      <c r="C203" s="4" t="s">
        <v>566</v>
      </c>
      <c r="D203" s="3">
        <v>2</v>
      </c>
      <c r="E203" s="3" t="s">
        <v>16</v>
      </c>
      <c r="F203" s="3" t="s">
        <v>293</v>
      </c>
      <c r="G203" s="3" t="s">
        <v>29</v>
      </c>
      <c r="H203" s="3" t="s">
        <v>254</v>
      </c>
    </row>
    <row r="204" spans="1:8" x14ac:dyDescent="0.2">
      <c r="A204" s="3">
        <v>3040302001</v>
      </c>
      <c r="B204" s="4" t="s">
        <v>567</v>
      </c>
      <c r="C204" s="4" t="s">
        <v>568</v>
      </c>
      <c r="D204" s="3">
        <v>1</v>
      </c>
      <c r="E204" s="3" t="s">
        <v>16</v>
      </c>
      <c r="F204" s="3" t="s">
        <v>293</v>
      </c>
      <c r="G204" s="3" t="s">
        <v>29</v>
      </c>
      <c r="H204" s="3" t="s">
        <v>254</v>
      </c>
    </row>
    <row r="205" spans="1:8" x14ac:dyDescent="0.2">
      <c r="A205" s="3">
        <v>3040302002</v>
      </c>
      <c r="B205" s="4" t="s">
        <v>567</v>
      </c>
      <c r="C205" s="4" t="s">
        <v>569</v>
      </c>
      <c r="D205" s="3">
        <v>1</v>
      </c>
      <c r="E205" s="3" t="s">
        <v>16</v>
      </c>
      <c r="F205" s="3" t="s">
        <v>293</v>
      </c>
      <c r="G205" s="3" t="s">
        <v>29</v>
      </c>
      <c r="H205" s="3" t="s">
        <v>254</v>
      </c>
    </row>
    <row r="206" spans="1:8" x14ac:dyDescent="0.2">
      <c r="A206" s="3">
        <v>3030302008</v>
      </c>
      <c r="B206" s="4" t="s">
        <v>571</v>
      </c>
      <c r="C206" s="4" t="s">
        <v>572</v>
      </c>
      <c r="D206" s="3">
        <v>1</v>
      </c>
      <c r="E206" s="3" t="s">
        <v>16</v>
      </c>
      <c r="F206" s="3" t="s">
        <v>295</v>
      </c>
      <c r="G206" s="3" t="s">
        <v>17</v>
      </c>
      <c r="H206" s="3" t="s">
        <v>254</v>
      </c>
    </row>
    <row r="207" spans="1:8" x14ac:dyDescent="0.2">
      <c r="A207" s="3">
        <v>3030302009</v>
      </c>
      <c r="B207" s="4" t="s">
        <v>571</v>
      </c>
      <c r="C207" s="4" t="s">
        <v>573</v>
      </c>
      <c r="D207" s="3">
        <v>1</v>
      </c>
      <c r="E207" s="3" t="s">
        <v>16</v>
      </c>
      <c r="F207" s="3" t="s">
        <v>295</v>
      </c>
      <c r="G207" s="3" t="s">
        <v>17</v>
      </c>
      <c r="H207" s="3" t="s">
        <v>254</v>
      </c>
    </row>
    <row r="208" spans="1:8" x14ac:dyDescent="0.2">
      <c r="A208" s="3">
        <v>3030302004</v>
      </c>
      <c r="B208" s="4" t="s">
        <v>574</v>
      </c>
      <c r="C208" s="4" t="s">
        <v>575</v>
      </c>
      <c r="D208" s="3">
        <v>1</v>
      </c>
      <c r="E208" s="3" t="s">
        <v>16</v>
      </c>
      <c r="F208" s="3" t="s">
        <v>295</v>
      </c>
      <c r="G208" s="3" t="s">
        <v>17</v>
      </c>
      <c r="H208" s="3" t="s">
        <v>254</v>
      </c>
    </row>
    <row r="209" spans="1:8" x14ac:dyDescent="0.2">
      <c r="A209" s="3">
        <v>3030302006</v>
      </c>
      <c r="B209" s="4" t="s">
        <v>576</v>
      </c>
      <c r="C209" s="4" t="s">
        <v>575</v>
      </c>
      <c r="D209" s="3">
        <v>1</v>
      </c>
      <c r="E209" s="3" t="s">
        <v>16</v>
      </c>
      <c r="F209" s="3" t="s">
        <v>295</v>
      </c>
      <c r="G209" s="3" t="s">
        <v>17</v>
      </c>
      <c r="H209" s="3" t="s">
        <v>254</v>
      </c>
    </row>
    <row r="210" spans="1:8" x14ac:dyDescent="0.2">
      <c r="A210" s="3">
        <v>3030314004</v>
      </c>
      <c r="B210" s="4" t="s">
        <v>577</v>
      </c>
      <c r="C210" s="4" t="s">
        <v>575</v>
      </c>
      <c r="D210" s="3">
        <v>1</v>
      </c>
      <c r="E210" s="3" t="s">
        <v>16</v>
      </c>
      <c r="F210" s="3" t="s">
        <v>295</v>
      </c>
      <c r="G210" s="3" t="s">
        <v>17</v>
      </c>
      <c r="H210" s="3" t="s">
        <v>254</v>
      </c>
    </row>
    <row r="211" spans="1:8" x14ac:dyDescent="0.2">
      <c r="A211" s="3">
        <v>3030308001</v>
      </c>
      <c r="B211" s="4" t="s">
        <v>578</v>
      </c>
      <c r="C211" s="4" t="s">
        <v>575</v>
      </c>
      <c r="D211" s="3">
        <v>1</v>
      </c>
      <c r="E211" s="3" t="s">
        <v>16</v>
      </c>
      <c r="F211" s="3" t="s">
        <v>295</v>
      </c>
      <c r="G211" s="3" t="s">
        <v>17</v>
      </c>
      <c r="H211" s="3" t="s">
        <v>254</v>
      </c>
    </row>
    <row r="212" spans="1:8" x14ac:dyDescent="0.2">
      <c r="A212" s="3">
        <v>3030314003</v>
      </c>
      <c r="B212" s="4" t="s">
        <v>579</v>
      </c>
      <c r="C212" s="4" t="s">
        <v>575</v>
      </c>
      <c r="D212" s="3">
        <v>1</v>
      </c>
      <c r="E212" s="3" t="s">
        <v>16</v>
      </c>
      <c r="F212" s="3" t="s">
        <v>295</v>
      </c>
      <c r="G212" s="3" t="s">
        <v>17</v>
      </c>
      <c r="H212" s="3" t="s">
        <v>254</v>
      </c>
    </row>
    <row r="213" spans="1:8" x14ac:dyDescent="0.2">
      <c r="A213" s="3">
        <v>3030308003</v>
      </c>
      <c r="B213" s="4" t="s">
        <v>580</v>
      </c>
      <c r="C213" s="4" t="s">
        <v>581</v>
      </c>
      <c r="D213" s="3">
        <v>1</v>
      </c>
      <c r="E213" s="3" t="s">
        <v>16</v>
      </c>
      <c r="F213" s="3" t="s">
        <v>295</v>
      </c>
      <c r="G213" s="3" t="s">
        <v>17</v>
      </c>
      <c r="H213" s="3" t="s">
        <v>254</v>
      </c>
    </row>
    <row r="214" spans="1:8" x14ac:dyDescent="0.2">
      <c r="A214" s="3">
        <v>3040325008</v>
      </c>
      <c r="B214" s="4" t="s">
        <v>582</v>
      </c>
      <c r="C214" s="4" t="s">
        <v>542</v>
      </c>
      <c r="D214" s="3">
        <v>1</v>
      </c>
      <c r="E214" s="3" t="s">
        <v>16</v>
      </c>
      <c r="F214" s="3" t="s">
        <v>293</v>
      </c>
      <c r="G214" s="3" t="s">
        <v>29</v>
      </c>
      <c r="H214" s="3" t="s">
        <v>254</v>
      </c>
    </row>
    <row r="215" spans="1:8" x14ac:dyDescent="0.2">
      <c r="A215" s="3">
        <v>3040325007</v>
      </c>
      <c r="B215" s="4" t="s">
        <v>582</v>
      </c>
      <c r="C215" s="4" t="s">
        <v>543</v>
      </c>
      <c r="D215" s="3">
        <v>1</v>
      </c>
      <c r="E215" s="3" t="s">
        <v>16</v>
      </c>
      <c r="F215" s="3" t="s">
        <v>293</v>
      </c>
      <c r="G215" s="3" t="s">
        <v>29</v>
      </c>
      <c r="H215" s="3" t="s">
        <v>254</v>
      </c>
    </row>
    <row r="216" spans="1:8" x14ac:dyDescent="0.2">
      <c r="A216" s="3">
        <v>3040308003</v>
      </c>
      <c r="B216" s="4" t="s">
        <v>583</v>
      </c>
      <c r="C216" s="4" t="s">
        <v>536</v>
      </c>
      <c r="D216" s="3">
        <v>2</v>
      </c>
      <c r="E216" s="3" t="s">
        <v>16</v>
      </c>
      <c r="F216" s="3" t="s">
        <v>293</v>
      </c>
      <c r="G216" s="3" t="s">
        <v>29</v>
      </c>
      <c r="H216" s="3" t="s">
        <v>254</v>
      </c>
    </row>
    <row r="217" spans="1:8" x14ac:dyDescent="0.2">
      <c r="A217" s="3">
        <v>3030302007</v>
      </c>
      <c r="B217" s="4" t="s">
        <v>584</v>
      </c>
      <c r="C217" s="4" t="s">
        <v>575</v>
      </c>
      <c r="D217" s="3">
        <v>1</v>
      </c>
      <c r="E217" s="3" t="s">
        <v>16</v>
      </c>
      <c r="F217" s="3" t="s">
        <v>295</v>
      </c>
      <c r="G217" s="3" t="s">
        <v>17</v>
      </c>
      <c r="H217" s="3" t="s">
        <v>254</v>
      </c>
    </row>
    <row r="218" spans="1:8" x14ac:dyDescent="0.2">
      <c r="A218" s="3">
        <v>3111601003</v>
      </c>
      <c r="B218" s="4" t="s">
        <v>585</v>
      </c>
      <c r="C218" s="4" t="s">
        <v>586</v>
      </c>
      <c r="D218" s="3">
        <v>16</v>
      </c>
      <c r="E218" s="3" t="s">
        <v>16</v>
      </c>
      <c r="F218" s="3" t="s">
        <v>289</v>
      </c>
      <c r="G218" s="3" t="s">
        <v>23</v>
      </c>
      <c r="H218" s="3" t="s">
        <v>254</v>
      </c>
    </row>
    <row r="219" spans="1:8" x14ac:dyDescent="0.2">
      <c r="A219" s="3">
        <v>3111601001</v>
      </c>
      <c r="B219" s="4" t="s">
        <v>585</v>
      </c>
      <c r="C219" s="4" t="s">
        <v>1269</v>
      </c>
      <c r="D219" s="3">
        <v>10</v>
      </c>
      <c r="E219" s="3" t="s">
        <v>16</v>
      </c>
      <c r="F219" s="3" t="s">
        <v>317</v>
      </c>
      <c r="G219" s="3" t="s">
        <v>318</v>
      </c>
      <c r="H219" s="3" t="s">
        <v>254</v>
      </c>
    </row>
    <row r="220" spans="1:8" x14ac:dyDescent="0.2">
      <c r="A220" s="3">
        <v>3111601003</v>
      </c>
      <c r="B220" s="4" t="s">
        <v>585</v>
      </c>
      <c r="C220" s="4" t="s">
        <v>586</v>
      </c>
      <c r="D220" s="3">
        <v>2</v>
      </c>
      <c r="E220" s="3" t="s">
        <v>16</v>
      </c>
      <c r="F220" s="3" t="s">
        <v>291</v>
      </c>
      <c r="G220" s="3" t="s">
        <v>26</v>
      </c>
      <c r="H220" s="3" t="s">
        <v>254</v>
      </c>
    </row>
    <row r="221" spans="1:8" x14ac:dyDescent="0.2">
      <c r="A221" s="3">
        <v>3060321001</v>
      </c>
      <c r="B221" s="4" t="s">
        <v>1408</v>
      </c>
      <c r="C221" s="4" t="s">
        <v>568</v>
      </c>
      <c r="D221" s="3">
        <v>1</v>
      </c>
      <c r="E221" s="3" t="s">
        <v>16</v>
      </c>
      <c r="F221" s="3" t="s">
        <v>289</v>
      </c>
      <c r="G221" s="3" t="s">
        <v>23</v>
      </c>
      <c r="H221" s="3" t="s">
        <v>254</v>
      </c>
    </row>
    <row r="222" spans="1:8" x14ac:dyDescent="0.2">
      <c r="A222" s="3">
        <v>3060321002</v>
      </c>
      <c r="B222" s="4" t="s">
        <v>1408</v>
      </c>
      <c r="C222" s="4" t="s">
        <v>569</v>
      </c>
      <c r="D222" s="3">
        <v>1</v>
      </c>
      <c r="E222" s="3" t="s">
        <v>16</v>
      </c>
      <c r="F222" s="3" t="s">
        <v>289</v>
      </c>
      <c r="G222" s="3" t="s">
        <v>23</v>
      </c>
      <c r="H222" s="3" t="s">
        <v>254</v>
      </c>
    </row>
    <row r="223" spans="1:8" x14ac:dyDescent="0.2">
      <c r="A223" s="3">
        <v>3050303004</v>
      </c>
      <c r="B223" s="4" t="s">
        <v>245</v>
      </c>
      <c r="C223" s="4" t="s">
        <v>1368</v>
      </c>
      <c r="D223" s="3">
        <v>1</v>
      </c>
      <c r="E223" s="3" t="s">
        <v>16</v>
      </c>
      <c r="F223" s="3" t="s">
        <v>291</v>
      </c>
      <c r="G223" s="3" t="s">
        <v>26</v>
      </c>
      <c r="H223" s="3" t="s">
        <v>254</v>
      </c>
    </row>
    <row r="224" spans="1:8" x14ac:dyDescent="0.2">
      <c r="A224" s="3">
        <v>3080310002</v>
      </c>
      <c r="B224" s="4" t="s">
        <v>588</v>
      </c>
      <c r="C224" s="4" t="s">
        <v>589</v>
      </c>
      <c r="D224" s="3">
        <v>1</v>
      </c>
      <c r="E224" s="3" t="s">
        <v>16</v>
      </c>
      <c r="F224" s="3" t="s">
        <v>295</v>
      </c>
      <c r="G224" s="3" t="s">
        <v>17</v>
      </c>
      <c r="H224" s="3" t="s">
        <v>590</v>
      </c>
    </row>
  </sheetData>
  <phoneticPr fontId="2" type="noConversion"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65725-D504-42BD-965E-66E6DC307C42}">
  <dimension ref="A1:H123"/>
  <sheetViews>
    <sheetView workbookViewId="0">
      <selection activeCell="K13" sqref="K13"/>
    </sheetView>
  </sheetViews>
  <sheetFormatPr defaultRowHeight="14.25" x14ac:dyDescent="0.2"/>
  <cols>
    <col min="1" max="1" width="11.875" customWidth="1"/>
    <col min="2" max="3" width="13.5" customWidth="1"/>
  </cols>
  <sheetData>
    <row r="1" spans="1:8" x14ac:dyDescent="0.2">
      <c r="A1" s="3" t="s">
        <v>1540</v>
      </c>
      <c r="B1" s="4"/>
      <c r="C1" s="4"/>
      <c r="D1" s="3"/>
      <c r="E1" s="3"/>
      <c r="F1" s="3"/>
      <c r="G1" s="3"/>
      <c r="H1" s="3"/>
    </row>
    <row r="2" spans="1:8" ht="28.5" x14ac:dyDescent="0.2">
      <c r="A2" s="1" t="s">
        <v>0</v>
      </c>
      <c r="B2" s="2" t="s">
        <v>1</v>
      </c>
      <c r="C2" s="2" t="s">
        <v>2</v>
      </c>
      <c r="D2" s="1" t="s">
        <v>4</v>
      </c>
      <c r="E2" s="1" t="s">
        <v>3</v>
      </c>
      <c r="F2" s="1" t="s">
        <v>5</v>
      </c>
      <c r="G2" s="1" t="s">
        <v>6</v>
      </c>
      <c r="H2" s="1" t="s">
        <v>7</v>
      </c>
    </row>
    <row r="3" spans="1:8" s="10" customFormat="1" x14ac:dyDescent="0.2">
      <c r="A3" s="8" t="s">
        <v>390</v>
      </c>
      <c r="B3" s="9" t="s">
        <v>8</v>
      </c>
      <c r="C3" s="9" t="s">
        <v>9</v>
      </c>
      <c r="D3" s="13">
        <v>0.25419999999999998</v>
      </c>
      <c r="E3" s="8" t="s">
        <v>596</v>
      </c>
      <c r="F3" s="8" t="s">
        <v>283</v>
      </c>
      <c r="G3" s="8" t="s">
        <v>13</v>
      </c>
      <c r="H3" s="8" t="s">
        <v>12</v>
      </c>
    </row>
    <row r="4" spans="1:8" x14ac:dyDescent="0.2">
      <c r="A4" s="3">
        <v>40901013</v>
      </c>
      <c r="B4" s="4" t="s">
        <v>801</v>
      </c>
      <c r="C4" s="4" t="s">
        <v>1410</v>
      </c>
      <c r="D4" s="3">
        <v>1</v>
      </c>
      <c r="E4" s="3" t="s">
        <v>16</v>
      </c>
      <c r="F4" s="3" t="s">
        <v>301</v>
      </c>
      <c r="G4" s="3" t="s">
        <v>32</v>
      </c>
      <c r="H4" s="3" t="s">
        <v>306</v>
      </c>
    </row>
    <row r="5" spans="1:8" x14ac:dyDescent="0.2">
      <c r="A5" s="3">
        <v>3040205010</v>
      </c>
      <c r="B5" s="4" t="s">
        <v>1411</v>
      </c>
      <c r="C5" s="4" t="s">
        <v>1412</v>
      </c>
      <c r="D5" s="3">
        <v>2</v>
      </c>
      <c r="E5" s="3" t="s">
        <v>16</v>
      </c>
      <c r="F5" s="3" t="s">
        <v>293</v>
      </c>
      <c r="G5" s="3" t="s">
        <v>29</v>
      </c>
      <c r="H5" s="3" t="s">
        <v>18</v>
      </c>
    </row>
    <row r="6" spans="1:8" x14ac:dyDescent="0.2">
      <c r="A6" s="3">
        <v>3050206008</v>
      </c>
      <c r="B6" s="4" t="s">
        <v>1413</v>
      </c>
      <c r="C6" s="4" t="s">
        <v>1414</v>
      </c>
      <c r="D6" s="3">
        <v>2</v>
      </c>
      <c r="E6" s="3" t="s">
        <v>16</v>
      </c>
      <c r="F6" s="3" t="s">
        <v>291</v>
      </c>
      <c r="G6" s="3" t="s">
        <v>26</v>
      </c>
      <c r="H6" s="3" t="s">
        <v>18</v>
      </c>
    </row>
    <row r="7" spans="1:8" x14ac:dyDescent="0.2">
      <c r="A7" s="3">
        <v>401020132</v>
      </c>
      <c r="B7" s="4" t="s">
        <v>35</v>
      </c>
      <c r="C7" s="4" t="s">
        <v>1415</v>
      </c>
      <c r="D7" s="3">
        <v>1</v>
      </c>
      <c r="E7" s="3" t="s">
        <v>16</v>
      </c>
      <c r="F7" s="3" t="s">
        <v>301</v>
      </c>
      <c r="G7" s="3" t="s">
        <v>32</v>
      </c>
      <c r="H7" s="3" t="s">
        <v>33</v>
      </c>
    </row>
    <row r="8" spans="1:8" x14ac:dyDescent="0.2">
      <c r="A8" s="3">
        <v>401070021</v>
      </c>
      <c r="B8" s="4" t="s">
        <v>35</v>
      </c>
      <c r="C8" s="4" t="s">
        <v>1416</v>
      </c>
      <c r="D8" s="3">
        <v>1</v>
      </c>
      <c r="E8" s="3" t="s">
        <v>16</v>
      </c>
      <c r="F8" s="3" t="s">
        <v>301</v>
      </c>
      <c r="G8" s="3" t="s">
        <v>32</v>
      </c>
      <c r="H8" s="3" t="s">
        <v>33</v>
      </c>
    </row>
    <row r="9" spans="1:8" x14ac:dyDescent="0.2">
      <c r="A9" s="3">
        <v>3080101002</v>
      </c>
      <c r="B9" s="4" t="s">
        <v>411</v>
      </c>
      <c r="C9" s="4" t="s">
        <v>413</v>
      </c>
      <c r="D9" s="3">
        <v>14</v>
      </c>
      <c r="E9" s="3" t="s">
        <v>16</v>
      </c>
      <c r="F9" s="3" t="s">
        <v>289</v>
      </c>
      <c r="G9" s="3" t="s">
        <v>23</v>
      </c>
      <c r="H9" s="3" t="s">
        <v>40</v>
      </c>
    </row>
    <row r="10" spans="1:8" x14ac:dyDescent="0.2">
      <c r="A10" s="3">
        <v>3080401042</v>
      </c>
      <c r="B10" s="4" t="s">
        <v>41</v>
      </c>
      <c r="C10" s="4" t="s">
        <v>1417</v>
      </c>
      <c r="D10" s="3">
        <v>1</v>
      </c>
      <c r="E10" s="3" t="s">
        <v>16</v>
      </c>
      <c r="F10" s="3" t="s">
        <v>291</v>
      </c>
      <c r="G10" s="3" t="s">
        <v>26</v>
      </c>
      <c r="H10" s="3" t="s">
        <v>40</v>
      </c>
    </row>
    <row r="11" spans="1:8" x14ac:dyDescent="0.2">
      <c r="A11" s="3">
        <v>3080104013</v>
      </c>
      <c r="B11" s="4" t="s">
        <v>45</v>
      </c>
      <c r="C11" s="4" t="s">
        <v>1418</v>
      </c>
      <c r="D11" s="3">
        <v>2</v>
      </c>
      <c r="E11" s="3" t="s">
        <v>16</v>
      </c>
      <c r="F11" s="3" t="s">
        <v>293</v>
      </c>
      <c r="G11" s="3" t="s">
        <v>29</v>
      </c>
      <c r="H11" s="3" t="s">
        <v>40</v>
      </c>
    </row>
    <row r="12" spans="1:8" x14ac:dyDescent="0.2">
      <c r="A12" s="3">
        <v>3080104011</v>
      </c>
      <c r="B12" s="4" t="s">
        <v>45</v>
      </c>
      <c r="C12" s="4" t="s">
        <v>1419</v>
      </c>
      <c r="D12" s="3">
        <v>4</v>
      </c>
      <c r="E12" s="3" t="s">
        <v>16</v>
      </c>
      <c r="F12" s="3" t="s">
        <v>293</v>
      </c>
      <c r="G12" s="3" t="s">
        <v>29</v>
      </c>
      <c r="H12" s="3" t="s">
        <v>40</v>
      </c>
    </row>
    <row r="13" spans="1:8" x14ac:dyDescent="0.2">
      <c r="A13" s="3">
        <v>3080105106</v>
      </c>
      <c r="B13" s="4" t="s">
        <v>50</v>
      </c>
      <c r="C13" s="4" t="s">
        <v>1420</v>
      </c>
      <c r="D13" s="3">
        <v>28</v>
      </c>
      <c r="E13" s="3" t="s">
        <v>16</v>
      </c>
      <c r="F13" s="3" t="s">
        <v>289</v>
      </c>
      <c r="G13" s="3" t="s">
        <v>23</v>
      </c>
      <c r="H13" s="3" t="s">
        <v>40</v>
      </c>
    </row>
    <row r="14" spans="1:8" x14ac:dyDescent="0.2">
      <c r="A14" s="3">
        <v>3080105080</v>
      </c>
      <c r="B14" s="4" t="s">
        <v>50</v>
      </c>
      <c r="C14" s="4" t="s">
        <v>1158</v>
      </c>
      <c r="D14" s="3">
        <v>2</v>
      </c>
      <c r="E14" s="3" t="s">
        <v>16</v>
      </c>
      <c r="F14" s="3" t="s">
        <v>289</v>
      </c>
      <c r="G14" s="3" t="s">
        <v>23</v>
      </c>
      <c r="H14" s="3" t="s">
        <v>40</v>
      </c>
    </row>
    <row r="15" spans="1:8" x14ac:dyDescent="0.2">
      <c r="A15" s="3">
        <v>3080105021</v>
      </c>
      <c r="B15" s="4" t="s">
        <v>50</v>
      </c>
      <c r="C15" s="4" t="s">
        <v>319</v>
      </c>
      <c r="D15" s="3">
        <v>12</v>
      </c>
      <c r="E15" s="3" t="s">
        <v>16</v>
      </c>
      <c r="F15" s="3" t="s">
        <v>293</v>
      </c>
      <c r="G15" s="3" t="s">
        <v>29</v>
      </c>
      <c r="H15" s="3" t="s">
        <v>40</v>
      </c>
    </row>
    <row r="16" spans="1:8" x14ac:dyDescent="0.2">
      <c r="A16" s="3">
        <v>3080105073</v>
      </c>
      <c r="B16" s="4" t="s">
        <v>50</v>
      </c>
      <c r="C16" s="4" t="s">
        <v>1257</v>
      </c>
      <c r="D16" s="3">
        <v>4</v>
      </c>
      <c r="E16" s="3" t="s">
        <v>16</v>
      </c>
      <c r="F16" s="3" t="s">
        <v>293</v>
      </c>
      <c r="G16" s="3" t="s">
        <v>29</v>
      </c>
      <c r="H16" s="3" t="s">
        <v>40</v>
      </c>
    </row>
    <row r="17" spans="1:8" x14ac:dyDescent="0.2">
      <c r="A17" s="3">
        <v>3080105088</v>
      </c>
      <c r="B17" s="4" t="s">
        <v>50</v>
      </c>
      <c r="C17" s="4" t="s">
        <v>423</v>
      </c>
      <c r="D17" s="3">
        <v>2</v>
      </c>
      <c r="E17" s="3" t="s">
        <v>16</v>
      </c>
      <c r="F17" s="3" t="s">
        <v>291</v>
      </c>
      <c r="G17" s="3" t="s">
        <v>26</v>
      </c>
      <c r="H17" s="3" t="s">
        <v>40</v>
      </c>
    </row>
    <row r="18" spans="1:8" x14ac:dyDescent="0.2">
      <c r="A18" s="3">
        <v>3080105085</v>
      </c>
      <c r="B18" s="4" t="s">
        <v>50</v>
      </c>
      <c r="C18" s="4" t="s">
        <v>864</v>
      </c>
      <c r="D18" s="3">
        <v>6</v>
      </c>
      <c r="E18" s="3" t="s">
        <v>16</v>
      </c>
      <c r="F18" s="3" t="s">
        <v>291</v>
      </c>
      <c r="G18" s="3" t="s">
        <v>26</v>
      </c>
      <c r="H18" s="3" t="s">
        <v>40</v>
      </c>
    </row>
    <row r="19" spans="1:8" x14ac:dyDescent="0.2">
      <c r="A19" s="3">
        <v>3080105046</v>
      </c>
      <c r="B19" s="4" t="s">
        <v>50</v>
      </c>
      <c r="C19" s="4" t="s">
        <v>863</v>
      </c>
      <c r="D19" s="3">
        <v>2</v>
      </c>
      <c r="E19" s="3" t="s">
        <v>16</v>
      </c>
      <c r="F19" s="3" t="s">
        <v>291</v>
      </c>
      <c r="G19" s="3" t="s">
        <v>26</v>
      </c>
      <c r="H19" s="3" t="s">
        <v>40</v>
      </c>
    </row>
    <row r="20" spans="1:8" x14ac:dyDescent="0.2">
      <c r="A20" s="3">
        <v>3080105048</v>
      </c>
      <c r="B20" s="4" t="s">
        <v>50</v>
      </c>
      <c r="C20" s="4" t="s">
        <v>1421</v>
      </c>
      <c r="D20" s="3">
        <v>20</v>
      </c>
      <c r="E20" s="3" t="s">
        <v>16</v>
      </c>
      <c r="F20" s="3" t="s">
        <v>291</v>
      </c>
      <c r="G20" s="3" t="s">
        <v>26</v>
      </c>
      <c r="H20" s="3" t="s">
        <v>40</v>
      </c>
    </row>
    <row r="21" spans="1:8" x14ac:dyDescent="0.2">
      <c r="A21" s="3">
        <v>3080105015</v>
      </c>
      <c r="B21" s="4" t="s">
        <v>50</v>
      </c>
      <c r="C21" s="4" t="s">
        <v>422</v>
      </c>
      <c r="D21" s="3">
        <v>2</v>
      </c>
      <c r="E21" s="3" t="s">
        <v>16</v>
      </c>
      <c r="F21" s="3" t="s">
        <v>291</v>
      </c>
      <c r="G21" s="3" t="s">
        <v>26</v>
      </c>
      <c r="H21" s="3" t="s">
        <v>40</v>
      </c>
    </row>
    <row r="22" spans="1:8" x14ac:dyDescent="0.2">
      <c r="A22" s="3">
        <v>3080501038</v>
      </c>
      <c r="B22" s="4" t="s">
        <v>57</v>
      </c>
      <c r="C22" s="4" t="s">
        <v>1422</v>
      </c>
      <c r="D22" s="3">
        <v>2</v>
      </c>
      <c r="E22" s="3" t="s">
        <v>16</v>
      </c>
      <c r="F22" s="3" t="s">
        <v>291</v>
      </c>
      <c r="G22" s="3" t="s">
        <v>26</v>
      </c>
      <c r="H22" s="3" t="s">
        <v>40</v>
      </c>
    </row>
    <row r="23" spans="1:8" x14ac:dyDescent="0.2">
      <c r="A23" s="3">
        <v>3080107179</v>
      </c>
      <c r="B23" s="4" t="s">
        <v>69</v>
      </c>
      <c r="C23" s="4" t="s">
        <v>1423</v>
      </c>
      <c r="D23" s="3">
        <v>4</v>
      </c>
      <c r="E23" s="3" t="s">
        <v>16</v>
      </c>
      <c r="F23" s="3" t="s">
        <v>289</v>
      </c>
      <c r="G23" s="3" t="s">
        <v>23</v>
      </c>
      <c r="H23" s="3" t="s">
        <v>40</v>
      </c>
    </row>
    <row r="24" spans="1:8" x14ac:dyDescent="0.2">
      <c r="A24" s="3">
        <v>3080107175</v>
      </c>
      <c r="B24" s="4" t="s">
        <v>69</v>
      </c>
      <c r="C24" s="4" t="s">
        <v>1424</v>
      </c>
      <c r="D24" s="3">
        <v>1</v>
      </c>
      <c r="E24" s="3" t="s">
        <v>16</v>
      </c>
      <c r="F24" s="3" t="s">
        <v>293</v>
      </c>
      <c r="G24" s="3" t="s">
        <v>29</v>
      </c>
      <c r="H24" s="3" t="s">
        <v>40</v>
      </c>
    </row>
    <row r="25" spans="1:8" x14ac:dyDescent="0.2">
      <c r="A25" s="3">
        <v>3080107199</v>
      </c>
      <c r="B25" s="4" t="s">
        <v>69</v>
      </c>
      <c r="C25" s="4" t="s">
        <v>1425</v>
      </c>
      <c r="D25" s="3">
        <v>1</v>
      </c>
      <c r="E25" s="3" t="s">
        <v>16</v>
      </c>
      <c r="F25" s="3" t="s">
        <v>293</v>
      </c>
      <c r="G25" s="3" t="s">
        <v>29</v>
      </c>
      <c r="H25" s="3" t="s">
        <v>40</v>
      </c>
    </row>
    <row r="26" spans="1:8" x14ac:dyDescent="0.2">
      <c r="A26" s="3">
        <v>3080107228</v>
      </c>
      <c r="B26" s="4" t="s">
        <v>69</v>
      </c>
      <c r="C26" s="4" t="s">
        <v>1426</v>
      </c>
      <c r="D26" s="3">
        <v>2</v>
      </c>
      <c r="E26" s="3" t="s">
        <v>16</v>
      </c>
      <c r="F26" s="3" t="s">
        <v>291</v>
      </c>
      <c r="G26" s="3" t="s">
        <v>26</v>
      </c>
      <c r="H26" s="3" t="s">
        <v>40</v>
      </c>
    </row>
    <row r="27" spans="1:8" x14ac:dyDescent="0.2">
      <c r="A27" s="3">
        <v>3080107198</v>
      </c>
      <c r="B27" s="4" t="s">
        <v>69</v>
      </c>
      <c r="C27" s="4" t="s">
        <v>1427</v>
      </c>
      <c r="D27" s="3">
        <v>1</v>
      </c>
      <c r="E27" s="3" t="s">
        <v>16</v>
      </c>
      <c r="F27" s="3" t="s">
        <v>291</v>
      </c>
      <c r="G27" s="3" t="s">
        <v>26</v>
      </c>
      <c r="H27" s="3" t="s">
        <v>40</v>
      </c>
    </row>
    <row r="28" spans="1:8" x14ac:dyDescent="0.2">
      <c r="A28" s="3">
        <v>3080107176</v>
      </c>
      <c r="B28" s="4" t="s">
        <v>69</v>
      </c>
      <c r="C28" s="4" t="s">
        <v>1428</v>
      </c>
      <c r="D28" s="3">
        <v>1</v>
      </c>
      <c r="E28" s="3" t="s">
        <v>16</v>
      </c>
      <c r="F28" s="3" t="s">
        <v>291</v>
      </c>
      <c r="G28" s="3" t="s">
        <v>26</v>
      </c>
      <c r="H28" s="3" t="s">
        <v>40</v>
      </c>
    </row>
    <row r="29" spans="1:8" x14ac:dyDescent="0.2">
      <c r="A29" s="3">
        <v>3080111033</v>
      </c>
      <c r="B29" s="4" t="s">
        <v>79</v>
      </c>
      <c r="C29" s="4" t="s">
        <v>1429</v>
      </c>
      <c r="D29" s="3">
        <v>4</v>
      </c>
      <c r="E29" s="3" t="s">
        <v>16</v>
      </c>
      <c r="F29" s="3" t="s">
        <v>289</v>
      </c>
      <c r="G29" s="3" t="s">
        <v>23</v>
      </c>
      <c r="H29" s="3" t="s">
        <v>40</v>
      </c>
    </row>
    <row r="30" spans="1:8" x14ac:dyDescent="0.2">
      <c r="A30" s="3">
        <v>3080111018</v>
      </c>
      <c r="B30" s="4" t="s">
        <v>79</v>
      </c>
      <c r="C30" s="4" t="s">
        <v>1430</v>
      </c>
      <c r="D30" s="3">
        <v>4</v>
      </c>
      <c r="E30" s="3" t="s">
        <v>16</v>
      </c>
      <c r="F30" s="3" t="s">
        <v>291</v>
      </c>
      <c r="G30" s="3" t="s">
        <v>26</v>
      </c>
      <c r="H30" s="3" t="s">
        <v>40</v>
      </c>
    </row>
    <row r="31" spans="1:8" x14ac:dyDescent="0.2">
      <c r="A31" s="3">
        <v>3080111007</v>
      </c>
      <c r="B31" s="4" t="s">
        <v>79</v>
      </c>
      <c r="C31" s="4" t="s">
        <v>1431</v>
      </c>
      <c r="D31" s="3">
        <v>2</v>
      </c>
      <c r="E31" s="3" t="s">
        <v>16</v>
      </c>
      <c r="F31" s="3" t="s">
        <v>291</v>
      </c>
      <c r="G31" s="3" t="s">
        <v>26</v>
      </c>
      <c r="H31" s="3" t="s">
        <v>40</v>
      </c>
    </row>
    <row r="32" spans="1:8" x14ac:dyDescent="0.2">
      <c r="A32" s="3">
        <v>3080111020</v>
      </c>
      <c r="B32" s="4" t="s">
        <v>79</v>
      </c>
      <c r="C32" s="4" t="s">
        <v>1432</v>
      </c>
      <c r="D32" s="3">
        <v>3</v>
      </c>
      <c r="E32" s="3" t="s">
        <v>16</v>
      </c>
      <c r="F32" s="3" t="s">
        <v>291</v>
      </c>
      <c r="G32" s="3" t="s">
        <v>26</v>
      </c>
      <c r="H32" s="3" t="s">
        <v>40</v>
      </c>
    </row>
    <row r="33" spans="1:8" x14ac:dyDescent="0.2">
      <c r="A33" s="3">
        <v>3080111044</v>
      </c>
      <c r="B33" s="4" t="s">
        <v>79</v>
      </c>
      <c r="C33" s="4" t="s">
        <v>1433</v>
      </c>
      <c r="D33" s="3">
        <v>3</v>
      </c>
      <c r="E33" s="3" t="s">
        <v>16</v>
      </c>
      <c r="F33" s="3" t="s">
        <v>291</v>
      </c>
      <c r="G33" s="3" t="s">
        <v>26</v>
      </c>
      <c r="H33" s="3" t="s">
        <v>40</v>
      </c>
    </row>
    <row r="34" spans="1:8" x14ac:dyDescent="0.2">
      <c r="A34" s="3">
        <v>3080111049</v>
      </c>
      <c r="B34" s="4" t="s">
        <v>79</v>
      </c>
      <c r="C34" s="4" t="s">
        <v>1434</v>
      </c>
      <c r="D34" s="3">
        <v>10</v>
      </c>
      <c r="E34" s="3" t="s">
        <v>16</v>
      </c>
      <c r="F34" s="3" t="s">
        <v>291</v>
      </c>
      <c r="G34" s="3" t="s">
        <v>26</v>
      </c>
      <c r="H34" s="3" t="s">
        <v>40</v>
      </c>
    </row>
    <row r="35" spans="1:8" x14ac:dyDescent="0.2">
      <c r="A35" s="3">
        <v>3080111047</v>
      </c>
      <c r="B35" s="4" t="s">
        <v>79</v>
      </c>
      <c r="C35" s="4" t="s">
        <v>1435</v>
      </c>
      <c r="D35" s="3">
        <v>2</v>
      </c>
      <c r="E35" s="3" t="s">
        <v>16</v>
      </c>
      <c r="F35" s="3" t="s">
        <v>291</v>
      </c>
      <c r="G35" s="3" t="s">
        <v>26</v>
      </c>
      <c r="H35" s="3" t="s">
        <v>40</v>
      </c>
    </row>
    <row r="36" spans="1:8" x14ac:dyDescent="0.2">
      <c r="A36" s="3">
        <v>3080111053</v>
      </c>
      <c r="B36" s="4" t="s">
        <v>79</v>
      </c>
      <c r="C36" s="4" t="s">
        <v>1436</v>
      </c>
      <c r="D36" s="3">
        <v>2</v>
      </c>
      <c r="E36" s="3" t="s">
        <v>16</v>
      </c>
      <c r="F36" s="3" t="s">
        <v>291</v>
      </c>
      <c r="G36" s="3" t="s">
        <v>26</v>
      </c>
      <c r="H36" s="3" t="s">
        <v>40</v>
      </c>
    </row>
    <row r="37" spans="1:8" x14ac:dyDescent="0.2">
      <c r="A37" s="3">
        <v>3030204019</v>
      </c>
      <c r="B37" s="4" t="s">
        <v>1437</v>
      </c>
      <c r="C37" s="4" t="s">
        <v>1438</v>
      </c>
      <c r="D37" s="3">
        <v>1</v>
      </c>
      <c r="E37" s="3" t="s">
        <v>16</v>
      </c>
      <c r="F37" s="3" t="s">
        <v>291</v>
      </c>
      <c r="G37" s="3" t="s">
        <v>26</v>
      </c>
      <c r="H37" s="3" t="s">
        <v>88</v>
      </c>
    </row>
    <row r="38" spans="1:8" x14ac:dyDescent="0.2">
      <c r="A38" s="3">
        <v>3099990406</v>
      </c>
      <c r="B38" s="4" t="s">
        <v>1439</v>
      </c>
      <c r="C38" s="4" t="s">
        <v>1440</v>
      </c>
      <c r="D38" s="3">
        <v>1</v>
      </c>
      <c r="E38" s="3" t="s">
        <v>16</v>
      </c>
      <c r="F38" s="3" t="s">
        <v>289</v>
      </c>
      <c r="G38" s="3" t="s">
        <v>23</v>
      </c>
      <c r="H38" s="3" t="s">
        <v>103</v>
      </c>
    </row>
    <row r="39" spans="1:8" x14ac:dyDescent="0.2">
      <c r="A39" s="3">
        <v>3099990113</v>
      </c>
      <c r="B39" s="4" t="s">
        <v>104</v>
      </c>
      <c r="C39" s="4" t="s">
        <v>1441</v>
      </c>
      <c r="D39" s="3">
        <v>1</v>
      </c>
      <c r="E39" s="3" t="s">
        <v>16</v>
      </c>
      <c r="F39" s="3" t="s">
        <v>299</v>
      </c>
      <c r="G39" s="3" t="s">
        <v>106</v>
      </c>
      <c r="H39" s="3" t="s">
        <v>103</v>
      </c>
    </row>
    <row r="40" spans="1:8" x14ac:dyDescent="0.2">
      <c r="A40" s="3">
        <v>402030045</v>
      </c>
      <c r="B40" s="4" t="s">
        <v>107</v>
      </c>
      <c r="C40" s="4" t="s">
        <v>1442</v>
      </c>
      <c r="D40" s="3">
        <v>1</v>
      </c>
      <c r="E40" s="3" t="s">
        <v>16</v>
      </c>
      <c r="F40" s="3" t="s">
        <v>301</v>
      </c>
      <c r="G40" s="3" t="s">
        <v>32</v>
      </c>
      <c r="H40" s="3" t="s">
        <v>109</v>
      </c>
    </row>
    <row r="41" spans="1:8" x14ac:dyDescent="0.2">
      <c r="A41" s="3">
        <v>3030204027</v>
      </c>
      <c r="B41" s="4" t="s">
        <v>1443</v>
      </c>
      <c r="C41" s="4" t="s">
        <v>1444</v>
      </c>
      <c r="D41" s="3">
        <v>1</v>
      </c>
      <c r="E41" s="3" t="s">
        <v>16</v>
      </c>
      <c r="F41" s="3" t="s">
        <v>289</v>
      </c>
      <c r="G41" s="3" t="s">
        <v>23</v>
      </c>
      <c r="H41" s="3" t="s">
        <v>115</v>
      </c>
    </row>
    <row r="42" spans="1:8" x14ac:dyDescent="0.2">
      <c r="A42" s="3">
        <v>3040214005</v>
      </c>
      <c r="B42" s="4" t="s">
        <v>1445</v>
      </c>
      <c r="C42" s="4" t="s">
        <v>1446</v>
      </c>
      <c r="D42" s="3">
        <v>1</v>
      </c>
      <c r="E42" s="3" t="s">
        <v>16</v>
      </c>
      <c r="F42" s="3" t="s">
        <v>293</v>
      </c>
      <c r="G42" s="3" t="s">
        <v>29</v>
      </c>
      <c r="H42" s="3" t="s">
        <v>115</v>
      </c>
    </row>
    <row r="43" spans="1:8" x14ac:dyDescent="0.2">
      <c r="A43" s="3">
        <v>3040214004</v>
      </c>
      <c r="B43" s="4" t="s">
        <v>1445</v>
      </c>
      <c r="C43" s="4" t="s">
        <v>1447</v>
      </c>
      <c r="D43" s="3">
        <v>1</v>
      </c>
      <c r="E43" s="3" t="s">
        <v>16</v>
      </c>
      <c r="F43" s="3" t="s">
        <v>293</v>
      </c>
      <c r="G43" s="3" t="s">
        <v>29</v>
      </c>
      <c r="H43" s="3" t="s">
        <v>115</v>
      </c>
    </row>
    <row r="44" spans="1:8" x14ac:dyDescent="0.2">
      <c r="A44" s="3">
        <v>3040216003</v>
      </c>
      <c r="B44" s="4" t="s">
        <v>328</v>
      </c>
      <c r="C44" s="4" t="s">
        <v>1448</v>
      </c>
      <c r="D44" s="3">
        <v>4</v>
      </c>
      <c r="E44" s="3" t="s">
        <v>16</v>
      </c>
      <c r="F44" s="3" t="s">
        <v>293</v>
      </c>
      <c r="G44" s="3" t="s">
        <v>29</v>
      </c>
      <c r="H44" s="3" t="s">
        <v>115</v>
      </c>
    </row>
    <row r="45" spans="1:8" x14ac:dyDescent="0.2">
      <c r="A45" s="3">
        <v>404040021</v>
      </c>
      <c r="B45" s="4" t="s">
        <v>30</v>
      </c>
      <c r="C45" s="4" t="s">
        <v>1449</v>
      </c>
      <c r="D45" s="3">
        <v>2</v>
      </c>
      <c r="E45" s="3" t="s">
        <v>16</v>
      </c>
      <c r="F45" s="3" t="s">
        <v>301</v>
      </c>
      <c r="G45" s="3" t="s">
        <v>32</v>
      </c>
      <c r="H45" s="3" t="s">
        <v>134</v>
      </c>
    </row>
    <row r="46" spans="1:8" x14ac:dyDescent="0.2">
      <c r="A46" s="3">
        <v>404040022</v>
      </c>
      <c r="B46" s="4" t="s">
        <v>30</v>
      </c>
      <c r="C46" s="4" t="s">
        <v>1450</v>
      </c>
      <c r="D46" s="3">
        <v>2</v>
      </c>
      <c r="E46" s="3" t="s">
        <v>16</v>
      </c>
      <c r="F46" s="3" t="s">
        <v>301</v>
      </c>
      <c r="G46" s="3" t="s">
        <v>32</v>
      </c>
      <c r="H46" s="3" t="s">
        <v>134</v>
      </c>
    </row>
    <row r="47" spans="1:8" x14ac:dyDescent="0.2">
      <c r="A47" s="3">
        <v>404040023</v>
      </c>
      <c r="B47" s="4" t="s">
        <v>30</v>
      </c>
      <c r="C47" s="4" t="s">
        <v>1451</v>
      </c>
      <c r="D47" s="3">
        <v>2</v>
      </c>
      <c r="E47" s="3" t="s">
        <v>16</v>
      </c>
      <c r="F47" s="3" t="s">
        <v>301</v>
      </c>
      <c r="G47" s="3" t="s">
        <v>32</v>
      </c>
      <c r="H47" s="3" t="s">
        <v>134</v>
      </c>
    </row>
    <row r="48" spans="1:8" x14ac:dyDescent="0.2">
      <c r="A48" s="3">
        <v>407010126</v>
      </c>
      <c r="B48" s="4" t="s">
        <v>149</v>
      </c>
      <c r="C48" s="4" t="s">
        <v>1452</v>
      </c>
      <c r="D48" s="3">
        <v>1</v>
      </c>
      <c r="E48" s="3" t="s">
        <v>16</v>
      </c>
      <c r="F48" s="3" t="s">
        <v>301</v>
      </c>
      <c r="G48" s="3" t="s">
        <v>32</v>
      </c>
      <c r="H48" s="3" t="s">
        <v>151</v>
      </c>
    </row>
    <row r="49" spans="1:8" x14ac:dyDescent="0.2">
      <c r="A49" s="3">
        <v>3040205018</v>
      </c>
      <c r="B49" s="4" t="s">
        <v>1453</v>
      </c>
      <c r="C49" s="4" t="s">
        <v>1454</v>
      </c>
      <c r="D49" s="3">
        <v>2</v>
      </c>
      <c r="E49" s="3" t="s">
        <v>16</v>
      </c>
      <c r="F49" s="3" t="s">
        <v>293</v>
      </c>
      <c r="G49" s="3" t="s">
        <v>29</v>
      </c>
      <c r="H49" s="3" t="s">
        <v>154</v>
      </c>
    </row>
    <row r="50" spans="1:8" x14ac:dyDescent="0.2">
      <c r="A50" s="3">
        <v>3030202006</v>
      </c>
      <c r="B50" s="4" t="s">
        <v>1455</v>
      </c>
      <c r="C50" s="4" t="s">
        <v>1456</v>
      </c>
      <c r="D50" s="3">
        <v>1</v>
      </c>
      <c r="E50" s="3" t="s">
        <v>16</v>
      </c>
      <c r="F50" s="3" t="s">
        <v>295</v>
      </c>
      <c r="G50" s="3" t="s">
        <v>17</v>
      </c>
      <c r="H50" s="3" t="s">
        <v>154</v>
      </c>
    </row>
    <row r="51" spans="1:8" x14ac:dyDescent="0.2">
      <c r="A51" s="3">
        <v>3050205002</v>
      </c>
      <c r="B51" s="4" t="s">
        <v>1457</v>
      </c>
      <c r="C51" s="4" t="s">
        <v>1458</v>
      </c>
      <c r="D51" s="3">
        <v>2</v>
      </c>
      <c r="E51" s="3" t="s">
        <v>16</v>
      </c>
      <c r="F51" s="3" t="s">
        <v>291</v>
      </c>
      <c r="G51" s="3" t="s">
        <v>26</v>
      </c>
      <c r="H51" s="3" t="s">
        <v>154</v>
      </c>
    </row>
    <row r="52" spans="1:8" x14ac:dyDescent="0.2">
      <c r="A52" s="3">
        <v>3040304050</v>
      </c>
      <c r="B52" s="4" t="s">
        <v>1459</v>
      </c>
      <c r="C52" s="4" t="s">
        <v>1460</v>
      </c>
      <c r="D52" s="3">
        <v>1</v>
      </c>
      <c r="E52" s="3" t="s">
        <v>16</v>
      </c>
      <c r="F52" s="3" t="s">
        <v>293</v>
      </c>
      <c r="G52" s="3" t="s">
        <v>29</v>
      </c>
      <c r="H52" s="3" t="s">
        <v>165</v>
      </c>
    </row>
    <row r="53" spans="1:8" x14ac:dyDescent="0.2">
      <c r="A53" s="3">
        <v>3040304052</v>
      </c>
      <c r="B53" s="4" t="s">
        <v>1461</v>
      </c>
      <c r="C53" s="4" t="s">
        <v>1462</v>
      </c>
      <c r="D53" s="3">
        <v>1</v>
      </c>
      <c r="E53" s="3" t="s">
        <v>16</v>
      </c>
      <c r="F53" s="3" t="s">
        <v>293</v>
      </c>
      <c r="G53" s="3" t="s">
        <v>29</v>
      </c>
      <c r="H53" s="3" t="s">
        <v>165</v>
      </c>
    </row>
    <row r="54" spans="1:8" x14ac:dyDescent="0.2">
      <c r="A54" s="3">
        <v>3040304053</v>
      </c>
      <c r="B54" s="4" t="s">
        <v>1461</v>
      </c>
      <c r="C54" s="4" t="s">
        <v>1460</v>
      </c>
      <c r="D54" s="3">
        <v>1</v>
      </c>
      <c r="E54" s="3" t="s">
        <v>16</v>
      </c>
      <c r="F54" s="3" t="s">
        <v>293</v>
      </c>
      <c r="G54" s="3" t="s">
        <v>29</v>
      </c>
      <c r="H54" s="3" t="s">
        <v>165</v>
      </c>
    </row>
    <row r="55" spans="1:8" x14ac:dyDescent="0.2">
      <c r="A55" s="3">
        <v>3040330028</v>
      </c>
      <c r="B55" s="4" t="s">
        <v>1463</v>
      </c>
      <c r="C55" s="4" t="s">
        <v>1464</v>
      </c>
      <c r="D55" s="3">
        <v>2</v>
      </c>
      <c r="E55" s="3" t="s">
        <v>16</v>
      </c>
      <c r="F55" s="3" t="s">
        <v>293</v>
      </c>
      <c r="G55" s="3" t="s">
        <v>29</v>
      </c>
      <c r="H55" s="3" t="s">
        <v>165</v>
      </c>
    </row>
    <row r="56" spans="1:8" x14ac:dyDescent="0.2">
      <c r="A56" s="3">
        <v>3030306024</v>
      </c>
      <c r="B56" s="4" t="s">
        <v>1465</v>
      </c>
      <c r="C56" s="4" t="s">
        <v>1466</v>
      </c>
      <c r="D56" s="3">
        <v>1</v>
      </c>
      <c r="E56" s="3" t="s">
        <v>16</v>
      </c>
      <c r="F56" s="3" t="s">
        <v>291</v>
      </c>
      <c r="G56" s="3" t="s">
        <v>26</v>
      </c>
      <c r="H56" s="3" t="s">
        <v>165</v>
      </c>
    </row>
    <row r="57" spans="1:8" x14ac:dyDescent="0.2">
      <c r="A57" s="3">
        <v>3030302020</v>
      </c>
      <c r="B57" s="4" t="s">
        <v>1467</v>
      </c>
      <c r="C57" s="4" t="s">
        <v>1468</v>
      </c>
      <c r="D57" s="3">
        <v>2</v>
      </c>
      <c r="E57" s="3" t="s">
        <v>16</v>
      </c>
      <c r="F57" s="3" t="s">
        <v>295</v>
      </c>
      <c r="G57" s="3" t="s">
        <v>17</v>
      </c>
      <c r="H57" s="3" t="s">
        <v>165</v>
      </c>
    </row>
    <row r="58" spans="1:8" x14ac:dyDescent="0.2">
      <c r="A58" s="3">
        <v>3030303030</v>
      </c>
      <c r="B58" s="4" t="s">
        <v>1469</v>
      </c>
      <c r="C58" s="4" t="s">
        <v>1470</v>
      </c>
      <c r="D58" s="3">
        <v>1</v>
      </c>
      <c r="E58" s="3" t="s">
        <v>16</v>
      </c>
      <c r="F58" s="3" t="s">
        <v>291</v>
      </c>
      <c r="G58" s="3" t="s">
        <v>26</v>
      </c>
      <c r="H58" s="3" t="s">
        <v>165</v>
      </c>
    </row>
    <row r="59" spans="1:8" x14ac:dyDescent="0.2">
      <c r="A59" s="3">
        <v>3030313005</v>
      </c>
      <c r="B59" s="4" t="s">
        <v>1471</v>
      </c>
      <c r="C59" s="4" t="s">
        <v>1472</v>
      </c>
      <c r="D59" s="3">
        <v>2</v>
      </c>
      <c r="E59" s="3" t="s">
        <v>16</v>
      </c>
      <c r="F59" s="3" t="s">
        <v>291</v>
      </c>
      <c r="G59" s="3" t="s">
        <v>26</v>
      </c>
      <c r="H59" s="3" t="s">
        <v>165</v>
      </c>
    </row>
    <row r="60" spans="1:8" x14ac:dyDescent="0.2">
      <c r="A60" s="3">
        <v>3030302017</v>
      </c>
      <c r="B60" s="4" t="s">
        <v>1473</v>
      </c>
      <c r="C60" s="4" t="s">
        <v>1474</v>
      </c>
      <c r="D60" s="3">
        <v>2</v>
      </c>
      <c r="E60" s="3" t="s">
        <v>16</v>
      </c>
      <c r="F60" s="3" t="s">
        <v>295</v>
      </c>
      <c r="G60" s="3" t="s">
        <v>17</v>
      </c>
      <c r="H60" s="3" t="s">
        <v>165</v>
      </c>
    </row>
    <row r="61" spans="1:8" x14ac:dyDescent="0.2">
      <c r="A61" s="3">
        <v>3069905003</v>
      </c>
      <c r="B61" s="4" t="s">
        <v>1475</v>
      </c>
      <c r="C61" s="4" t="s">
        <v>1476</v>
      </c>
      <c r="D61" s="3">
        <v>1</v>
      </c>
      <c r="E61" s="3" t="s">
        <v>16</v>
      </c>
      <c r="F61" s="3" t="s">
        <v>289</v>
      </c>
      <c r="G61" s="3" t="s">
        <v>23</v>
      </c>
      <c r="H61" s="3" t="s">
        <v>165</v>
      </c>
    </row>
    <row r="62" spans="1:8" x14ac:dyDescent="0.2">
      <c r="A62" s="3">
        <v>3069905004</v>
      </c>
      <c r="B62" s="4" t="s">
        <v>1477</v>
      </c>
      <c r="C62" s="4" t="s">
        <v>1476</v>
      </c>
      <c r="D62" s="3">
        <v>1</v>
      </c>
      <c r="E62" s="3" t="s">
        <v>16</v>
      </c>
      <c r="F62" s="3" t="s">
        <v>289</v>
      </c>
      <c r="G62" s="3" t="s">
        <v>23</v>
      </c>
      <c r="H62" s="3" t="s">
        <v>165</v>
      </c>
    </row>
    <row r="63" spans="1:8" x14ac:dyDescent="0.2">
      <c r="A63" s="3">
        <v>3030302016</v>
      </c>
      <c r="B63" s="4" t="s">
        <v>584</v>
      </c>
      <c r="C63" s="4" t="s">
        <v>1468</v>
      </c>
      <c r="D63" s="3">
        <v>1</v>
      </c>
      <c r="E63" s="3" t="s">
        <v>16</v>
      </c>
      <c r="F63" s="3" t="s">
        <v>295</v>
      </c>
      <c r="G63" s="3" t="s">
        <v>17</v>
      </c>
      <c r="H63" s="3" t="s">
        <v>165</v>
      </c>
    </row>
    <row r="64" spans="1:8" x14ac:dyDescent="0.2">
      <c r="A64" s="3">
        <v>3060338003</v>
      </c>
      <c r="B64" s="4" t="s">
        <v>1478</v>
      </c>
      <c r="C64" s="4" t="s">
        <v>1476</v>
      </c>
      <c r="D64" s="3">
        <v>1</v>
      </c>
      <c r="E64" s="3" t="s">
        <v>16</v>
      </c>
      <c r="F64" s="3" t="s">
        <v>289</v>
      </c>
      <c r="G64" s="3" t="s">
        <v>23</v>
      </c>
      <c r="H64" s="3" t="s">
        <v>165</v>
      </c>
    </row>
    <row r="65" spans="1:8" x14ac:dyDescent="0.2">
      <c r="A65" s="3">
        <v>3020701013</v>
      </c>
      <c r="B65" s="4" t="s">
        <v>1479</v>
      </c>
      <c r="C65" s="4" t="s">
        <v>1480</v>
      </c>
      <c r="D65" s="3">
        <v>1</v>
      </c>
      <c r="E65" s="3" t="s">
        <v>16</v>
      </c>
      <c r="F65" s="3" t="s">
        <v>291</v>
      </c>
      <c r="G65" s="3" t="s">
        <v>26</v>
      </c>
      <c r="H65" s="3" t="s">
        <v>165</v>
      </c>
    </row>
    <row r="66" spans="1:8" x14ac:dyDescent="0.2">
      <c r="A66" s="3">
        <v>3050305031</v>
      </c>
      <c r="B66" s="4" t="s">
        <v>1290</v>
      </c>
      <c r="C66" s="4" t="s">
        <v>1481</v>
      </c>
      <c r="D66" s="3">
        <v>1</v>
      </c>
      <c r="E66" s="3" t="s">
        <v>16</v>
      </c>
      <c r="F66" s="3" t="s">
        <v>291</v>
      </c>
      <c r="G66" s="3" t="s">
        <v>26</v>
      </c>
      <c r="H66" s="3" t="s">
        <v>165</v>
      </c>
    </row>
    <row r="67" spans="1:8" x14ac:dyDescent="0.2">
      <c r="A67" s="3">
        <v>3050305030</v>
      </c>
      <c r="B67" s="4" t="s">
        <v>1290</v>
      </c>
      <c r="C67" s="4" t="s">
        <v>1482</v>
      </c>
      <c r="D67" s="3">
        <v>1</v>
      </c>
      <c r="E67" s="3" t="s">
        <v>16</v>
      </c>
      <c r="F67" s="3" t="s">
        <v>291</v>
      </c>
      <c r="G67" s="3" t="s">
        <v>26</v>
      </c>
      <c r="H67" s="3" t="s">
        <v>165</v>
      </c>
    </row>
    <row r="68" spans="1:8" x14ac:dyDescent="0.2">
      <c r="A68" s="3">
        <v>3010112013</v>
      </c>
      <c r="B68" s="4" t="s">
        <v>1483</v>
      </c>
      <c r="C68" s="4" t="s">
        <v>1484</v>
      </c>
      <c r="D68" s="3">
        <v>0.08</v>
      </c>
      <c r="E68" s="3" t="s">
        <v>10</v>
      </c>
      <c r="F68" s="3" t="s">
        <v>283</v>
      </c>
      <c r="G68" s="3" t="s">
        <v>13</v>
      </c>
      <c r="H68" s="3" t="s">
        <v>483</v>
      </c>
    </row>
    <row r="69" spans="1:8" x14ac:dyDescent="0.2">
      <c r="A69" s="3">
        <v>3030310011</v>
      </c>
      <c r="B69" s="4" t="s">
        <v>1485</v>
      </c>
      <c r="C69" s="4" t="s">
        <v>1472</v>
      </c>
      <c r="D69" s="3">
        <v>1</v>
      </c>
      <c r="E69" s="3" t="s">
        <v>16</v>
      </c>
      <c r="F69" s="3" t="s">
        <v>295</v>
      </c>
      <c r="G69" s="3" t="s">
        <v>17</v>
      </c>
      <c r="H69" s="3" t="s">
        <v>173</v>
      </c>
    </row>
    <row r="70" spans="1:8" x14ac:dyDescent="0.2">
      <c r="A70" s="3">
        <v>3020502014</v>
      </c>
      <c r="B70" s="4" t="s">
        <v>183</v>
      </c>
      <c r="C70" s="4" t="s">
        <v>1307</v>
      </c>
      <c r="D70" s="3">
        <v>1</v>
      </c>
      <c r="E70" s="3" t="s">
        <v>16</v>
      </c>
      <c r="F70" s="3" t="s">
        <v>291</v>
      </c>
      <c r="G70" s="3" t="s">
        <v>26</v>
      </c>
      <c r="H70" s="3" t="s">
        <v>185</v>
      </c>
    </row>
    <row r="71" spans="1:8" x14ac:dyDescent="0.2">
      <c r="A71" s="3">
        <v>3030204018</v>
      </c>
      <c r="B71" s="4" t="s">
        <v>492</v>
      </c>
      <c r="C71" s="4" t="s">
        <v>1486</v>
      </c>
      <c r="D71" s="3">
        <v>2</v>
      </c>
      <c r="E71" s="3" t="s">
        <v>16</v>
      </c>
      <c r="F71" s="3" t="s">
        <v>295</v>
      </c>
      <c r="G71" s="3" t="s">
        <v>17</v>
      </c>
      <c r="H71" s="3" t="s">
        <v>494</v>
      </c>
    </row>
    <row r="72" spans="1:8" x14ac:dyDescent="0.2">
      <c r="A72" s="3">
        <v>3110207003</v>
      </c>
      <c r="B72" s="4" t="s">
        <v>140</v>
      </c>
      <c r="C72" s="4" t="s">
        <v>1487</v>
      </c>
      <c r="D72" s="3">
        <v>1</v>
      </c>
      <c r="E72" s="3" t="s">
        <v>16</v>
      </c>
      <c r="F72" s="3" t="s">
        <v>285</v>
      </c>
      <c r="G72" s="3" t="s">
        <v>142</v>
      </c>
      <c r="H72" s="3" t="s">
        <v>187</v>
      </c>
    </row>
    <row r="73" spans="1:8" x14ac:dyDescent="0.2">
      <c r="A73" s="3">
        <v>3110201002</v>
      </c>
      <c r="B73" s="4" t="s">
        <v>1488</v>
      </c>
      <c r="C73" s="4" t="s">
        <v>1489</v>
      </c>
      <c r="D73" s="3">
        <v>1</v>
      </c>
      <c r="E73" s="3" t="s">
        <v>16</v>
      </c>
      <c r="F73" s="3" t="s">
        <v>295</v>
      </c>
      <c r="G73" s="3" t="s">
        <v>17</v>
      </c>
      <c r="H73" s="3" t="s">
        <v>187</v>
      </c>
    </row>
    <row r="74" spans="1:8" x14ac:dyDescent="0.2">
      <c r="A74" s="3">
        <v>3990202009</v>
      </c>
      <c r="B74" s="4" t="s">
        <v>188</v>
      </c>
      <c r="C74" s="4" t="s">
        <v>1490</v>
      </c>
      <c r="D74" s="3">
        <v>1</v>
      </c>
      <c r="E74" s="3" t="s">
        <v>16</v>
      </c>
      <c r="F74" s="3" t="s">
        <v>295</v>
      </c>
      <c r="G74" s="3" t="s">
        <v>17</v>
      </c>
      <c r="H74" s="3" t="s">
        <v>187</v>
      </c>
    </row>
    <row r="75" spans="1:8" x14ac:dyDescent="0.2">
      <c r="A75" s="3">
        <v>3110205003</v>
      </c>
      <c r="B75" s="4" t="s">
        <v>146</v>
      </c>
      <c r="C75" s="4" t="s">
        <v>1491</v>
      </c>
      <c r="D75" s="3">
        <v>1</v>
      </c>
      <c r="E75" s="3" t="s">
        <v>16</v>
      </c>
      <c r="F75" s="3" t="s">
        <v>287</v>
      </c>
      <c r="G75" s="3" t="s">
        <v>148</v>
      </c>
      <c r="H75" s="3" t="s">
        <v>187</v>
      </c>
    </row>
    <row r="76" spans="1:8" x14ac:dyDescent="0.2">
      <c r="A76" s="3">
        <v>401070022</v>
      </c>
      <c r="B76" s="4" t="s">
        <v>35</v>
      </c>
      <c r="C76" s="4" t="s">
        <v>203</v>
      </c>
      <c r="D76" s="3">
        <v>1</v>
      </c>
      <c r="E76" s="3" t="s">
        <v>16</v>
      </c>
      <c r="F76" s="3" t="s">
        <v>297</v>
      </c>
      <c r="G76" s="3" t="s">
        <v>204</v>
      </c>
      <c r="H76" s="3" t="s">
        <v>198</v>
      </c>
    </row>
    <row r="77" spans="1:8" x14ac:dyDescent="0.2">
      <c r="A77" s="3">
        <v>3020302018</v>
      </c>
      <c r="B77" s="4" t="s">
        <v>209</v>
      </c>
      <c r="C77" s="4" t="s">
        <v>1492</v>
      </c>
      <c r="D77" s="3">
        <v>1</v>
      </c>
      <c r="E77" s="3" t="s">
        <v>16</v>
      </c>
      <c r="F77" s="3" t="s">
        <v>301</v>
      </c>
      <c r="G77" s="3" t="s">
        <v>32</v>
      </c>
      <c r="H77" s="3" t="s">
        <v>211</v>
      </c>
    </row>
    <row r="78" spans="1:8" x14ac:dyDescent="0.2">
      <c r="A78" s="3">
        <v>3049904001</v>
      </c>
      <c r="B78" s="4" t="s">
        <v>354</v>
      </c>
      <c r="C78" s="4" t="s">
        <v>355</v>
      </c>
      <c r="D78" s="3">
        <v>4</v>
      </c>
      <c r="E78" s="3" t="s">
        <v>16</v>
      </c>
      <c r="F78" s="3" t="s">
        <v>293</v>
      </c>
      <c r="G78" s="3" t="s">
        <v>29</v>
      </c>
      <c r="H78" s="3" t="s">
        <v>214</v>
      </c>
    </row>
    <row r="79" spans="1:8" x14ac:dyDescent="0.2">
      <c r="A79" s="3">
        <v>3049902005</v>
      </c>
      <c r="B79" s="4" t="s">
        <v>356</v>
      </c>
      <c r="C79" s="4" t="s">
        <v>357</v>
      </c>
      <c r="D79" s="3">
        <v>2</v>
      </c>
      <c r="E79" s="3" t="s">
        <v>16</v>
      </c>
      <c r="F79" s="3" t="s">
        <v>293</v>
      </c>
      <c r="G79" s="3" t="s">
        <v>29</v>
      </c>
      <c r="H79" s="3" t="s">
        <v>214</v>
      </c>
    </row>
    <row r="80" spans="1:8" x14ac:dyDescent="0.2">
      <c r="A80" s="3">
        <v>3030201007</v>
      </c>
      <c r="B80" s="4" t="s">
        <v>1493</v>
      </c>
      <c r="C80" s="4" t="s">
        <v>1494</v>
      </c>
      <c r="D80" s="3">
        <v>2</v>
      </c>
      <c r="E80" s="3" t="s">
        <v>16</v>
      </c>
      <c r="F80" s="3" t="s">
        <v>291</v>
      </c>
      <c r="G80" s="3" t="s">
        <v>26</v>
      </c>
      <c r="H80" s="3" t="s">
        <v>214</v>
      </c>
    </row>
    <row r="81" spans="1:8" x14ac:dyDescent="0.2">
      <c r="A81" s="3">
        <v>3040402098</v>
      </c>
      <c r="B81" s="4" t="s">
        <v>500</v>
      </c>
      <c r="C81" s="4" t="s">
        <v>1495</v>
      </c>
      <c r="D81" s="3">
        <v>1</v>
      </c>
      <c r="E81" s="3" t="s">
        <v>16</v>
      </c>
      <c r="F81" s="3" t="s">
        <v>293</v>
      </c>
      <c r="G81" s="3" t="s">
        <v>29</v>
      </c>
      <c r="H81" s="3" t="s">
        <v>221</v>
      </c>
    </row>
    <row r="82" spans="1:8" x14ac:dyDescent="0.2">
      <c r="A82" s="3">
        <v>3040402099</v>
      </c>
      <c r="B82" s="4" t="s">
        <v>500</v>
      </c>
      <c r="C82" s="4" t="s">
        <v>1496</v>
      </c>
      <c r="D82" s="3">
        <v>1</v>
      </c>
      <c r="E82" s="3" t="s">
        <v>16</v>
      </c>
      <c r="F82" s="3" t="s">
        <v>293</v>
      </c>
      <c r="G82" s="3" t="s">
        <v>29</v>
      </c>
      <c r="H82" s="3" t="s">
        <v>221</v>
      </c>
    </row>
    <row r="83" spans="1:8" x14ac:dyDescent="0.2">
      <c r="A83" s="3">
        <v>402050001</v>
      </c>
      <c r="B83" s="4" t="s">
        <v>522</v>
      </c>
      <c r="C83" s="4" t="s">
        <v>523</v>
      </c>
      <c r="D83" s="3">
        <v>1</v>
      </c>
      <c r="E83" s="3" t="s">
        <v>16</v>
      </c>
      <c r="F83" s="3" t="s">
        <v>301</v>
      </c>
      <c r="G83" s="3" t="s">
        <v>32</v>
      </c>
      <c r="H83" s="3" t="s">
        <v>524</v>
      </c>
    </row>
    <row r="84" spans="1:8" x14ac:dyDescent="0.2">
      <c r="A84" s="3">
        <v>408120060</v>
      </c>
      <c r="B84" s="4" t="s">
        <v>525</v>
      </c>
      <c r="C84" s="4" t="s">
        <v>1497</v>
      </c>
      <c r="D84" s="3">
        <v>4</v>
      </c>
      <c r="E84" s="3" t="s">
        <v>16</v>
      </c>
      <c r="F84" s="3" t="s">
        <v>289</v>
      </c>
      <c r="G84" s="3" t="s">
        <v>23</v>
      </c>
      <c r="H84" s="3" t="s">
        <v>524</v>
      </c>
    </row>
    <row r="85" spans="1:8" x14ac:dyDescent="0.2">
      <c r="A85" s="3">
        <v>408120058</v>
      </c>
      <c r="B85" s="4" t="s">
        <v>525</v>
      </c>
      <c r="C85" s="4" t="s">
        <v>1498</v>
      </c>
      <c r="D85" s="3">
        <v>4</v>
      </c>
      <c r="E85" s="3" t="s">
        <v>16</v>
      </c>
      <c r="F85" s="3" t="s">
        <v>293</v>
      </c>
      <c r="G85" s="3" t="s">
        <v>29</v>
      </c>
      <c r="H85" s="3" t="s">
        <v>524</v>
      </c>
    </row>
    <row r="86" spans="1:8" x14ac:dyDescent="0.2">
      <c r="A86" s="3">
        <v>3040502066</v>
      </c>
      <c r="B86" s="4" t="s">
        <v>136</v>
      </c>
      <c r="C86" s="4" t="s">
        <v>1499</v>
      </c>
      <c r="D86" s="3">
        <v>1</v>
      </c>
      <c r="E86" s="3" t="s">
        <v>16</v>
      </c>
      <c r="F86" s="3" t="s">
        <v>293</v>
      </c>
      <c r="G86" s="3" t="s">
        <v>29</v>
      </c>
      <c r="H86" s="3" t="s">
        <v>370</v>
      </c>
    </row>
    <row r="87" spans="1:8" x14ac:dyDescent="0.2">
      <c r="A87" s="3">
        <v>3040502067</v>
      </c>
      <c r="B87" s="4" t="s">
        <v>136</v>
      </c>
      <c r="C87" s="4" t="s">
        <v>1500</v>
      </c>
      <c r="D87" s="3">
        <v>1</v>
      </c>
      <c r="E87" s="3" t="s">
        <v>16</v>
      </c>
      <c r="F87" s="3" t="s">
        <v>293</v>
      </c>
      <c r="G87" s="3" t="s">
        <v>29</v>
      </c>
      <c r="H87" s="3" t="s">
        <v>370</v>
      </c>
    </row>
    <row r="88" spans="1:8" x14ac:dyDescent="0.2">
      <c r="A88" s="3">
        <v>3060333015</v>
      </c>
      <c r="B88" s="4" t="s">
        <v>227</v>
      </c>
      <c r="C88" s="4" t="s">
        <v>1501</v>
      </c>
      <c r="D88" s="3">
        <v>1</v>
      </c>
      <c r="E88" s="3" t="s">
        <v>16</v>
      </c>
      <c r="F88" s="3" t="s">
        <v>289</v>
      </c>
      <c r="G88" s="3" t="s">
        <v>23</v>
      </c>
      <c r="H88" s="3" t="s">
        <v>226</v>
      </c>
    </row>
    <row r="89" spans="1:8" x14ac:dyDescent="0.2">
      <c r="A89" s="3">
        <v>3060335017</v>
      </c>
      <c r="B89" s="4" t="s">
        <v>233</v>
      </c>
      <c r="C89" s="4" t="s">
        <v>1502</v>
      </c>
      <c r="D89" s="3">
        <v>1</v>
      </c>
      <c r="E89" s="3" t="s">
        <v>16</v>
      </c>
      <c r="F89" s="3" t="s">
        <v>289</v>
      </c>
      <c r="G89" s="3" t="s">
        <v>23</v>
      </c>
      <c r="H89" s="3" t="s">
        <v>226</v>
      </c>
    </row>
    <row r="90" spans="1:8" x14ac:dyDescent="0.2">
      <c r="A90" s="3">
        <v>3030101035</v>
      </c>
      <c r="B90" s="4" t="s">
        <v>1503</v>
      </c>
      <c r="C90" s="4" t="s">
        <v>1504</v>
      </c>
      <c r="D90" s="3">
        <v>1</v>
      </c>
      <c r="E90" s="3" t="s">
        <v>16</v>
      </c>
      <c r="F90" s="3" t="s">
        <v>295</v>
      </c>
      <c r="G90" s="3" t="s">
        <v>17</v>
      </c>
      <c r="H90" s="3" t="s">
        <v>226</v>
      </c>
    </row>
    <row r="91" spans="1:8" x14ac:dyDescent="0.2">
      <c r="A91" s="3">
        <v>3030305012</v>
      </c>
      <c r="B91" s="4" t="s">
        <v>1505</v>
      </c>
      <c r="C91" s="4" t="s">
        <v>1506</v>
      </c>
      <c r="D91" s="3">
        <v>1</v>
      </c>
      <c r="E91" s="3" t="s">
        <v>16</v>
      </c>
      <c r="F91" s="3" t="s">
        <v>295</v>
      </c>
      <c r="G91" s="3" t="s">
        <v>17</v>
      </c>
      <c r="H91" s="3" t="s">
        <v>226</v>
      </c>
    </row>
    <row r="92" spans="1:8" x14ac:dyDescent="0.2">
      <c r="A92" s="3">
        <v>3040313006</v>
      </c>
      <c r="B92" s="4" t="s">
        <v>1507</v>
      </c>
      <c r="C92" s="4" t="s">
        <v>1508</v>
      </c>
      <c r="D92" s="3">
        <v>1</v>
      </c>
      <c r="E92" s="3" t="s">
        <v>16</v>
      </c>
      <c r="F92" s="3" t="s">
        <v>293</v>
      </c>
      <c r="G92" s="3" t="s">
        <v>29</v>
      </c>
      <c r="H92" s="3" t="s">
        <v>226</v>
      </c>
    </row>
    <row r="93" spans="1:8" x14ac:dyDescent="0.2">
      <c r="A93" s="3">
        <v>3040313007</v>
      </c>
      <c r="B93" s="4" t="s">
        <v>1507</v>
      </c>
      <c r="C93" s="4" t="s">
        <v>1509</v>
      </c>
      <c r="D93" s="3">
        <v>1</v>
      </c>
      <c r="E93" s="3" t="s">
        <v>16</v>
      </c>
      <c r="F93" s="3" t="s">
        <v>293</v>
      </c>
      <c r="G93" s="3" t="s">
        <v>29</v>
      </c>
      <c r="H93" s="3" t="s">
        <v>226</v>
      </c>
    </row>
    <row r="94" spans="1:8" x14ac:dyDescent="0.2">
      <c r="A94" s="3">
        <v>3040304051</v>
      </c>
      <c r="B94" s="4" t="s">
        <v>1459</v>
      </c>
      <c r="C94" s="4" t="s">
        <v>1462</v>
      </c>
      <c r="D94" s="3">
        <v>1</v>
      </c>
      <c r="E94" s="3" t="s">
        <v>16</v>
      </c>
      <c r="F94" s="3" t="s">
        <v>293</v>
      </c>
      <c r="G94" s="3" t="s">
        <v>29</v>
      </c>
      <c r="H94" s="3" t="s">
        <v>226</v>
      </c>
    </row>
    <row r="95" spans="1:8" x14ac:dyDescent="0.2">
      <c r="A95" s="3">
        <v>3040302007</v>
      </c>
      <c r="B95" s="4" t="s">
        <v>337</v>
      </c>
      <c r="C95" s="4" t="s">
        <v>1510</v>
      </c>
      <c r="D95" s="3">
        <v>1</v>
      </c>
      <c r="E95" s="3" t="s">
        <v>16</v>
      </c>
      <c r="F95" s="3" t="s">
        <v>293</v>
      </c>
      <c r="G95" s="3" t="s">
        <v>29</v>
      </c>
      <c r="H95" s="3" t="s">
        <v>226</v>
      </c>
    </row>
    <row r="96" spans="1:8" x14ac:dyDescent="0.2">
      <c r="A96" s="3">
        <v>3040302008</v>
      </c>
      <c r="B96" s="4" t="s">
        <v>337</v>
      </c>
      <c r="C96" s="4" t="s">
        <v>1511</v>
      </c>
      <c r="D96" s="3">
        <v>1</v>
      </c>
      <c r="E96" s="3" t="s">
        <v>16</v>
      </c>
      <c r="F96" s="3" t="s">
        <v>293</v>
      </c>
      <c r="G96" s="3" t="s">
        <v>29</v>
      </c>
      <c r="H96" s="3" t="s">
        <v>226</v>
      </c>
    </row>
    <row r="97" spans="1:8" x14ac:dyDescent="0.2">
      <c r="A97" s="3">
        <v>3040307005</v>
      </c>
      <c r="B97" s="4" t="s">
        <v>1512</v>
      </c>
      <c r="C97" s="4" t="s">
        <v>1513</v>
      </c>
      <c r="D97" s="3">
        <v>1</v>
      </c>
      <c r="E97" s="3" t="s">
        <v>16</v>
      </c>
      <c r="F97" s="3" t="s">
        <v>293</v>
      </c>
      <c r="G97" s="3" t="s">
        <v>29</v>
      </c>
      <c r="H97" s="3" t="s">
        <v>226</v>
      </c>
    </row>
    <row r="98" spans="1:8" x14ac:dyDescent="0.2">
      <c r="A98" s="3">
        <v>3040307004</v>
      </c>
      <c r="B98" s="4" t="s">
        <v>1512</v>
      </c>
      <c r="C98" s="4" t="s">
        <v>1514</v>
      </c>
      <c r="D98" s="3">
        <v>1</v>
      </c>
      <c r="E98" s="3" t="s">
        <v>16</v>
      </c>
      <c r="F98" s="3" t="s">
        <v>293</v>
      </c>
      <c r="G98" s="3" t="s">
        <v>29</v>
      </c>
      <c r="H98" s="3" t="s">
        <v>226</v>
      </c>
    </row>
    <row r="99" spans="1:8" x14ac:dyDescent="0.2">
      <c r="A99" s="3">
        <v>3030303029</v>
      </c>
      <c r="B99" s="4" t="s">
        <v>1469</v>
      </c>
      <c r="C99" s="4" t="s">
        <v>1515</v>
      </c>
      <c r="D99" s="3">
        <v>1</v>
      </c>
      <c r="E99" s="3" t="s">
        <v>16</v>
      </c>
      <c r="F99" s="3" t="s">
        <v>291</v>
      </c>
      <c r="G99" s="3" t="s">
        <v>26</v>
      </c>
      <c r="H99" s="3" t="s">
        <v>226</v>
      </c>
    </row>
    <row r="100" spans="1:8" x14ac:dyDescent="0.2">
      <c r="A100" s="3">
        <v>3030310012</v>
      </c>
      <c r="B100" s="4" t="s">
        <v>1516</v>
      </c>
      <c r="C100" s="4" t="s">
        <v>1472</v>
      </c>
      <c r="D100" s="3">
        <v>1</v>
      </c>
      <c r="E100" s="3" t="s">
        <v>16</v>
      </c>
      <c r="F100" s="3" t="s">
        <v>295</v>
      </c>
      <c r="G100" s="3" t="s">
        <v>17</v>
      </c>
      <c r="H100" s="3" t="s">
        <v>226</v>
      </c>
    </row>
    <row r="101" spans="1:8" x14ac:dyDescent="0.2">
      <c r="A101" s="3">
        <v>3030314009</v>
      </c>
      <c r="B101" s="4" t="s">
        <v>1517</v>
      </c>
      <c r="C101" s="4" t="s">
        <v>1472</v>
      </c>
      <c r="D101" s="3">
        <v>1</v>
      </c>
      <c r="E101" s="3" t="s">
        <v>16</v>
      </c>
      <c r="F101" s="3" t="s">
        <v>295</v>
      </c>
      <c r="G101" s="3" t="s">
        <v>17</v>
      </c>
      <c r="H101" s="3" t="s">
        <v>226</v>
      </c>
    </row>
    <row r="102" spans="1:8" x14ac:dyDescent="0.2">
      <c r="A102" s="3">
        <v>3030316008</v>
      </c>
      <c r="B102" s="4" t="s">
        <v>1518</v>
      </c>
      <c r="C102" s="4" t="s">
        <v>1519</v>
      </c>
      <c r="D102" s="3">
        <v>2</v>
      </c>
      <c r="E102" s="3" t="s">
        <v>16</v>
      </c>
      <c r="F102" s="3" t="s">
        <v>291</v>
      </c>
      <c r="G102" s="3" t="s">
        <v>26</v>
      </c>
      <c r="H102" s="3" t="s">
        <v>226</v>
      </c>
    </row>
    <row r="103" spans="1:8" x14ac:dyDescent="0.2">
      <c r="A103" s="3">
        <v>3020103010</v>
      </c>
      <c r="B103" s="4" t="s">
        <v>239</v>
      </c>
      <c r="C103" s="4" t="s">
        <v>1520</v>
      </c>
      <c r="D103" s="3">
        <v>5</v>
      </c>
      <c r="E103" s="3" t="s">
        <v>16</v>
      </c>
      <c r="F103" s="3" t="s">
        <v>297</v>
      </c>
      <c r="G103" s="3" t="s">
        <v>204</v>
      </c>
      <c r="H103" s="3" t="s">
        <v>226</v>
      </c>
    </row>
    <row r="104" spans="1:8" x14ac:dyDescent="0.2">
      <c r="A104" s="3">
        <v>3030302022</v>
      </c>
      <c r="B104" s="4" t="s">
        <v>1521</v>
      </c>
      <c r="C104" s="4" t="s">
        <v>1476</v>
      </c>
      <c r="D104" s="3">
        <v>2</v>
      </c>
      <c r="E104" s="3" t="s">
        <v>16</v>
      </c>
      <c r="F104" s="3" t="s">
        <v>291</v>
      </c>
      <c r="G104" s="3" t="s">
        <v>26</v>
      </c>
      <c r="H104" s="3" t="s">
        <v>226</v>
      </c>
    </row>
    <row r="105" spans="1:8" x14ac:dyDescent="0.2">
      <c r="A105" s="3">
        <v>3069906001</v>
      </c>
      <c r="B105" s="4" t="s">
        <v>1522</v>
      </c>
      <c r="C105" s="4" t="s">
        <v>1520</v>
      </c>
      <c r="D105" s="3">
        <v>1</v>
      </c>
      <c r="E105" s="3" t="s">
        <v>16</v>
      </c>
      <c r="F105" s="3" t="s">
        <v>289</v>
      </c>
      <c r="G105" s="3" t="s">
        <v>23</v>
      </c>
      <c r="H105" s="3" t="s">
        <v>226</v>
      </c>
    </row>
    <row r="106" spans="1:8" x14ac:dyDescent="0.2">
      <c r="A106" s="3">
        <v>3030306023</v>
      </c>
      <c r="B106" s="4" t="s">
        <v>1523</v>
      </c>
      <c r="C106" s="4" t="s">
        <v>1466</v>
      </c>
      <c r="D106" s="3">
        <v>1</v>
      </c>
      <c r="E106" s="3" t="s">
        <v>16</v>
      </c>
      <c r="F106" s="3" t="s">
        <v>291</v>
      </c>
      <c r="G106" s="3" t="s">
        <v>26</v>
      </c>
      <c r="H106" s="3" t="s">
        <v>226</v>
      </c>
    </row>
    <row r="107" spans="1:8" x14ac:dyDescent="0.2">
      <c r="A107" s="3">
        <v>3060337007</v>
      </c>
      <c r="B107" s="4" t="s">
        <v>1524</v>
      </c>
      <c r="C107" s="4" t="s">
        <v>1520</v>
      </c>
      <c r="D107" s="3">
        <v>1</v>
      </c>
      <c r="E107" s="3" t="s">
        <v>16</v>
      </c>
      <c r="F107" s="3" t="s">
        <v>289</v>
      </c>
      <c r="G107" s="3" t="s">
        <v>23</v>
      </c>
      <c r="H107" s="3" t="s">
        <v>226</v>
      </c>
    </row>
    <row r="108" spans="1:8" x14ac:dyDescent="0.2">
      <c r="A108" s="3">
        <v>3050304020</v>
      </c>
      <c r="B108" s="4" t="s">
        <v>181</v>
      </c>
      <c r="C108" s="4" t="s">
        <v>1480</v>
      </c>
      <c r="D108" s="3">
        <v>1</v>
      </c>
      <c r="E108" s="3" t="s">
        <v>16</v>
      </c>
      <c r="F108" s="3" t="s">
        <v>291</v>
      </c>
      <c r="G108" s="3" t="s">
        <v>26</v>
      </c>
      <c r="H108" s="3" t="s">
        <v>226</v>
      </c>
    </row>
    <row r="109" spans="1:8" x14ac:dyDescent="0.2">
      <c r="A109" s="3">
        <v>3050303025</v>
      </c>
      <c r="B109" s="4" t="s">
        <v>245</v>
      </c>
      <c r="C109" s="4" t="s">
        <v>1504</v>
      </c>
      <c r="D109" s="3">
        <v>1</v>
      </c>
      <c r="E109" s="3" t="s">
        <v>16</v>
      </c>
      <c r="F109" s="3" t="s">
        <v>291</v>
      </c>
      <c r="G109" s="3" t="s">
        <v>26</v>
      </c>
      <c r="H109" s="3" t="s">
        <v>226</v>
      </c>
    </row>
    <row r="110" spans="1:8" x14ac:dyDescent="0.2">
      <c r="A110" s="3">
        <v>3080401041</v>
      </c>
      <c r="B110" s="4" t="s">
        <v>41</v>
      </c>
      <c r="C110" s="4" t="s">
        <v>1525</v>
      </c>
      <c r="D110" s="3">
        <v>2</v>
      </c>
      <c r="E110" s="3" t="s">
        <v>16</v>
      </c>
      <c r="F110" s="3" t="s">
        <v>291</v>
      </c>
      <c r="G110" s="3" t="s">
        <v>26</v>
      </c>
      <c r="H110" s="3" t="s">
        <v>249</v>
      </c>
    </row>
    <row r="111" spans="1:8" x14ac:dyDescent="0.2">
      <c r="A111" s="3">
        <v>3080107017</v>
      </c>
      <c r="B111" s="4" t="s">
        <v>69</v>
      </c>
      <c r="C111" s="4" t="s">
        <v>251</v>
      </c>
      <c r="D111" s="3">
        <v>8</v>
      </c>
      <c r="E111" s="3" t="s">
        <v>16</v>
      </c>
      <c r="F111" s="3" t="s">
        <v>291</v>
      </c>
      <c r="G111" s="3" t="s">
        <v>26</v>
      </c>
      <c r="H111" s="3" t="s">
        <v>249</v>
      </c>
    </row>
    <row r="112" spans="1:8" x14ac:dyDescent="0.2">
      <c r="A112" s="3">
        <v>3040304009</v>
      </c>
      <c r="B112" s="4" t="s">
        <v>1526</v>
      </c>
      <c r="C112" s="4" t="s">
        <v>1527</v>
      </c>
      <c r="D112" s="3">
        <v>1</v>
      </c>
      <c r="E112" s="3" t="s">
        <v>16</v>
      </c>
      <c r="F112" s="3" t="s">
        <v>293</v>
      </c>
      <c r="G112" s="3" t="s">
        <v>29</v>
      </c>
      <c r="H112" s="3" t="s">
        <v>254</v>
      </c>
    </row>
    <row r="113" spans="1:8" x14ac:dyDescent="0.2">
      <c r="A113" s="3">
        <v>3040304008</v>
      </c>
      <c r="B113" s="4" t="s">
        <v>1526</v>
      </c>
      <c r="C113" s="4" t="s">
        <v>1528</v>
      </c>
      <c r="D113" s="3">
        <v>1</v>
      </c>
      <c r="E113" s="3" t="s">
        <v>16</v>
      </c>
      <c r="F113" s="3" t="s">
        <v>293</v>
      </c>
      <c r="G113" s="3" t="s">
        <v>29</v>
      </c>
      <c r="H113" s="3" t="s">
        <v>254</v>
      </c>
    </row>
    <row r="114" spans="1:8" x14ac:dyDescent="0.2">
      <c r="A114" s="3">
        <v>3040302006</v>
      </c>
      <c r="B114" s="4" t="s">
        <v>1529</v>
      </c>
      <c r="C114" s="4" t="s">
        <v>1530</v>
      </c>
      <c r="D114" s="3">
        <v>2</v>
      </c>
      <c r="E114" s="3" t="s">
        <v>16</v>
      </c>
      <c r="F114" s="3" t="s">
        <v>293</v>
      </c>
      <c r="G114" s="3" t="s">
        <v>29</v>
      </c>
      <c r="H114" s="3" t="s">
        <v>254</v>
      </c>
    </row>
    <row r="115" spans="1:8" x14ac:dyDescent="0.2">
      <c r="A115" s="3">
        <v>3030303026</v>
      </c>
      <c r="B115" s="4" t="s">
        <v>1531</v>
      </c>
      <c r="C115" s="4" t="s">
        <v>1472</v>
      </c>
      <c r="D115" s="3">
        <v>1</v>
      </c>
      <c r="E115" s="3" t="s">
        <v>16</v>
      </c>
      <c r="F115" s="3" t="s">
        <v>291</v>
      </c>
      <c r="G115" s="3" t="s">
        <v>26</v>
      </c>
      <c r="H115" s="3" t="s">
        <v>254</v>
      </c>
    </row>
    <row r="116" spans="1:8" x14ac:dyDescent="0.2">
      <c r="A116" s="3">
        <v>3030302019</v>
      </c>
      <c r="B116" s="4" t="s">
        <v>576</v>
      </c>
      <c r="C116" s="4" t="s">
        <v>1532</v>
      </c>
      <c r="D116" s="3">
        <v>1</v>
      </c>
      <c r="E116" s="3" t="s">
        <v>16</v>
      </c>
      <c r="F116" s="3" t="s">
        <v>291</v>
      </c>
      <c r="G116" s="3" t="s">
        <v>26</v>
      </c>
      <c r="H116" s="3" t="s">
        <v>254</v>
      </c>
    </row>
    <row r="117" spans="1:8" x14ac:dyDescent="0.2">
      <c r="A117" s="3">
        <v>3030315003</v>
      </c>
      <c r="B117" s="4" t="s">
        <v>1533</v>
      </c>
      <c r="C117" s="4" t="s">
        <v>1468</v>
      </c>
      <c r="D117" s="3">
        <v>1</v>
      </c>
      <c r="E117" s="3" t="s">
        <v>16</v>
      </c>
      <c r="F117" s="3" t="s">
        <v>295</v>
      </c>
      <c r="G117" s="3" t="s">
        <v>17</v>
      </c>
      <c r="H117" s="3" t="s">
        <v>254</v>
      </c>
    </row>
    <row r="118" spans="1:8" x14ac:dyDescent="0.2">
      <c r="A118" s="3">
        <v>3030306021</v>
      </c>
      <c r="B118" s="4" t="s">
        <v>1534</v>
      </c>
      <c r="C118" s="4" t="s">
        <v>1468</v>
      </c>
      <c r="D118" s="3">
        <v>1</v>
      </c>
      <c r="E118" s="3" t="s">
        <v>16</v>
      </c>
      <c r="F118" s="3" t="s">
        <v>295</v>
      </c>
      <c r="G118" s="3" t="s">
        <v>17</v>
      </c>
      <c r="H118" s="3" t="s">
        <v>254</v>
      </c>
    </row>
    <row r="119" spans="1:8" x14ac:dyDescent="0.2">
      <c r="A119" s="3">
        <v>3991601010</v>
      </c>
      <c r="B119" s="4" t="s">
        <v>585</v>
      </c>
      <c r="C119" s="4" t="s">
        <v>1472</v>
      </c>
      <c r="D119" s="3">
        <v>14</v>
      </c>
      <c r="E119" s="3" t="s">
        <v>16</v>
      </c>
      <c r="F119" s="3" t="s">
        <v>289</v>
      </c>
      <c r="G119" s="3" t="s">
        <v>23</v>
      </c>
      <c r="H119" s="3" t="s">
        <v>254</v>
      </c>
    </row>
    <row r="120" spans="1:8" x14ac:dyDescent="0.2">
      <c r="A120" s="3">
        <v>3991601011</v>
      </c>
      <c r="B120" s="4" t="s">
        <v>1535</v>
      </c>
      <c r="C120" s="4" t="s">
        <v>1472</v>
      </c>
      <c r="D120" s="3">
        <v>14</v>
      </c>
      <c r="E120" s="3" t="s">
        <v>16</v>
      </c>
      <c r="F120" s="3" t="s">
        <v>289</v>
      </c>
      <c r="G120" s="3" t="s">
        <v>23</v>
      </c>
      <c r="H120" s="3" t="s">
        <v>254</v>
      </c>
    </row>
    <row r="121" spans="1:8" x14ac:dyDescent="0.2">
      <c r="A121" s="3">
        <v>3060321006</v>
      </c>
      <c r="B121" s="4" t="s">
        <v>1536</v>
      </c>
      <c r="C121" s="4" t="s">
        <v>1527</v>
      </c>
      <c r="D121" s="3">
        <v>1</v>
      </c>
      <c r="E121" s="3" t="s">
        <v>16</v>
      </c>
      <c r="F121" s="3" t="s">
        <v>289</v>
      </c>
      <c r="G121" s="3" t="s">
        <v>23</v>
      </c>
      <c r="H121" s="3" t="s">
        <v>254</v>
      </c>
    </row>
    <row r="122" spans="1:8" x14ac:dyDescent="0.2">
      <c r="A122" s="3">
        <v>3060321005</v>
      </c>
      <c r="B122" s="4" t="s">
        <v>1536</v>
      </c>
      <c r="C122" s="4" t="s">
        <v>1528</v>
      </c>
      <c r="D122" s="3">
        <v>1</v>
      </c>
      <c r="E122" s="3" t="s">
        <v>16</v>
      </c>
      <c r="F122" s="3" t="s">
        <v>289</v>
      </c>
      <c r="G122" s="3" t="s">
        <v>23</v>
      </c>
      <c r="H122" s="3" t="s">
        <v>254</v>
      </c>
    </row>
    <row r="123" spans="1:8" x14ac:dyDescent="0.2">
      <c r="A123" s="3">
        <v>3069902002</v>
      </c>
      <c r="B123" s="4" t="s">
        <v>1537</v>
      </c>
      <c r="C123" s="4" t="s">
        <v>1538</v>
      </c>
      <c r="D123" s="3">
        <v>1</v>
      </c>
      <c r="E123" s="3" t="s">
        <v>16</v>
      </c>
      <c r="F123" s="3" t="s">
        <v>289</v>
      </c>
      <c r="G123" s="3" t="s">
        <v>23</v>
      </c>
      <c r="H123" s="3" t="s">
        <v>1539</v>
      </c>
    </row>
  </sheetData>
  <phoneticPr fontId="2" type="noConversion"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4DD67-1F37-4CE0-9D1D-69AF540F4CFA}">
  <dimension ref="A1:H258"/>
  <sheetViews>
    <sheetView workbookViewId="0">
      <selection activeCell="L18" sqref="L18"/>
    </sheetView>
  </sheetViews>
  <sheetFormatPr defaultRowHeight="14.25" x14ac:dyDescent="0.2"/>
  <cols>
    <col min="1" max="1" width="12.125" customWidth="1"/>
    <col min="2" max="3" width="12.75" customWidth="1"/>
  </cols>
  <sheetData>
    <row r="1" spans="1:8" x14ac:dyDescent="0.2">
      <c r="A1" s="3" t="s">
        <v>1595</v>
      </c>
      <c r="B1" s="4"/>
      <c r="C1" s="4"/>
      <c r="D1" s="3"/>
      <c r="E1" s="3"/>
      <c r="F1" s="3"/>
      <c r="G1" s="3"/>
      <c r="H1" s="3"/>
    </row>
    <row r="2" spans="1:8" ht="28.5" x14ac:dyDescent="0.2">
      <c r="A2" s="1" t="s">
        <v>0</v>
      </c>
      <c r="B2" s="2" t="s">
        <v>1</v>
      </c>
      <c r="C2" s="2" t="s">
        <v>2</v>
      </c>
      <c r="D2" s="1" t="s">
        <v>4</v>
      </c>
      <c r="E2" s="1" t="s">
        <v>3</v>
      </c>
      <c r="F2" s="1" t="s">
        <v>5</v>
      </c>
      <c r="G2" s="1" t="s">
        <v>6</v>
      </c>
      <c r="H2" s="1" t="s">
        <v>7</v>
      </c>
    </row>
    <row r="3" spans="1:8" s="10" customFormat="1" ht="16.5" customHeight="1" x14ac:dyDescent="0.2">
      <c r="A3" s="8" t="s">
        <v>390</v>
      </c>
      <c r="B3" s="9" t="s">
        <v>8</v>
      </c>
      <c r="C3" s="9" t="s">
        <v>9</v>
      </c>
      <c r="D3" s="13">
        <f>0.408/0.94</f>
        <v>0.43404255319148938</v>
      </c>
      <c r="E3" s="8" t="s">
        <v>596</v>
      </c>
      <c r="F3" s="8" t="s">
        <v>283</v>
      </c>
      <c r="G3" s="8" t="s">
        <v>13</v>
      </c>
      <c r="H3" s="8" t="s">
        <v>12</v>
      </c>
    </row>
    <row r="4" spans="1:8" x14ac:dyDescent="0.2">
      <c r="A4" s="3">
        <v>402030028</v>
      </c>
      <c r="B4" s="4" t="s">
        <v>107</v>
      </c>
      <c r="C4" s="4" t="s">
        <v>305</v>
      </c>
      <c r="D4" s="3">
        <v>1</v>
      </c>
      <c r="E4" s="3" t="s">
        <v>16</v>
      </c>
      <c r="F4" s="3" t="s">
        <v>289</v>
      </c>
      <c r="G4" s="3" t="s">
        <v>23</v>
      </c>
      <c r="H4" s="3" t="s">
        <v>306</v>
      </c>
    </row>
    <row r="5" spans="1:8" x14ac:dyDescent="0.2">
      <c r="A5" s="3">
        <v>3099980014</v>
      </c>
      <c r="B5" s="4" t="s">
        <v>391</v>
      </c>
      <c r="C5" s="4" t="s">
        <v>392</v>
      </c>
      <c r="D5" s="3">
        <v>1</v>
      </c>
      <c r="E5" s="3" t="s">
        <v>16</v>
      </c>
      <c r="F5" s="3" t="s">
        <v>291</v>
      </c>
      <c r="G5" s="3" t="s">
        <v>26</v>
      </c>
      <c r="H5" s="3" t="s">
        <v>393</v>
      </c>
    </row>
    <row r="6" spans="1:8" x14ac:dyDescent="0.2">
      <c r="A6" s="3">
        <v>3030314005</v>
      </c>
      <c r="B6" s="4" t="s">
        <v>394</v>
      </c>
      <c r="C6" s="4" t="s">
        <v>395</v>
      </c>
      <c r="D6" s="3">
        <v>1</v>
      </c>
      <c r="E6" s="3" t="s">
        <v>16</v>
      </c>
      <c r="F6" s="3" t="s">
        <v>291</v>
      </c>
      <c r="G6" s="3" t="s">
        <v>26</v>
      </c>
      <c r="H6" s="3" t="s">
        <v>18</v>
      </c>
    </row>
    <row r="7" spans="1:8" x14ac:dyDescent="0.2">
      <c r="A7" s="3">
        <v>3030210001</v>
      </c>
      <c r="B7" s="4" t="s">
        <v>396</v>
      </c>
      <c r="C7" s="4" t="s">
        <v>397</v>
      </c>
      <c r="D7" s="3">
        <v>1</v>
      </c>
      <c r="E7" s="3" t="s">
        <v>16</v>
      </c>
      <c r="F7" s="3" t="s">
        <v>295</v>
      </c>
      <c r="G7" s="3" t="s">
        <v>17</v>
      </c>
      <c r="H7" s="3" t="s">
        <v>18</v>
      </c>
    </row>
    <row r="8" spans="1:8" x14ac:dyDescent="0.2">
      <c r="A8" s="3">
        <v>3080301001</v>
      </c>
      <c r="B8" s="4" t="s">
        <v>247</v>
      </c>
      <c r="C8" s="4" t="s">
        <v>398</v>
      </c>
      <c r="D8" s="3">
        <v>1</v>
      </c>
      <c r="E8" s="3" t="s">
        <v>16</v>
      </c>
      <c r="F8" s="3" t="s">
        <v>295</v>
      </c>
      <c r="G8" s="3" t="s">
        <v>17</v>
      </c>
      <c r="H8" s="3" t="s">
        <v>18</v>
      </c>
    </row>
    <row r="9" spans="1:8" x14ac:dyDescent="0.2">
      <c r="A9" s="3">
        <v>3040201001</v>
      </c>
      <c r="B9" s="4" t="s">
        <v>399</v>
      </c>
      <c r="C9" s="4" t="s">
        <v>400</v>
      </c>
      <c r="D9" s="3">
        <v>2</v>
      </c>
      <c r="E9" s="3" t="s">
        <v>16</v>
      </c>
      <c r="F9" s="3" t="s">
        <v>293</v>
      </c>
      <c r="G9" s="3" t="s">
        <v>29</v>
      </c>
      <c r="H9" s="3" t="s">
        <v>18</v>
      </c>
    </row>
    <row r="10" spans="1:8" x14ac:dyDescent="0.2">
      <c r="A10" s="3">
        <v>3030202002</v>
      </c>
      <c r="B10" s="4" t="s">
        <v>401</v>
      </c>
      <c r="C10" s="4" t="s">
        <v>402</v>
      </c>
      <c r="D10" s="3">
        <v>1</v>
      </c>
      <c r="E10" s="3" t="s">
        <v>16</v>
      </c>
      <c r="F10" s="3" t="s">
        <v>295</v>
      </c>
      <c r="G10" s="3" t="s">
        <v>17</v>
      </c>
      <c r="H10" s="3" t="s">
        <v>18</v>
      </c>
    </row>
    <row r="11" spans="1:8" x14ac:dyDescent="0.2">
      <c r="A11" s="3">
        <v>3030202003</v>
      </c>
      <c r="B11" s="4" t="s">
        <v>403</v>
      </c>
      <c r="C11" s="4" t="s">
        <v>404</v>
      </c>
      <c r="D11" s="3">
        <v>1</v>
      </c>
      <c r="E11" s="3" t="s">
        <v>16</v>
      </c>
      <c r="F11" s="3" t="s">
        <v>295</v>
      </c>
      <c r="G11" s="3" t="s">
        <v>17</v>
      </c>
      <c r="H11" s="3" t="s">
        <v>18</v>
      </c>
    </row>
    <row r="12" spans="1:8" x14ac:dyDescent="0.2">
      <c r="A12" s="3">
        <v>3030212001</v>
      </c>
      <c r="B12" s="4" t="s">
        <v>405</v>
      </c>
      <c r="C12" s="4" t="s">
        <v>406</v>
      </c>
      <c r="D12" s="3">
        <v>1</v>
      </c>
      <c r="E12" s="3" t="s">
        <v>16</v>
      </c>
      <c r="F12" s="3" t="s">
        <v>295</v>
      </c>
      <c r="G12" s="3" t="s">
        <v>17</v>
      </c>
      <c r="H12" s="3" t="s">
        <v>18</v>
      </c>
    </row>
    <row r="13" spans="1:8" x14ac:dyDescent="0.2">
      <c r="A13" s="3">
        <v>3030206003</v>
      </c>
      <c r="B13" s="4" t="s">
        <v>407</v>
      </c>
      <c r="C13" s="4" t="s">
        <v>408</v>
      </c>
      <c r="D13" s="3">
        <v>1</v>
      </c>
      <c r="E13" s="3" t="s">
        <v>16</v>
      </c>
      <c r="F13" s="3" t="s">
        <v>295</v>
      </c>
      <c r="G13" s="3" t="s">
        <v>17</v>
      </c>
      <c r="H13" s="3" t="s">
        <v>18</v>
      </c>
    </row>
    <row r="14" spans="1:8" x14ac:dyDescent="0.2">
      <c r="A14" s="3">
        <v>3050207003</v>
      </c>
      <c r="B14" s="4" t="s">
        <v>1108</v>
      </c>
      <c r="C14" s="4" t="s">
        <v>1109</v>
      </c>
      <c r="D14" s="3">
        <v>1</v>
      </c>
      <c r="E14" s="3" t="s">
        <v>16</v>
      </c>
      <c r="F14" s="3" t="s">
        <v>291</v>
      </c>
      <c r="G14" s="3" t="s">
        <v>26</v>
      </c>
      <c r="H14" s="3" t="s">
        <v>18</v>
      </c>
    </row>
    <row r="15" spans="1:8" x14ac:dyDescent="0.2">
      <c r="A15" s="3">
        <v>3080312001</v>
      </c>
      <c r="B15" s="4" t="s">
        <v>1110</v>
      </c>
      <c r="C15" s="4" t="s">
        <v>1111</v>
      </c>
      <c r="D15" s="3">
        <v>1</v>
      </c>
      <c r="E15" s="3" t="s">
        <v>16</v>
      </c>
      <c r="F15" s="3" t="s">
        <v>291</v>
      </c>
      <c r="G15" s="3" t="s">
        <v>26</v>
      </c>
      <c r="H15" s="3" t="s">
        <v>18</v>
      </c>
    </row>
    <row r="16" spans="1:8" x14ac:dyDescent="0.2">
      <c r="A16" s="3">
        <v>404110005</v>
      </c>
      <c r="B16" s="4" t="s">
        <v>504</v>
      </c>
      <c r="C16" s="4" t="s">
        <v>1541</v>
      </c>
      <c r="D16" s="3">
        <v>1</v>
      </c>
      <c r="E16" s="3" t="s">
        <v>16</v>
      </c>
      <c r="F16" s="3" t="s">
        <v>301</v>
      </c>
      <c r="G16" s="3" t="s">
        <v>32</v>
      </c>
      <c r="H16" s="3" t="s">
        <v>33</v>
      </c>
    </row>
    <row r="17" spans="1:8" x14ac:dyDescent="0.2">
      <c r="A17" s="3">
        <v>404090171</v>
      </c>
      <c r="B17" s="4" t="s">
        <v>30</v>
      </c>
      <c r="C17" s="4" t="s">
        <v>1542</v>
      </c>
      <c r="D17" s="3">
        <v>1</v>
      </c>
      <c r="E17" s="3" t="s">
        <v>16</v>
      </c>
      <c r="F17" s="3" t="s">
        <v>301</v>
      </c>
      <c r="G17" s="3" t="s">
        <v>32</v>
      </c>
      <c r="H17" s="3" t="s">
        <v>33</v>
      </c>
    </row>
    <row r="18" spans="1:8" x14ac:dyDescent="0.2">
      <c r="A18" s="3">
        <v>404090170</v>
      </c>
      <c r="B18" s="4" t="s">
        <v>30</v>
      </c>
      <c r="C18" s="4" t="s">
        <v>1543</v>
      </c>
      <c r="D18" s="3">
        <v>1</v>
      </c>
      <c r="E18" s="3" t="s">
        <v>16</v>
      </c>
      <c r="F18" s="3" t="s">
        <v>301</v>
      </c>
      <c r="G18" s="3" t="s">
        <v>32</v>
      </c>
      <c r="H18" s="3" t="s">
        <v>33</v>
      </c>
    </row>
    <row r="19" spans="1:8" x14ac:dyDescent="0.2">
      <c r="A19" s="3">
        <v>401020102</v>
      </c>
      <c r="B19" s="4" t="s">
        <v>35</v>
      </c>
      <c r="C19" s="4" t="s">
        <v>1544</v>
      </c>
      <c r="D19" s="3">
        <v>1</v>
      </c>
      <c r="E19" s="3" t="s">
        <v>16</v>
      </c>
      <c r="F19" s="3" t="s">
        <v>301</v>
      </c>
      <c r="G19" s="3" t="s">
        <v>32</v>
      </c>
      <c r="H19" s="3" t="s">
        <v>33</v>
      </c>
    </row>
    <row r="20" spans="1:8" x14ac:dyDescent="0.2">
      <c r="A20" s="3">
        <v>401020155</v>
      </c>
      <c r="B20" s="4" t="s">
        <v>35</v>
      </c>
      <c r="C20" s="4" t="s">
        <v>1545</v>
      </c>
      <c r="D20" s="3">
        <v>1</v>
      </c>
      <c r="E20" s="3" t="s">
        <v>16</v>
      </c>
      <c r="F20" s="3" t="s">
        <v>293</v>
      </c>
      <c r="G20" s="3" t="s">
        <v>29</v>
      </c>
      <c r="H20" s="3" t="s">
        <v>33</v>
      </c>
    </row>
    <row r="21" spans="1:8" x14ac:dyDescent="0.2">
      <c r="A21" s="3">
        <v>3080101002</v>
      </c>
      <c r="B21" s="4" t="s">
        <v>411</v>
      </c>
      <c r="C21" s="4" t="s">
        <v>413</v>
      </c>
      <c r="D21" s="3">
        <v>4</v>
      </c>
      <c r="E21" s="3" t="s">
        <v>16</v>
      </c>
      <c r="F21" s="3" t="s">
        <v>289</v>
      </c>
      <c r="G21" s="3" t="s">
        <v>23</v>
      </c>
      <c r="H21" s="3" t="s">
        <v>40</v>
      </c>
    </row>
    <row r="22" spans="1:8" x14ac:dyDescent="0.2">
      <c r="A22" s="3">
        <v>3080101015</v>
      </c>
      <c r="B22" s="4" t="s">
        <v>411</v>
      </c>
      <c r="C22" s="4" t="s">
        <v>412</v>
      </c>
      <c r="D22" s="3">
        <v>2</v>
      </c>
      <c r="E22" s="3" t="s">
        <v>16</v>
      </c>
      <c r="F22" s="3" t="s">
        <v>293</v>
      </c>
      <c r="G22" s="3" t="s">
        <v>29</v>
      </c>
      <c r="H22" s="3" t="s">
        <v>40</v>
      </c>
    </row>
    <row r="23" spans="1:8" x14ac:dyDescent="0.2">
      <c r="A23" s="3">
        <v>3080101002</v>
      </c>
      <c r="B23" s="4" t="s">
        <v>411</v>
      </c>
      <c r="C23" s="4" t="s">
        <v>413</v>
      </c>
      <c r="D23" s="3">
        <v>2</v>
      </c>
      <c r="E23" s="3" t="s">
        <v>16</v>
      </c>
      <c r="F23" s="3" t="s">
        <v>291</v>
      </c>
      <c r="G23" s="3" t="s">
        <v>26</v>
      </c>
      <c r="H23" s="3" t="s">
        <v>40</v>
      </c>
    </row>
    <row r="24" spans="1:8" x14ac:dyDescent="0.2">
      <c r="A24" s="3">
        <v>3080108028</v>
      </c>
      <c r="B24" s="4" t="s">
        <v>411</v>
      </c>
      <c r="C24" s="4" t="s">
        <v>1334</v>
      </c>
      <c r="D24" s="3">
        <v>1</v>
      </c>
      <c r="E24" s="3" t="s">
        <v>16</v>
      </c>
      <c r="F24" s="3" t="s">
        <v>291</v>
      </c>
      <c r="G24" s="3" t="s">
        <v>26</v>
      </c>
      <c r="H24" s="3" t="s">
        <v>40</v>
      </c>
    </row>
    <row r="25" spans="1:8" x14ac:dyDescent="0.2">
      <c r="A25" s="3">
        <v>3080401024</v>
      </c>
      <c r="B25" s="4" t="s">
        <v>41</v>
      </c>
      <c r="C25" s="4" t="s">
        <v>1546</v>
      </c>
      <c r="D25" s="3">
        <v>2</v>
      </c>
      <c r="E25" s="3" t="s">
        <v>16</v>
      </c>
      <c r="F25" s="3" t="s">
        <v>289</v>
      </c>
      <c r="G25" s="3" t="s">
        <v>23</v>
      </c>
      <c r="H25" s="3" t="s">
        <v>40</v>
      </c>
    </row>
    <row r="26" spans="1:8" x14ac:dyDescent="0.2">
      <c r="A26" s="3">
        <v>3080401064</v>
      </c>
      <c r="B26" s="4" t="s">
        <v>41</v>
      </c>
      <c r="C26" s="4" t="s">
        <v>414</v>
      </c>
      <c r="D26" s="3">
        <v>1</v>
      </c>
      <c r="E26" s="3" t="s">
        <v>16</v>
      </c>
      <c r="F26" s="3" t="s">
        <v>295</v>
      </c>
      <c r="G26" s="3" t="s">
        <v>17</v>
      </c>
      <c r="H26" s="3" t="s">
        <v>40</v>
      </c>
    </row>
    <row r="27" spans="1:8" x14ac:dyDescent="0.2">
      <c r="A27" s="3">
        <v>3080401016</v>
      </c>
      <c r="B27" s="4" t="s">
        <v>41</v>
      </c>
      <c r="C27" s="4" t="s">
        <v>415</v>
      </c>
      <c r="D27" s="3">
        <v>2</v>
      </c>
      <c r="E27" s="3" t="s">
        <v>16</v>
      </c>
      <c r="F27" s="3" t="s">
        <v>295</v>
      </c>
      <c r="G27" s="3" t="s">
        <v>17</v>
      </c>
      <c r="H27" s="3" t="s">
        <v>40</v>
      </c>
    </row>
    <row r="28" spans="1:8" x14ac:dyDescent="0.2">
      <c r="A28" s="3">
        <v>3080401007</v>
      </c>
      <c r="B28" s="4" t="s">
        <v>41</v>
      </c>
      <c r="C28" s="4" t="s">
        <v>416</v>
      </c>
      <c r="D28" s="3">
        <v>2</v>
      </c>
      <c r="E28" s="3" t="s">
        <v>16</v>
      </c>
      <c r="F28" s="3" t="s">
        <v>293</v>
      </c>
      <c r="G28" s="3" t="s">
        <v>29</v>
      </c>
      <c r="H28" s="3" t="s">
        <v>40</v>
      </c>
    </row>
    <row r="29" spans="1:8" x14ac:dyDescent="0.2">
      <c r="A29" s="3">
        <v>3080401048</v>
      </c>
      <c r="B29" s="4" t="s">
        <v>41</v>
      </c>
      <c r="C29" s="4" t="s">
        <v>793</v>
      </c>
      <c r="D29" s="3">
        <v>2</v>
      </c>
      <c r="E29" s="3" t="s">
        <v>16</v>
      </c>
      <c r="F29" s="3" t="s">
        <v>794</v>
      </c>
      <c r="G29" s="3" t="s">
        <v>795</v>
      </c>
      <c r="H29" s="3" t="s">
        <v>40</v>
      </c>
    </row>
    <row r="30" spans="1:8" x14ac:dyDescent="0.2">
      <c r="A30" s="3">
        <v>3080401047</v>
      </c>
      <c r="B30" s="4" t="s">
        <v>41</v>
      </c>
      <c r="C30" s="4" t="s">
        <v>796</v>
      </c>
      <c r="D30" s="3">
        <v>1</v>
      </c>
      <c r="E30" s="3" t="s">
        <v>16</v>
      </c>
      <c r="F30" s="3" t="s">
        <v>794</v>
      </c>
      <c r="G30" s="3" t="s">
        <v>795</v>
      </c>
      <c r="H30" s="3" t="s">
        <v>40</v>
      </c>
    </row>
    <row r="31" spans="1:8" x14ac:dyDescent="0.2">
      <c r="A31" s="3">
        <v>3080401009</v>
      </c>
      <c r="B31" s="4" t="s">
        <v>41</v>
      </c>
      <c r="C31" s="4" t="s">
        <v>1547</v>
      </c>
      <c r="D31" s="3">
        <v>2</v>
      </c>
      <c r="E31" s="3" t="s">
        <v>16</v>
      </c>
      <c r="F31" s="3" t="s">
        <v>317</v>
      </c>
      <c r="G31" s="3" t="s">
        <v>318</v>
      </c>
      <c r="H31" s="3" t="s">
        <v>40</v>
      </c>
    </row>
    <row r="32" spans="1:8" x14ac:dyDescent="0.2">
      <c r="A32" s="3">
        <v>3080401014</v>
      </c>
      <c r="B32" s="4" t="s">
        <v>41</v>
      </c>
      <c r="C32" s="4" t="s">
        <v>417</v>
      </c>
      <c r="D32" s="3">
        <v>4</v>
      </c>
      <c r="E32" s="3" t="s">
        <v>16</v>
      </c>
      <c r="F32" s="3" t="s">
        <v>291</v>
      </c>
      <c r="G32" s="3" t="s">
        <v>26</v>
      </c>
      <c r="H32" s="3" t="s">
        <v>40</v>
      </c>
    </row>
    <row r="33" spans="1:8" x14ac:dyDescent="0.2">
      <c r="A33" s="3">
        <v>3080104112</v>
      </c>
      <c r="B33" s="4" t="s">
        <v>45</v>
      </c>
      <c r="C33" s="4" t="s">
        <v>1548</v>
      </c>
      <c r="D33" s="3">
        <v>4</v>
      </c>
      <c r="E33" s="3" t="s">
        <v>16</v>
      </c>
      <c r="F33" s="3" t="s">
        <v>289</v>
      </c>
      <c r="G33" s="3" t="s">
        <v>23</v>
      </c>
      <c r="H33" s="3" t="s">
        <v>40</v>
      </c>
    </row>
    <row r="34" spans="1:8" x14ac:dyDescent="0.2">
      <c r="A34" s="3">
        <v>3080104018</v>
      </c>
      <c r="B34" s="4" t="s">
        <v>45</v>
      </c>
      <c r="C34" s="4" t="s">
        <v>418</v>
      </c>
      <c r="D34" s="3">
        <v>2</v>
      </c>
      <c r="E34" s="3" t="s">
        <v>16</v>
      </c>
      <c r="F34" s="3" t="s">
        <v>293</v>
      </c>
      <c r="G34" s="3" t="s">
        <v>29</v>
      </c>
      <c r="H34" s="3" t="s">
        <v>40</v>
      </c>
    </row>
    <row r="35" spans="1:8" x14ac:dyDescent="0.2">
      <c r="A35" s="3">
        <v>3080104100</v>
      </c>
      <c r="B35" s="4" t="s">
        <v>45</v>
      </c>
      <c r="C35" s="4" t="s">
        <v>1337</v>
      </c>
      <c r="D35" s="3">
        <v>2</v>
      </c>
      <c r="E35" s="3" t="s">
        <v>16</v>
      </c>
      <c r="F35" s="3" t="s">
        <v>291</v>
      </c>
      <c r="G35" s="3" t="s">
        <v>26</v>
      </c>
      <c r="H35" s="3" t="s">
        <v>40</v>
      </c>
    </row>
    <row r="36" spans="1:8" x14ac:dyDescent="0.2">
      <c r="A36" s="3">
        <v>3080104016</v>
      </c>
      <c r="B36" s="4" t="s">
        <v>45</v>
      </c>
      <c r="C36" s="4" t="s">
        <v>1339</v>
      </c>
      <c r="D36" s="3">
        <v>4</v>
      </c>
      <c r="E36" s="3" t="s">
        <v>16</v>
      </c>
      <c r="F36" s="3" t="s">
        <v>291</v>
      </c>
      <c r="G36" s="3" t="s">
        <v>26</v>
      </c>
      <c r="H36" s="3" t="s">
        <v>40</v>
      </c>
    </row>
    <row r="37" spans="1:8" x14ac:dyDescent="0.2">
      <c r="A37" s="3">
        <v>3080104035</v>
      </c>
      <c r="B37" s="4" t="s">
        <v>45</v>
      </c>
      <c r="C37" s="4" t="s">
        <v>1338</v>
      </c>
      <c r="D37" s="3">
        <v>2</v>
      </c>
      <c r="E37" s="3" t="s">
        <v>16</v>
      </c>
      <c r="F37" s="3" t="s">
        <v>291</v>
      </c>
      <c r="G37" s="3" t="s">
        <v>26</v>
      </c>
      <c r="H37" s="3" t="s">
        <v>40</v>
      </c>
    </row>
    <row r="38" spans="1:8" x14ac:dyDescent="0.2">
      <c r="A38" s="3">
        <v>3080105115</v>
      </c>
      <c r="B38" s="4" t="s">
        <v>50</v>
      </c>
      <c r="C38" s="4" t="s">
        <v>1549</v>
      </c>
      <c r="D38" s="3">
        <v>5</v>
      </c>
      <c r="E38" s="3" t="s">
        <v>16</v>
      </c>
      <c r="F38" s="3" t="s">
        <v>289</v>
      </c>
      <c r="G38" s="3" t="s">
        <v>23</v>
      </c>
      <c r="H38" s="3" t="s">
        <v>40</v>
      </c>
    </row>
    <row r="39" spans="1:8" x14ac:dyDescent="0.2">
      <c r="A39" s="3">
        <v>3080105115</v>
      </c>
      <c r="B39" s="4" t="s">
        <v>50</v>
      </c>
      <c r="C39" s="4" t="s">
        <v>1549</v>
      </c>
      <c r="D39" s="3">
        <v>4</v>
      </c>
      <c r="E39" s="3" t="s">
        <v>16</v>
      </c>
      <c r="F39" s="3" t="s">
        <v>289</v>
      </c>
      <c r="G39" s="3" t="s">
        <v>23</v>
      </c>
      <c r="H39" s="3" t="s">
        <v>40</v>
      </c>
    </row>
    <row r="40" spans="1:8" x14ac:dyDescent="0.2">
      <c r="A40" s="3">
        <v>3080105003</v>
      </c>
      <c r="B40" s="4" t="s">
        <v>50</v>
      </c>
      <c r="C40" s="4" t="s">
        <v>1550</v>
      </c>
      <c r="D40" s="3">
        <v>6</v>
      </c>
      <c r="E40" s="3" t="s">
        <v>16</v>
      </c>
      <c r="F40" s="3" t="s">
        <v>289</v>
      </c>
      <c r="G40" s="3" t="s">
        <v>23</v>
      </c>
      <c r="H40" s="3" t="s">
        <v>40</v>
      </c>
    </row>
    <row r="41" spans="1:8" x14ac:dyDescent="0.2">
      <c r="A41" s="3">
        <v>3080105015</v>
      </c>
      <c r="B41" s="4" t="s">
        <v>50</v>
      </c>
      <c r="C41" s="4" t="s">
        <v>422</v>
      </c>
      <c r="D41" s="3">
        <v>8</v>
      </c>
      <c r="E41" s="3" t="s">
        <v>16</v>
      </c>
      <c r="F41" s="3" t="s">
        <v>293</v>
      </c>
      <c r="G41" s="3" t="s">
        <v>29</v>
      </c>
      <c r="H41" s="3" t="s">
        <v>40</v>
      </c>
    </row>
    <row r="42" spans="1:8" x14ac:dyDescent="0.2">
      <c r="A42" s="3">
        <v>3080105088</v>
      </c>
      <c r="B42" s="4" t="s">
        <v>50</v>
      </c>
      <c r="C42" s="4" t="s">
        <v>423</v>
      </c>
      <c r="D42" s="3">
        <v>2</v>
      </c>
      <c r="E42" s="3" t="s">
        <v>16</v>
      </c>
      <c r="F42" s="3" t="s">
        <v>293</v>
      </c>
      <c r="G42" s="3" t="s">
        <v>29</v>
      </c>
      <c r="H42" s="3" t="s">
        <v>40</v>
      </c>
    </row>
    <row r="43" spans="1:8" x14ac:dyDescent="0.2">
      <c r="A43" s="3">
        <v>3080105008</v>
      </c>
      <c r="B43" s="4" t="s">
        <v>50</v>
      </c>
      <c r="C43" s="4" t="s">
        <v>424</v>
      </c>
      <c r="D43" s="3">
        <v>8</v>
      </c>
      <c r="E43" s="3" t="s">
        <v>16</v>
      </c>
      <c r="F43" s="3" t="s">
        <v>293</v>
      </c>
      <c r="G43" s="3" t="s">
        <v>29</v>
      </c>
      <c r="H43" s="3" t="s">
        <v>40</v>
      </c>
    </row>
    <row r="44" spans="1:8" x14ac:dyDescent="0.2">
      <c r="A44" s="3">
        <v>3080105039</v>
      </c>
      <c r="B44" s="4" t="s">
        <v>50</v>
      </c>
      <c r="C44" s="4" t="s">
        <v>1341</v>
      </c>
      <c r="D44" s="3">
        <v>14</v>
      </c>
      <c r="E44" s="3" t="s">
        <v>16</v>
      </c>
      <c r="F44" s="3" t="s">
        <v>293</v>
      </c>
      <c r="G44" s="3" t="s">
        <v>29</v>
      </c>
      <c r="H44" s="3" t="s">
        <v>40</v>
      </c>
    </row>
    <row r="45" spans="1:8" x14ac:dyDescent="0.2">
      <c r="A45" s="3">
        <v>3080105095</v>
      </c>
      <c r="B45" s="4" t="s">
        <v>50</v>
      </c>
      <c r="C45" s="4" t="s">
        <v>1551</v>
      </c>
      <c r="D45" s="3">
        <v>6</v>
      </c>
      <c r="E45" s="3" t="s">
        <v>16</v>
      </c>
      <c r="F45" s="3" t="s">
        <v>794</v>
      </c>
      <c r="G45" s="3" t="s">
        <v>795</v>
      </c>
      <c r="H45" s="3" t="s">
        <v>40</v>
      </c>
    </row>
    <row r="46" spans="1:8" x14ac:dyDescent="0.2">
      <c r="A46" s="3">
        <v>3080105027</v>
      </c>
      <c r="B46" s="4" t="s">
        <v>50</v>
      </c>
      <c r="C46" s="4" t="s">
        <v>1552</v>
      </c>
      <c r="D46" s="3">
        <v>8</v>
      </c>
      <c r="E46" s="3" t="s">
        <v>16</v>
      </c>
      <c r="F46" s="3" t="s">
        <v>794</v>
      </c>
      <c r="G46" s="3" t="s">
        <v>795</v>
      </c>
      <c r="H46" s="3" t="s">
        <v>40</v>
      </c>
    </row>
    <row r="47" spans="1:8" x14ac:dyDescent="0.2">
      <c r="A47" s="3">
        <v>3080105125</v>
      </c>
      <c r="B47" s="4" t="s">
        <v>50</v>
      </c>
      <c r="C47" s="4" t="s">
        <v>1553</v>
      </c>
      <c r="D47" s="3">
        <v>2</v>
      </c>
      <c r="E47" s="3" t="s">
        <v>16</v>
      </c>
      <c r="F47" s="3" t="s">
        <v>317</v>
      </c>
      <c r="G47" s="3" t="s">
        <v>318</v>
      </c>
      <c r="H47" s="3" t="s">
        <v>40</v>
      </c>
    </row>
    <row r="48" spans="1:8" x14ac:dyDescent="0.2">
      <c r="A48" s="3">
        <v>3080105022</v>
      </c>
      <c r="B48" s="4" t="s">
        <v>50</v>
      </c>
      <c r="C48" s="4" t="s">
        <v>1554</v>
      </c>
      <c r="D48" s="3">
        <v>8</v>
      </c>
      <c r="E48" s="3" t="s">
        <v>16</v>
      </c>
      <c r="F48" s="3" t="s">
        <v>317</v>
      </c>
      <c r="G48" s="3" t="s">
        <v>318</v>
      </c>
      <c r="H48" s="3" t="s">
        <v>40</v>
      </c>
    </row>
    <row r="49" spans="1:8" x14ac:dyDescent="0.2">
      <c r="A49" s="3">
        <v>3080105115</v>
      </c>
      <c r="B49" s="4" t="s">
        <v>50</v>
      </c>
      <c r="C49" s="4" t="s">
        <v>1549</v>
      </c>
      <c r="D49" s="3">
        <v>6</v>
      </c>
      <c r="E49" s="3" t="s">
        <v>16</v>
      </c>
      <c r="F49" s="3" t="s">
        <v>702</v>
      </c>
      <c r="G49" s="3" t="s">
        <v>703</v>
      </c>
      <c r="H49" s="3" t="s">
        <v>40</v>
      </c>
    </row>
    <row r="50" spans="1:8" x14ac:dyDescent="0.2">
      <c r="A50" s="3">
        <v>3080105115</v>
      </c>
      <c r="B50" s="4" t="s">
        <v>50</v>
      </c>
      <c r="C50" s="4" t="s">
        <v>1549</v>
      </c>
      <c r="D50" s="3">
        <v>3</v>
      </c>
      <c r="E50" s="3" t="s">
        <v>16</v>
      </c>
      <c r="F50" s="3" t="s">
        <v>702</v>
      </c>
      <c r="G50" s="3" t="s">
        <v>703</v>
      </c>
      <c r="H50" s="3" t="s">
        <v>40</v>
      </c>
    </row>
    <row r="51" spans="1:8" x14ac:dyDescent="0.2">
      <c r="A51" s="3">
        <v>3080104055</v>
      </c>
      <c r="B51" s="4" t="s">
        <v>50</v>
      </c>
      <c r="C51" s="4" t="s">
        <v>425</v>
      </c>
      <c r="D51" s="3">
        <v>2</v>
      </c>
      <c r="E51" s="3" t="s">
        <v>16</v>
      </c>
      <c r="F51" s="3" t="s">
        <v>291</v>
      </c>
      <c r="G51" s="3" t="s">
        <v>26</v>
      </c>
      <c r="H51" s="3" t="s">
        <v>40</v>
      </c>
    </row>
    <row r="52" spans="1:8" x14ac:dyDescent="0.2">
      <c r="A52" s="3">
        <v>3080105035</v>
      </c>
      <c r="B52" s="4" t="s">
        <v>50</v>
      </c>
      <c r="C52" s="4" t="s">
        <v>1344</v>
      </c>
      <c r="D52" s="3">
        <v>6</v>
      </c>
      <c r="E52" s="3" t="s">
        <v>16</v>
      </c>
      <c r="F52" s="3" t="s">
        <v>291</v>
      </c>
      <c r="G52" s="3" t="s">
        <v>26</v>
      </c>
      <c r="H52" s="3" t="s">
        <v>40</v>
      </c>
    </row>
    <row r="53" spans="1:8" x14ac:dyDescent="0.2">
      <c r="A53" s="3">
        <v>3080105005</v>
      </c>
      <c r="B53" s="4" t="s">
        <v>50</v>
      </c>
      <c r="C53" s="4" t="s">
        <v>1343</v>
      </c>
      <c r="D53" s="3">
        <v>2</v>
      </c>
      <c r="E53" s="3" t="s">
        <v>16</v>
      </c>
      <c r="F53" s="3" t="s">
        <v>291</v>
      </c>
      <c r="G53" s="3" t="s">
        <v>26</v>
      </c>
      <c r="H53" s="3" t="s">
        <v>40</v>
      </c>
    </row>
    <row r="54" spans="1:8" x14ac:dyDescent="0.2">
      <c r="A54" s="3">
        <v>3080502011</v>
      </c>
      <c r="B54" s="4" t="s">
        <v>55</v>
      </c>
      <c r="C54" s="4" t="s">
        <v>1555</v>
      </c>
      <c r="D54" s="3">
        <v>1</v>
      </c>
      <c r="E54" s="3" t="s">
        <v>16</v>
      </c>
      <c r="F54" s="3" t="s">
        <v>289</v>
      </c>
      <c r="G54" s="3" t="s">
        <v>23</v>
      </c>
      <c r="H54" s="3" t="s">
        <v>40</v>
      </c>
    </row>
    <row r="55" spans="1:8" x14ac:dyDescent="0.2">
      <c r="A55" s="3">
        <v>3080502003</v>
      </c>
      <c r="B55" s="4" t="s">
        <v>55</v>
      </c>
      <c r="C55" s="4" t="s">
        <v>426</v>
      </c>
      <c r="D55" s="3">
        <v>2</v>
      </c>
      <c r="E55" s="3" t="s">
        <v>16</v>
      </c>
      <c r="F55" s="3" t="s">
        <v>291</v>
      </c>
      <c r="G55" s="3" t="s">
        <v>26</v>
      </c>
      <c r="H55" s="3" t="s">
        <v>40</v>
      </c>
    </row>
    <row r="56" spans="1:8" x14ac:dyDescent="0.2">
      <c r="A56" s="3">
        <v>3080501030</v>
      </c>
      <c r="B56" s="4" t="s">
        <v>57</v>
      </c>
      <c r="C56" s="4" t="s">
        <v>868</v>
      </c>
      <c r="D56" s="3">
        <v>1</v>
      </c>
      <c r="E56" s="3" t="s">
        <v>16</v>
      </c>
      <c r="F56" s="3" t="s">
        <v>291</v>
      </c>
      <c r="G56" s="3" t="s">
        <v>26</v>
      </c>
      <c r="H56" s="3" t="s">
        <v>40</v>
      </c>
    </row>
    <row r="57" spans="1:8" x14ac:dyDescent="0.2">
      <c r="A57" s="3">
        <v>3080201013</v>
      </c>
      <c r="B57" s="4" t="s">
        <v>60</v>
      </c>
      <c r="C57" s="4" t="s">
        <v>1556</v>
      </c>
      <c r="D57" s="3">
        <v>1</v>
      </c>
      <c r="E57" s="3" t="s">
        <v>16</v>
      </c>
      <c r="F57" s="3" t="s">
        <v>289</v>
      </c>
      <c r="G57" s="3" t="s">
        <v>23</v>
      </c>
      <c r="H57" s="3" t="s">
        <v>40</v>
      </c>
    </row>
    <row r="58" spans="1:8" x14ac:dyDescent="0.2">
      <c r="A58" s="3">
        <v>3080201013</v>
      </c>
      <c r="B58" s="4" t="s">
        <v>60</v>
      </c>
      <c r="C58" s="4" t="s">
        <v>1556</v>
      </c>
      <c r="D58" s="3">
        <v>1</v>
      </c>
      <c r="E58" s="3" t="s">
        <v>16</v>
      </c>
      <c r="F58" s="3" t="s">
        <v>317</v>
      </c>
      <c r="G58" s="3" t="s">
        <v>318</v>
      </c>
      <c r="H58" s="3" t="s">
        <v>40</v>
      </c>
    </row>
    <row r="59" spans="1:8" x14ac:dyDescent="0.2">
      <c r="A59" s="3">
        <v>3080201013</v>
      </c>
      <c r="B59" s="4" t="s">
        <v>60</v>
      </c>
      <c r="C59" s="4" t="s">
        <v>1556</v>
      </c>
      <c r="D59" s="3">
        <v>1</v>
      </c>
      <c r="E59" s="3" t="s">
        <v>16</v>
      </c>
      <c r="F59" s="3" t="s">
        <v>702</v>
      </c>
      <c r="G59" s="3" t="s">
        <v>703</v>
      </c>
      <c r="H59" s="3" t="s">
        <v>40</v>
      </c>
    </row>
    <row r="60" spans="1:8" x14ac:dyDescent="0.2">
      <c r="A60" s="3">
        <v>3080201006</v>
      </c>
      <c r="B60" s="4" t="s">
        <v>60</v>
      </c>
      <c r="C60" s="4" t="s">
        <v>428</v>
      </c>
      <c r="D60" s="3">
        <v>1</v>
      </c>
      <c r="E60" s="3" t="s">
        <v>16</v>
      </c>
      <c r="F60" s="3" t="s">
        <v>291</v>
      </c>
      <c r="G60" s="3" t="s">
        <v>26</v>
      </c>
      <c r="H60" s="3" t="s">
        <v>40</v>
      </c>
    </row>
    <row r="61" spans="1:8" x14ac:dyDescent="0.2">
      <c r="A61" s="3">
        <v>3080201005</v>
      </c>
      <c r="B61" s="4" t="s">
        <v>60</v>
      </c>
      <c r="C61" s="4" t="s">
        <v>427</v>
      </c>
      <c r="D61" s="3">
        <v>1</v>
      </c>
      <c r="E61" s="3" t="s">
        <v>16</v>
      </c>
      <c r="F61" s="3" t="s">
        <v>291</v>
      </c>
      <c r="G61" s="3" t="s">
        <v>26</v>
      </c>
      <c r="H61" s="3" t="s">
        <v>40</v>
      </c>
    </row>
    <row r="62" spans="1:8" x14ac:dyDescent="0.2">
      <c r="A62" s="3">
        <v>3080107014</v>
      </c>
      <c r="B62" s="4" t="s">
        <v>69</v>
      </c>
      <c r="C62" s="4" t="s">
        <v>322</v>
      </c>
      <c r="D62" s="3">
        <v>1</v>
      </c>
      <c r="E62" s="3" t="s">
        <v>16</v>
      </c>
      <c r="F62" s="3" t="s">
        <v>289</v>
      </c>
      <c r="G62" s="3" t="s">
        <v>23</v>
      </c>
      <c r="H62" s="3" t="s">
        <v>40</v>
      </c>
    </row>
    <row r="63" spans="1:8" x14ac:dyDescent="0.2">
      <c r="A63" s="3">
        <v>3080107047</v>
      </c>
      <c r="B63" s="4" t="s">
        <v>69</v>
      </c>
      <c r="C63" s="4" t="s">
        <v>1557</v>
      </c>
      <c r="D63" s="3">
        <v>2</v>
      </c>
      <c r="E63" s="3" t="s">
        <v>16</v>
      </c>
      <c r="F63" s="3" t="s">
        <v>289</v>
      </c>
      <c r="G63" s="3" t="s">
        <v>23</v>
      </c>
      <c r="H63" s="3" t="s">
        <v>40</v>
      </c>
    </row>
    <row r="64" spans="1:8" x14ac:dyDescent="0.2">
      <c r="A64" s="3">
        <v>3080107062</v>
      </c>
      <c r="B64" s="4" t="s">
        <v>69</v>
      </c>
      <c r="C64" s="4" t="s">
        <v>1558</v>
      </c>
      <c r="D64" s="3">
        <v>1</v>
      </c>
      <c r="E64" s="3" t="s">
        <v>16</v>
      </c>
      <c r="F64" s="3" t="s">
        <v>289</v>
      </c>
      <c r="G64" s="3" t="s">
        <v>23</v>
      </c>
      <c r="H64" s="3" t="s">
        <v>40</v>
      </c>
    </row>
    <row r="65" spans="1:8" x14ac:dyDescent="0.2">
      <c r="A65" s="3">
        <v>3080107034</v>
      </c>
      <c r="B65" s="4" t="s">
        <v>69</v>
      </c>
      <c r="C65" s="4" t="s">
        <v>429</v>
      </c>
      <c r="D65" s="3">
        <v>2</v>
      </c>
      <c r="E65" s="3" t="s">
        <v>16</v>
      </c>
      <c r="F65" s="3" t="s">
        <v>295</v>
      </c>
      <c r="G65" s="3" t="s">
        <v>17</v>
      </c>
      <c r="H65" s="3" t="s">
        <v>40</v>
      </c>
    </row>
    <row r="66" spans="1:8" x14ac:dyDescent="0.2">
      <c r="A66" s="3">
        <v>3080107034</v>
      </c>
      <c r="B66" s="4" t="s">
        <v>69</v>
      </c>
      <c r="C66" s="4" t="s">
        <v>429</v>
      </c>
      <c r="D66" s="3">
        <v>6</v>
      </c>
      <c r="E66" s="3" t="s">
        <v>16</v>
      </c>
      <c r="F66" s="3" t="s">
        <v>295</v>
      </c>
      <c r="G66" s="3" t="s">
        <v>17</v>
      </c>
      <c r="H66" s="3" t="s">
        <v>40</v>
      </c>
    </row>
    <row r="67" spans="1:8" x14ac:dyDescent="0.2">
      <c r="A67" s="3">
        <v>3080107052</v>
      </c>
      <c r="B67" s="4" t="s">
        <v>69</v>
      </c>
      <c r="C67" s="4" t="s">
        <v>431</v>
      </c>
      <c r="D67" s="3">
        <v>1</v>
      </c>
      <c r="E67" s="3" t="s">
        <v>16</v>
      </c>
      <c r="F67" s="3" t="s">
        <v>295</v>
      </c>
      <c r="G67" s="3" t="s">
        <v>17</v>
      </c>
      <c r="H67" s="3" t="s">
        <v>40</v>
      </c>
    </row>
    <row r="68" spans="1:8" x14ac:dyDescent="0.2">
      <c r="A68" s="3">
        <v>3080107002</v>
      </c>
      <c r="B68" s="4" t="s">
        <v>69</v>
      </c>
      <c r="C68" s="4" t="s">
        <v>430</v>
      </c>
      <c r="D68" s="3">
        <v>4</v>
      </c>
      <c r="E68" s="3" t="s">
        <v>16</v>
      </c>
      <c r="F68" s="3" t="s">
        <v>295</v>
      </c>
      <c r="G68" s="3" t="s">
        <v>17</v>
      </c>
      <c r="H68" s="3" t="s">
        <v>40</v>
      </c>
    </row>
    <row r="69" spans="1:8" x14ac:dyDescent="0.2">
      <c r="A69" s="3">
        <v>3080107160</v>
      </c>
      <c r="B69" s="4" t="s">
        <v>69</v>
      </c>
      <c r="C69" s="4" t="s">
        <v>432</v>
      </c>
      <c r="D69" s="3">
        <v>4</v>
      </c>
      <c r="E69" s="3" t="s">
        <v>16</v>
      </c>
      <c r="F69" s="3" t="s">
        <v>293</v>
      </c>
      <c r="G69" s="3" t="s">
        <v>29</v>
      </c>
      <c r="H69" s="3" t="s">
        <v>40</v>
      </c>
    </row>
    <row r="70" spans="1:8" x14ac:dyDescent="0.2">
      <c r="A70" s="3">
        <v>3080107149</v>
      </c>
      <c r="B70" s="4" t="s">
        <v>69</v>
      </c>
      <c r="C70" s="4" t="s">
        <v>799</v>
      </c>
      <c r="D70" s="3">
        <v>2</v>
      </c>
      <c r="E70" s="3" t="s">
        <v>16</v>
      </c>
      <c r="F70" s="3" t="s">
        <v>794</v>
      </c>
      <c r="G70" s="3" t="s">
        <v>795</v>
      </c>
      <c r="H70" s="3" t="s">
        <v>40</v>
      </c>
    </row>
    <row r="71" spans="1:8" x14ac:dyDescent="0.2">
      <c r="A71" s="3">
        <v>3080107285</v>
      </c>
      <c r="B71" s="4" t="s">
        <v>69</v>
      </c>
      <c r="C71" s="4" t="s">
        <v>1559</v>
      </c>
      <c r="D71" s="3">
        <v>1</v>
      </c>
      <c r="E71" s="3" t="s">
        <v>16</v>
      </c>
      <c r="F71" s="3" t="s">
        <v>317</v>
      </c>
      <c r="G71" s="3" t="s">
        <v>318</v>
      </c>
      <c r="H71" s="3" t="s">
        <v>40</v>
      </c>
    </row>
    <row r="72" spans="1:8" x14ac:dyDescent="0.2">
      <c r="A72" s="3">
        <v>3080107285</v>
      </c>
      <c r="B72" s="4" t="s">
        <v>69</v>
      </c>
      <c r="C72" s="4" t="s">
        <v>1559</v>
      </c>
      <c r="D72" s="3">
        <v>1</v>
      </c>
      <c r="E72" s="3" t="s">
        <v>16</v>
      </c>
      <c r="F72" s="3" t="s">
        <v>702</v>
      </c>
      <c r="G72" s="3" t="s">
        <v>703</v>
      </c>
      <c r="H72" s="3" t="s">
        <v>40</v>
      </c>
    </row>
    <row r="73" spans="1:8" x14ac:dyDescent="0.2">
      <c r="A73" s="3">
        <v>3080107305</v>
      </c>
      <c r="B73" s="4" t="s">
        <v>69</v>
      </c>
      <c r="C73" s="4" t="s">
        <v>434</v>
      </c>
      <c r="D73" s="3">
        <v>2</v>
      </c>
      <c r="E73" s="3" t="s">
        <v>16</v>
      </c>
      <c r="F73" s="3" t="s">
        <v>291</v>
      </c>
      <c r="G73" s="3" t="s">
        <v>26</v>
      </c>
      <c r="H73" s="3" t="s">
        <v>40</v>
      </c>
    </row>
    <row r="74" spans="1:8" x14ac:dyDescent="0.2">
      <c r="A74" s="3">
        <v>3080107308</v>
      </c>
      <c r="B74" s="4" t="s">
        <v>69</v>
      </c>
      <c r="C74" s="4" t="s">
        <v>433</v>
      </c>
      <c r="D74" s="3">
        <v>2</v>
      </c>
      <c r="E74" s="3" t="s">
        <v>16</v>
      </c>
      <c r="F74" s="3" t="s">
        <v>291</v>
      </c>
      <c r="G74" s="3" t="s">
        <v>26</v>
      </c>
      <c r="H74" s="3" t="s">
        <v>40</v>
      </c>
    </row>
    <row r="75" spans="1:8" x14ac:dyDescent="0.2">
      <c r="A75" s="3">
        <v>3080107076</v>
      </c>
      <c r="B75" s="4" t="s">
        <v>69</v>
      </c>
      <c r="C75" s="4" t="s">
        <v>1163</v>
      </c>
      <c r="D75" s="3">
        <v>2</v>
      </c>
      <c r="E75" s="3" t="s">
        <v>16</v>
      </c>
      <c r="F75" s="3" t="s">
        <v>291</v>
      </c>
      <c r="G75" s="3" t="s">
        <v>26</v>
      </c>
      <c r="H75" s="3" t="s">
        <v>40</v>
      </c>
    </row>
    <row r="76" spans="1:8" x14ac:dyDescent="0.2">
      <c r="A76" s="3">
        <v>3080107072</v>
      </c>
      <c r="B76" s="4" t="s">
        <v>69</v>
      </c>
      <c r="C76" s="4" t="s">
        <v>435</v>
      </c>
      <c r="D76" s="3">
        <v>4</v>
      </c>
      <c r="E76" s="3" t="s">
        <v>16</v>
      </c>
      <c r="F76" s="3" t="s">
        <v>291</v>
      </c>
      <c r="G76" s="3" t="s">
        <v>26</v>
      </c>
      <c r="H76" s="3" t="s">
        <v>40</v>
      </c>
    </row>
    <row r="77" spans="1:8" x14ac:dyDescent="0.2">
      <c r="A77" s="3">
        <v>3080108025</v>
      </c>
      <c r="B77" s="4" t="s">
        <v>77</v>
      </c>
      <c r="C77" s="4" t="s">
        <v>437</v>
      </c>
      <c r="D77" s="3">
        <v>7</v>
      </c>
      <c r="E77" s="3" t="s">
        <v>16</v>
      </c>
      <c r="F77" s="3" t="s">
        <v>295</v>
      </c>
      <c r="G77" s="3" t="s">
        <v>17</v>
      </c>
      <c r="H77" s="3" t="s">
        <v>40</v>
      </c>
    </row>
    <row r="78" spans="1:8" x14ac:dyDescent="0.2">
      <c r="A78" s="3">
        <v>3080108025</v>
      </c>
      <c r="B78" s="4" t="s">
        <v>77</v>
      </c>
      <c r="C78" s="4" t="s">
        <v>437</v>
      </c>
      <c r="D78" s="3">
        <v>1</v>
      </c>
      <c r="E78" s="3" t="s">
        <v>16</v>
      </c>
      <c r="F78" s="3" t="s">
        <v>291</v>
      </c>
      <c r="G78" s="3" t="s">
        <v>26</v>
      </c>
      <c r="H78" s="3" t="s">
        <v>40</v>
      </c>
    </row>
    <row r="79" spans="1:8" x14ac:dyDescent="0.2">
      <c r="A79" s="3">
        <v>3080108029</v>
      </c>
      <c r="B79" s="4" t="s">
        <v>77</v>
      </c>
      <c r="C79" s="4" t="s">
        <v>1116</v>
      </c>
      <c r="D79" s="3">
        <v>2</v>
      </c>
      <c r="E79" s="3" t="s">
        <v>16</v>
      </c>
      <c r="F79" s="3" t="s">
        <v>291</v>
      </c>
      <c r="G79" s="3" t="s">
        <v>26</v>
      </c>
      <c r="H79" s="3" t="s">
        <v>40</v>
      </c>
    </row>
    <row r="80" spans="1:8" x14ac:dyDescent="0.2">
      <c r="A80" s="3">
        <v>3080108031</v>
      </c>
      <c r="B80" s="4" t="s">
        <v>77</v>
      </c>
      <c r="C80" s="4" t="s">
        <v>1347</v>
      </c>
      <c r="D80" s="3">
        <v>4</v>
      </c>
      <c r="E80" s="3" t="s">
        <v>16</v>
      </c>
      <c r="F80" s="3" t="s">
        <v>291</v>
      </c>
      <c r="G80" s="3" t="s">
        <v>26</v>
      </c>
      <c r="H80" s="3" t="s">
        <v>40</v>
      </c>
    </row>
    <row r="81" spans="1:8" x14ac:dyDescent="0.2">
      <c r="A81" s="3">
        <v>3080403001</v>
      </c>
      <c r="B81" s="4" t="s">
        <v>439</v>
      </c>
      <c r="C81" s="4" t="s">
        <v>440</v>
      </c>
      <c r="D81" s="3">
        <v>1</v>
      </c>
      <c r="E81" s="3" t="s">
        <v>16</v>
      </c>
      <c r="F81" s="3" t="s">
        <v>295</v>
      </c>
      <c r="G81" s="3" t="s">
        <v>17</v>
      </c>
      <c r="H81" s="3" t="s">
        <v>40</v>
      </c>
    </row>
    <row r="82" spans="1:8" x14ac:dyDescent="0.2">
      <c r="A82" s="3">
        <v>3080109002</v>
      </c>
      <c r="B82" s="4" t="s">
        <v>441</v>
      </c>
      <c r="C82" s="4" t="s">
        <v>442</v>
      </c>
      <c r="D82" s="3">
        <v>2</v>
      </c>
      <c r="E82" s="3" t="s">
        <v>16</v>
      </c>
      <c r="F82" s="3" t="s">
        <v>295</v>
      </c>
      <c r="G82" s="3" t="s">
        <v>17</v>
      </c>
      <c r="H82" s="3" t="s">
        <v>40</v>
      </c>
    </row>
    <row r="83" spans="1:8" x14ac:dyDescent="0.2">
      <c r="A83" s="3">
        <v>3080111004</v>
      </c>
      <c r="B83" s="4" t="s">
        <v>79</v>
      </c>
      <c r="C83" s="4" t="s">
        <v>445</v>
      </c>
      <c r="D83" s="3">
        <v>2</v>
      </c>
      <c r="E83" s="3" t="s">
        <v>16</v>
      </c>
      <c r="F83" s="3" t="s">
        <v>289</v>
      </c>
      <c r="G83" s="3" t="s">
        <v>23</v>
      </c>
      <c r="H83" s="3" t="s">
        <v>40</v>
      </c>
    </row>
    <row r="84" spans="1:8" x14ac:dyDescent="0.2">
      <c r="A84" s="3">
        <v>3080111012</v>
      </c>
      <c r="B84" s="4" t="s">
        <v>79</v>
      </c>
      <c r="C84" s="4" t="s">
        <v>443</v>
      </c>
      <c r="D84" s="3">
        <v>2</v>
      </c>
      <c r="E84" s="3" t="s">
        <v>16</v>
      </c>
      <c r="F84" s="3" t="s">
        <v>295</v>
      </c>
      <c r="G84" s="3" t="s">
        <v>17</v>
      </c>
      <c r="H84" s="3" t="s">
        <v>40</v>
      </c>
    </row>
    <row r="85" spans="1:8" x14ac:dyDescent="0.2">
      <c r="A85" s="3">
        <v>3080111006</v>
      </c>
      <c r="B85" s="4" t="s">
        <v>79</v>
      </c>
      <c r="C85" s="4" t="s">
        <v>444</v>
      </c>
      <c r="D85" s="3">
        <v>1</v>
      </c>
      <c r="E85" s="3" t="s">
        <v>16</v>
      </c>
      <c r="F85" s="3" t="s">
        <v>295</v>
      </c>
      <c r="G85" s="3" t="s">
        <v>17</v>
      </c>
      <c r="H85" s="3" t="s">
        <v>40</v>
      </c>
    </row>
    <row r="86" spans="1:8" x14ac:dyDescent="0.2">
      <c r="A86" s="3">
        <v>3080111004</v>
      </c>
      <c r="B86" s="4" t="s">
        <v>79</v>
      </c>
      <c r="C86" s="4" t="s">
        <v>445</v>
      </c>
      <c r="D86" s="3">
        <v>2</v>
      </c>
      <c r="E86" s="3" t="s">
        <v>16</v>
      </c>
      <c r="F86" s="3" t="s">
        <v>293</v>
      </c>
      <c r="G86" s="3" t="s">
        <v>29</v>
      </c>
      <c r="H86" s="3" t="s">
        <v>40</v>
      </c>
    </row>
    <row r="87" spans="1:8" x14ac:dyDescent="0.2">
      <c r="A87" s="3">
        <v>3080111061</v>
      </c>
      <c r="B87" s="4" t="s">
        <v>79</v>
      </c>
      <c r="C87" s="4" t="s">
        <v>1560</v>
      </c>
      <c r="D87" s="3">
        <v>4</v>
      </c>
      <c r="E87" s="3" t="s">
        <v>16</v>
      </c>
      <c r="F87" s="3" t="s">
        <v>794</v>
      </c>
      <c r="G87" s="3" t="s">
        <v>795</v>
      </c>
      <c r="H87" s="3" t="s">
        <v>40</v>
      </c>
    </row>
    <row r="88" spans="1:8" x14ac:dyDescent="0.2">
      <c r="A88" s="3">
        <v>3080111085</v>
      </c>
      <c r="B88" s="4" t="s">
        <v>79</v>
      </c>
      <c r="C88" s="4" t="s">
        <v>1348</v>
      </c>
      <c r="D88" s="3">
        <v>16</v>
      </c>
      <c r="E88" s="3" t="s">
        <v>16</v>
      </c>
      <c r="F88" s="3" t="s">
        <v>291</v>
      </c>
      <c r="G88" s="3" t="s">
        <v>26</v>
      </c>
      <c r="H88" s="3" t="s">
        <v>40</v>
      </c>
    </row>
    <row r="89" spans="1:8" x14ac:dyDescent="0.2">
      <c r="A89" s="3">
        <v>3080111085</v>
      </c>
      <c r="B89" s="4" t="s">
        <v>79</v>
      </c>
      <c r="C89" s="4" t="s">
        <v>1348</v>
      </c>
      <c r="D89" s="3">
        <v>2</v>
      </c>
      <c r="E89" s="3" t="s">
        <v>16</v>
      </c>
      <c r="F89" s="3" t="s">
        <v>291</v>
      </c>
      <c r="G89" s="3" t="s">
        <v>26</v>
      </c>
      <c r="H89" s="3" t="s">
        <v>40</v>
      </c>
    </row>
    <row r="90" spans="1:8" x14ac:dyDescent="0.2">
      <c r="A90" s="3">
        <v>3080111015</v>
      </c>
      <c r="B90" s="4" t="s">
        <v>79</v>
      </c>
      <c r="C90" s="4" t="s">
        <v>446</v>
      </c>
      <c r="D90" s="3">
        <v>2</v>
      </c>
      <c r="E90" s="3" t="s">
        <v>16</v>
      </c>
      <c r="F90" s="3" t="s">
        <v>291</v>
      </c>
      <c r="G90" s="3" t="s">
        <v>26</v>
      </c>
      <c r="H90" s="3" t="s">
        <v>40</v>
      </c>
    </row>
    <row r="91" spans="1:8" x14ac:dyDescent="0.2">
      <c r="A91" s="3">
        <v>407030130</v>
      </c>
      <c r="B91" s="4" t="s">
        <v>81</v>
      </c>
      <c r="C91" s="4" t="s">
        <v>1349</v>
      </c>
      <c r="D91" s="3">
        <v>1</v>
      </c>
      <c r="E91" s="3" t="s">
        <v>16</v>
      </c>
      <c r="F91" s="3" t="s">
        <v>301</v>
      </c>
      <c r="G91" s="3" t="s">
        <v>32</v>
      </c>
      <c r="H91" s="3" t="s">
        <v>40</v>
      </c>
    </row>
    <row r="92" spans="1:8" x14ac:dyDescent="0.2">
      <c r="A92" s="3">
        <v>3099990501</v>
      </c>
      <c r="B92" s="4" t="s">
        <v>708</v>
      </c>
      <c r="C92" s="4" t="s">
        <v>105</v>
      </c>
      <c r="D92" s="3">
        <v>1</v>
      </c>
      <c r="E92" s="3" t="s">
        <v>16</v>
      </c>
      <c r="F92" s="3" t="s">
        <v>709</v>
      </c>
      <c r="G92" s="3" t="s">
        <v>710</v>
      </c>
      <c r="H92" s="3" t="s">
        <v>103</v>
      </c>
    </row>
    <row r="93" spans="1:8" x14ac:dyDescent="0.2">
      <c r="A93" s="3">
        <v>3099990103</v>
      </c>
      <c r="B93" s="4" t="s">
        <v>104</v>
      </c>
      <c r="C93" s="4" t="s">
        <v>1282</v>
      </c>
      <c r="D93" s="3">
        <v>1</v>
      </c>
      <c r="E93" s="3" t="s">
        <v>16</v>
      </c>
      <c r="F93" s="3" t="s">
        <v>299</v>
      </c>
      <c r="G93" s="3" t="s">
        <v>106</v>
      </c>
      <c r="H93" s="3" t="s">
        <v>103</v>
      </c>
    </row>
    <row r="94" spans="1:8" x14ac:dyDescent="0.2">
      <c r="A94" s="3">
        <v>402030027</v>
      </c>
      <c r="B94" s="4" t="s">
        <v>107</v>
      </c>
      <c r="C94" s="4" t="s">
        <v>110</v>
      </c>
      <c r="D94" s="3">
        <v>1</v>
      </c>
      <c r="E94" s="3" t="s">
        <v>16</v>
      </c>
      <c r="F94" s="3" t="s">
        <v>291</v>
      </c>
      <c r="G94" s="3" t="s">
        <v>26</v>
      </c>
      <c r="H94" s="3" t="s">
        <v>109</v>
      </c>
    </row>
    <row r="95" spans="1:8" x14ac:dyDescent="0.2">
      <c r="A95" s="3">
        <v>402020002</v>
      </c>
      <c r="B95" s="4" t="s">
        <v>111</v>
      </c>
      <c r="C95" s="4" t="s">
        <v>452</v>
      </c>
      <c r="D95" s="3">
        <v>2</v>
      </c>
      <c r="E95" s="3" t="s">
        <v>16</v>
      </c>
      <c r="F95" s="3" t="s">
        <v>293</v>
      </c>
      <c r="G95" s="3" t="s">
        <v>29</v>
      </c>
      <c r="H95" s="3" t="s">
        <v>109</v>
      </c>
    </row>
    <row r="96" spans="1:8" x14ac:dyDescent="0.2">
      <c r="A96" s="3">
        <v>3060210001</v>
      </c>
      <c r="B96" s="4" t="s">
        <v>711</v>
      </c>
      <c r="C96" s="4" t="s">
        <v>712</v>
      </c>
      <c r="D96" s="3">
        <v>2</v>
      </c>
      <c r="E96" s="3" t="s">
        <v>16</v>
      </c>
      <c r="F96" s="3" t="s">
        <v>289</v>
      </c>
      <c r="G96" s="3" t="s">
        <v>23</v>
      </c>
      <c r="H96" s="3" t="s">
        <v>115</v>
      </c>
    </row>
    <row r="97" spans="1:8" x14ac:dyDescent="0.2">
      <c r="A97" s="3">
        <v>3040216001</v>
      </c>
      <c r="B97" s="4" t="s">
        <v>328</v>
      </c>
      <c r="C97" s="4" t="s">
        <v>329</v>
      </c>
      <c r="D97" s="3">
        <v>4</v>
      </c>
      <c r="E97" s="3" t="s">
        <v>16</v>
      </c>
      <c r="F97" s="3" t="s">
        <v>293</v>
      </c>
      <c r="G97" s="3" t="s">
        <v>29</v>
      </c>
      <c r="H97" s="3" t="s">
        <v>115</v>
      </c>
    </row>
    <row r="98" spans="1:8" x14ac:dyDescent="0.2">
      <c r="A98" s="3">
        <v>3030204017</v>
      </c>
      <c r="B98" s="4" t="s">
        <v>453</v>
      </c>
      <c r="C98" s="4" t="s">
        <v>454</v>
      </c>
      <c r="D98" s="3">
        <v>1</v>
      </c>
      <c r="E98" s="3" t="s">
        <v>16</v>
      </c>
      <c r="F98" s="3" t="s">
        <v>295</v>
      </c>
      <c r="G98" s="3" t="s">
        <v>17</v>
      </c>
      <c r="H98" s="3" t="s">
        <v>115</v>
      </c>
    </row>
    <row r="99" spans="1:8" x14ac:dyDescent="0.2">
      <c r="A99" s="3">
        <v>3030204005</v>
      </c>
      <c r="B99" s="4" t="s">
        <v>455</v>
      </c>
      <c r="C99" s="4" t="s">
        <v>456</v>
      </c>
      <c r="D99" s="3">
        <v>1</v>
      </c>
      <c r="E99" s="3" t="s">
        <v>16</v>
      </c>
      <c r="F99" s="3" t="s">
        <v>295</v>
      </c>
      <c r="G99" s="3" t="s">
        <v>17</v>
      </c>
      <c r="H99" s="3" t="s">
        <v>115</v>
      </c>
    </row>
    <row r="100" spans="1:8" x14ac:dyDescent="0.2">
      <c r="A100" s="3">
        <v>3050203003</v>
      </c>
      <c r="B100" s="4" t="s">
        <v>120</v>
      </c>
      <c r="C100" s="4" t="s">
        <v>457</v>
      </c>
      <c r="D100" s="3">
        <v>2</v>
      </c>
      <c r="E100" s="3" t="s">
        <v>16</v>
      </c>
      <c r="F100" s="3" t="s">
        <v>291</v>
      </c>
      <c r="G100" s="3" t="s">
        <v>26</v>
      </c>
      <c r="H100" s="3" t="s">
        <v>115</v>
      </c>
    </row>
    <row r="101" spans="1:8" x14ac:dyDescent="0.2">
      <c r="A101" s="3">
        <v>3050203007</v>
      </c>
      <c r="B101" s="4" t="s">
        <v>803</v>
      </c>
      <c r="C101" s="4" t="s">
        <v>804</v>
      </c>
      <c r="D101" s="3">
        <v>2</v>
      </c>
      <c r="E101" s="3" t="s">
        <v>16</v>
      </c>
      <c r="F101" s="3" t="s">
        <v>794</v>
      </c>
      <c r="G101" s="3" t="s">
        <v>795</v>
      </c>
      <c r="H101" s="3" t="s">
        <v>115</v>
      </c>
    </row>
    <row r="102" spans="1:8" x14ac:dyDescent="0.2">
      <c r="A102" s="3">
        <v>3030204008</v>
      </c>
      <c r="B102" s="4" t="s">
        <v>122</v>
      </c>
      <c r="C102" s="4" t="s">
        <v>123</v>
      </c>
      <c r="D102" s="3">
        <v>1</v>
      </c>
      <c r="E102" s="3" t="s">
        <v>16</v>
      </c>
      <c r="F102" s="3" t="s">
        <v>291</v>
      </c>
      <c r="G102" s="3" t="s">
        <v>26</v>
      </c>
      <c r="H102" s="3" t="s">
        <v>115</v>
      </c>
    </row>
    <row r="103" spans="1:8" x14ac:dyDescent="0.2">
      <c r="A103" s="3">
        <v>3070104005</v>
      </c>
      <c r="B103" s="4" t="s">
        <v>128</v>
      </c>
      <c r="C103" s="4" t="s">
        <v>330</v>
      </c>
      <c r="D103" s="3">
        <v>1</v>
      </c>
      <c r="E103" s="3" t="s">
        <v>16</v>
      </c>
      <c r="F103" s="3" t="s">
        <v>317</v>
      </c>
      <c r="G103" s="3" t="s">
        <v>318</v>
      </c>
      <c r="H103" s="3" t="s">
        <v>115</v>
      </c>
    </row>
    <row r="104" spans="1:8" x14ac:dyDescent="0.2">
      <c r="A104" s="3">
        <v>3070104001</v>
      </c>
      <c r="B104" s="4" t="s">
        <v>331</v>
      </c>
      <c r="C104" s="4" t="s">
        <v>332</v>
      </c>
      <c r="D104" s="3">
        <v>1</v>
      </c>
      <c r="E104" s="3" t="s">
        <v>16</v>
      </c>
      <c r="F104" s="3" t="s">
        <v>317</v>
      </c>
      <c r="G104" s="3" t="s">
        <v>318</v>
      </c>
      <c r="H104" s="3" t="s">
        <v>115</v>
      </c>
    </row>
    <row r="105" spans="1:8" x14ac:dyDescent="0.2">
      <c r="A105" s="3">
        <v>3030206001</v>
      </c>
      <c r="B105" s="4" t="s">
        <v>458</v>
      </c>
      <c r="C105" s="4" t="s">
        <v>404</v>
      </c>
      <c r="D105" s="3">
        <v>1</v>
      </c>
      <c r="E105" s="3" t="s">
        <v>16</v>
      </c>
      <c r="F105" s="3" t="s">
        <v>295</v>
      </c>
      <c r="G105" s="3" t="s">
        <v>17</v>
      </c>
      <c r="H105" s="3" t="s">
        <v>132</v>
      </c>
    </row>
    <row r="106" spans="1:8" x14ac:dyDescent="0.2">
      <c r="A106" s="3">
        <v>3080199003</v>
      </c>
      <c r="B106" s="4" t="s">
        <v>805</v>
      </c>
      <c r="C106" s="4" t="s">
        <v>806</v>
      </c>
      <c r="D106" s="3">
        <v>2</v>
      </c>
      <c r="E106" s="3" t="s">
        <v>16</v>
      </c>
      <c r="F106" s="3" t="s">
        <v>794</v>
      </c>
      <c r="G106" s="3" t="s">
        <v>795</v>
      </c>
      <c r="H106" s="3" t="s">
        <v>807</v>
      </c>
    </row>
    <row r="107" spans="1:8" x14ac:dyDescent="0.2">
      <c r="A107" s="3">
        <v>404090284</v>
      </c>
      <c r="B107" s="4" t="s">
        <v>30</v>
      </c>
      <c r="C107" s="4" t="s">
        <v>1561</v>
      </c>
      <c r="D107" s="3">
        <v>1</v>
      </c>
      <c r="E107" s="3" t="s">
        <v>16</v>
      </c>
      <c r="F107" s="3" t="s">
        <v>301</v>
      </c>
      <c r="G107" s="3" t="s">
        <v>32</v>
      </c>
      <c r="H107" s="3" t="s">
        <v>134</v>
      </c>
    </row>
    <row r="108" spans="1:8" x14ac:dyDescent="0.2">
      <c r="A108" s="3">
        <v>404090145</v>
      </c>
      <c r="B108" s="4" t="s">
        <v>30</v>
      </c>
      <c r="C108" s="4" t="s">
        <v>1562</v>
      </c>
      <c r="D108" s="3">
        <v>1</v>
      </c>
      <c r="E108" s="3" t="s">
        <v>16</v>
      </c>
      <c r="F108" s="3" t="s">
        <v>301</v>
      </c>
      <c r="G108" s="3" t="s">
        <v>32</v>
      </c>
      <c r="H108" s="3" t="s">
        <v>134</v>
      </c>
    </row>
    <row r="109" spans="1:8" x14ac:dyDescent="0.2">
      <c r="A109" s="3">
        <v>401040033</v>
      </c>
      <c r="B109" s="4" t="s">
        <v>35</v>
      </c>
      <c r="C109" s="4" t="s">
        <v>1354</v>
      </c>
      <c r="D109" s="3">
        <v>1</v>
      </c>
      <c r="E109" s="3" t="s">
        <v>16</v>
      </c>
      <c r="F109" s="3" t="s">
        <v>291</v>
      </c>
      <c r="G109" s="3" t="s">
        <v>26</v>
      </c>
      <c r="H109" s="3" t="s">
        <v>134</v>
      </c>
    </row>
    <row r="110" spans="1:8" x14ac:dyDescent="0.2">
      <c r="A110" s="3">
        <v>3990207002</v>
      </c>
      <c r="B110" s="4" t="s">
        <v>140</v>
      </c>
      <c r="C110" s="4" t="s">
        <v>714</v>
      </c>
      <c r="D110" s="3">
        <v>1</v>
      </c>
      <c r="E110" s="3" t="s">
        <v>16</v>
      </c>
      <c r="F110" s="3" t="s">
        <v>285</v>
      </c>
      <c r="G110" s="3" t="s">
        <v>142</v>
      </c>
      <c r="H110" s="3" t="s">
        <v>143</v>
      </c>
    </row>
    <row r="111" spans="1:8" x14ac:dyDescent="0.2">
      <c r="A111" s="3">
        <v>3030301006</v>
      </c>
      <c r="B111" s="4" t="s">
        <v>144</v>
      </c>
      <c r="C111" s="4" t="s">
        <v>1356</v>
      </c>
      <c r="D111" s="3">
        <v>2</v>
      </c>
      <c r="E111" s="3" t="s">
        <v>16</v>
      </c>
      <c r="F111" s="3" t="s">
        <v>291</v>
      </c>
      <c r="G111" s="3" t="s">
        <v>26</v>
      </c>
      <c r="H111" s="3" t="s">
        <v>143</v>
      </c>
    </row>
    <row r="112" spans="1:8" x14ac:dyDescent="0.2">
      <c r="A112" s="3">
        <v>3990204002</v>
      </c>
      <c r="B112" s="4" t="s">
        <v>333</v>
      </c>
      <c r="C112" s="4" t="s">
        <v>334</v>
      </c>
      <c r="D112" s="3">
        <v>1</v>
      </c>
      <c r="E112" s="3" t="s">
        <v>16</v>
      </c>
      <c r="F112" s="3" t="s">
        <v>335</v>
      </c>
      <c r="G112" s="3" t="s">
        <v>336</v>
      </c>
      <c r="H112" s="3" t="s">
        <v>143</v>
      </c>
    </row>
    <row r="113" spans="1:8" x14ac:dyDescent="0.2">
      <c r="A113" s="3">
        <v>3990206001</v>
      </c>
      <c r="B113" s="4" t="s">
        <v>715</v>
      </c>
      <c r="C113" s="4" t="s">
        <v>716</v>
      </c>
      <c r="D113" s="3">
        <v>1</v>
      </c>
      <c r="E113" s="3" t="s">
        <v>16</v>
      </c>
      <c r="F113" s="3" t="s">
        <v>717</v>
      </c>
      <c r="G113" s="3" t="s">
        <v>718</v>
      </c>
      <c r="H113" s="3" t="s">
        <v>143</v>
      </c>
    </row>
    <row r="114" spans="1:8" x14ac:dyDescent="0.2">
      <c r="A114" s="3">
        <v>3990205004</v>
      </c>
      <c r="B114" s="4" t="s">
        <v>146</v>
      </c>
      <c r="C114" s="4" t="s">
        <v>1283</v>
      </c>
      <c r="D114" s="3">
        <v>1</v>
      </c>
      <c r="E114" s="3" t="s">
        <v>16</v>
      </c>
      <c r="F114" s="3" t="s">
        <v>287</v>
      </c>
      <c r="G114" s="3" t="s">
        <v>148</v>
      </c>
      <c r="H114" s="3" t="s">
        <v>143</v>
      </c>
    </row>
    <row r="115" spans="1:8" x14ac:dyDescent="0.2">
      <c r="A115" s="3">
        <v>408090008</v>
      </c>
      <c r="B115" s="4" t="s">
        <v>461</v>
      </c>
      <c r="C115" s="4" t="s">
        <v>462</v>
      </c>
      <c r="D115" s="3">
        <v>1</v>
      </c>
      <c r="E115" s="3" t="s">
        <v>16</v>
      </c>
      <c r="F115" s="3" t="s">
        <v>293</v>
      </c>
      <c r="G115" s="3" t="s">
        <v>29</v>
      </c>
      <c r="H115" s="3" t="s">
        <v>151</v>
      </c>
    </row>
    <row r="116" spans="1:8" x14ac:dyDescent="0.2">
      <c r="A116" s="3">
        <v>408090007</v>
      </c>
      <c r="B116" s="4" t="s">
        <v>463</v>
      </c>
      <c r="C116" s="4" t="s">
        <v>464</v>
      </c>
      <c r="D116" s="3">
        <v>1</v>
      </c>
      <c r="E116" s="3" t="s">
        <v>16</v>
      </c>
      <c r="F116" s="3" t="s">
        <v>293</v>
      </c>
      <c r="G116" s="3" t="s">
        <v>29</v>
      </c>
      <c r="H116" s="3" t="s">
        <v>151</v>
      </c>
    </row>
    <row r="117" spans="1:8" x14ac:dyDescent="0.2">
      <c r="A117" s="3">
        <v>3060318002</v>
      </c>
      <c r="B117" s="4" t="s">
        <v>720</v>
      </c>
      <c r="C117" s="4" t="s">
        <v>1563</v>
      </c>
      <c r="D117" s="3">
        <v>1</v>
      </c>
      <c r="E117" s="3" t="s">
        <v>16</v>
      </c>
      <c r="F117" s="3" t="s">
        <v>289</v>
      </c>
      <c r="G117" s="3" t="s">
        <v>23</v>
      </c>
      <c r="H117" s="3" t="s">
        <v>154</v>
      </c>
    </row>
    <row r="118" spans="1:8" x14ac:dyDescent="0.2">
      <c r="A118" s="3">
        <v>3060327002</v>
      </c>
      <c r="B118" s="4" t="s">
        <v>1564</v>
      </c>
      <c r="C118" s="4" t="s">
        <v>1565</v>
      </c>
      <c r="D118" s="3">
        <v>1</v>
      </c>
      <c r="E118" s="3" t="s">
        <v>16</v>
      </c>
      <c r="F118" s="3" t="s">
        <v>289</v>
      </c>
      <c r="G118" s="3" t="s">
        <v>23</v>
      </c>
      <c r="H118" s="3" t="s">
        <v>154</v>
      </c>
    </row>
    <row r="119" spans="1:8" x14ac:dyDescent="0.2">
      <c r="A119" s="3">
        <v>3050307049</v>
      </c>
      <c r="B119" s="4" t="s">
        <v>812</v>
      </c>
      <c r="C119" s="4" t="s">
        <v>813</v>
      </c>
      <c r="D119" s="3">
        <v>2</v>
      </c>
      <c r="E119" s="3" t="s">
        <v>16</v>
      </c>
      <c r="F119" s="3" t="s">
        <v>794</v>
      </c>
      <c r="G119" s="3" t="s">
        <v>795</v>
      </c>
      <c r="H119" s="3" t="s">
        <v>154</v>
      </c>
    </row>
    <row r="120" spans="1:8" x14ac:dyDescent="0.2">
      <c r="A120" s="3">
        <v>3030301010</v>
      </c>
      <c r="B120" s="4" t="s">
        <v>468</v>
      </c>
      <c r="C120" s="4" t="s">
        <v>469</v>
      </c>
      <c r="D120" s="3">
        <v>4</v>
      </c>
      <c r="E120" s="3" t="s">
        <v>16</v>
      </c>
      <c r="F120" s="3" t="s">
        <v>295</v>
      </c>
      <c r="G120" s="3" t="s">
        <v>17</v>
      </c>
      <c r="H120" s="3" t="s">
        <v>165</v>
      </c>
    </row>
    <row r="121" spans="1:8" x14ac:dyDescent="0.2">
      <c r="A121" s="3">
        <v>3060347004</v>
      </c>
      <c r="B121" s="4" t="s">
        <v>470</v>
      </c>
      <c r="C121" s="4" t="s">
        <v>1566</v>
      </c>
      <c r="D121" s="3">
        <v>1</v>
      </c>
      <c r="E121" s="3" t="s">
        <v>16</v>
      </c>
      <c r="F121" s="3" t="s">
        <v>291</v>
      </c>
      <c r="G121" s="3" t="s">
        <v>26</v>
      </c>
      <c r="H121" s="3" t="s">
        <v>165</v>
      </c>
    </row>
    <row r="122" spans="1:8" x14ac:dyDescent="0.2">
      <c r="A122" s="3">
        <v>3060347003</v>
      </c>
      <c r="B122" s="4" t="s">
        <v>470</v>
      </c>
      <c r="C122" s="4" t="s">
        <v>1567</v>
      </c>
      <c r="D122" s="3">
        <v>1</v>
      </c>
      <c r="E122" s="3" t="s">
        <v>16</v>
      </c>
      <c r="F122" s="3" t="s">
        <v>291</v>
      </c>
      <c r="G122" s="3" t="s">
        <v>26</v>
      </c>
      <c r="H122" s="3" t="s">
        <v>165</v>
      </c>
    </row>
    <row r="123" spans="1:8" x14ac:dyDescent="0.2">
      <c r="A123" s="3">
        <v>3060307001</v>
      </c>
      <c r="B123" s="4" t="s">
        <v>1085</v>
      </c>
      <c r="C123" s="4" t="s">
        <v>1360</v>
      </c>
      <c r="D123" s="3">
        <v>1</v>
      </c>
      <c r="E123" s="3" t="s">
        <v>16</v>
      </c>
      <c r="F123" s="3" t="s">
        <v>291</v>
      </c>
      <c r="G123" s="3" t="s">
        <v>26</v>
      </c>
      <c r="H123" s="3" t="s">
        <v>165</v>
      </c>
    </row>
    <row r="124" spans="1:8" x14ac:dyDescent="0.2">
      <c r="A124" s="3">
        <v>3060307002</v>
      </c>
      <c r="B124" s="4" t="s">
        <v>1085</v>
      </c>
      <c r="C124" s="4" t="s">
        <v>1361</v>
      </c>
      <c r="D124" s="3">
        <v>1</v>
      </c>
      <c r="E124" s="3" t="s">
        <v>16</v>
      </c>
      <c r="F124" s="3" t="s">
        <v>291</v>
      </c>
      <c r="G124" s="3" t="s">
        <v>26</v>
      </c>
      <c r="H124" s="3" t="s">
        <v>165</v>
      </c>
    </row>
    <row r="125" spans="1:8" x14ac:dyDescent="0.2">
      <c r="A125" s="3">
        <v>3050305017</v>
      </c>
      <c r="B125" s="4" t="s">
        <v>527</v>
      </c>
      <c r="C125" s="4" t="s">
        <v>1365</v>
      </c>
      <c r="D125" s="3">
        <v>1</v>
      </c>
      <c r="E125" s="3" t="s">
        <v>16</v>
      </c>
      <c r="F125" s="3" t="s">
        <v>291</v>
      </c>
      <c r="G125" s="3" t="s">
        <v>26</v>
      </c>
      <c r="H125" s="3" t="s">
        <v>165</v>
      </c>
    </row>
    <row r="126" spans="1:8" x14ac:dyDescent="0.2">
      <c r="A126" s="3">
        <v>3050305014</v>
      </c>
      <c r="B126" s="4" t="s">
        <v>529</v>
      </c>
      <c r="C126" s="4" t="s">
        <v>1366</v>
      </c>
      <c r="D126" s="3">
        <v>1</v>
      </c>
      <c r="E126" s="3" t="s">
        <v>16</v>
      </c>
      <c r="F126" s="3" t="s">
        <v>291</v>
      </c>
      <c r="G126" s="3" t="s">
        <v>26</v>
      </c>
      <c r="H126" s="3" t="s">
        <v>165</v>
      </c>
    </row>
    <row r="127" spans="1:8" x14ac:dyDescent="0.2">
      <c r="A127" s="3">
        <v>3110103002</v>
      </c>
      <c r="B127" s="4" t="s">
        <v>473</v>
      </c>
      <c r="C127" s="4" t="s">
        <v>474</v>
      </c>
      <c r="D127" s="3">
        <v>1</v>
      </c>
      <c r="E127" s="3" t="s">
        <v>16</v>
      </c>
      <c r="F127" s="3" t="s">
        <v>291</v>
      </c>
      <c r="G127" s="3" t="s">
        <v>26</v>
      </c>
      <c r="H127" s="3" t="s">
        <v>165</v>
      </c>
    </row>
    <row r="128" spans="1:8" x14ac:dyDescent="0.2">
      <c r="A128" s="3">
        <v>3060317001</v>
      </c>
      <c r="B128" s="4" t="s">
        <v>1568</v>
      </c>
      <c r="C128" s="4" t="s">
        <v>1569</v>
      </c>
      <c r="D128" s="3">
        <v>1</v>
      </c>
      <c r="E128" s="3" t="s">
        <v>16</v>
      </c>
      <c r="F128" s="3" t="s">
        <v>289</v>
      </c>
      <c r="G128" s="3" t="s">
        <v>23</v>
      </c>
      <c r="H128" s="3" t="s">
        <v>165</v>
      </c>
    </row>
    <row r="129" spans="1:8" x14ac:dyDescent="0.2">
      <c r="A129" s="3">
        <v>3030316006</v>
      </c>
      <c r="B129" s="4" t="s">
        <v>475</v>
      </c>
      <c r="C129" s="4" t="s">
        <v>476</v>
      </c>
      <c r="D129" s="3">
        <v>1</v>
      </c>
      <c r="E129" s="3" t="s">
        <v>16</v>
      </c>
      <c r="F129" s="3" t="s">
        <v>295</v>
      </c>
      <c r="G129" s="3" t="s">
        <v>17</v>
      </c>
      <c r="H129" s="3" t="s">
        <v>165</v>
      </c>
    </row>
    <row r="130" spans="1:8" x14ac:dyDescent="0.2">
      <c r="A130" s="3">
        <v>3030306004</v>
      </c>
      <c r="B130" s="4" t="s">
        <v>535</v>
      </c>
      <c r="C130" s="4" t="s">
        <v>566</v>
      </c>
      <c r="D130" s="3">
        <v>1</v>
      </c>
      <c r="E130" s="3" t="s">
        <v>16</v>
      </c>
      <c r="F130" s="3" t="s">
        <v>295</v>
      </c>
      <c r="G130" s="3" t="s">
        <v>17</v>
      </c>
      <c r="H130" s="3" t="s">
        <v>165</v>
      </c>
    </row>
    <row r="131" spans="1:8" x14ac:dyDescent="0.2">
      <c r="A131" s="3">
        <v>3030306005</v>
      </c>
      <c r="B131" s="4" t="s">
        <v>537</v>
      </c>
      <c r="C131" s="4" t="s">
        <v>566</v>
      </c>
      <c r="D131" s="3">
        <v>1</v>
      </c>
      <c r="E131" s="3" t="s">
        <v>16</v>
      </c>
      <c r="F131" s="3" t="s">
        <v>295</v>
      </c>
      <c r="G131" s="3" t="s">
        <v>17</v>
      </c>
      <c r="H131" s="3" t="s">
        <v>165</v>
      </c>
    </row>
    <row r="132" spans="1:8" x14ac:dyDescent="0.2">
      <c r="A132" s="3">
        <v>3040312004</v>
      </c>
      <c r="B132" s="4" t="s">
        <v>263</v>
      </c>
      <c r="C132" s="4" t="s">
        <v>1570</v>
      </c>
      <c r="D132" s="3">
        <v>2</v>
      </c>
      <c r="E132" s="3" t="s">
        <v>16</v>
      </c>
      <c r="F132" s="3" t="s">
        <v>293</v>
      </c>
      <c r="G132" s="3" t="s">
        <v>29</v>
      </c>
      <c r="H132" s="3" t="s">
        <v>165</v>
      </c>
    </row>
    <row r="133" spans="1:8" x14ac:dyDescent="0.2">
      <c r="A133" s="3">
        <v>3050304012</v>
      </c>
      <c r="B133" s="4" t="s">
        <v>827</v>
      </c>
      <c r="C133" s="4" t="s">
        <v>1404</v>
      </c>
      <c r="D133" s="3">
        <v>1</v>
      </c>
      <c r="E133" s="3" t="s">
        <v>16</v>
      </c>
      <c r="F133" s="3" t="s">
        <v>794</v>
      </c>
      <c r="G133" s="3" t="s">
        <v>795</v>
      </c>
      <c r="H133" s="3" t="s">
        <v>165</v>
      </c>
    </row>
    <row r="134" spans="1:8" x14ac:dyDescent="0.2">
      <c r="A134" s="3">
        <v>3050304013</v>
      </c>
      <c r="B134" s="4" t="s">
        <v>814</v>
      </c>
      <c r="C134" s="4" t="s">
        <v>1404</v>
      </c>
      <c r="D134" s="3">
        <v>1</v>
      </c>
      <c r="E134" s="3" t="s">
        <v>16</v>
      </c>
      <c r="F134" s="3" t="s">
        <v>794</v>
      </c>
      <c r="G134" s="3" t="s">
        <v>795</v>
      </c>
      <c r="H134" s="3" t="s">
        <v>165</v>
      </c>
    </row>
    <row r="135" spans="1:8" x14ac:dyDescent="0.2">
      <c r="A135" s="3">
        <v>3050310003</v>
      </c>
      <c r="B135" s="4" t="s">
        <v>816</v>
      </c>
      <c r="C135" s="4" t="s">
        <v>817</v>
      </c>
      <c r="D135" s="3">
        <v>1</v>
      </c>
      <c r="E135" s="3" t="s">
        <v>16</v>
      </c>
      <c r="F135" s="3" t="s">
        <v>794</v>
      </c>
      <c r="G135" s="3" t="s">
        <v>795</v>
      </c>
      <c r="H135" s="3" t="s">
        <v>165</v>
      </c>
    </row>
    <row r="136" spans="1:8" x14ac:dyDescent="0.2">
      <c r="A136" s="3">
        <v>3070210002</v>
      </c>
      <c r="B136" s="4" t="s">
        <v>379</v>
      </c>
      <c r="C136" s="4" t="s">
        <v>1571</v>
      </c>
      <c r="D136" s="3">
        <v>1</v>
      </c>
      <c r="E136" s="3" t="s">
        <v>16</v>
      </c>
      <c r="F136" s="3" t="s">
        <v>317</v>
      </c>
      <c r="G136" s="3" t="s">
        <v>318</v>
      </c>
      <c r="H136" s="3" t="s">
        <v>165</v>
      </c>
    </row>
    <row r="137" spans="1:8" x14ac:dyDescent="0.2">
      <c r="A137" s="3">
        <v>3030314007</v>
      </c>
      <c r="B137" s="4" t="s">
        <v>477</v>
      </c>
      <c r="C137" s="4" t="s">
        <v>478</v>
      </c>
      <c r="D137" s="3">
        <v>1</v>
      </c>
      <c r="E137" s="3" t="s">
        <v>16</v>
      </c>
      <c r="F137" s="3" t="s">
        <v>291</v>
      </c>
      <c r="G137" s="3" t="s">
        <v>26</v>
      </c>
      <c r="H137" s="3" t="s">
        <v>165</v>
      </c>
    </row>
    <row r="138" spans="1:8" x14ac:dyDescent="0.2">
      <c r="A138" s="3">
        <v>3030308012</v>
      </c>
      <c r="B138" s="4" t="s">
        <v>479</v>
      </c>
      <c r="C138" s="4" t="s">
        <v>1376</v>
      </c>
      <c r="D138" s="3">
        <v>1</v>
      </c>
      <c r="E138" s="3" t="s">
        <v>16</v>
      </c>
      <c r="F138" s="3" t="s">
        <v>291</v>
      </c>
      <c r="G138" s="3" t="s">
        <v>26</v>
      </c>
      <c r="H138" s="3" t="s">
        <v>165</v>
      </c>
    </row>
    <row r="139" spans="1:8" x14ac:dyDescent="0.2">
      <c r="A139" s="3">
        <v>3050305018</v>
      </c>
      <c r="B139" s="4" t="s">
        <v>549</v>
      </c>
      <c r="C139" s="4" t="s">
        <v>1366</v>
      </c>
      <c r="D139" s="3">
        <v>1</v>
      </c>
      <c r="E139" s="3" t="s">
        <v>16</v>
      </c>
      <c r="F139" s="3" t="s">
        <v>291</v>
      </c>
      <c r="G139" s="3" t="s">
        <v>26</v>
      </c>
      <c r="H139" s="3" t="s">
        <v>165</v>
      </c>
    </row>
    <row r="140" spans="1:8" x14ac:dyDescent="0.2">
      <c r="A140" s="3">
        <v>3050310030</v>
      </c>
      <c r="B140" s="4" t="s">
        <v>480</v>
      </c>
      <c r="C140" s="4" t="s">
        <v>469</v>
      </c>
      <c r="D140" s="3">
        <v>2</v>
      </c>
      <c r="E140" s="3" t="s">
        <v>16</v>
      </c>
      <c r="F140" s="3" t="s">
        <v>291</v>
      </c>
      <c r="G140" s="3" t="s">
        <v>26</v>
      </c>
      <c r="H140" s="3" t="s">
        <v>165</v>
      </c>
    </row>
    <row r="141" spans="1:8" x14ac:dyDescent="0.2">
      <c r="A141" s="3">
        <v>3060333006</v>
      </c>
      <c r="B141" s="4" t="s">
        <v>227</v>
      </c>
      <c r="C141" s="4" t="s">
        <v>1569</v>
      </c>
      <c r="D141" s="3">
        <v>1</v>
      </c>
      <c r="E141" s="3" t="s">
        <v>16</v>
      </c>
      <c r="F141" s="3" t="s">
        <v>289</v>
      </c>
      <c r="G141" s="3" t="s">
        <v>23</v>
      </c>
      <c r="H141" s="3" t="s">
        <v>173</v>
      </c>
    </row>
    <row r="142" spans="1:8" x14ac:dyDescent="0.2">
      <c r="A142" s="3">
        <v>3050305012</v>
      </c>
      <c r="B142" s="4" t="s">
        <v>484</v>
      </c>
      <c r="C142" s="4" t="s">
        <v>1377</v>
      </c>
      <c r="D142" s="3">
        <v>1</v>
      </c>
      <c r="E142" s="3" t="s">
        <v>16</v>
      </c>
      <c r="F142" s="3" t="s">
        <v>291</v>
      </c>
      <c r="G142" s="3" t="s">
        <v>26</v>
      </c>
      <c r="H142" s="3" t="s">
        <v>173</v>
      </c>
    </row>
    <row r="143" spans="1:8" x14ac:dyDescent="0.2">
      <c r="A143" s="3">
        <v>3060319001</v>
      </c>
      <c r="B143" s="4" t="s">
        <v>1572</v>
      </c>
      <c r="C143" s="4" t="s">
        <v>1569</v>
      </c>
      <c r="D143" s="3">
        <v>1</v>
      </c>
      <c r="E143" s="3" t="s">
        <v>16</v>
      </c>
      <c r="F143" s="3" t="s">
        <v>289</v>
      </c>
      <c r="G143" s="3" t="s">
        <v>23</v>
      </c>
      <c r="H143" s="3" t="s">
        <v>173</v>
      </c>
    </row>
    <row r="144" spans="1:8" x14ac:dyDescent="0.2">
      <c r="A144" s="3">
        <v>3040305001</v>
      </c>
      <c r="B144" s="4" t="s">
        <v>486</v>
      </c>
      <c r="C144" s="4" t="s">
        <v>1197</v>
      </c>
      <c r="D144" s="3">
        <v>2</v>
      </c>
      <c r="E144" s="3" t="s">
        <v>16</v>
      </c>
      <c r="F144" s="3" t="s">
        <v>293</v>
      </c>
      <c r="G144" s="3" t="s">
        <v>29</v>
      </c>
      <c r="H144" s="3" t="s">
        <v>173</v>
      </c>
    </row>
    <row r="145" spans="1:8" x14ac:dyDescent="0.2">
      <c r="A145" s="3">
        <v>3040313002</v>
      </c>
      <c r="B145" s="4" t="s">
        <v>488</v>
      </c>
      <c r="C145" s="4" t="s">
        <v>489</v>
      </c>
      <c r="D145" s="3">
        <v>8</v>
      </c>
      <c r="E145" s="3" t="s">
        <v>16</v>
      </c>
      <c r="F145" s="3" t="s">
        <v>293</v>
      </c>
      <c r="G145" s="3" t="s">
        <v>29</v>
      </c>
      <c r="H145" s="3" t="s">
        <v>173</v>
      </c>
    </row>
    <row r="146" spans="1:8" x14ac:dyDescent="0.2">
      <c r="A146" s="3">
        <v>3040321001</v>
      </c>
      <c r="B146" s="4" t="s">
        <v>490</v>
      </c>
      <c r="C146" s="4" t="s">
        <v>347</v>
      </c>
      <c r="D146" s="3">
        <v>8</v>
      </c>
      <c r="E146" s="3" t="s">
        <v>16</v>
      </c>
      <c r="F146" s="3" t="s">
        <v>293</v>
      </c>
      <c r="G146" s="3" t="s">
        <v>29</v>
      </c>
      <c r="H146" s="3" t="s">
        <v>173</v>
      </c>
    </row>
    <row r="147" spans="1:8" x14ac:dyDescent="0.2">
      <c r="A147" s="3">
        <v>3040309001</v>
      </c>
      <c r="B147" s="4" t="s">
        <v>346</v>
      </c>
      <c r="C147" s="4" t="s">
        <v>347</v>
      </c>
      <c r="D147" s="3">
        <v>4</v>
      </c>
      <c r="E147" s="3" t="s">
        <v>16</v>
      </c>
      <c r="F147" s="3" t="s">
        <v>293</v>
      </c>
      <c r="G147" s="3" t="s">
        <v>29</v>
      </c>
      <c r="H147" s="3" t="s">
        <v>173</v>
      </c>
    </row>
    <row r="148" spans="1:8" x14ac:dyDescent="0.2">
      <c r="A148" s="3">
        <v>3070201005</v>
      </c>
      <c r="B148" s="4" t="s">
        <v>348</v>
      </c>
      <c r="C148" s="4" t="s">
        <v>1573</v>
      </c>
      <c r="D148" s="3">
        <v>1</v>
      </c>
      <c r="E148" s="3" t="s">
        <v>16</v>
      </c>
      <c r="F148" s="3" t="s">
        <v>317</v>
      </c>
      <c r="G148" s="3" t="s">
        <v>318</v>
      </c>
      <c r="H148" s="3" t="s">
        <v>173</v>
      </c>
    </row>
    <row r="149" spans="1:8" x14ac:dyDescent="0.2">
      <c r="A149" s="3">
        <v>3060340002</v>
      </c>
      <c r="B149" s="4" t="s">
        <v>725</v>
      </c>
      <c r="C149" s="4" t="s">
        <v>1569</v>
      </c>
      <c r="D149" s="3">
        <v>1</v>
      </c>
      <c r="E149" s="3" t="s">
        <v>16</v>
      </c>
      <c r="F149" s="3" t="s">
        <v>702</v>
      </c>
      <c r="G149" s="3" t="s">
        <v>703</v>
      </c>
      <c r="H149" s="3" t="s">
        <v>173</v>
      </c>
    </row>
    <row r="150" spans="1:8" x14ac:dyDescent="0.2">
      <c r="A150" s="3">
        <v>3050304003</v>
      </c>
      <c r="B150" s="4" t="s">
        <v>181</v>
      </c>
      <c r="C150" s="4" t="s">
        <v>1378</v>
      </c>
      <c r="D150" s="3">
        <v>1</v>
      </c>
      <c r="E150" s="3" t="s">
        <v>16</v>
      </c>
      <c r="F150" s="3" t="s">
        <v>291</v>
      </c>
      <c r="G150" s="3" t="s">
        <v>26</v>
      </c>
      <c r="H150" s="3" t="s">
        <v>173</v>
      </c>
    </row>
    <row r="151" spans="1:8" x14ac:dyDescent="0.2">
      <c r="A151" s="3">
        <v>3050305005</v>
      </c>
      <c r="B151" s="4" t="s">
        <v>1290</v>
      </c>
      <c r="C151" s="4" t="s">
        <v>1378</v>
      </c>
      <c r="D151" s="3">
        <v>2</v>
      </c>
      <c r="E151" s="3" t="s">
        <v>16</v>
      </c>
      <c r="F151" s="3" t="s">
        <v>291</v>
      </c>
      <c r="G151" s="3" t="s">
        <v>26</v>
      </c>
      <c r="H151" s="3" t="s">
        <v>173</v>
      </c>
    </row>
    <row r="152" spans="1:8" x14ac:dyDescent="0.2">
      <c r="A152" s="3">
        <v>3020501004</v>
      </c>
      <c r="B152" s="4" t="s">
        <v>183</v>
      </c>
      <c r="C152" s="4" t="s">
        <v>761</v>
      </c>
      <c r="D152" s="3">
        <v>1</v>
      </c>
      <c r="E152" s="3" t="s">
        <v>16</v>
      </c>
      <c r="F152" s="3" t="s">
        <v>291</v>
      </c>
      <c r="G152" s="3" t="s">
        <v>26</v>
      </c>
      <c r="H152" s="3" t="s">
        <v>185</v>
      </c>
    </row>
    <row r="153" spans="1:8" x14ac:dyDescent="0.2">
      <c r="A153" s="3">
        <v>3030204003</v>
      </c>
      <c r="B153" s="4" t="s">
        <v>492</v>
      </c>
      <c r="C153" s="4" t="s">
        <v>493</v>
      </c>
      <c r="D153" s="3">
        <v>2</v>
      </c>
      <c r="E153" s="3" t="s">
        <v>16</v>
      </c>
      <c r="F153" s="3" t="s">
        <v>295</v>
      </c>
      <c r="G153" s="3" t="s">
        <v>17</v>
      </c>
      <c r="H153" s="3" t="s">
        <v>494</v>
      </c>
    </row>
    <row r="154" spans="1:8" x14ac:dyDescent="0.2">
      <c r="A154" s="3">
        <v>3990201007</v>
      </c>
      <c r="B154" s="4" t="s">
        <v>186</v>
      </c>
      <c r="C154" s="4" t="s">
        <v>1381</v>
      </c>
      <c r="D154" s="3">
        <v>1</v>
      </c>
      <c r="E154" s="3" t="s">
        <v>16</v>
      </c>
      <c r="F154" s="3" t="s">
        <v>295</v>
      </c>
      <c r="G154" s="3" t="s">
        <v>17</v>
      </c>
      <c r="H154" s="3" t="s">
        <v>187</v>
      </c>
    </row>
    <row r="155" spans="1:8" x14ac:dyDescent="0.2">
      <c r="A155" s="3">
        <v>3990202006</v>
      </c>
      <c r="B155" s="4" t="s">
        <v>188</v>
      </c>
      <c r="C155" s="4" t="s">
        <v>1381</v>
      </c>
      <c r="D155" s="3">
        <v>1</v>
      </c>
      <c r="E155" s="3" t="s">
        <v>16</v>
      </c>
      <c r="F155" s="3" t="s">
        <v>295</v>
      </c>
      <c r="G155" s="3" t="s">
        <v>17</v>
      </c>
      <c r="H155" s="3" t="s">
        <v>187</v>
      </c>
    </row>
    <row r="156" spans="1:8" x14ac:dyDescent="0.2">
      <c r="A156" s="3">
        <v>3990203003</v>
      </c>
      <c r="B156" s="4" t="s">
        <v>189</v>
      </c>
      <c r="C156" s="4" t="s">
        <v>1381</v>
      </c>
      <c r="D156" s="3">
        <v>1</v>
      </c>
      <c r="E156" s="3" t="s">
        <v>16</v>
      </c>
      <c r="F156" s="3" t="s">
        <v>295</v>
      </c>
      <c r="G156" s="3" t="s">
        <v>17</v>
      </c>
      <c r="H156" s="3" t="s">
        <v>187</v>
      </c>
    </row>
    <row r="157" spans="1:8" x14ac:dyDescent="0.2">
      <c r="A157" s="3">
        <v>3060403035</v>
      </c>
      <c r="B157" s="4" t="s">
        <v>957</v>
      </c>
      <c r="C157" s="4" t="s">
        <v>502</v>
      </c>
      <c r="D157" s="3">
        <v>1</v>
      </c>
      <c r="E157" s="3" t="s">
        <v>16</v>
      </c>
      <c r="F157" s="3" t="s">
        <v>295</v>
      </c>
      <c r="G157" s="3" t="s">
        <v>17</v>
      </c>
      <c r="H157" s="3" t="s">
        <v>192</v>
      </c>
    </row>
    <row r="158" spans="1:8" x14ac:dyDescent="0.2">
      <c r="A158" s="3">
        <v>3060403036</v>
      </c>
      <c r="B158" s="4" t="s">
        <v>957</v>
      </c>
      <c r="C158" s="4" t="s">
        <v>501</v>
      </c>
      <c r="D158" s="3">
        <v>1</v>
      </c>
      <c r="E158" s="3" t="s">
        <v>16</v>
      </c>
      <c r="F158" s="3" t="s">
        <v>295</v>
      </c>
      <c r="G158" s="3" t="s">
        <v>17</v>
      </c>
      <c r="H158" s="3" t="s">
        <v>192</v>
      </c>
    </row>
    <row r="159" spans="1:8" x14ac:dyDescent="0.2">
      <c r="A159" s="3">
        <v>3060401001</v>
      </c>
      <c r="B159" s="4" t="s">
        <v>727</v>
      </c>
      <c r="C159" s="4" t="s">
        <v>728</v>
      </c>
      <c r="D159" s="3">
        <v>2</v>
      </c>
      <c r="E159" s="3" t="s">
        <v>16</v>
      </c>
      <c r="F159" s="3" t="s">
        <v>289</v>
      </c>
      <c r="G159" s="3" t="s">
        <v>23</v>
      </c>
      <c r="H159" s="3" t="s">
        <v>192</v>
      </c>
    </row>
    <row r="160" spans="1:8" x14ac:dyDescent="0.2">
      <c r="A160" s="3">
        <v>3030402003</v>
      </c>
      <c r="B160" s="4" t="s">
        <v>498</v>
      </c>
      <c r="C160" s="4" t="s">
        <v>1382</v>
      </c>
      <c r="D160" s="3">
        <v>1</v>
      </c>
      <c r="E160" s="3" t="s">
        <v>16</v>
      </c>
      <c r="F160" s="3" t="s">
        <v>295</v>
      </c>
      <c r="G160" s="3" t="s">
        <v>17</v>
      </c>
      <c r="H160" s="3" t="s">
        <v>192</v>
      </c>
    </row>
    <row r="161" spans="1:8" x14ac:dyDescent="0.2">
      <c r="A161" s="3">
        <v>3040402006</v>
      </c>
      <c r="B161" s="4" t="s">
        <v>500</v>
      </c>
      <c r="C161" s="4" t="s">
        <v>502</v>
      </c>
      <c r="D161" s="3">
        <v>1</v>
      </c>
      <c r="E161" s="3" t="s">
        <v>16</v>
      </c>
      <c r="F161" s="3" t="s">
        <v>293</v>
      </c>
      <c r="G161" s="3" t="s">
        <v>29</v>
      </c>
      <c r="H161" s="3" t="s">
        <v>192</v>
      </c>
    </row>
    <row r="162" spans="1:8" x14ac:dyDescent="0.2">
      <c r="A162" s="3">
        <v>3040402005</v>
      </c>
      <c r="B162" s="4" t="s">
        <v>500</v>
      </c>
      <c r="C162" s="4" t="s">
        <v>501</v>
      </c>
      <c r="D162" s="3">
        <v>1</v>
      </c>
      <c r="E162" s="3" t="s">
        <v>16</v>
      </c>
      <c r="F162" s="3" t="s">
        <v>293</v>
      </c>
      <c r="G162" s="3" t="s">
        <v>29</v>
      </c>
      <c r="H162" s="3" t="s">
        <v>192</v>
      </c>
    </row>
    <row r="163" spans="1:8" x14ac:dyDescent="0.2">
      <c r="A163" s="3">
        <v>3050402029</v>
      </c>
      <c r="B163" s="4" t="s">
        <v>818</v>
      </c>
      <c r="C163" s="4" t="s">
        <v>1574</v>
      </c>
      <c r="D163" s="3">
        <v>1</v>
      </c>
      <c r="E163" s="3" t="s">
        <v>16</v>
      </c>
      <c r="F163" s="3" t="s">
        <v>794</v>
      </c>
      <c r="G163" s="3" t="s">
        <v>795</v>
      </c>
      <c r="H163" s="3" t="s">
        <v>192</v>
      </c>
    </row>
    <row r="164" spans="1:8" x14ac:dyDescent="0.2">
      <c r="A164" s="3">
        <v>3050401029</v>
      </c>
      <c r="B164" s="4" t="s">
        <v>820</v>
      </c>
      <c r="C164" s="4" t="s">
        <v>821</v>
      </c>
      <c r="D164" s="3">
        <v>1</v>
      </c>
      <c r="E164" s="3" t="s">
        <v>16</v>
      </c>
      <c r="F164" s="3" t="s">
        <v>794</v>
      </c>
      <c r="G164" s="3" t="s">
        <v>795</v>
      </c>
      <c r="H164" s="3" t="s">
        <v>192</v>
      </c>
    </row>
    <row r="165" spans="1:8" x14ac:dyDescent="0.2">
      <c r="A165" s="3">
        <v>3050401030</v>
      </c>
      <c r="B165" s="4" t="s">
        <v>820</v>
      </c>
      <c r="C165" s="4" t="s">
        <v>822</v>
      </c>
      <c r="D165" s="3">
        <v>1</v>
      </c>
      <c r="E165" s="3" t="s">
        <v>16</v>
      </c>
      <c r="F165" s="3" t="s">
        <v>794</v>
      </c>
      <c r="G165" s="3" t="s">
        <v>795</v>
      </c>
      <c r="H165" s="3" t="s">
        <v>192</v>
      </c>
    </row>
    <row r="166" spans="1:8" x14ac:dyDescent="0.2">
      <c r="A166" s="3">
        <v>3020301004</v>
      </c>
      <c r="B166" s="4" t="s">
        <v>209</v>
      </c>
      <c r="C166" s="4" t="s">
        <v>1090</v>
      </c>
      <c r="D166" s="3">
        <v>1</v>
      </c>
      <c r="E166" s="3" t="s">
        <v>16</v>
      </c>
      <c r="F166" s="3" t="s">
        <v>301</v>
      </c>
      <c r="G166" s="3" t="s">
        <v>32</v>
      </c>
      <c r="H166" s="3" t="s">
        <v>192</v>
      </c>
    </row>
    <row r="167" spans="1:8" x14ac:dyDescent="0.2">
      <c r="A167" s="3">
        <v>3050402002</v>
      </c>
      <c r="B167" s="4" t="s">
        <v>1127</v>
      </c>
      <c r="C167" s="4" t="s">
        <v>1128</v>
      </c>
      <c r="D167" s="3">
        <v>1</v>
      </c>
      <c r="E167" s="3" t="s">
        <v>16</v>
      </c>
      <c r="F167" s="3" t="s">
        <v>295</v>
      </c>
      <c r="G167" s="3" t="s">
        <v>17</v>
      </c>
      <c r="H167" s="3" t="s">
        <v>192</v>
      </c>
    </row>
    <row r="168" spans="1:8" x14ac:dyDescent="0.2">
      <c r="A168" s="3">
        <v>3050401006</v>
      </c>
      <c r="B168" s="4" t="s">
        <v>222</v>
      </c>
      <c r="C168" s="4" t="s">
        <v>1575</v>
      </c>
      <c r="D168" s="3">
        <v>1</v>
      </c>
      <c r="E168" s="3" t="s">
        <v>16</v>
      </c>
      <c r="F168" s="3" t="s">
        <v>291</v>
      </c>
      <c r="G168" s="3" t="s">
        <v>26</v>
      </c>
      <c r="H168" s="3" t="s">
        <v>192</v>
      </c>
    </row>
    <row r="169" spans="1:8" x14ac:dyDescent="0.2">
      <c r="A169" s="3">
        <v>404100024</v>
      </c>
      <c r="B169" s="4" t="s">
        <v>196</v>
      </c>
      <c r="C169" s="4" t="s">
        <v>621</v>
      </c>
      <c r="D169" s="3">
        <v>1</v>
      </c>
      <c r="E169" s="3" t="s">
        <v>16</v>
      </c>
      <c r="F169" s="3" t="s">
        <v>301</v>
      </c>
      <c r="G169" s="3" t="s">
        <v>32</v>
      </c>
      <c r="H169" s="3" t="s">
        <v>198</v>
      </c>
    </row>
    <row r="170" spans="1:8" x14ac:dyDescent="0.2">
      <c r="A170" s="3">
        <v>404110010</v>
      </c>
      <c r="B170" s="4" t="s">
        <v>504</v>
      </c>
      <c r="C170" s="4" t="s">
        <v>1291</v>
      </c>
      <c r="D170" s="3">
        <v>2</v>
      </c>
      <c r="E170" s="3" t="s">
        <v>16</v>
      </c>
      <c r="F170" s="3" t="s">
        <v>291</v>
      </c>
      <c r="G170" s="3" t="s">
        <v>26</v>
      </c>
      <c r="H170" s="3" t="s">
        <v>198</v>
      </c>
    </row>
    <row r="171" spans="1:8" x14ac:dyDescent="0.2">
      <c r="A171" s="3">
        <v>404010030</v>
      </c>
      <c r="B171" s="4" t="s">
        <v>30</v>
      </c>
      <c r="C171" s="4" t="s">
        <v>1095</v>
      </c>
      <c r="D171" s="3">
        <v>1</v>
      </c>
      <c r="E171" s="3" t="s">
        <v>16</v>
      </c>
      <c r="F171" s="3" t="s">
        <v>301</v>
      </c>
      <c r="G171" s="3" t="s">
        <v>32</v>
      </c>
      <c r="H171" s="3" t="s">
        <v>198</v>
      </c>
    </row>
    <row r="172" spans="1:8" x14ac:dyDescent="0.2">
      <c r="A172" s="3">
        <v>403030012</v>
      </c>
      <c r="B172" s="4" t="s">
        <v>366</v>
      </c>
      <c r="C172" s="4" t="s">
        <v>507</v>
      </c>
      <c r="D172" s="3">
        <v>2</v>
      </c>
      <c r="E172" s="3" t="s">
        <v>16</v>
      </c>
      <c r="F172" s="3" t="s">
        <v>291</v>
      </c>
      <c r="G172" s="3" t="s">
        <v>26</v>
      </c>
      <c r="H172" s="3" t="s">
        <v>198</v>
      </c>
    </row>
    <row r="173" spans="1:8" x14ac:dyDescent="0.2">
      <c r="A173" s="3">
        <v>401070022</v>
      </c>
      <c r="B173" s="4" t="s">
        <v>35</v>
      </c>
      <c r="C173" s="4" t="s">
        <v>203</v>
      </c>
      <c r="D173" s="3">
        <v>1</v>
      </c>
      <c r="E173" s="3" t="s">
        <v>16</v>
      </c>
      <c r="F173" s="3" t="s">
        <v>297</v>
      </c>
      <c r="G173" s="3" t="s">
        <v>204</v>
      </c>
      <c r="H173" s="3" t="s">
        <v>198</v>
      </c>
    </row>
    <row r="174" spans="1:8" x14ac:dyDescent="0.2">
      <c r="A174" s="3">
        <v>401070018</v>
      </c>
      <c r="B174" s="4" t="s">
        <v>35</v>
      </c>
      <c r="C174" s="4" t="s">
        <v>202</v>
      </c>
      <c r="D174" s="3">
        <v>1</v>
      </c>
      <c r="E174" s="3" t="s">
        <v>16</v>
      </c>
      <c r="F174" s="3" t="s">
        <v>291</v>
      </c>
      <c r="G174" s="3" t="s">
        <v>26</v>
      </c>
      <c r="H174" s="3" t="s">
        <v>198</v>
      </c>
    </row>
    <row r="175" spans="1:8" x14ac:dyDescent="0.2">
      <c r="A175" s="3">
        <v>404100020</v>
      </c>
      <c r="B175" s="4" t="s">
        <v>205</v>
      </c>
      <c r="C175" s="4" t="s">
        <v>1292</v>
      </c>
      <c r="D175" s="3">
        <v>1</v>
      </c>
      <c r="E175" s="3" t="s">
        <v>16</v>
      </c>
      <c r="F175" s="3" t="s">
        <v>291</v>
      </c>
      <c r="G175" s="3" t="s">
        <v>26</v>
      </c>
      <c r="H175" s="3" t="s">
        <v>198</v>
      </c>
    </row>
    <row r="176" spans="1:8" x14ac:dyDescent="0.2">
      <c r="A176" s="3">
        <v>404100019</v>
      </c>
      <c r="B176" s="4" t="s">
        <v>207</v>
      </c>
      <c r="C176" s="4" t="s">
        <v>1293</v>
      </c>
      <c r="D176" s="3">
        <v>1</v>
      </c>
      <c r="E176" s="3" t="s">
        <v>16</v>
      </c>
      <c r="F176" s="3" t="s">
        <v>291</v>
      </c>
      <c r="G176" s="3" t="s">
        <v>26</v>
      </c>
      <c r="H176" s="3" t="s">
        <v>198</v>
      </c>
    </row>
    <row r="177" spans="1:8" x14ac:dyDescent="0.2">
      <c r="A177" s="3">
        <v>3069904001</v>
      </c>
      <c r="B177" s="4" t="s">
        <v>514</v>
      </c>
      <c r="C177" s="4" t="s">
        <v>355</v>
      </c>
      <c r="D177" s="3">
        <v>4</v>
      </c>
      <c r="E177" s="3" t="s">
        <v>16</v>
      </c>
      <c r="F177" s="3" t="s">
        <v>295</v>
      </c>
      <c r="G177" s="3" t="s">
        <v>17</v>
      </c>
      <c r="H177" s="3" t="s">
        <v>214</v>
      </c>
    </row>
    <row r="178" spans="1:8" x14ac:dyDescent="0.2">
      <c r="A178" s="3">
        <v>3030201003</v>
      </c>
      <c r="B178" s="4" t="s">
        <v>515</v>
      </c>
      <c r="C178" s="4" t="s">
        <v>516</v>
      </c>
      <c r="D178" s="3">
        <v>1</v>
      </c>
      <c r="E178" s="3" t="s">
        <v>16</v>
      </c>
      <c r="F178" s="3" t="s">
        <v>295</v>
      </c>
      <c r="G178" s="3" t="s">
        <v>17</v>
      </c>
      <c r="H178" s="3" t="s">
        <v>214</v>
      </c>
    </row>
    <row r="179" spans="1:8" x14ac:dyDescent="0.2">
      <c r="A179" s="3">
        <v>3049903001</v>
      </c>
      <c r="B179" s="4" t="s">
        <v>517</v>
      </c>
      <c r="C179" s="4" t="s">
        <v>355</v>
      </c>
      <c r="D179" s="3">
        <v>2</v>
      </c>
      <c r="E179" s="3" t="s">
        <v>16</v>
      </c>
      <c r="F179" s="3" t="s">
        <v>293</v>
      </c>
      <c r="G179" s="3" t="s">
        <v>29</v>
      </c>
      <c r="H179" s="3" t="s">
        <v>214</v>
      </c>
    </row>
    <row r="180" spans="1:8" x14ac:dyDescent="0.2">
      <c r="A180" s="3">
        <v>3049904001</v>
      </c>
      <c r="B180" s="4" t="s">
        <v>354</v>
      </c>
      <c r="C180" s="4" t="s">
        <v>355</v>
      </c>
      <c r="D180" s="3">
        <v>4</v>
      </c>
      <c r="E180" s="3" t="s">
        <v>16</v>
      </c>
      <c r="F180" s="3" t="s">
        <v>293</v>
      </c>
      <c r="G180" s="3" t="s">
        <v>29</v>
      </c>
      <c r="H180" s="3" t="s">
        <v>214</v>
      </c>
    </row>
    <row r="181" spans="1:8" x14ac:dyDescent="0.2">
      <c r="A181" s="3">
        <v>3049902002</v>
      </c>
      <c r="B181" s="4" t="s">
        <v>518</v>
      </c>
      <c r="C181" s="4" t="s">
        <v>1576</v>
      </c>
      <c r="D181" s="3">
        <v>1</v>
      </c>
      <c r="E181" s="3" t="s">
        <v>16</v>
      </c>
      <c r="F181" s="3" t="s">
        <v>293</v>
      </c>
      <c r="G181" s="3" t="s">
        <v>29</v>
      </c>
      <c r="H181" s="3" t="s">
        <v>214</v>
      </c>
    </row>
    <row r="182" spans="1:8" x14ac:dyDescent="0.2">
      <c r="A182" s="3">
        <v>3049902003</v>
      </c>
      <c r="B182" s="4" t="s">
        <v>518</v>
      </c>
      <c r="C182" s="4" t="s">
        <v>1577</v>
      </c>
      <c r="D182" s="3">
        <v>1</v>
      </c>
      <c r="E182" s="3" t="s">
        <v>16</v>
      </c>
      <c r="F182" s="3" t="s">
        <v>293</v>
      </c>
      <c r="G182" s="3" t="s">
        <v>29</v>
      </c>
      <c r="H182" s="3" t="s">
        <v>214</v>
      </c>
    </row>
    <row r="183" spans="1:8" x14ac:dyDescent="0.2">
      <c r="A183" s="3">
        <v>3050206010</v>
      </c>
      <c r="B183" s="4" t="s">
        <v>823</v>
      </c>
      <c r="C183" s="4" t="s">
        <v>824</v>
      </c>
      <c r="D183" s="3">
        <v>2</v>
      </c>
      <c r="E183" s="3" t="s">
        <v>16</v>
      </c>
      <c r="F183" s="3" t="s">
        <v>794</v>
      </c>
      <c r="G183" s="3" t="s">
        <v>795</v>
      </c>
      <c r="H183" s="3" t="s">
        <v>214</v>
      </c>
    </row>
    <row r="184" spans="1:8" x14ac:dyDescent="0.2">
      <c r="A184" s="3">
        <v>3050206012</v>
      </c>
      <c r="B184" s="4" t="s">
        <v>825</v>
      </c>
      <c r="C184" s="4" t="s">
        <v>826</v>
      </c>
      <c r="D184" s="3">
        <v>2</v>
      </c>
      <c r="E184" s="3" t="s">
        <v>16</v>
      </c>
      <c r="F184" s="3" t="s">
        <v>794</v>
      </c>
      <c r="G184" s="3" t="s">
        <v>795</v>
      </c>
      <c r="H184" s="3" t="s">
        <v>214</v>
      </c>
    </row>
    <row r="185" spans="1:8" x14ac:dyDescent="0.2">
      <c r="A185" s="3">
        <v>3070105007</v>
      </c>
      <c r="B185" s="4" t="s">
        <v>360</v>
      </c>
      <c r="C185" s="4" t="s">
        <v>361</v>
      </c>
      <c r="D185" s="3">
        <v>1</v>
      </c>
      <c r="E185" s="3" t="s">
        <v>16</v>
      </c>
      <c r="F185" s="3" t="s">
        <v>317</v>
      </c>
      <c r="G185" s="3" t="s">
        <v>318</v>
      </c>
      <c r="H185" s="3" t="s">
        <v>214</v>
      </c>
    </row>
    <row r="186" spans="1:8" x14ac:dyDescent="0.2">
      <c r="A186" s="3">
        <v>3070105008</v>
      </c>
      <c r="B186" s="4" t="s">
        <v>362</v>
      </c>
      <c r="C186" s="4" t="s">
        <v>361</v>
      </c>
      <c r="D186" s="3">
        <v>1</v>
      </c>
      <c r="E186" s="3" t="s">
        <v>16</v>
      </c>
      <c r="F186" s="3" t="s">
        <v>317</v>
      </c>
      <c r="G186" s="3" t="s">
        <v>318</v>
      </c>
      <c r="H186" s="3" t="s">
        <v>214</v>
      </c>
    </row>
    <row r="187" spans="1:8" x14ac:dyDescent="0.2">
      <c r="A187" s="3">
        <v>3050204001</v>
      </c>
      <c r="B187" s="4" t="s">
        <v>519</v>
      </c>
      <c r="C187" s="4" t="s">
        <v>355</v>
      </c>
      <c r="D187" s="3">
        <v>2</v>
      </c>
      <c r="E187" s="3" t="s">
        <v>16</v>
      </c>
      <c r="F187" s="3" t="s">
        <v>291</v>
      </c>
      <c r="G187" s="3" t="s">
        <v>26</v>
      </c>
      <c r="H187" s="3" t="s">
        <v>214</v>
      </c>
    </row>
    <row r="188" spans="1:8" x14ac:dyDescent="0.2">
      <c r="A188" s="3">
        <v>3050204002</v>
      </c>
      <c r="B188" s="4" t="s">
        <v>520</v>
      </c>
      <c r="C188" s="4" t="s">
        <v>355</v>
      </c>
      <c r="D188" s="3">
        <v>2</v>
      </c>
      <c r="E188" s="3" t="s">
        <v>16</v>
      </c>
      <c r="F188" s="3" t="s">
        <v>291</v>
      </c>
      <c r="G188" s="3" t="s">
        <v>26</v>
      </c>
      <c r="H188" s="3" t="s">
        <v>214</v>
      </c>
    </row>
    <row r="189" spans="1:8" x14ac:dyDescent="0.2">
      <c r="A189" s="3">
        <v>403030005</v>
      </c>
      <c r="B189" s="4" t="s">
        <v>366</v>
      </c>
      <c r="C189" s="4" t="s">
        <v>368</v>
      </c>
      <c r="D189" s="3">
        <v>2</v>
      </c>
      <c r="E189" s="3" t="s">
        <v>16</v>
      </c>
      <c r="F189" s="3" t="s">
        <v>301</v>
      </c>
      <c r="G189" s="3" t="s">
        <v>32</v>
      </c>
      <c r="H189" s="3" t="s">
        <v>221</v>
      </c>
    </row>
    <row r="190" spans="1:8" x14ac:dyDescent="0.2">
      <c r="A190" s="3">
        <v>403030051</v>
      </c>
      <c r="B190" s="4" t="s">
        <v>366</v>
      </c>
      <c r="C190" s="4" t="s">
        <v>367</v>
      </c>
      <c r="D190" s="3">
        <v>3</v>
      </c>
      <c r="E190" s="3" t="s">
        <v>16</v>
      </c>
      <c r="F190" s="3" t="s">
        <v>301</v>
      </c>
      <c r="G190" s="3" t="s">
        <v>32</v>
      </c>
      <c r="H190" s="3" t="s">
        <v>221</v>
      </c>
    </row>
    <row r="191" spans="1:8" x14ac:dyDescent="0.2">
      <c r="A191" s="3">
        <v>402050001</v>
      </c>
      <c r="B191" s="4" t="s">
        <v>522</v>
      </c>
      <c r="C191" s="4" t="s">
        <v>523</v>
      </c>
      <c r="D191" s="3">
        <v>1</v>
      </c>
      <c r="E191" s="3" t="s">
        <v>16</v>
      </c>
      <c r="F191" s="3" t="s">
        <v>794</v>
      </c>
      <c r="G191" s="3" t="s">
        <v>795</v>
      </c>
      <c r="H191" s="3" t="s">
        <v>524</v>
      </c>
    </row>
    <row r="192" spans="1:8" x14ac:dyDescent="0.2">
      <c r="A192" s="3">
        <v>407050021</v>
      </c>
      <c r="B192" s="4" t="s">
        <v>1321</v>
      </c>
      <c r="C192" s="4" t="s">
        <v>1578</v>
      </c>
      <c r="D192" s="3">
        <v>1</v>
      </c>
      <c r="E192" s="3" t="s">
        <v>16</v>
      </c>
      <c r="F192" s="3" t="s">
        <v>289</v>
      </c>
      <c r="G192" s="3" t="s">
        <v>23</v>
      </c>
      <c r="H192" s="3" t="s">
        <v>524</v>
      </c>
    </row>
    <row r="193" spans="1:8" x14ac:dyDescent="0.2">
      <c r="A193" s="3">
        <v>407010151</v>
      </c>
      <c r="B193" s="4" t="s">
        <v>808</v>
      </c>
      <c r="C193" s="4" t="s">
        <v>1579</v>
      </c>
      <c r="D193" s="3">
        <v>1</v>
      </c>
      <c r="E193" s="3" t="s">
        <v>16</v>
      </c>
      <c r="F193" s="3" t="s">
        <v>794</v>
      </c>
      <c r="G193" s="3" t="s">
        <v>795</v>
      </c>
      <c r="H193" s="3" t="s">
        <v>524</v>
      </c>
    </row>
    <row r="194" spans="1:8" x14ac:dyDescent="0.2">
      <c r="A194" s="3">
        <v>408050033</v>
      </c>
      <c r="B194" s="4" t="s">
        <v>810</v>
      </c>
      <c r="C194" s="4" t="s">
        <v>1580</v>
      </c>
      <c r="D194" s="3">
        <v>1</v>
      </c>
      <c r="E194" s="3" t="s">
        <v>16</v>
      </c>
      <c r="F194" s="3" t="s">
        <v>794</v>
      </c>
      <c r="G194" s="3" t="s">
        <v>795</v>
      </c>
      <c r="H194" s="3" t="s">
        <v>524</v>
      </c>
    </row>
    <row r="195" spans="1:8" x14ac:dyDescent="0.2">
      <c r="A195" s="3">
        <v>408990008</v>
      </c>
      <c r="B195" s="4" t="s">
        <v>1581</v>
      </c>
      <c r="C195" s="4" t="s">
        <v>1582</v>
      </c>
      <c r="D195" s="3">
        <v>1</v>
      </c>
      <c r="E195" s="3" t="s">
        <v>16</v>
      </c>
      <c r="F195" s="3" t="s">
        <v>301</v>
      </c>
      <c r="G195" s="3" t="s">
        <v>32</v>
      </c>
      <c r="H195" s="3" t="s">
        <v>524</v>
      </c>
    </row>
    <row r="196" spans="1:8" x14ac:dyDescent="0.2">
      <c r="A196" s="3">
        <v>407010099</v>
      </c>
      <c r="B196" s="4" t="s">
        <v>149</v>
      </c>
      <c r="C196" s="4" t="s">
        <v>1583</v>
      </c>
      <c r="D196" s="3">
        <v>1</v>
      </c>
      <c r="E196" s="3" t="s">
        <v>16</v>
      </c>
      <c r="F196" s="3" t="s">
        <v>291</v>
      </c>
      <c r="G196" s="3" t="s">
        <v>26</v>
      </c>
      <c r="H196" s="3" t="s">
        <v>524</v>
      </c>
    </row>
    <row r="197" spans="1:8" x14ac:dyDescent="0.2">
      <c r="A197" s="3">
        <v>3040502005</v>
      </c>
      <c r="B197" s="4" t="s">
        <v>136</v>
      </c>
      <c r="C197" s="4" t="s">
        <v>1584</v>
      </c>
      <c r="D197" s="3">
        <v>1</v>
      </c>
      <c r="E197" s="3" t="s">
        <v>16</v>
      </c>
      <c r="F197" s="3" t="s">
        <v>293</v>
      </c>
      <c r="G197" s="3" t="s">
        <v>29</v>
      </c>
      <c r="H197" s="3" t="s">
        <v>370</v>
      </c>
    </row>
    <row r="198" spans="1:8" x14ac:dyDescent="0.2">
      <c r="A198" s="3">
        <v>3040502006</v>
      </c>
      <c r="B198" s="4" t="s">
        <v>136</v>
      </c>
      <c r="C198" s="4" t="s">
        <v>1585</v>
      </c>
      <c r="D198" s="3">
        <v>1</v>
      </c>
      <c r="E198" s="3" t="s">
        <v>16</v>
      </c>
      <c r="F198" s="3" t="s">
        <v>293</v>
      </c>
      <c r="G198" s="3" t="s">
        <v>29</v>
      </c>
      <c r="H198" s="3" t="s">
        <v>370</v>
      </c>
    </row>
    <row r="199" spans="1:8" x14ac:dyDescent="0.2">
      <c r="A199" s="3">
        <v>3030309017</v>
      </c>
      <c r="B199" s="4" t="s">
        <v>531</v>
      </c>
      <c r="C199" s="4" t="s">
        <v>1398</v>
      </c>
      <c r="D199" s="3">
        <v>1</v>
      </c>
      <c r="E199" s="3" t="s">
        <v>16</v>
      </c>
      <c r="F199" s="3" t="s">
        <v>291</v>
      </c>
      <c r="G199" s="3" t="s">
        <v>26</v>
      </c>
      <c r="H199" s="3" t="s">
        <v>226</v>
      </c>
    </row>
    <row r="200" spans="1:8" x14ac:dyDescent="0.2">
      <c r="A200" s="3">
        <v>3030302002</v>
      </c>
      <c r="B200" s="4" t="s">
        <v>533</v>
      </c>
      <c r="C200" s="4" t="s">
        <v>534</v>
      </c>
      <c r="D200" s="3">
        <v>1</v>
      </c>
      <c r="E200" s="3" t="s">
        <v>16</v>
      </c>
      <c r="F200" s="3" t="s">
        <v>295</v>
      </c>
      <c r="G200" s="3" t="s">
        <v>17</v>
      </c>
      <c r="H200" s="3" t="s">
        <v>226</v>
      </c>
    </row>
    <row r="201" spans="1:8" x14ac:dyDescent="0.2">
      <c r="A201" s="3">
        <v>3030303004</v>
      </c>
      <c r="B201" s="4" t="s">
        <v>175</v>
      </c>
      <c r="C201" s="4" t="s">
        <v>1399</v>
      </c>
      <c r="D201" s="3">
        <v>1</v>
      </c>
      <c r="E201" s="3" t="s">
        <v>16</v>
      </c>
      <c r="F201" s="3" t="s">
        <v>295</v>
      </c>
      <c r="G201" s="3" t="s">
        <v>17</v>
      </c>
      <c r="H201" s="3" t="s">
        <v>226</v>
      </c>
    </row>
    <row r="202" spans="1:8" x14ac:dyDescent="0.2">
      <c r="A202" s="3">
        <v>3030305002</v>
      </c>
      <c r="B202" s="4" t="s">
        <v>511</v>
      </c>
      <c r="C202" s="4" t="s">
        <v>1223</v>
      </c>
      <c r="D202" s="3">
        <v>1</v>
      </c>
      <c r="E202" s="3" t="s">
        <v>16</v>
      </c>
      <c r="F202" s="3" t="s">
        <v>295</v>
      </c>
      <c r="G202" s="3" t="s">
        <v>17</v>
      </c>
      <c r="H202" s="3" t="s">
        <v>226</v>
      </c>
    </row>
    <row r="203" spans="1:8" x14ac:dyDescent="0.2">
      <c r="A203" s="3">
        <v>3030305004</v>
      </c>
      <c r="B203" s="4" t="s">
        <v>513</v>
      </c>
      <c r="C203" s="4" t="s">
        <v>1223</v>
      </c>
      <c r="D203" s="3">
        <v>1</v>
      </c>
      <c r="E203" s="3" t="s">
        <v>16</v>
      </c>
      <c r="F203" s="3" t="s">
        <v>295</v>
      </c>
      <c r="G203" s="3" t="s">
        <v>17</v>
      </c>
      <c r="H203" s="3" t="s">
        <v>226</v>
      </c>
    </row>
    <row r="204" spans="1:8" x14ac:dyDescent="0.2">
      <c r="A204" s="3">
        <v>3030305005</v>
      </c>
      <c r="B204" s="4" t="s">
        <v>539</v>
      </c>
      <c r="C204" s="4" t="s">
        <v>1224</v>
      </c>
      <c r="D204" s="3">
        <v>1</v>
      </c>
      <c r="E204" s="3" t="s">
        <v>16</v>
      </c>
      <c r="F204" s="3" t="s">
        <v>295</v>
      </c>
      <c r="G204" s="3" t="s">
        <v>17</v>
      </c>
      <c r="H204" s="3" t="s">
        <v>226</v>
      </c>
    </row>
    <row r="205" spans="1:8" x14ac:dyDescent="0.2">
      <c r="A205" s="3">
        <v>3040320009</v>
      </c>
      <c r="B205" s="4" t="s">
        <v>269</v>
      </c>
      <c r="C205" s="4" t="s">
        <v>569</v>
      </c>
      <c r="D205" s="3">
        <v>1</v>
      </c>
      <c r="E205" s="3" t="s">
        <v>16</v>
      </c>
      <c r="F205" s="3" t="s">
        <v>293</v>
      </c>
      <c r="G205" s="3" t="s">
        <v>29</v>
      </c>
      <c r="H205" s="3" t="s">
        <v>226</v>
      </c>
    </row>
    <row r="206" spans="1:8" x14ac:dyDescent="0.2">
      <c r="A206" s="3">
        <v>3040320008</v>
      </c>
      <c r="B206" s="4" t="s">
        <v>269</v>
      </c>
      <c r="C206" s="4" t="s">
        <v>568</v>
      </c>
      <c r="D206" s="3">
        <v>1</v>
      </c>
      <c r="E206" s="3" t="s">
        <v>16</v>
      </c>
      <c r="F206" s="3" t="s">
        <v>293</v>
      </c>
      <c r="G206" s="3" t="s">
        <v>29</v>
      </c>
      <c r="H206" s="3" t="s">
        <v>226</v>
      </c>
    </row>
    <row r="207" spans="1:8" x14ac:dyDescent="0.2">
      <c r="A207" s="3">
        <v>3030313003</v>
      </c>
      <c r="B207" s="4" t="s">
        <v>217</v>
      </c>
      <c r="C207" s="4" t="s">
        <v>544</v>
      </c>
      <c r="D207" s="3">
        <v>8</v>
      </c>
      <c r="E207" s="3" t="s">
        <v>16</v>
      </c>
      <c r="F207" s="3" t="s">
        <v>291</v>
      </c>
      <c r="G207" s="3" t="s">
        <v>26</v>
      </c>
      <c r="H207" s="3" t="s">
        <v>226</v>
      </c>
    </row>
    <row r="208" spans="1:8" x14ac:dyDescent="0.2">
      <c r="A208" s="3">
        <v>3050303013</v>
      </c>
      <c r="B208" s="4" t="s">
        <v>828</v>
      </c>
      <c r="C208" s="4" t="s">
        <v>1586</v>
      </c>
      <c r="D208" s="3">
        <v>1</v>
      </c>
      <c r="E208" s="3" t="s">
        <v>16</v>
      </c>
      <c r="F208" s="3" t="s">
        <v>794</v>
      </c>
      <c r="G208" s="3" t="s">
        <v>795</v>
      </c>
      <c r="H208" s="3" t="s">
        <v>226</v>
      </c>
    </row>
    <row r="209" spans="1:8" x14ac:dyDescent="0.2">
      <c r="A209" s="3">
        <v>3050403016</v>
      </c>
      <c r="B209" s="4" t="s">
        <v>830</v>
      </c>
      <c r="C209" s="4" t="s">
        <v>1587</v>
      </c>
      <c r="D209" s="3">
        <v>1</v>
      </c>
      <c r="E209" s="3" t="s">
        <v>16</v>
      </c>
      <c r="F209" s="3" t="s">
        <v>794</v>
      </c>
      <c r="G209" s="3" t="s">
        <v>795</v>
      </c>
      <c r="H209" s="3" t="s">
        <v>226</v>
      </c>
    </row>
    <row r="210" spans="1:8" x14ac:dyDescent="0.2">
      <c r="A210" s="3">
        <v>3050403017</v>
      </c>
      <c r="B210" s="4" t="s">
        <v>830</v>
      </c>
      <c r="C210" s="4" t="s">
        <v>1588</v>
      </c>
      <c r="D210" s="3">
        <v>1</v>
      </c>
      <c r="E210" s="3" t="s">
        <v>16</v>
      </c>
      <c r="F210" s="3" t="s">
        <v>794</v>
      </c>
      <c r="G210" s="3" t="s">
        <v>795</v>
      </c>
      <c r="H210" s="3" t="s">
        <v>226</v>
      </c>
    </row>
    <row r="211" spans="1:8" x14ac:dyDescent="0.2">
      <c r="A211" s="3">
        <v>3050310001</v>
      </c>
      <c r="B211" s="4" t="s">
        <v>833</v>
      </c>
      <c r="C211" s="4" t="s">
        <v>834</v>
      </c>
      <c r="D211" s="3">
        <v>1</v>
      </c>
      <c r="E211" s="3" t="s">
        <v>16</v>
      </c>
      <c r="F211" s="3" t="s">
        <v>794</v>
      </c>
      <c r="G211" s="3" t="s">
        <v>795</v>
      </c>
      <c r="H211" s="3" t="s">
        <v>226</v>
      </c>
    </row>
    <row r="212" spans="1:8" x14ac:dyDescent="0.2">
      <c r="A212" s="3">
        <v>3050310002</v>
      </c>
      <c r="B212" s="4" t="s">
        <v>833</v>
      </c>
      <c r="C212" s="4" t="s">
        <v>835</v>
      </c>
      <c r="D212" s="3">
        <v>1</v>
      </c>
      <c r="E212" s="3" t="s">
        <v>16</v>
      </c>
      <c r="F212" s="3" t="s">
        <v>794</v>
      </c>
      <c r="G212" s="3" t="s">
        <v>795</v>
      </c>
      <c r="H212" s="3" t="s">
        <v>226</v>
      </c>
    </row>
    <row r="213" spans="1:8" x14ac:dyDescent="0.2">
      <c r="A213" s="3">
        <v>3030317001</v>
      </c>
      <c r="B213" s="4" t="s">
        <v>1400</v>
      </c>
      <c r="C213" s="4" t="s">
        <v>1401</v>
      </c>
      <c r="D213" s="3">
        <v>1</v>
      </c>
      <c r="E213" s="3" t="s">
        <v>16</v>
      </c>
      <c r="F213" s="3" t="s">
        <v>291</v>
      </c>
      <c r="G213" s="3" t="s">
        <v>26</v>
      </c>
      <c r="H213" s="3" t="s">
        <v>226</v>
      </c>
    </row>
    <row r="214" spans="1:8" x14ac:dyDescent="0.2">
      <c r="A214" s="3">
        <v>3030319001</v>
      </c>
      <c r="B214" s="4" t="s">
        <v>1402</v>
      </c>
      <c r="C214" s="4" t="s">
        <v>1401</v>
      </c>
      <c r="D214" s="3">
        <v>1</v>
      </c>
      <c r="E214" s="3" t="s">
        <v>16</v>
      </c>
      <c r="F214" s="3" t="s">
        <v>291</v>
      </c>
      <c r="G214" s="3" t="s">
        <v>26</v>
      </c>
      <c r="H214" s="3" t="s">
        <v>226</v>
      </c>
    </row>
    <row r="215" spans="1:8" x14ac:dyDescent="0.2">
      <c r="A215" s="3">
        <v>3030318001</v>
      </c>
      <c r="B215" s="4" t="s">
        <v>1403</v>
      </c>
      <c r="C215" s="4" t="s">
        <v>1401</v>
      </c>
      <c r="D215" s="3">
        <v>1</v>
      </c>
      <c r="E215" s="3" t="s">
        <v>16</v>
      </c>
      <c r="F215" s="3" t="s">
        <v>291</v>
      </c>
      <c r="G215" s="3" t="s">
        <v>26</v>
      </c>
      <c r="H215" s="3" t="s">
        <v>226</v>
      </c>
    </row>
    <row r="216" spans="1:8" x14ac:dyDescent="0.2">
      <c r="A216" s="3">
        <v>3070212001</v>
      </c>
      <c r="B216" s="4" t="s">
        <v>377</v>
      </c>
      <c r="C216" s="4" t="s">
        <v>378</v>
      </c>
      <c r="D216" s="3">
        <v>1</v>
      </c>
      <c r="E216" s="3" t="s">
        <v>16</v>
      </c>
      <c r="F216" s="3" t="s">
        <v>317</v>
      </c>
      <c r="G216" s="3" t="s">
        <v>318</v>
      </c>
      <c r="H216" s="3" t="s">
        <v>226</v>
      </c>
    </row>
    <row r="217" spans="1:8" x14ac:dyDescent="0.2">
      <c r="A217" s="3">
        <v>3050306001</v>
      </c>
      <c r="B217" s="4" t="s">
        <v>1123</v>
      </c>
      <c r="C217" s="4" t="s">
        <v>566</v>
      </c>
      <c r="D217" s="3">
        <v>1</v>
      </c>
      <c r="E217" s="3" t="s">
        <v>16</v>
      </c>
      <c r="F217" s="3" t="s">
        <v>291</v>
      </c>
      <c r="G217" s="3" t="s">
        <v>26</v>
      </c>
      <c r="H217" s="3" t="s">
        <v>226</v>
      </c>
    </row>
    <row r="218" spans="1:8" x14ac:dyDescent="0.2">
      <c r="A218" s="3">
        <v>3080401031</v>
      </c>
      <c r="B218" s="4" t="s">
        <v>41</v>
      </c>
      <c r="C218" s="4" t="s">
        <v>551</v>
      </c>
      <c r="D218" s="3">
        <v>1</v>
      </c>
      <c r="E218" s="3" t="s">
        <v>16</v>
      </c>
      <c r="F218" s="3" t="s">
        <v>291</v>
      </c>
      <c r="G218" s="3" t="s">
        <v>26</v>
      </c>
      <c r="H218" s="3" t="s">
        <v>249</v>
      </c>
    </row>
    <row r="219" spans="1:8" x14ac:dyDescent="0.2">
      <c r="A219" s="3">
        <v>3030211001</v>
      </c>
      <c r="B219" s="4" t="s">
        <v>552</v>
      </c>
      <c r="C219" s="4" t="s">
        <v>553</v>
      </c>
      <c r="D219" s="3">
        <v>1</v>
      </c>
      <c r="E219" s="3" t="s">
        <v>16</v>
      </c>
      <c r="F219" s="3" t="s">
        <v>295</v>
      </c>
      <c r="G219" s="3" t="s">
        <v>17</v>
      </c>
      <c r="H219" s="3" t="s">
        <v>249</v>
      </c>
    </row>
    <row r="220" spans="1:8" x14ac:dyDescent="0.2">
      <c r="A220" s="3">
        <v>3030211001</v>
      </c>
      <c r="B220" s="4" t="s">
        <v>552</v>
      </c>
      <c r="C220" s="4" t="s">
        <v>553</v>
      </c>
      <c r="D220" s="3">
        <v>1</v>
      </c>
      <c r="E220" s="3" t="s">
        <v>16</v>
      </c>
      <c r="F220" s="3" t="s">
        <v>291</v>
      </c>
      <c r="G220" s="3" t="s">
        <v>26</v>
      </c>
      <c r="H220" s="3" t="s">
        <v>249</v>
      </c>
    </row>
    <row r="221" spans="1:8" x14ac:dyDescent="0.2">
      <c r="A221" s="3">
        <v>3080309001</v>
      </c>
      <c r="B221" s="4" t="s">
        <v>554</v>
      </c>
      <c r="C221" s="4" t="s">
        <v>555</v>
      </c>
      <c r="D221" s="3">
        <v>1</v>
      </c>
      <c r="E221" s="3" t="s">
        <v>16</v>
      </c>
      <c r="F221" s="3" t="s">
        <v>295</v>
      </c>
      <c r="G221" s="3" t="s">
        <v>17</v>
      </c>
      <c r="H221" s="3" t="s">
        <v>249</v>
      </c>
    </row>
    <row r="222" spans="1:8" x14ac:dyDescent="0.2">
      <c r="A222" s="3">
        <v>3080107268</v>
      </c>
      <c r="B222" s="4" t="s">
        <v>69</v>
      </c>
      <c r="C222" s="4" t="s">
        <v>556</v>
      </c>
      <c r="D222" s="3">
        <v>2</v>
      </c>
      <c r="E222" s="3" t="s">
        <v>16</v>
      </c>
      <c r="F222" s="3" t="s">
        <v>291</v>
      </c>
      <c r="G222" s="3" t="s">
        <v>26</v>
      </c>
      <c r="H222" s="3" t="s">
        <v>249</v>
      </c>
    </row>
    <row r="223" spans="1:8" x14ac:dyDescent="0.2">
      <c r="A223" s="3">
        <v>3080107269</v>
      </c>
      <c r="B223" s="4" t="s">
        <v>69</v>
      </c>
      <c r="C223" s="4" t="s">
        <v>557</v>
      </c>
      <c r="D223" s="3">
        <v>2</v>
      </c>
      <c r="E223" s="3" t="s">
        <v>16</v>
      </c>
      <c r="F223" s="3" t="s">
        <v>291</v>
      </c>
      <c r="G223" s="3" t="s">
        <v>26</v>
      </c>
      <c r="H223" s="3" t="s">
        <v>249</v>
      </c>
    </row>
    <row r="224" spans="1:8" x14ac:dyDescent="0.2">
      <c r="A224" s="3">
        <v>3060335008</v>
      </c>
      <c r="B224" s="4" t="s">
        <v>233</v>
      </c>
      <c r="C224" s="4" t="s">
        <v>1565</v>
      </c>
      <c r="D224" s="3">
        <v>1</v>
      </c>
      <c r="E224" s="3" t="s">
        <v>16</v>
      </c>
      <c r="F224" s="3" t="s">
        <v>289</v>
      </c>
      <c r="G224" s="3" t="s">
        <v>23</v>
      </c>
      <c r="H224" s="3" t="s">
        <v>254</v>
      </c>
    </row>
    <row r="225" spans="1:8" x14ac:dyDescent="0.2">
      <c r="A225" s="3">
        <v>3060324002</v>
      </c>
      <c r="B225" s="4" t="s">
        <v>735</v>
      </c>
      <c r="C225" s="4" t="s">
        <v>1571</v>
      </c>
      <c r="D225" s="3">
        <v>1</v>
      </c>
      <c r="E225" s="3" t="s">
        <v>16</v>
      </c>
      <c r="F225" s="3" t="s">
        <v>289</v>
      </c>
      <c r="G225" s="3" t="s">
        <v>23</v>
      </c>
      <c r="H225" s="3" t="s">
        <v>254</v>
      </c>
    </row>
    <row r="226" spans="1:8" x14ac:dyDescent="0.2">
      <c r="A226" s="3">
        <v>3060322004</v>
      </c>
      <c r="B226" s="4" t="s">
        <v>1589</v>
      </c>
      <c r="C226" s="4" t="s">
        <v>1590</v>
      </c>
      <c r="D226" s="3">
        <v>1</v>
      </c>
      <c r="E226" s="3" t="s">
        <v>16</v>
      </c>
      <c r="F226" s="3" t="s">
        <v>289</v>
      </c>
      <c r="G226" s="3" t="s">
        <v>23</v>
      </c>
      <c r="H226" s="3" t="s">
        <v>254</v>
      </c>
    </row>
    <row r="227" spans="1:8" x14ac:dyDescent="0.2">
      <c r="A227" s="3">
        <v>3030302001</v>
      </c>
      <c r="B227" s="4" t="s">
        <v>558</v>
      </c>
      <c r="C227" s="4" t="s">
        <v>534</v>
      </c>
      <c r="D227" s="3">
        <v>1</v>
      </c>
      <c r="E227" s="3" t="s">
        <v>16</v>
      </c>
      <c r="F227" s="3" t="s">
        <v>295</v>
      </c>
      <c r="G227" s="3" t="s">
        <v>17</v>
      </c>
      <c r="H227" s="3" t="s">
        <v>254</v>
      </c>
    </row>
    <row r="228" spans="1:8" x14ac:dyDescent="0.2">
      <c r="A228" s="3">
        <v>3030306030</v>
      </c>
      <c r="B228" s="4" t="s">
        <v>559</v>
      </c>
      <c r="C228" s="4" t="s">
        <v>1591</v>
      </c>
      <c r="D228" s="3">
        <v>1</v>
      </c>
      <c r="E228" s="3" t="s">
        <v>16</v>
      </c>
      <c r="F228" s="3" t="s">
        <v>295</v>
      </c>
      <c r="G228" s="3" t="s">
        <v>17</v>
      </c>
      <c r="H228" s="3" t="s">
        <v>254</v>
      </c>
    </row>
    <row r="229" spans="1:8" x14ac:dyDescent="0.2">
      <c r="A229" s="3">
        <v>3080311001</v>
      </c>
      <c r="B229" s="4" t="s">
        <v>561</v>
      </c>
      <c r="C229" s="4" t="s">
        <v>1223</v>
      </c>
      <c r="D229" s="3">
        <v>1</v>
      </c>
      <c r="E229" s="3" t="s">
        <v>16</v>
      </c>
      <c r="F229" s="3" t="s">
        <v>295</v>
      </c>
      <c r="G229" s="3" t="s">
        <v>17</v>
      </c>
      <c r="H229" s="3" t="s">
        <v>254</v>
      </c>
    </row>
    <row r="230" spans="1:8" x14ac:dyDescent="0.2">
      <c r="A230" s="3">
        <v>3030303008</v>
      </c>
      <c r="B230" s="4" t="s">
        <v>562</v>
      </c>
      <c r="C230" s="4" t="s">
        <v>1407</v>
      </c>
      <c r="D230" s="3">
        <v>1</v>
      </c>
      <c r="E230" s="3" t="s">
        <v>16</v>
      </c>
      <c r="F230" s="3" t="s">
        <v>295</v>
      </c>
      <c r="G230" s="3" t="s">
        <v>17</v>
      </c>
      <c r="H230" s="3" t="s">
        <v>254</v>
      </c>
    </row>
    <row r="231" spans="1:8" x14ac:dyDescent="0.2">
      <c r="A231" s="3">
        <v>3030303009</v>
      </c>
      <c r="B231" s="4" t="s">
        <v>564</v>
      </c>
      <c r="C231" s="4" t="s">
        <v>1407</v>
      </c>
      <c r="D231" s="3">
        <v>1</v>
      </c>
      <c r="E231" s="3" t="s">
        <v>16</v>
      </c>
      <c r="F231" s="3" t="s">
        <v>295</v>
      </c>
      <c r="G231" s="3" t="s">
        <v>17</v>
      </c>
      <c r="H231" s="3" t="s">
        <v>254</v>
      </c>
    </row>
    <row r="232" spans="1:8" x14ac:dyDescent="0.2">
      <c r="A232" s="3">
        <v>3040323001</v>
      </c>
      <c r="B232" s="4" t="s">
        <v>565</v>
      </c>
      <c r="C232" s="4" t="s">
        <v>566</v>
      </c>
      <c r="D232" s="3">
        <v>2</v>
      </c>
      <c r="E232" s="3" t="s">
        <v>16</v>
      </c>
      <c r="F232" s="3" t="s">
        <v>293</v>
      </c>
      <c r="G232" s="3" t="s">
        <v>29</v>
      </c>
      <c r="H232" s="3" t="s">
        <v>254</v>
      </c>
    </row>
    <row r="233" spans="1:8" x14ac:dyDescent="0.2">
      <c r="A233" s="3">
        <v>3040302001</v>
      </c>
      <c r="B233" s="4" t="s">
        <v>567</v>
      </c>
      <c r="C233" s="4" t="s">
        <v>568</v>
      </c>
      <c r="D233" s="3">
        <v>1</v>
      </c>
      <c r="E233" s="3" t="s">
        <v>16</v>
      </c>
      <c r="F233" s="3" t="s">
        <v>293</v>
      </c>
      <c r="G233" s="3" t="s">
        <v>29</v>
      </c>
      <c r="H233" s="3" t="s">
        <v>254</v>
      </c>
    </row>
    <row r="234" spans="1:8" x14ac:dyDescent="0.2">
      <c r="A234" s="3">
        <v>3040302002</v>
      </c>
      <c r="B234" s="4" t="s">
        <v>567</v>
      </c>
      <c r="C234" s="4" t="s">
        <v>569</v>
      </c>
      <c r="D234" s="3">
        <v>1</v>
      </c>
      <c r="E234" s="3" t="s">
        <v>16</v>
      </c>
      <c r="F234" s="3" t="s">
        <v>293</v>
      </c>
      <c r="G234" s="3" t="s">
        <v>29</v>
      </c>
      <c r="H234" s="3" t="s">
        <v>254</v>
      </c>
    </row>
    <row r="235" spans="1:8" x14ac:dyDescent="0.2">
      <c r="A235" s="3">
        <v>3040324001</v>
      </c>
      <c r="B235" s="4" t="s">
        <v>570</v>
      </c>
      <c r="C235" s="4" t="s">
        <v>1223</v>
      </c>
      <c r="D235" s="3">
        <v>2</v>
      </c>
      <c r="E235" s="3" t="s">
        <v>16</v>
      </c>
      <c r="F235" s="3" t="s">
        <v>293</v>
      </c>
      <c r="G235" s="3" t="s">
        <v>29</v>
      </c>
      <c r="H235" s="3" t="s">
        <v>254</v>
      </c>
    </row>
    <row r="236" spans="1:8" x14ac:dyDescent="0.2">
      <c r="A236" s="3">
        <v>3030302008</v>
      </c>
      <c r="B236" s="4" t="s">
        <v>571</v>
      </c>
      <c r="C236" s="4" t="s">
        <v>572</v>
      </c>
      <c r="D236" s="3">
        <v>1</v>
      </c>
      <c r="E236" s="3" t="s">
        <v>16</v>
      </c>
      <c r="F236" s="3" t="s">
        <v>295</v>
      </c>
      <c r="G236" s="3" t="s">
        <v>17</v>
      </c>
      <c r="H236" s="3" t="s">
        <v>254</v>
      </c>
    </row>
    <row r="237" spans="1:8" x14ac:dyDescent="0.2">
      <c r="A237" s="3">
        <v>3030302009</v>
      </c>
      <c r="B237" s="4" t="s">
        <v>571</v>
      </c>
      <c r="C237" s="4" t="s">
        <v>573</v>
      </c>
      <c r="D237" s="3">
        <v>1</v>
      </c>
      <c r="E237" s="3" t="s">
        <v>16</v>
      </c>
      <c r="F237" s="3" t="s">
        <v>295</v>
      </c>
      <c r="G237" s="3" t="s">
        <v>17</v>
      </c>
      <c r="H237" s="3" t="s">
        <v>254</v>
      </c>
    </row>
    <row r="238" spans="1:8" x14ac:dyDescent="0.2">
      <c r="A238" s="3">
        <v>3030302004</v>
      </c>
      <c r="B238" s="4" t="s">
        <v>574</v>
      </c>
      <c r="C238" s="4" t="s">
        <v>575</v>
      </c>
      <c r="D238" s="3">
        <v>1</v>
      </c>
      <c r="E238" s="3" t="s">
        <v>16</v>
      </c>
      <c r="F238" s="3" t="s">
        <v>295</v>
      </c>
      <c r="G238" s="3" t="s">
        <v>17</v>
      </c>
      <c r="H238" s="3" t="s">
        <v>254</v>
      </c>
    </row>
    <row r="239" spans="1:8" x14ac:dyDescent="0.2">
      <c r="A239" s="3">
        <v>3030302006</v>
      </c>
      <c r="B239" s="4" t="s">
        <v>576</v>
      </c>
      <c r="C239" s="4" t="s">
        <v>575</v>
      </c>
      <c r="D239" s="3">
        <v>1</v>
      </c>
      <c r="E239" s="3" t="s">
        <v>16</v>
      </c>
      <c r="F239" s="3" t="s">
        <v>295</v>
      </c>
      <c r="G239" s="3" t="s">
        <v>17</v>
      </c>
      <c r="H239" s="3" t="s">
        <v>254</v>
      </c>
    </row>
    <row r="240" spans="1:8" x14ac:dyDescent="0.2">
      <c r="A240" s="3">
        <v>3030314004</v>
      </c>
      <c r="B240" s="4" t="s">
        <v>577</v>
      </c>
      <c r="C240" s="4" t="s">
        <v>575</v>
      </c>
      <c r="D240" s="3">
        <v>1</v>
      </c>
      <c r="E240" s="3" t="s">
        <v>16</v>
      </c>
      <c r="F240" s="3" t="s">
        <v>295</v>
      </c>
      <c r="G240" s="3" t="s">
        <v>17</v>
      </c>
      <c r="H240" s="3" t="s">
        <v>254</v>
      </c>
    </row>
    <row r="241" spans="1:8" x14ac:dyDescent="0.2">
      <c r="A241" s="3">
        <v>3030308001</v>
      </c>
      <c r="B241" s="4" t="s">
        <v>578</v>
      </c>
      <c r="C241" s="4" t="s">
        <v>575</v>
      </c>
      <c r="D241" s="3">
        <v>1</v>
      </c>
      <c r="E241" s="3" t="s">
        <v>16</v>
      </c>
      <c r="F241" s="3" t="s">
        <v>295</v>
      </c>
      <c r="G241" s="3" t="s">
        <v>17</v>
      </c>
      <c r="H241" s="3" t="s">
        <v>254</v>
      </c>
    </row>
    <row r="242" spans="1:8" x14ac:dyDescent="0.2">
      <c r="A242" s="3">
        <v>3030314003</v>
      </c>
      <c r="B242" s="4" t="s">
        <v>579</v>
      </c>
      <c r="C242" s="4" t="s">
        <v>575</v>
      </c>
      <c r="D242" s="3">
        <v>1</v>
      </c>
      <c r="E242" s="3" t="s">
        <v>16</v>
      </c>
      <c r="F242" s="3" t="s">
        <v>295</v>
      </c>
      <c r="G242" s="3" t="s">
        <v>17</v>
      </c>
      <c r="H242" s="3" t="s">
        <v>254</v>
      </c>
    </row>
    <row r="243" spans="1:8" x14ac:dyDescent="0.2">
      <c r="A243" s="3">
        <v>3030308003</v>
      </c>
      <c r="B243" s="4" t="s">
        <v>580</v>
      </c>
      <c r="C243" s="4" t="s">
        <v>581</v>
      </c>
      <c r="D243" s="3">
        <v>1</v>
      </c>
      <c r="E243" s="3" t="s">
        <v>16</v>
      </c>
      <c r="F243" s="3" t="s">
        <v>295</v>
      </c>
      <c r="G243" s="3" t="s">
        <v>17</v>
      </c>
      <c r="H243" s="3" t="s">
        <v>254</v>
      </c>
    </row>
    <row r="244" spans="1:8" x14ac:dyDescent="0.2">
      <c r="A244" s="3">
        <v>3040325008</v>
      </c>
      <c r="B244" s="4" t="s">
        <v>582</v>
      </c>
      <c r="C244" s="4" t="s">
        <v>542</v>
      </c>
      <c r="D244" s="3">
        <v>1</v>
      </c>
      <c r="E244" s="3" t="s">
        <v>16</v>
      </c>
      <c r="F244" s="3" t="s">
        <v>293</v>
      </c>
      <c r="G244" s="3" t="s">
        <v>29</v>
      </c>
      <c r="H244" s="3" t="s">
        <v>254</v>
      </c>
    </row>
    <row r="245" spans="1:8" x14ac:dyDescent="0.2">
      <c r="A245" s="3">
        <v>3040325007</v>
      </c>
      <c r="B245" s="4" t="s">
        <v>582</v>
      </c>
      <c r="C245" s="4" t="s">
        <v>543</v>
      </c>
      <c r="D245" s="3">
        <v>1</v>
      </c>
      <c r="E245" s="3" t="s">
        <v>16</v>
      </c>
      <c r="F245" s="3" t="s">
        <v>293</v>
      </c>
      <c r="G245" s="3" t="s">
        <v>29</v>
      </c>
      <c r="H245" s="3" t="s">
        <v>254</v>
      </c>
    </row>
    <row r="246" spans="1:8" x14ac:dyDescent="0.2">
      <c r="A246" s="3">
        <v>3040326005</v>
      </c>
      <c r="B246" s="4" t="s">
        <v>546</v>
      </c>
      <c r="C246" s="4" t="s">
        <v>1592</v>
      </c>
      <c r="D246" s="3">
        <v>1</v>
      </c>
      <c r="E246" s="3" t="s">
        <v>16</v>
      </c>
      <c r="F246" s="3" t="s">
        <v>293</v>
      </c>
      <c r="G246" s="3" t="s">
        <v>29</v>
      </c>
      <c r="H246" s="3" t="s">
        <v>254</v>
      </c>
    </row>
    <row r="247" spans="1:8" x14ac:dyDescent="0.2">
      <c r="A247" s="3">
        <v>3040326009</v>
      </c>
      <c r="B247" s="4" t="s">
        <v>546</v>
      </c>
      <c r="C247" s="4" t="s">
        <v>1593</v>
      </c>
      <c r="D247" s="3">
        <v>1</v>
      </c>
      <c r="E247" s="3" t="s">
        <v>16</v>
      </c>
      <c r="F247" s="3" t="s">
        <v>293</v>
      </c>
      <c r="G247" s="3" t="s">
        <v>29</v>
      </c>
      <c r="H247" s="3" t="s">
        <v>254</v>
      </c>
    </row>
    <row r="248" spans="1:8" x14ac:dyDescent="0.2">
      <c r="A248" s="3">
        <v>3040308003</v>
      </c>
      <c r="B248" s="4" t="s">
        <v>583</v>
      </c>
      <c r="C248" s="4" t="s">
        <v>536</v>
      </c>
      <c r="D248" s="3">
        <v>2</v>
      </c>
      <c r="E248" s="3" t="s">
        <v>16</v>
      </c>
      <c r="F248" s="3" t="s">
        <v>293</v>
      </c>
      <c r="G248" s="3" t="s">
        <v>29</v>
      </c>
      <c r="H248" s="3" t="s">
        <v>254</v>
      </c>
    </row>
    <row r="249" spans="1:8" x14ac:dyDescent="0.2">
      <c r="A249" s="3">
        <v>3030302007</v>
      </c>
      <c r="B249" s="4" t="s">
        <v>584</v>
      </c>
      <c r="C249" s="4" t="s">
        <v>575</v>
      </c>
      <c r="D249" s="3">
        <v>1</v>
      </c>
      <c r="E249" s="3" t="s">
        <v>16</v>
      </c>
      <c r="F249" s="3" t="s">
        <v>295</v>
      </c>
      <c r="G249" s="3" t="s">
        <v>17</v>
      </c>
      <c r="H249" s="3" t="s">
        <v>254</v>
      </c>
    </row>
    <row r="250" spans="1:8" x14ac:dyDescent="0.2">
      <c r="A250" s="3">
        <v>3070205006</v>
      </c>
      <c r="B250" s="4" t="s">
        <v>372</v>
      </c>
      <c r="C250" s="4" t="s">
        <v>1594</v>
      </c>
      <c r="D250" s="3">
        <v>1</v>
      </c>
      <c r="E250" s="3" t="s">
        <v>16</v>
      </c>
      <c r="F250" s="3" t="s">
        <v>317</v>
      </c>
      <c r="G250" s="3" t="s">
        <v>318</v>
      </c>
      <c r="H250" s="3" t="s">
        <v>254</v>
      </c>
    </row>
    <row r="251" spans="1:8" x14ac:dyDescent="0.2">
      <c r="A251" s="3">
        <v>3070202006</v>
      </c>
      <c r="B251" s="4" t="s">
        <v>388</v>
      </c>
      <c r="C251" s="4" t="s">
        <v>1565</v>
      </c>
      <c r="D251" s="3">
        <v>1</v>
      </c>
      <c r="E251" s="3" t="s">
        <v>16</v>
      </c>
      <c r="F251" s="3" t="s">
        <v>317</v>
      </c>
      <c r="G251" s="3" t="s">
        <v>318</v>
      </c>
      <c r="H251" s="3" t="s">
        <v>254</v>
      </c>
    </row>
    <row r="252" spans="1:8" x14ac:dyDescent="0.2">
      <c r="A252" s="3">
        <v>3070209002</v>
      </c>
      <c r="B252" s="4" t="s">
        <v>748</v>
      </c>
      <c r="C252" s="4" t="s">
        <v>1565</v>
      </c>
      <c r="D252" s="3">
        <v>1</v>
      </c>
      <c r="E252" s="3" t="s">
        <v>16</v>
      </c>
      <c r="F252" s="3" t="s">
        <v>317</v>
      </c>
      <c r="G252" s="3" t="s">
        <v>318</v>
      </c>
      <c r="H252" s="3" t="s">
        <v>254</v>
      </c>
    </row>
    <row r="253" spans="1:8" x14ac:dyDescent="0.2">
      <c r="A253" s="3">
        <v>3111601003</v>
      </c>
      <c r="B253" s="4" t="s">
        <v>585</v>
      </c>
      <c r="C253" s="4" t="s">
        <v>586</v>
      </c>
      <c r="D253" s="3">
        <v>2</v>
      </c>
      <c r="E253" s="3" t="s">
        <v>16</v>
      </c>
      <c r="F253" s="3" t="s">
        <v>291</v>
      </c>
      <c r="G253" s="3" t="s">
        <v>26</v>
      </c>
      <c r="H253" s="3" t="s">
        <v>254</v>
      </c>
    </row>
    <row r="254" spans="1:8" x14ac:dyDescent="0.2">
      <c r="A254" s="3">
        <v>3060339003</v>
      </c>
      <c r="B254" s="4" t="s">
        <v>737</v>
      </c>
      <c r="C254" s="4" t="s">
        <v>1565</v>
      </c>
      <c r="D254" s="3">
        <v>1</v>
      </c>
      <c r="E254" s="3" t="s">
        <v>16</v>
      </c>
      <c r="F254" s="3" t="s">
        <v>702</v>
      </c>
      <c r="G254" s="3" t="s">
        <v>703</v>
      </c>
      <c r="H254" s="3" t="s">
        <v>254</v>
      </c>
    </row>
    <row r="255" spans="1:8" x14ac:dyDescent="0.2">
      <c r="A255" s="3">
        <v>3060325002</v>
      </c>
      <c r="B255" s="4" t="s">
        <v>739</v>
      </c>
      <c r="C255" s="4" t="s">
        <v>1563</v>
      </c>
      <c r="D255" s="3">
        <v>1</v>
      </c>
      <c r="E255" s="3" t="s">
        <v>16</v>
      </c>
      <c r="F255" s="3" t="s">
        <v>289</v>
      </c>
      <c r="G255" s="3" t="s">
        <v>23</v>
      </c>
      <c r="H255" s="3" t="s">
        <v>254</v>
      </c>
    </row>
    <row r="256" spans="1:8" x14ac:dyDescent="0.2">
      <c r="A256" s="3">
        <v>3050303004</v>
      </c>
      <c r="B256" s="4" t="s">
        <v>245</v>
      </c>
      <c r="C256" s="4" t="s">
        <v>1368</v>
      </c>
      <c r="D256" s="3">
        <v>1</v>
      </c>
      <c r="E256" s="3" t="s">
        <v>16</v>
      </c>
      <c r="F256" s="3" t="s">
        <v>291</v>
      </c>
      <c r="G256" s="3" t="s">
        <v>26</v>
      </c>
      <c r="H256" s="3" t="s">
        <v>254</v>
      </c>
    </row>
    <row r="257" spans="1:8" x14ac:dyDescent="0.2">
      <c r="A257" s="3">
        <v>3080310002</v>
      </c>
      <c r="B257" s="4" t="s">
        <v>588</v>
      </c>
      <c r="C257" s="4" t="s">
        <v>589</v>
      </c>
      <c r="D257" s="3">
        <v>1</v>
      </c>
      <c r="E257" s="3" t="s">
        <v>16</v>
      </c>
      <c r="F257" s="3" t="s">
        <v>295</v>
      </c>
      <c r="G257" s="3" t="s">
        <v>17</v>
      </c>
      <c r="H257" s="3" t="s">
        <v>590</v>
      </c>
    </row>
    <row r="258" spans="1:8" x14ac:dyDescent="0.2">
      <c r="A258" s="3">
        <v>3060404006</v>
      </c>
      <c r="B258" s="4" t="s">
        <v>729</v>
      </c>
      <c r="C258" s="4" t="s">
        <v>1099</v>
      </c>
      <c r="D258" s="3">
        <v>1</v>
      </c>
      <c r="E258" s="3" t="s">
        <v>16</v>
      </c>
      <c r="F258" s="3" t="s">
        <v>289</v>
      </c>
      <c r="G258" s="3" t="s">
        <v>23</v>
      </c>
      <c r="H258" s="3" t="s">
        <v>769</v>
      </c>
    </row>
  </sheetData>
  <phoneticPr fontId="2" type="noConversion"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819EE-01BC-4D67-9568-A30C66F3DCF7}">
  <dimension ref="A1:H95"/>
  <sheetViews>
    <sheetView workbookViewId="0">
      <selection activeCell="J22" sqref="J22"/>
    </sheetView>
  </sheetViews>
  <sheetFormatPr defaultRowHeight="14.25" x14ac:dyDescent="0.2"/>
  <cols>
    <col min="1" max="1" width="12.625" customWidth="1"/>
    <col min="2" max="3" width="12.25" customWidth="1"/>
  </cols>
  <sheetData>
    <row r="1" spans="1:8" x14ac:dyDescent="0.2">
      <c r="A1" s="3" t="s">
        <v>1663</v>
      </c>
      <c r="B1" s="4"/>
      <c r="C1" s="4"/>
      <c r="D1" s="3"/>
      <c r="E1" s="3"/>
      <c r="F1" s="3"/>
      <c r="G1" s="3"/>
      <c r="H1" s="3"/>
    </row>
    <row r="2" spans="1:8" ht="28.5" x14ac:dyDescent="0.2">
      <c r="A2" s="1" t="s">
        <v>0</v>
      </c>
      <c r="B2" s="2" t="s">
        <v>1</v>
      </c>
      <c r="C2" s="2" t="s">
        <v>2</v>
      </c>
      <c r="D2" s="1" t="s">
        <v>4</v>
      </c>
      <c r="E2" s="1" t="s">
        <v>3</v>
      </c>
      <c r="F2" s="1" t="s">
        <v>5</v>
      </c>
      <c r="G2" s="1" t="s">
        <v>6</v>
      </c>
      <c r="H2" s="1" t="s">
        <v>7</v>
      </c>
    </row>
    <row r="3" spans="1:8" s="10" customFormat="1" x14ac:dyDescent="0.2">
      <c r="A3" s="8" t="s">
        <v>390</v>
      </c>
      <c r="B3" s="9" t="s">
        <v>8</v>
      </c>
      <c r="C3" s="9" t="s">
        <v>9</v>
      </c>
      <c r="D3" s="13">
        <f>0.4546/0.94</f>
        <v>0.48361702127659578</v>
      </c>
      <c r="E3" s="8" t="s">
        <v>596</v>
      </c>
      <c r="F3" s="8" t="s">
        <v>283</v>
      </c>
      <c r="G3" s="8" t="s">
        <v>13</v>
      </c>
      <c r="H3" s="8" t="s">
        <v>12</v>
      </c>
    </row>
    <row r="4" spans="1:8" x14ac:dyDescent="0.2">
      <c r="A4" s="3">
        <v>403010371</v>
      </c>
      <c r="B4" s="4" t="s">
        <v>684</v>
      </c>
      <c r="C4" s="4" t="s">
        <v>1596</v>
      </c>
      <c r="D4" s="3">
        <v>2</v>
      </c>
      <c r="E4" s="3" t="s">
        <v>16</v>
      </c>
      <c r="F4" s="3" t="s">
        <v>301</v>
      </c>
      <c r="G4" s="3" t="s">
        <v>32</v>
      </c>
      <c r="H4" s="3" t="s">
        <v>306</v>
      </c>
    </row>
    <row r="5" spans="1:8" x14ac:dyDescent="0.2">
      <c r="A5" s="3">
        <v>403010389</v>
      </c>
      <c r="B5" s="4" t="s">
        <v>684</v>
      </c>
      <c r="C5" s="4" t="s">
        <v>1597</v>
      </c>
      <c r="D5" s="3">
        <v>1</v>
      </c>
      <c r="E5" s="3" t="s">
        <v>16</v>
      </c>
      <c r="F5" s="3" t="s">
        <v>301</v>
      </c>
      <c r="G5" s="3" t="s">
        <v>32</v>
      </c>
      <c r="H5" s="3" t="s">
        <v>306</v>
      </c>
    </row>
    <row r="6" spans="1:8" x14ac:dyDescent="0.2">
      <c r="A6" s="3">
        <v>402030028</v>
      </c>
      <c r="B6" s="4" t="s">
        <v>107</v>
      </c>
      <c r="C6" s="4" t="s">
        <v>305</v>
      </c>
      <c r="D6" s="3">
        <v>1</v>
      </c>
      <c r="E6" s="3" t="s">
        <v>16</v>
      </c>
      <c r="F6" s="3" t="s">
        <v>289</v>
      </c>
      <c r="G6" s="3" t="s">
        <v>23</v>
      </c>
      <c r="H6" s="3" t="s">
        <v>306</v>
      </c>
    </row>
    <row r="7" spans="1:8" x14ac:dyDescent="0.2">
      <c r="A7" s="3">
        <v>404020029</v>
      </c>
      <c r="B7" s="4" t="s">
        <v>30</v>
      </c>
      <c r="C7" s="4" t="s">
        <v>31</v>
      </c>
      <c r="D7" s="3">
        <v>1</v>
      </c>
      <c r="E7" s="3" t="s">
        <v>16</v>
      </c>
      <c r="F7" s="3" t="s">
        <v>301</v>
      </c>
      <c r="G7" s="3" t="s">
        <v>32</v>
      </c>
      <c r="H7" s="3" t="s">
        <v>33</v>
      </c>
    </row>
    <row r="8" spans="1:8" x14ac:dyDescent="0.2">
      <c r="A8" s="3">
        <v>404020115</v>
      </c>
      <c r="B8" s="4" t="s">
        <v>30</v>
      </c>
      <c r="C8" s="4" t="s">
        <v>1598</v>
      </c>
      <c r="D8" s="3">
        <v>1</v>
      </c>
      <c r="E8" s="3" t="s">
        <v>16</v>
      </c>
      <c r="F8" s="3" t="s">
        <v>291</v>
      </c>
      <c r="G8" s="3" t="s">
        <v>26</v>
      </c>
      <c r="H8" s="3" t="s">
        <v>33</v>
      </c>
    </row>
    <row r="9" spans="1:8" x14ac:dyDescent="0.2">
      <c r="A9" s="3">
        <v>401020241</v>
      </c>
      <c r="B9" s="4" t="s">
        <v>35</v>
      </c>
      <c r="C9" s="4" t="s">
        <v>1599</v>
      </c>
      <c r="D9" s="3">
        <v>1</v>
      </c>
      <c r="E9" s="3" t="s">
        <v>16</v>
      </c>
      <c r="F9" s="3" t="s">
        <v>301</v>
      </c>
      <c r="G9" s="3" t="s">
        <v>32</v>
      </c>
      <c r="H9" s="3" t="s">
        <v>33</v>
      </c>
    </row>
    <row r="10" spans="1:8" x14ac:dyDescent="0.2">
      <c r="A10" s="3">
        <v>401040456</v>
      </c>
      <c r="B10" s="4" t="s">
        <v>35</v>
      </c>
      <c r="C10" s="4" t="s">
        <v>1600</v>
      </c>
      <c r="D10" s="3">
        <v>1</v>
      </c>
      <c r="E10" s="3" t="s">
        <v>16</v>
      </c>
      <c r="F10" s="3" t="s">
        <v>291</v>
      </c>
      <c r="G10" s="3" t="s">
        <v>26</v>
      </c>
      <c r="H10" s="3" t="s">
        <v>33</v>
      </c>
    </row>
    <row r="11" spans="1:8" x14ac:dyDescent="0.2">
      <c r="A11" s="3">
        <v>3080101001</v>
      </c>
      <c r="B11" s="4" t="s">
        <v>411</v>
      </c>
      <c r="C11" s="4" t="s">
        <v>1601</v>
      </c>
      <c r="D11" s="3">
        <v>10</v>
      </c>
      <c r="E11" s="3" t="s">
        <v>16</v>
      </c>
      <c r="F11" s="3" t="s">
        <v>317</v>
      </c>
      <c r="G11" s="3" t="s">
        <v>318</v>
      </c>
      <c r="H11" s="3" t="s">
        <v>40</v>
      </c>
    </row>
    <row r="12" spans="1:8" x14ac:dyDescent="0.2">
      <c r="A12" s="3">
        <v>3080105028</v>
      </c>
      <c r="B12" s="4" t="s">
        <v>50</v>
      </c>
      <c r="C12" s="4" t="s">
        <v>1602</v>
      </c>
      <c r="D12" s="3">
        <v>4</v>
      </c>
      <c r="E12" s="3" t="s">
        <v>16</v>
      </c>
      <c r="F12" s="3" t="s">
        <v>289</v>
      </c>
      <c r="G12" s="3" t="s">
        <v>23</v>
      </c>
      <c r="H12" s="3" t="s">
        <v>40</v>
      </c>
    </row>
    <row r="13" spans="1:8" x14ac:dyDescent="0.2">
      <c r="A13" s="3">
        <v>3080105021</v>
      </c>
      <c r="B13" s="4" t="s">
        <v>50</v>
      </c>
      <c r="C13" s="4" t="s">
        <v>319</v>
      </c>
      <c r="D13" s="3">
        <v>3</v>
      </c>
      <c r="E13" s="3" t="s">
        <v>16</v>
      </c>
      <c r="F13" s="3" t="s">
        <v>289</v>
      </c>
      <c r="G13" s="3" t="s">
        <v>23</v>
      </c>
      <c r="H13" s="3" t="s">
        <v>40</v>
      </c>
    </row>
    <row r="14" spans="1:8" x14ac:dyDescent="0.2">
      <c r="A14" s="3">
        <v>3080105028</v>
      </c>
      <c r="B14" s="4" t="s">
        <v>50</v>
      </c>
      <c r="C14" s="4" t="s">
        <v>1602</v>
      </c>
      <c r="D14" s="3">
        <v>2</v>
      </c>
      <c r="E14" s="3" t="s">
        <v>16</v>
      </c>
      <c r="F14" s="3" t="s">
        <v>289</v>
      </c>
      <c r="G14" s="3" t="s">
        <v>23</v>
      </c>
      <c r="H14" s="3" t="s">
        <v>40</v>
      </c>
    </row>
    <row r="15" spans="1:8" x14ac:dyDescent="0.2">
      <c r="A15" s="3">
        <v>3080105007</v>
      </c>
      <c r="B15" s="4" t="s">
        <v>50</v>
      </c>
      <c r="C15" s="4" t="s">
        <v>52</v>
      </c>
      <c r="D15" s="3">
        <v>2</v>
      </c>
      <c r="E15" s="3" t="s">
        <v>16</v>
      </c>
      <c r="F15" s="3" t="s">
        <v>293</v>
      </c>
      <c r="G15" s="3" t="s">
        <v>29</v>
      </c>
      <c r="H15" s="3" t="s">
        <v>40</v>
      </c>
    </row>
    <row r="16" spans="1:8" x14ac:dyDescent="0.2">
      <c r="A16" s="3">
        <v>3080105021</v>
      </c>
      <c r="B16" s="4" t="s">
        <v>50</v>
      </c>
      <c r="C16" s="4" t="s">
        <v>319</v>
      </c>
      <c r="D16" s="3">
        <v>4</v>
      </c>
      <c r="E16" s="3" t="s">
        <v>16</v>
      </c>
      <c r="F16" s="3" t="s">
        <v>291</v>
      </c>
      <c r="G16" s="3" t="s">
        <v>26</v>
      </c>
      <c r="H16" s="3" t="s">
        <v>40</v>
      </c>
    </row>
    <row r="17" spans="1:8" x14ac:dyDescent="0.2">
      <c r="A17" s="3">
        <v>3080105077</v>
      </c>
      <c r="B17" s="4" t="s">
        <v>50</v>
      </c>
      <c r="C17" s="4" t="s">
        <v>1603</v>
      </c>
      <c r="D17" s="3">
        <v>2</v>
      </c>
      <c r="E17" s="3" t="s">
        <v>16</v>
      </c>
      <c r="F17" s="3" t="s">
        <v>291</v>
      </c>
      <c r="G17" s="3" t="s">
        <v>26</v>
      </c>
      <c r="H17" s="3" t="s">
        <v>40</v>
      </c>
    </row>
    <row r="18" spans="1:8" x14ac:dyDescent="0.2">
      <c r="A18" s="3">
        <v>3080105040</v>
      </c>
      <c r="B18" s="4" t="s">
        <v>50</v>
      </c>
      <c r="C18" s="4" t="s">
        <v>421</v>
      </c>
      <c r="D18" s="3">
        <v>2</v>
      </c>
      <c r="E18" s="3" t="s">
        <v>16</v>
      </c>
      <c r="F18" s="3" t="s">
        <v>291</v>
      </c>
      <c r="G18" s="3" t="s">
        <v>26</v>
      </c>
      <c r="H18" s="3" t="s">
        <v>40</v>
      </c>
    </row>
    <row r="19" spans="1:8" x14ac:dyDescent="0.2">
      <c r="A19" s="3">
        <v>3080502002</v>
      </c>
      <c r="B19" s="4" t="s">
        <v>55</v>
      </c>
      <c r="C19" s="4" t="s">
        <v>56</v>
      </c>
      <c r="D19" s="3">
        <v>1</v>
      </c>
      <c r="E19" s="3" t="s">
        <v>16</v>
      </c>
      <c r="F19" s="3" t="s">
        <v>317</v>
      </c>
      <c r="G19" s="3" t="s">
        <v>318</v>
      </c>
      <c r="H19" s="3" t="s">
        <v>40</v>
      </c>
    </row>
    <row r="20" spans="1:8" x14ac:dyDescent="0.2">
      <c r="A20" s="3">
        <v>3080501001</v>
      </c>
      <c r="B20" s="4" t="s">
        <v>57</v>
      </c>
      <c r="C20" s="4" t="s">
        <v>1604</v>
      </c>
      <c r="D20" s="3">
        <v>2</v>
      </c>
      <c r="E20" s="3" t="s">
        <v>16</v>
      </c>
      <c r="F20" s="3" t="s">
        <v>289</v>
      </c>
      <c r="G20" s="3" t="s">
        <v>23</v>
      </c>
      <c r="H20" s="3" t="s">
        <v>40</v>
      </c>
    </row>
    <row r="21" spans="1:8" x14ac:dyDescent="0.2">
      <c r="A21" s="3">
        <v>3080501013</v>
      </c>
      <c r="B21" s="4" t="s">
        <v>57</v>
      </c>
      <c r="C21" s="4" t="s">
        <v>58</v>
      </c>
      <c r="D21" s="3">
        <v>2</v>
      </c>
      <c r="E21" s="3" t="s">
        <v>16</v>
      </c>
      <c r="F21" s="3" t="s">
        <v>293</v>
      </c>
      <c r="G21" s="3" t="s">
        <v>29</v>
      </c>
      <c r="H21" s="3" t="s">
        <v>40</v>
      </c>
    </row>
    <row r="22" spans="1:8" x14ac:dyDescent="0.2">
      <c r="A22" s="3">
        <v>3080501046</v>
      </c>
      <c r="B22" s="4" t="s">
        <v>57</v>
      </c>
      <c r="C22" s="4" t="s">
        <v>1605</v>
      </c>
      <c r="D22" s="3">
        <v>4</v>
      </c>
      <c r="E22" s="3" t="s">
        <v>16</v>
      </c>
      <c r="F22" s="3" t="s">
        <v>317</v>
      </c>
      <c r="G22" s="3" t="s">
        <v>318</v>
      </c>
      <c r="H22" s="3" t="s">
        <v>40</v>
      </c>
    </row>
    <row r="23" spans="1:8" x14ac:dyDescent="0.2">
      <c r="A23" s="3">
        <v>3080201016</v>
      </c>
      <c r="B23" s="4" t="s">
        <v>60</v>
      </c>
      <c r="C23" s="4" t="s">
        <v>1606</v>
      </c>
      <c r="D23" s="3">
        <v>5</v>
      </c>
      <c r="E23" s="3" t="s">
        <v>16</v>
      </c>
      <c r="F23" s="3" t="s">
        <v>289</v>
      </c>
      <c r="G23" s="3" t="s">
        <v>23</v>
      </c>
      <c r="H23" s="3" t="s">
        <v>40</v>
      </c>
    </row>
    <row r="24" spans="1:8" x14ac:dyDescent="0.2">
      <c r="A24" s="3">
        <v>3080201012</v>
      </c>
      <c r="B24" s="4" t="s">
        <v>60</v>
      </c>
      <c r="C24" s="4" t="s">
        <v>320</v>
      </c>
      <c r="D24" s="3">
        <v>1</v>
      </c>
      <c r="E24" s="3" t="s">
        <v>16</v>
      </c>
      <c r="F24" s="3" t="s">
        <v>317</v>
      </c>
      <c r="G24" s="3" t="s">
        <v>318</v>
      </c>
      <c r="H24" s="3" t="s">
        <v>40</v>
      </c>
    </row>
    <row r="25" spans="1:8" x14ac:dyDescent="0.2">
      <c r="A25" s="3">
        <v>3080201027</v>
      </c>
      <c r="B25" s="4" t="s">
        <v>60</v>
      </c>
      <c r="C25" s="4" t="s">
        <v>1607</v>
      </c>
      <c r="D25" s="3">
        <v>1</v>
      </c>
      <c r="E25" s="3" t="s">
        <v>16</v>
      </c>
      <c r="F25" s="3" t="s">
        <v>317</v>
      </c>
      <c r="G25" s="3" t="s">
        <v>318</v>
      </c>
      <c r="H25" s="3" t="s">
        <v>40</v>
      </c>
    </row>
    <row r="26" spans="1:8" x14ac:dyDescent="0.2">
      <c r="A26" s="3">
        <v>3080106014</v>
      </c>
      <c r="B26" s="4" t="s">
        <v>66</v>
      </c>
      <c r="C26" s="4" t="s">
        <v>1608</v>
      </c>
      <c r="D26" s="3">
        <v>4</v>
      </c>
      <c r="E26" s="3" t="s">
        <v>16</v>
      </c>
      <c r="F26" s="3" t="s">
        <v>291</v>
      </c>
      <c r="G26" s="3" t="s">
        <v>26</v>
      </c>
      <c r="H26" s="3" t="s">
        <v>40</v>
      </c>
    </row>
    <row r="27" spans="1:8" x14ac:dyDescent="0.2">
      <c r="A27" s="3">
        <v>3080107290</v>
      </c>
      <c r="B27" s="4" t="s">
        <v>69</v>
      </c>
      <c r="C27" s="4" t="s">
        <v>1609</v>
      </c>
      <c r="D27" s="3">
        <v>7</v>
      </c>
      <c r="E27" s="3" t="s">
        <v>16</v>
      </c>
      <c r="F27" s="3" t="s">
        <v>289</v>
      </c>
      <c r="G27" s="3" t="s">
        <v>23</v>
      </c>
      <c r="H27" s="3" t="s">
        <v>40</v>
      </c>
    </row>
    <row r="28" spans="1:8" x14ac:dyDescent="0.2">
      <c r="A28" s="3">
        <v>3080107066</v>
      </c>
      <c r="B28" s="4" t="s">
        <v>69</v>
      </c>
      <c r="C28" s="4" t="s">
        <v>1610</v>
      </c>
      <c r="D28" s="3">
        <v>4</v>
      </c>
      <c r="E28" s="3" t="s">
        <v>16</v>
      </c>
      <c r="F28" s="3" t="s">
        <v>289</v>
      </c>
      <c r="G28" s="3" t="s">
        <v>23</v>
      </c>
      <c r="H28" s="3" t="s">
        <v>40</v>
      </c>
    </row>
    <row r="29" spans="1:8" x14ac:dyDescent="0.2">
      <c r="A29" s="3">
        <v>3080107265</v>
      </c>
      <c r="B29" s="4" t="s">
        <v>69</v>
      </c>
      <c r="C29" s="4" t="s">
        <v>1611</v>
      </c>
      <c r="D29" s="3">
        <v>4</v>
      </c>
      <c r="E29" s="3" t="s">
        <v>16</v>
      </c>
      <c r="F29" s="3" t="s">
        <v>289</v>
      </c>
      <c r="G29" s="3" t="s">
        <v>23</v>
      </c>
      <c r="H29" s="3" t="s">
        <v>40</v>
      </c>
    </row>
    <row r="30" spans="1:8" x14ac:dyDescent="0.2">
      <c r="A30" s="3">
        <v>3080107063</v>
      </c>
      <c r="B30" s="4" t="s">
        <v>69</v>
      </c>
      <c r="C30" s="4" t="s">
        <v>1612</v>
      </c>
      <c r="D30" s="3">
        <v>1</v>
      </c>
      <c r="E30" s="3" t="s">
        <v>16</v>
      </c>
      <c r="F30" s="3" t="s">
        <v>289</v>
      </c>
      <c r="G30" s="3" t="s">
        <v>23</v>
      </c>
      <c r="H30" s="3" t="s">
        <v>40</v>
      </c>
    </row>
    <row r="31" spans="1:8" x14ac:dyDescent="0.2">
      <c r="A31" s="3">
        <v>3080107038</v>
      </c>
      <c r="B31" s="4" t="s">
        <v>69</v>
      </c>
      <c r="C31" s="4" t="s">
        <v>72</v>
      </c>
      <c r="D31" s="3">
        <v>4</v>
      </c>
      <c r="E31" s="3" t="s">
        <v>16</v>
      </c>
      <c r="F31" s="3" t="s">
        <v>293</v>
      </c>
      <c r="G31" s="3" t="s">
        <v>29</v>
      </c>
      <c r="H31" s="3" t="s">
        <v>40</v>
      </c>
    </row>
    <row r="32" spans="1:8" x14ac:dyDescent="0.2">
      <c r="A32" s="3">
        <v>3080107284</v>
      </c>
      <c r="B32" s="4" t="s">
        <v>69</v>
      </c>
      <c r="C32" s="4" t="s">
        <v>706</v>
      </c>
      <c r="D32" s="3">
        <v>1</v>
      </c>
      <c r="E32" s="3" t="s">
        <v>16</v>
      </c>
      <c r="F32" s="3" t="s">
        <v>317</v>
      </c>
      <c r="G32" s="3" t="s">
        <v>318</v>
      </c>
      <c r="H32" s="3" t="s">
        <v>40</v>
      </c>
    </row>
    <row r="33" spans="1:8" x14ac:dyDescent="0.2">
      <c r="A33" s="3">
        <v>3080107112</v>
      </c>
      <c r="B33" s="4" t="s">
        <v>69</v>
      </c>
      <c r="C33" s="4" t="s">
        <v>705</v>
      </c>
      <c r="D33" s="3">
        <v>3</v>
      </c>
      <c r="E33" s="3" t="s">
        <v>16</v>
      </c>
      <c r="F33" s="3" t="s">
        <v>317</v>
      </c>
      <c r="G33" s="3" t="s">
        <v>318</v>
      </c>
      <c r="H33" s="3" t="s">
        <v>40</v>
      </c>
    </row>
    <row r="34" spans="1:8" x14ac:dyDescent="0.2">
      <c r="A34" s="3">
        <v>3080107252</v>
      </c>
      <c r="B34" s="4" t="s">
        <v>69</v>
      </c>
      <c r="C34" s="4" t="s">
        <v>1613</v>
      </c>
      <c r="D34" s="3">
        <v>1</v>
      </c>
      <c r="E34" s="3" t="s">
        <v>16</v>
      </c>
      <c r="F34" s="3" t="s">
        <v>317</v>
      </c>
      <c r="G34" s="3" t="s">
        <v>318</v>
      </c>
      <c r="H34" s="3" t="s">
        <v>40</v>
      </c>
    </row>
    <row r="35" spans="1:8" x14ac:dyDescent="0.2">
      <c r="A35" s="3">
        <v>3080107255</v>
      </c>
      <c r="B35" s="4" t="s">
        <v>69</v>
      </c>
      <c r="C35" s="4" t="s">
        <v>1614</v>
      </c>
      <c r="D35" s="3">
        <v>4</v>
      </c>
      <c r="E35" s="3" t="s">
        <v>16</v>
      </c>
      <c r="F35" s="3" t="s">
        <v>291</v>
      </c>
      <c r="G35" s="3" t="s">
        <v>26</v>
      </c>
      <c r="H35" s="3" t="s">
        <v>40</v>
      </c>
    </row>
    <row r="36" spans="1:8" x14ac:dyDescent="0.2">
      <c r="A36" s="3">
        <v>3080108048</v>
      </c>
      <c r="B36" s="4" t="s">
        <v>77</v>
      </c>
      <c r="C36" s="4" t="s">
        <v>1615</v>
      </c>
      <c r="D36" s="3">
        <v>2</v>
      </c>
      <c r="E36" s="3" t="s">
        <v>16</v>
      </c>
      <c r="F36" s="3" t="s">
        <v>317</v>
      </c>
      <c r="G36" s="3" t="s">
        <v>318</v>
      </c>
      <c r="H36" s="3" t="s">
        <v>40</v>
      </c>
    </row>
    <row r="37" spans="1:8" x14ac:dyDescent="0.2">
      <c r="A37" s="3">
        <v>3080111077</v>
      </c>
      <c r="B37" s="4" t="s">
        <v>79</v>
      </c>
      <c r="C37" s="4" t="s">
        <v>1616</v>
      </c>
      <c r="D37" s="3">
        <v>4</v>
      </c>
      <c r="E37" s="3" t="s">
        <v>16</v>
      </c>
      <c r="F37" s="3" t="s">
        <v>289</v>
      </c>
      <c r="G37" s="3" t="s">
        <v>23</v>
      </c>
      <c r="H37" s="3" t="s">
        <v>40</v>
      </c>
    </row>
    <row r="38" spans="1:8" x14ac:dyDescent="0.2">
      <c r="A38" s="3">
        <v>3080111019</v>
      </c>
      <c r="B38" s="4" t="s">
        <v>79</v>
      </c>
      <c r="C38" s="4" t="s">
        <v>1617</v>
      </c>
      <c r="D38" s="3">
        <v>2</v>
      </c>
      <c r="E38" s="3" t="s">
        <v>16</v>
      </c>
      <c r="F38" s="3" t="s">
        <v>289</v>
      </c>
      <c r="G38" s="3" t="s">
        <v>23</v>
      </c>
      <c r="H38" s="3" t="s">
        <v>40</v>
      </c>
    </row>
    <row r="39" spans="1:8" x14ac:dyDescent="0.2">
      <c r="A39" s="3">
        <v>3080111032</v>
      </c>
      <c r="B39" s="4" t="s">
        <v>79</v>
      </c>
      <c r="C39" s="4" t="s">
        <v>1618</v>
      </c>
      <c r="D39" s="3">
        <v>3</v>
      </c>
      <c r="E39" s="3" t="s">
        <v>16</v>
      </c>
      <c r="F39" s="3" t="s">
        <v>289</v>
      </c>
      <c r="G39" s="3" t="s">
        <v>23</v>
      </c>
      <c r="H39" s="3" t="s">
        <v>40</v>
      </c>
    </row>
    <row r="40" spans="1:8" x14ac:dyDescent="0.2">
      <c r="A40" s="3">
        <v>3080111087</v>
      </c>
      <c r="B40" s="4" t="s">
        <v>79</v>
      </c>
      <c r="C40" s="4" t="s">
        <v>80</v>
      </c>
      <c r="D40" s="3">
        <v>16</v>
      </c>
      <c r="E40" s="3" t="s">
        <v>16</v>
      </c>
      <c r="F40" s="3" t="s">
        <v>291</v>
      </c>
      <c r="G40" s="3" t="s">
        <v>26</v>
      </c>
      <c r="H40" s="3" t="s">
        <v>40</v>
      </c>
    </row>
    <row r="41" spans="1:8" x14ac:dyDescent="0.2">
      <c r="A41" s="3">
        <v>3080111032</v>
      </c>
      <c r="B41" s="4" t="s">
        <v>79</v>
      </c>
      <c r="C41" s="4" t="s">
        <v>1618</v>
      </c>
      <c r="D41" s="3">
        <v>10</v>
      </c>
      <c r="E41" s="3" t="s">
        <v>16</v>
      </c>
      <c r="F41" s="3" t="s">
        <v>291</v>
      </c>
      <c r="G41" s="3" t="s">
        <v>26</v>
      </c>
      <c r="H41" s="3" t="s">
        <v>40</v>
      </c>
    </row>
    <row r="42" spans="1:8" x14ac:dyDescent="0.2">
      <c r="A42" s="3">
        <v>407030096</v>
      </c>
      <c r="B42" s="4" t="s">
        <v>81</v>
      </c>
      <c r="C42" s="4" t="s">
        <v>1619</v>
      </c>
      <c r="D42" s="3">
        <v>1</v>
      </c>
      <c r="E42" s="3" t="s">
        <v>16</v>
      </c>
      <c r="F42" s="3" t="s">
        <v>301</v>
      </c>
      <c r="G42" s="3" t="s">
        <v>32</v>
      </c>
      <c r="H42" s="3" t="s">
        <v>40</v>
      </c>
    </row>
    <row r="43" spans="1:8" x14ac:dyDescent="0.2">
      <c r="A43" s="3">
        <v>3030101040</v>
      </c>
      <c r="B43" s="4" t="s">
        <v>636</v>
      </c>
      <c r="C43" s="4" t="s">
        <v>1620</v>
      </c>
      <c r="D43" s="3">
        <v>1</v>
      </c>
      <c r="E43" s="3" t="s">
        <v>16</v>
      </c>
      <c r="F43" s="3" t="s">
        <v>291</v>
      </c>
      <c r="G43" s="3" t="s">
        <v>26</v>
      </c>
      <c r="H43" s="3" t="s">
        <v>88</v>
      </c>
    </row>
    <row r="44" spans="1:8" x14ac:dyDescent="0.2">
      <c r="A44" s="3">
        <v>3099990106</v>
      </c>
      <c r="B44" s="4" t="s">
        <v>104</v>
      </c>
      <c r="C44" s="4" t="s">
        <v>90</v>
      </c>
      <c r="D44" s="3">
        <v>1</v>
      </c>
      <c r="E44" s="3" t="s">
        <v>16</v>
      </c>
      <c r="F44" s="3" t="s">
        <v>291</v>
      </c>
      <c r="G44" s="3" t="s">
        <v>26</v>
      </c>
      <c r="H44" s="3" t="s">
        <v>103</v>
      </c>
    </row>
    <row r="45" spans="1:8" x14ac:dyDescent="0.2">
      <c r="A45" s="3">
        <v>402030019</v>
      </c>
      <c r="B45" s="4" t="s">
        <v>107</v>
      </c>
      <c r="C45" s="4" t="s">
        <v>638</v>
      </c>
      <c r="D45" s="3">
        <v>2</v>
      </c>
      <c r="E45" s="3" t="s">
        <v>16</v>
      </c>
      <c r="F45" s="3" t="s">
        <v>293</v>
      </c>
      <c r="G45" s="3" t="s">
        <v>29</v>
      </c>
      <c r="H45" s="3" t="s">
        <v>109</v>
      </c>
    </row>
    <row r="46" spans="1:8" x14ac:dyDescent="0.2">
      <c r="A46" s="3">
        <v>402030027</v>
      </c>
      <c r="B46" s="4" t="s">
        <v>107</v>
      </c>
      <c r="C46" s="4" t="s">
        <v>110</v>
      </c>
      <c r="D46" s="3">
        <v>1</v>
      </c>
      <c r="E46" s="3" t="s">
        <v>16</v>
      </c>
      <c r="F46" s="3" t="s">
        <v>291</v>
      </c>
      <c r="G46" s="3" t="s">
        <v>26</v>
      </c>
      <c r="H46" s="3" t="s">
        <v>109</v>
      </c>
    </row>
    <row r="47" spans="1:8" x14ac:dyDescent="0.2">
      <c r="A47" s="3">
        <v>3040113002</v>
      </c>
      <c r="B47" s="4" t="s">
        <v>118</v>
      </c>
      <c r="C47" s="4" t="s">
        <v>119</v>
      </c>
      <c r="D47" s="3">
        <v>2</v>
      </c>
      <c r="E47" s="3" t="s">
        <v>16</v>
      </c>
      <c r="F47" s="3" t="s">
        <v>293</v>
      </c>
      <c r="G47" s="3" t="s">
        <v>29</v>
      </c>
      <c r="H47" s="3" t="s">
        <v>115</v>
      </c>
    </row>
    <row r="48" spans="1:8" x14ac:dyDescent="0.2">
      <c r="A48" s="3">
        <v>3070104001</v>
      </c>
      <c r="B48" s="4" t="s">
        <v>331</v>
      </c>
      <c r="C48" s="4" t="s">
        <v>332</v>
      </c>
      <c r="D48" s="3">
        <v>1</v>
      </c>
      <c r="E48" s="3" t="s">
        <v>16</v>
      </c>
      <c r="F48" s="3" t="s">
        <v>317</v>
      </c>
      <c r="G48" s="3" t="s">
        <v>318</v>
      </c>
      <c r="H48" s="3" t="s">
        <v>115</v>
      </c>
    </row>
    <row r="49" spans="1:8" x14ac:dyDescent="0.2">
      <c r="A49" s="3">
        <v>3040502081</v>
      </c>
      <c r="B49" s="4" t="s">
        <v>136</v>
      </c>
      <c r="C49" s="4" t="s">
        <v>1621</v>
      </c>
      <c r="D49" s="3">
        <v>2</v>
      </c>
      <c r="E49" s="3" t="s">
        <v>16</v>
      </c>
      <c r="F49" s="3" t="s">
        <v>293</v>
      </c>
      <c r="G49" s="3" t="s">
        <v>29</v>
      </c>
      <c r="H49" s="3" t="s">
        <v>138</v>
      </c>
    </row>
    <row r="50" spans="1:8" x14ac:dyDescent="0.2">
      <c r="A50" s="3">
        <v>407050043</v>
      </c>
      <c r="B50" s="4" t="s">
        <v>1321</v>
      </c>
      <c r="C50" s="4" t="s">
        <v>1622</v>
      </c>
      <c r="D50" s="3">
        <v>1</v>
      </c>
      <c r="E50" s="3" t="s">
        <v>16</v>
      </c>
      <c r="F50" s="3" t="s">
        <v>289</v>
      </c>
      <c r="G50" s="3" t="s">
        <v>23</v>
      </c>
      <c r="H50" s="3" t="s">
        <v>151</v>
      </c>
    </row>
    <row r="51" spans="1:8" x14ac:dyDescent="0.2">
      <c r="A51" s="3">
        <v>3060201051</v>
      </c>
      <c r="B51" s="4" t="s">
        <v>663</v>
      </c>
      <c r="C51" s="4" t="s">
        <v>1623</v>
      </c>
      <c r="D51" s="3">
        <v>1</v>
      </c>
      <c r="E51" s="3" t="s">
        <v>16</v>
      </c>
      <c r="F51" s="3" t="s">
        <v>289</v>
      </c>
      <c r="G51" s="3" t="s">
        <v>23</v>
      </c>
      <c r="H51" s="3" t="s">
        <v>154</v>
      </c>
    </row>
    <row r="52" spans="1:8" x14ac:dyDescent="0.2">
      <c r="A52" s="3">
        <v>3060206004</v>
      </c>
      <c r="B52" s="4" t="s">
        <v>1624</v>
      </c>
      <c r="C52" s="4" t="s">
        <v>1625</v>
      </c>
      <c r="D52" s="3">
        <v>1</v>
      </c>
      <c r="E52" s="3" t="s">
        <v>16</v>
      </c>
      <c r="F52" s="3" t="s">
        <v>289</v>
      </c>
      <c r="G52" s="3" t="s">
        <v>23</v>
      </c>
      <c r="H52" s="3" t="s">
        <v>154</v>
      </c>
    </row>
    <row r="53" spans="1:8" x14ac:dyDescent="0.2">
      <c r="A53" s="3">
        <v>3030316005</v>
      </c>
      <c r="B53" s="4" t="s">
        <v>1626</v>
      </c>
      <c r="C53" s="4" t="s">
        <v>1627</v>
      </c>
      <c r="D53" s="3">
        <v>1</v>
      </c>
      <c r="E53" s="3" t="s">
        <v>16</v>
      </c>
      <c r="F53" s="3" t="s">
        <v>291</v>
      </c>
      <c r="G53" s="3" t="s">
        <v>26</v>
      </c>
      <c r="H53" s="3" t="s">
        <v>165</v>
      </c>
    </row>
    <row r="54" spans="1:8" x14ac:dyDescent="0.2">
      <c r="A54" s="3">
        <v>3050305044</v>
      </c>
      <c r="B54" s="4" t="s">
        <v>1628</v>
      </c>
      <c r="C54" s="4" t="s">
        <v>1629</v>
      </c>
      <c r="D54" s="3">
        <v>2</v>
      </c>
      <c r="E54" s="3" t="s">
        <v>16</v>
      </c>
      <c r="F54" s="3" t="s">
        <v>291</v>
      </c>
      <c r="G54" s="3" t="s">
        <v>26</v>
      </c>
      <c r="H54" s="3" t="s">
        <v>165</v>
      </c>
    </row>
    <row r="55" spans="1:8" x14ac:dyDescent="0.2">
      <c r="A55" s="3">
        <v>3070214002</v>
      </c>
      <c r="B55" s="4" t="s">
        <v>1630</v>
      </c>
      <c r="C55" s="4" t="s">
        <v>1631</v>
      </c>
      <c r="D55" s="3">
        <v>1</v>
      </c>
      <c r="E55" s="3" t="s">
        <v>16</v>
      </c>
      <c r="F55" s="3" t="s">
        <v>317</v>
      </c>
      <c r="G55" s="3" t="s">
        <v>318</v>
      </c>
      <c r="H55" s="3" t="s">
        <v>165</v>
      </c>
    </row>
    <row r="56" spans="1:8" x14ac:dyDescent="0.2">
      <c r="A56" s="3">
        <v>3070214011</v>
      </c>
      <c r="B56" s="4" t="s">
        <v>1632</v>
      </c>
      <c r="C56" s="4" t="s">
        <v>1633</v>
      </c>
      <c r="D56" s="3">
        <v>1</v>
      </c>
      <c r="E56" s="3" t="s">
        <v>16</v>
      </c>
      <c r="F56" s="3" t="s">
        <v>317</v>
      </c>
      <c r="G56" s="3" t="s">
        <v>318</v>
      </c>
      <c r="H56" s="3" t="s">
        <v>165</v>
      </c>
    </row>
    <row r="57" spans="1:8" x14ac:dyDescent="0.2">
      <c r="A57" s="3">
        <v>3070214012</v>
      </c>
      <c r="B57" s="4" t="s">
        <v>1634</v>
      </c>
      <c r="C57" s="4" t="s">
        <v>1633</v>
      </c>
      <c r="D57" s="3">
        <v>1</v>
      </c>
      <c r="E57" s="3" t="s">
        <v>16</v>
      </c>
      <c r="F57" s="3" t="s">
        <v>317</v>
      </c>
      <c r="G57" s="3" t="s">
        <v>318</v>
      </c>
      <c r="H57" s="3" t="s">
        <v>165</v>
      </c>
    </row>
    <row r="58" spans="1:8" x14ac:dyDescent="0.2">
      <c r="A58" s="3">
        <v>3991601002</v>
      </c>
      <c r="B58" s="4" t="s">
        <v>585</v>
      </c>
      <c r="C58" s="4" t="s">
        <v>1635</v>
      </c>
      <c r="D58" s="3">
        <v>3</v>
      </c>
      <c r="E58" s="3" t="s">
        <v>16</v>
      </c>
      <c r="F58" s="3" t="s">
        <v>289</v>
      </c>
      <c r="G58" s="3" t="s">
        <v>23</v>
      </c>
      <c r="H58" s="3" t="s">
        <v>165</v>
      </c>
    </row>
    <row r="59" spans="1:8" x14ac:dyDescent="0.2">
      <c r="A59" s="3">
        <v>3060342008</v>
      </c>
      <c r="B59" s="4" t="s">
        <v>1636</v>
      </c>
      <c r="C59" s="4" t="s">
        <v>1637</v>
      </c>
      <c r="D59" s="3">
        <v>1</v>
      </c>
      <c r="E59" s="3" t="s">
        <v>16</v>
      </c>
      <c r="F59" s="3" t="s">
        <v>289</v>
      </c>
      <c r="G59" s="3" t="s">
        <v>23</v>
      </c>
      <c r="H59" s="3" t="s">
        <v>173</v>
      </c>
    </row>
    <row r="60" spans="1:8" x14ac:dyDescent="0.2">
      <c r="A60" s="3">
        <v>3060343008</v>
      </c>
      <c r="B60" s="4" t="s">
        <v>1638</v>
      </c>
      <c r="C60" s="4" t="s">
        <v>1637</v>
      </c>
      <c r="D60" s="3">
        <v>1</v>
      </c>
      <c r="E60" s="3" t="s">
        <v>16</v>
      </c>
      <c r="F60" s="3" t="s">
        <v>289</v>
      </c>
      <c r="G60" s="3" t="s">
        <v>23</v>
      </c>
      <c r="H60" s="3" t="s">
        <v>173</v>
      </c>
    </row>
    <row r="61" spans="1:8" x14ac:dyDescent="0.2">
      <c r="A61" s="3">
        <v>3050305045</v>
      </c>
      <c r="B61" s="4" t="s">
        <v>1639</v>
      </c>
      <c r="C61" s="4" t="s">
        <v>653</v>
      </c>
      <c r="D61" s="3">
        <v>1</v>
      </c>
      <c r="E61" s="3" t="s">
        <v>16</v>
      </c>
      <c r="F61" s="3" t="s">
        <v>291</v>
      </c>
      <c r="G61" s="3" t="s">
        <v>26</v>
      </c>
      <c r="H61" s="3" t="s">
        <v>173</v>
      </c>
    </row>
    <row r="62" spans="1:8" x14ac:dyDescent="0.2">
      <c r="A62" s="3">
        <v>3050305046</v>
      </c>
      <c r="B62" s="4" t="s">
        <v>1640</v>
      </c>
      <c r="C62" s="4" t="s">
        <v>653</v>
      </c>
      <c r="D62" s="3">
        <v>1</v>
      </c>
      <c r="E62" s="3" t="s">
        <v>16</v>
      </c>
      <c r="F62" s="3" t="s">
        <v>291</v>
      </c>
      <c r="G62" s="3" t="s">
        <v>26</v>
      </c>
      <c r="H62" s="3" t="s">
        <v>173</v>
      </c>
    </row>
    <row r="63" spans="1:8" x14ac:dyDescent="0.2">
      <c r="A63" s="3">
        <v>3050304022</v>
      </c>
      <c r="B63" s="4" t="s">
        <v>181</v>
      </c>
      <c r="C63" s="4" t="s">
        <v>1631</v>
      </c>
      <c r="D63" s="3">
        <v>1</v>
      </c>
      <c r="E63" s="3" t="s">
        <v>16</v>
      </c>
      <c r="F63" s="3" t="s">
        <v>291</v>
      </c>
      <c r="G63" s="3" t="s">
        <v>26</v>
      </c>
      <c r="H63" s="3" t="s">
        <v>173</v>
      </c>
    </row>
    <row r="64" spans="1:8" x14ac:dyDescent="0.2">
      <c r="A64" s="3">
        <v>3050305047</v>
      </c>
      <c r="B64" s="4" t="s">
        <v>1641</v>
      </c>
      <c r="C64" s="4" t="s">
        <v>653</v>
      </c>
      <c r="D64" s="3">
        <v>1</v>
      </c>
      <c r="E64" s="3" t="s">
        <v>16</v>
      </c>
      <c r="F64" s="3" t="s">
        <v>291</v>
      </c>
      <c r="G64" s="3" t="s">
        <v>26</v>
      </c>
      <c r="H64" s="3" t="s">
        <v>173</v>
      </c>
    </row>
    <row r="65" spans="1:8" x14ac:dyDescent="0.2">
      <c r="A65" s="3">
        <v>3020502014</v>
      </c>
      <c r="B65" s="4" t="s">
        <v>183</v>
      </c>
      <c r="C65" s="4" t="s">
        <v>1307</v>
      </c>
      <c r="D65" s="3">
        <v>1</v>
      </c>
      <c r="E65" s="3" t="s">
        <v>16</v>
      </c>
      <c r="F65" s="3" t="s">
        <v>291</v>
      </c>
      <c r="G65" s="3" t="s">
        <v>26</v>
      </c>
      <c r="H65" s="3" t="s">
        <v>185</v>
      </c>
    </row>
    <row r="66" spans="1:8" x14ac:dyDescent="0.2">
      <c r="A66" s="3">
        <v>3110207005</v>
      </c>
      <c r="B66" s="4" t="s">
        <v>140</v>
      </c>
      <c r="C66" s="4" t="s">
        <v>1642</v>
      </c>
      <c r="D66" s="3">
        <v>1</v>
      </c>
      <c r="E66" s="3" t="s">
        <v>16</v>
      </c>
      <c r="F66" s="3" t="s">
        <v>285</v>
      </c>
      <c r="G66" s="3" t="s">
        <v>142</v>
      </c>
      <c r="H66" s="3" t="s">
        <v>187</v>
      </c>
    </row>
    <row r="67" spans="1:8" x14ac:dyDescent="0.2">
      <c r="A67" s="3">
        <v>3110204004</v>
      </c>
      <c r="B67" s="4" t="s">
        <v>333</v>
      </c>
      <c r="C67" s="4" t="s">
        <v>1643</v>
      </c>
      <c r="D67" s="3">
        <v>1</v>
      </c>
      <c r="E67" s="3" t="s">
        <v>16</v>
      </c>
      <c r="F67" s="3" t="s">
        <v>335</v>
      </c>
      <c r="G67" s="3" t="s">
        <v>336</v>
      </c>
      <c r="H67" s="3" t="s">
        <v>187</v>
      </c>
    </row>
    <row r="68" spans="1:8" x14ac:dyDescent="0.2">
      <c r="A68" s="3">
        <v>3110205007</v>
      </c>
      <c r="B68" s="4" t="s">
        <v>146</v>
      </c>
      <c r="C68" s="4" t="s">
        <v>1644</v>
      </c>
      <c r="D68" s="3">
        <v>1</v>
      </c>
      <c r="E68" s="3" t="s">
        <v>16</v>
      </c>
      <c r="F68" s="3" t="s">
        <v>287</v>
      </c>
      <c r="G68" s="3" t="s">
        <v>148</v>
      </c>
      <c r="H68" s="3" t="s">
        <v>187</v>
      </c>
    </row>
    <row r="69" spans="1:8" x14ac:dyDescent="0.2">
      <c r="A69" s="3">
        <v>403010369</v>
      </c>
      <c r="B69" s="4" t="s">
        <v>684</v>
      </c>
      <c r="C69" s="4" t="s">
        <v>1645</v>
      </c>
      <c r="D69" s="3">
        <v>2</v>
      </c>
      <c r="E69" s="3" t="s">
        <v>16</v>
      </c>
      <c r="F69" s="3" t="s">
        <v>301</v>
      </c>
      <c r="G69" s="3" t="s">
        <v>32</v>
      </c>
      <c r="H69" s="3" t="s">
        <v>198</v>
      </c>
    </row>
    <row r="70" spans="1:8" x14ac:dyDescent="0.2">
      <c r="A70" s="3">
        <v>403010370</v>
      </c>
      <c r="B70" s="4" t="s">
        <v>684</v>
      </c>
      <c r="C70" s="4" t="s">
        <v>1646</v>
      </c>
      <c r="D70" s="3">
        <v>1</v>
      </c>
      <c r="E70" s="3" t="s">
        <v>16</v>
      </c>
      <c r="F70" s="3" t="s">
        <v>301</v>
      </c>
      <c r="G70" s="3" t="s">
        <v>32</v>
      </c>
      <c r="H70" s="3" t="s">
        <v>198</v>
      </c>
    </row>
    <row r="71" spans="1:8" x14ac:dyDescent="0.2">
      <c r="A71" s="3">
        <v>404030020</v>
      </c>
      <c r="B71" s="4" t="s">
        <v>30</v>
      </c>
      <c r="C71" s="4" t="s">
        <v>689</v>
      </c>
      <c r="D71" s="3">
        <v>1</v>
      </c>
      <c r="E71" s="3" t="s">
        <v>16</v>
      </c>
      <c r="F71" s="3" t="s">
        <v>289</v>
      </c>
      <c r="G71" s="3" t="s">
        <v>23</v>
      </c>
      <c r="H71" s="3" t="s">
        <v>198</v>
      </c>
    </row>
    <row r="72" spans="1:8" x14ac:dyDescent="0.2">
      <c r="A72" s="3">
        <v>401070022</v>
      </c>
      <c r="B72" s="4" t="s">
        <v>35</v>
      </c>
      <c r="C72" s="4" t="s">
        <v>203</v>
      </c>
      <c r="D72" s="3">
        <v>1</v>
      </c>
      <c r="E72" s="3" t="s">
        <v>16</v>
      </c>
      <c r="F72" s="3" t="s">
        <v>297</v>
      </c>
      <c r="G72" s="3" t="s">
        <v>204</v>
      </c>
      <c r="H72" s="3" t="s">
        <v>198</v>
      </c>
    </row>
    <row r="73" spans="1:8" x14ac:dyDescent="0.2">
      <c r="A73" s="3">
        <v>401070018</v>
      </c>
      <c r="B73" s="4" t="s">
        <v>35</v>
      </c>
      <c r="C73" s="4" t="s">
        <v>202</v>
      </c>
      <c r="D73" s="3">
        <v>1</v>
      </c>
      <c r="E73" s="3" t="s">
        <v>16</v>
      </c>
      <c r="F73" s="3" t="s">
        <v>291</v>
      </c>
      <c r="G73" s="3" t="s">
        <v>26</v>
      </c>
      <c r="H73" s="3" t="s">
        <v>198</v>
      </c>
    </row>
    <row r="74" spans="1:8" x14ac:dyDescent="0.2">
      <c r="A74" s="3">
        <v>3020302016</v>
      </c>
      <c r="B74" s="4" t="s">
        <v>209</v>
      </c>
      <c r="C74" s="4" t="s">
        <v>1308</v>
      </c>
      <c r="D74" s="3">
        <v>1</v>
      </c>
      <c r="E74" s="3" t="s">
        <v>16</v>
      </c>
      <c r="F74" s="3" t="s">
        <v>301</v>
      </c>
      <c r="G74" s="3" t="s">
        <v>32</v>
      </c>
      <c r="H74" s="3" t="s">
        <v>211</v>
      </c>
    </row>
    <row r="75" spans="1:8" x14ac:dyDescent="0.2">
      <c r="A75" s="3">
        <v>3070105001</v>
      </c>
      <c r="B75" s="4" t="s">
        <v>360</v>
      </c>
      <c r="C75" s="4" t="s">
        <v>1647</v>
      </c>
      <c r="D75" s="3">
        <v>1</v>
      </c>
      <c r="E75" s="3" t="s">
        <v>16</v>
      </c>
      <c r="F75" s="3" t="s">
        <v>317</v>
      </c>
      <c r="G75" s="3" t="s">
        <v>318</v>
      </c>
      <c r="H75" s="3" t="s">
        <v>214</v>
      </c>
    </row>
    <row r="76" spans="1:8" x14ac:dyDescent="0.2">
      <c r="A76" s="3">
        <v>3070105002</v>
      </c>
      <c r="B76" s="4" t="s">
        <v>362</v>
      </c>
      <c r="C76" s="4" t="s">
        <v>1647</v>
      </c>
      <c r="D76" s="3">
        <v>1</v>
      </c>
      <c r="E76" s="3" t="s">
        <v>16</v>
      </c>
      <c r="F76" s="3" t="s">
        <v>317</v>
      </c>
      <c r="G76" s="3" t="s">
        <v>318</v>
      </c>
      <c r="H76" s="3" t="s">
        <v>214</v>
      </c>
    </row>
    <row r="77" spans="1:8" x14ac:dyDescent="0.2">
      <c r="A77" s="3">
        <v>3070105004</v>
      </c>
      <c r="B77" s="4" t="s">
        <v>1648</v>
      </c>
      <c r="C77" s="4" t="s">
        <v>1649</v>
      </c>
      <c r="D77" s="3">
        <v>1</v>
      </c>
      <c r="E77" s="3" t="s">
        <v>16</v>
      </c>
      <c r="F77" s="3" t="s">
        <v>317</v>
      </c>
      <c r="G77" s="3" t="s">
        <v>318</v>
      </c>
      <c r="H77" s="3" t="s">
        <v>214</v>
      </c>
    </row>
    <row r="78" spans="1:8" x14ac:dyDescent="0.2">
      <c r="A78" s="3">
        <v>3060404030</v>
      </c>
      <c r="B78" s="4" t="s">
        <v>729</v>
      </c>
      <c r="C78" s="4" t="s">
        <v>1650</v>
      </c>
      <c r="D78" s="3">
        <v>1</v>
      </c>
      <c r="E78" s="3" t="s">
        <v>16</v>
      </c>
      <c r="F78" s="3" t="s">
        <v>289</v>
      </c>
      <c r="G78" s="3" t="s">
        <v>23</v>
      </c>
      <c r="H78" s="3" t="s">
        <v>221</v>
      </c>
    </row>
    <row r="79" spans="1:8" x14ac:dyDescent="0.2">
      <c r="A79" s="3">
        <v>402050001</v>
      </c>
      <c r="B79" s="4" t="s">
        <v>522</v>
      </c>
      <c r="C79" s="4" t="s">
        <v>523</v>
      </c>
      <c r="D79" s="3">
        <v>1</v>
      </c>
      <c r="E79" s="3" t="s">
        <v>16</v>
      </c>
      <c r="F79" s="3" t="s">
        <v>289</v>
      </c>
      <c r="G79" s="3" t="s">
        <v>23</v>
      </c>
      <c r="H79" s="3" t="s">
        <v>524</v>
      </c>
    </row>
    <row r="80" spans="1:8" x14ac:dyDescent="0.2">
      <c r="A80" s="3">
        <v>3060333021</v>
      </c>
      <c r="B80" s="4" t="s">
        <v>227</v>
      </c>
      <c r="C80" s="4" t="s">
        <v>1651</v>
      </c>
      <c r="D80" s="3">
        <v>1</v>
      </c>
      <c r="E80" s="3" t="s">
        <v>16</v>
      </c>
      <c r="F80" s="3" t="s">
        <v>289</v>
      </c>
      <c r="G80" s="3" t="s">
        <v>23</v>
      </c>
      <c r="H80" s="3" t="s">
        <v>226</v>
      </c>
    </row>
    <row r="81" spans="1:8" x14ac:dyDescent="0.2">
      <c r="A81" s="3">
        <v>3060335034</v>
      </c>
      <c r="B81" s="4" t="s">
        <v>233</v>
      </c>
      <c r="C81" s="4" t="s">
        <v>1652</v>
      </c>
      <c r="D81" s="3">
        <v>1</v>
      </c>
      <c r="E81" s="3" t="s">
        <v>16</v>
      </c>
      <c r="F81" s="3" t="s">
        <v>289</v>
      </c>
      <c r="G81" s="3" t="s">
        <v>23</v>
      </c>
      <c r="H81" s="3" t="s">
        <v>226</v>
      </c>
    </row>
    <row r="82" spans="1:8" x14ac:dyDescent="0.2">
      <c r="A82" s="3">
        <v>3040312026</v>
      </c>
      <c r="B82" s="4" t="s">
        <v>263</v>
      </c>
      <c r="C82" s="4" t="s">
        <v>652</v>
      </c>
      <c r="D82" s="3">
        <v>2</v>
      </c>
      <c r="E82" s="3" t="s">
        <v>16</v>
      </c>
      <c r="F82" s="3" t="s">
        <v>293</v>
      </c>
      <c r="G82" s="3" t="s">
        <v>29</v>
      </c>
      <c r="H82" s="3" t="s">
        <v>226</v>
      </c>
    </row>
    <row r="83" spans="1:8" x14ac:dyDescent="0.2">
      <c r="A83" s="3">
        <v>3040303008</v>
      </c>
      <c r="B83" s="4" t="s">
        <v>265</v>
      </c>
      <c r="C83" s="4" t="s">
        <v>653</v>
      </c>
      <c r="D83" s="3">
        <v>2</v>
      </c>
      <c r="E83" s="3" t="s">
        <v>16</v>
      </c>
      <c r="F83" s="3" t="s">
        <v>293</v>
      </c>
      <c r="G83" s="3" t="s">
        <v>29</v>
      </c>
      <c r="H83" s="3" t="s">
        <v>226</v>
      </c>
    </row>
    <row r="84" spans="1:8" x14ac:dyDescent="0.2">
      <c r="A84" s="3">
        <v>3040320036</v>
      </c>
      <c r="B84" s="4" t="s">
        <v>269</v>
      </c>
      <c r="C84" s="4" t="s">
        <v>1653</v>
      </c>
      <c r="D84" s="3">
        <v>1</v>
      </c>
      <c r="E84" s="3" t="s">
        <v>16</v>
      </c>
      <c r="F84" s="3" t="s">
        <v>293</v>
      </c>
      <c r="G84" s="3" t="s">
        <v>29</v>
      </c>
      <c r="H84" s="3" t="s">
        <v>226</v>
      </c>
    </row>
    <row r="85" spans="1:8" x14ac:dyDescent="0.2">
      <c r="A85" s="3">
        <v>3040320037</v>
      </c>
      <c r="B85" s="4" t="s">
        <v>269</v>
      </c>
      <c r="C85" s="4" t="s">
        <v>1654</v>
      </c>
      <c r="D85" s="3">
        <v>1</v>
      </c>
      <c r="E85" s="3" t="s">
        <v>16</v>
      </c>
      <c r="F85" s="3" t="s">
        <v>293</v>
      </c>
      <c r="G85" s="3" t="s">
        <v>29</v>
      </c>
      <c r="H85" s="3" t="s">
        <v>226</v>
      </c>
    </row>
    <row r="86" spans="1:8" x14ac:dyDescent="0.2">
      <c r="A86" s="3">
        <v>3040113006</v>
      </c>
      <c r="B86" s="4" t="s">
        <v>500</v>
      </c>
      <c r="C86" s="4" t="s">
        <v>656</v>
      </c>
      <c r="D86" s="3">
        <v>1</v>
      </c>
      <c r="E86" s="3" t="s">
        <v>16</v>
      </c>
      <c r="F86" s="3" t="s">
        <v>293</v>
      </c>
      <c r="G86" s="3" t="s">
        <v>29</v>
      </c>
      <c r="H86" s="3" t="s">
        <v>226</v>
      </c>
    </row>
    <row r="87" spans="1:8" x14ac:dyDescent="0.2">
      <c r="A87" s="3">
        <v>3040113007</v>
      </c>
      <c r="B87" s="4" t="s">
        <v>500</v>
      </c>
      <c r="C87" s="4" t="s">
        <v>657</v>
      </c>
      <c r="D87" s="3">
        <v>1</v>
      </c>
      <c r="E87" s="3" t="s">
        <v>16</v>
      </c>
      <c r="F87" s="3" t="s">
        <v>293</v>
      </c>
      <c r="G87" s="3" t="s">
        <v>29</v>
      </c>
      <c r="H87" s="3" t="s">
        <v>226</v>
      </c>
    </row>
    <row r="88" spans="1:8" x14ac:dyDescent="0.2">
      <c r="A88" s="3">
        <v>3020101004</v>
      </c>
      <c r="B88" s="4" t="s">
        <v>239</v>
      </c>
      <c r="C88" s="4" t="s">
        <v>1098</v>
      </c>
      <c r="D88" s="3">
        <v>5</v>
      </c>
      <c r="E88" s="3" t="s">
        <v>16</v>
      </c>
      <c r="F88" s="3" t="s">
        <v>297</v>
      </c>
      <c r="G88" s="3" t="s">
        <v>204</v>
      </c>
      <c r="H88" s="3" t="s">
        <v>226</v>
      </c>
    </row>
    <row r="89" spans="1:8" x14ac:dyDescent="0.2">
      <c r="A89" s="3">
        <v>3070201014</v>
      </c>
      <c r="B89" s="4" t="s">
        <v>1655</v>
      </c>
      <c r="C89" s="4" t="s">
        <v>1656</v>
      </c>
      <c r="D89" s="3">
        <v>1</v>
      </c>
      <c r="E89" s="3" t="s">
        <v>16</v>
      </c>
      <c r="F89" s="3" t="s">
        <v>317</v>
      </c>
      <c r="G89" s="3" t="s">
        <v>318</v>
      </c>
      <c r="H89" s="3" t="s">
        <v>226</v>
      </c>
    </row>
    <row r="90" spans="1:8" x14ac:dyDescent="0.2">
      <c r="A90" s="3">
        <v>3070202021</v>
      </c>
      <c r="B90" s="4" t="s">
        <v>1657</v>
      </c>
      <c r="C90" s="4" t="s">
        <v>1658</v>
      </c>
      <c r="D90" s="3">
        <v>1</v>
      </c>
      <c r="E90" s="3" t="s">
        <v>16</v>
      </c>
      <c r="F90" s="3" t="s">
        <v>317</v>
      </c>
      <c r="G90" s="3" t="s">
        <v>318</v>
      </c>
      <c r="H90" s="3" t="s">
        <v>226</v>
      </c>
    </row>
    <row r="91" spans="1:8" x14ac:dyDescent="0.2">
      <c r="A91" s="3">
        <v>3070204019</v>
      </c>
      <c r="B91" s="4" t="s">
        <v>1383</v>
      </c>
      <c r="C91" s="4" t="s">
        <v>1633</v>
      </c>
      <c r="D91" s="3">
        <v>1</v>
      </c>
      <c r="E91" s="3" t="s">
        <v>16</v>
      </c>
      <c r="F91" s="3" t="s">
        <v>317</v>
      </c>
      <c r="G91" s="3" t="s">
        <v>318</v>
      </c>
      <c r="H91" s="3" t="s">
        <v>226</v>
      </c>
    </row>
    <row r="92" spans="1:8" x14ac:dyDescent="0.2">
      <c r="A92" s="3">
        <v>3060336006</v>
      </c>
      <c r="B92" s="4" t="s">
        <v>1659</v>
      </c>
      <c r="C92" s="4" t="s">
        <v>1660</v>
      </c>
      <c r="D92" s="3">
        <v>1</v>
      </c>
      <c r="E92" s="3" t="s">
        <v>16</v>
      </c>
      <c r="F92" s="3" t="s">
        <v>317</v>
      </c>
      <c r="G92" s="3" t="s">
        <v>318</v>
      </c>
      <c r="H92" s="3" t="s">
        <v>254</v>
      </c>
    </row>
    <row r="93" spans="1:8" x14ac:dyDescent="0.2">
      <c r="A93" s="3">
        <v>3991601005</v>
      </c>
      <c r="B93" s="4" t="s">
        <v>585</v>
      </c>
      <c r="C93" s="4" t="s">
        <v>1661</v>
      </c>
      <c r="D93" s="3">
        <v>10</v>
      </c>
      <c r="E93" s="3" t="s">
        <v>16</v>
      </c>
      <c r="F93" s="3" t="s">
        <v>317</v>
      </c>
      <c r="G93" s="3" t="s">
        <v>318</v>
      </c>
      <c r="H93" s="3" t="s">
        <v>254</v>
      </c>
    </row>
    <row r="94" spans="1:8" x14ac:dyDescent="0.2">
      <c r="A94" s="3">
        <v>3050303034</v>
      </c>
      <c r="B94" s="4" t="s">
        <v>245</v>
      </c>
      <c r="C94" s="4" t="s">
        <v>1660</v>
      </c>
      <c r="D94" s="3">
        <v>1</v>
      </c>
      <c r="E94" s="3" t="s">
        <v>16</v>
      </c>
      <c r="F94" s="3" t="s">
        <v>291</v>
      </c>
      <c r="G94" s="3" t="s">
        <v>26</v>
      </c>
      <c r="H94" s="3" t="s">
        <v>254</v>
      </c>
    </row>
    <row r="95" spans="1:8" x14ac:dyDescent="0.2">
      <c r="A95" s="3">
        <v>3050308008</v>
      </c>
      <c r="B95" s="4" t="s">
        <v>222</v>
      </c>
      <c r="C95" s="4" t="s">
        <v>1662</v>
      </c>
      <c r="D95" s="3">
        <v>1</v>
      </c>
      <c r="E95" s="3" t="s">
        <v>16</v>
      </c>
      <c r="F95" s="3" t="s">
        <v>291</v>
      </c>
      <c r="G95" s="3" t="s">
        <v>26</v>
      </c>
      <c r="H95" s="3" t="s">
        <v>254</v>
      </c>
    </row>
  </sheetData>
  <phoneticPr fontId="2" type="noConversion"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752D5-664F-4C83-A157-6513B0F19A9E}">
  <dimension ref="A1:H70"/>
  <sheetViews>
    <sheetView workbookViewId="0">
      <selection activeCell="L16" sqref="L16"/>
    </sheetView>
  </sheetViews>
  <sheetFormatPr defaultRowHeight="14.25" x14ac:dyDescent="0.2"/>
  <cols>
    <col min="1" max="1" width="11.875" customWidth="1"/>
    <col min="2" max="3" width="14" customWidth="1"/>
  </cols>
  <sheetData>
    <row r="1" spans="1:8" x14ac:dyDescent="0.2">
      <c r="A1" s="3" t="s">
        <v>1675</v>
      </c>
      <c r="B1" s="4"/>
      <c r="C1" s="4"/>
      <c r="D1" s="3"/>
      <c r="E1" s="3"/>
      <c r="F1" s="3"/>
      <c r="G1" s="3"/>
      <c r="H1" s="3"/>
    </row>
    <row r="2" spans="1:8" ht="28.5" x14ac:dyDescent="0.2">
      <c r="A2" s="1" t="s">
        <v>0</v>
      </c>
      <c r="B2" s="2" t="s">
        <v>1</v>
      </c>
      <c r="C2" s="2" t="s">
        <v>2</v>
      </c>
      <c r="D2" s="1" t="s">
        <v>4</v>
      </c>
      <c r="E2" s="1" t="s">
        <v>3</v>
      </c>
      <c r="F2" s="1" t="s">
        <v>5</v>
      </c>
      <c r="G2" s="1" t="s">
        <v>6</v>
      </c>
      <c r="H2" s="1" t="s">
        <v>7</v>
      </c>
    </row>
    <row r="3" spans="1:8" s="10" customFormat="1" x14ac:dyDescent="0.2">
      <c r="A3" s="8" t="s">
        <v>390</v>
      </c>
      <c r="B3" s="9" t="s">
        <v>8</v>
      </c>
      <c r="C3" s="9" t="s">
        <v>9</v>
      </c>
      <c r="D3" s="13">
        <f>0.408/0.94</f>
        <v>0.43404255319148938</v>
      </c>
      <c r="E3" s="8" t="s">
        <v>596</v>
      </c>
      <c r="F3" s="8" t="s">
        <v>283</v>
      </c>
      <c r="G3" s="8" t="s">
        <v>13</v>
      </c>
      <c r="H3" s="8" t="s">
        <v>12</v>
      </c>
    </row>
    <row r="4" spans="1:8" x14ac:dyDescent="0.2">
      <c r="A4" s="3">
        <v>403010383</v>
      </c>
      <c r="B4" s="4" t="s">
        <v>684</v>
      </c>
      <c r="C4" s="4" t="s">
        <v>1664</v>
      </c>
      <c r="D4" s="3">
        <v>1</v>
      </c>
      <c r="E4" s="3" t="s">
        <v>16</v>
      </c>
      <c r="F4" s="3" t="s">
        <v>301</v>
      </c>
      <c r="G4" s="3" t="s">
        <v>32</v>
      </c>
      <c r="H4" s="3" t="s">
        <v>306</v>
      </c>
    </row>
    <row r="5" spans="1:8" x14ac:dyDescent="0.2">
      <c r="A5" s="3">
        <v>403010380</v>
      </c>
      <c r="B5" s="4" t="s">
        <v>684</v>
      </c>
      <c r="C5" s="4" t="s">
        <v>1665</v>
      </c>
      <c r="D5" s="3">
        <v>1</v>
      </c>
      <c r="E5" s="3" t="s">
        <v>16</v>
      </c>
      <c r="F5" s="3" t="s">
        <v>301</v>
      </c>
      <c r="G5" s="3" t="s">
        <v>32</v>
      </c>
      <c r="H5" s="3" t="s">
        <v>306</v>
      </c>
    </row>
    <row r="6" spans="1:8" x14ac:dyDescent="0.2">
      <c r="A6" s="3">
        <v>403010381</v>
      </c>
      <c r="B6" s="4" t="s">
        <v>684</v>
      </c>
      <c r="C6" s="4" t="s">
        <v>1666</v>
      </c>
      <c r="D6" s="3">
        <v>1</v>
      </c>
      <c r="E6" s="3" t="s">
        <v>16</v>
      </c>
      <c r="F6" s="3" t="s">
        <v>301</v>
      </c>
      <c r="G6" s="3" t="s">
        <v>32</v>
      </c>
      <c r="H6" s="3" t="s">
        <v>306</v>
      </c>
    </row>
    <row r="7" spans="1:8" x14ac:dyDescent="0.2">
      <c r="A7" s="3">
        <v>403010382</v>
      </c>
      <c r="B7" s="4" t="s">
        <v>684</v>
      </c>
      <c r="C7" s="4" t="s">
        <v>1667</v>
      </c>
      <c r="D7" s="3">
        <v>2</v>
      </c>
      <c r="E7" s="3" t="s">
        <v>16</v>
      </c>
      <c r="F7" s="3" t="s">
        <v>301</v>
      </c>
      <c r="G7" s="3" t="s">
        <v>32</v>
      </c>
      <c r="H7" s="3" t="s">
        <v>306</v>
      </c>
    </row>
    <row r="8" spans="1:8" x14ac:dyDescent="0.2">
      <c r="A8" s="3">
        <v>404020115</v>
      </c>
      <c r="B8" s="4" t="s">
        <v>30</v>
      </c>
      <c r="C8" s="4" t="s">
        <v>1598</v>
      </c>
      <c r="D8" s="3">
        <v>1</v>
      </c>
      <c r="E8" s="3" t="s">
        <v>16</v>
      </c>
      <c r="F8" s="3" t="s">
        <v>291</v>
      </c>
      <c r="G8" s="3" t="s">
        <v>26</v>
      </c>
      <c r="H8" s="3" t="s">
        <v>33</v>
      </c>
    </row>
    <row r="9" spans="1:8" x14ac:dyDescent="0.2">
      <c r="A9" s="3">
        <v>401020206</v>
      </c>
      <c r="B9" s="4" t="s">
        <v>35</v>
      </c>
      <c r="C9" s="4" t="s">
        <v>1668</v>
      </c>
      <c r="D9" s="3">
        <v>1</v>
      </c>
      <c r="E9" s="3" t="s">
        <v>16</v>
      </c>
      <c r="F9" s="3" t="s">
        <v>301</v>
      </c>
      <c r="G9" s="3" t="s">
        <v>32</v>
      </c>
      <c r="H9" s="3" t="s">
        <v>33</v>
      </c>
    </row>
    <row r="10" spans="1:8" x14ac:dyDescent="0.2">
      <c r="A10" s="3">
        <v>401040456</v>
      </c>
      <c r="B10" s="4" t="s">
        <v>35</v>
      </c>
      <c r="C10" s="4" t="s">
        <v>1600</v>
      </c>
      <c r="D10" s="3">
        <v>1</v>
      </c>
      <c r="E10" s="3" t="s">
        <v>16</v>
      </c>
      <c r="F10" s="3" t="s">
        <v>291</v>
      </c>
      <c r="G10" s="3" t="s">
        <v>26</v>
      </c>
      <c r="H10" s="3" t="s">
        <v>33</v>
      </c>
    </row>
    <row r="11" spans="1:8" x14ac:dyDescent="0.2">
      <c r="A11" s="3">
        <v>3080101001</v>
      </c>
      <c r="B11" s="4" t="s">
        <v>411</v>
      </c>
      <c r="C11" s="4" t="s">
        <v>1601</v>
      </c>
      <c r="D11" s="3">
        <v>25</v>
      </c>
      <c r="E11" s="3" t="s">
        <v>16</v>
      </c>
      <c r="F11" s="3" t="s">
        <v>289</v>
      </c>
      <c r="G11" s="3" t="s">
        <v>23</v>
      </c>
      <c r="H11" s="3" t="s">
        <v>40</v>
      </c>
    </row>
    <row r="12" spans="1:8" x14ac:dyDescent="0.2">
      <c r="A12" s="3">
        <v>3080105028</v>
      </c>
      <c r="B12" s="4" t="s">
        <v>50</v>
      </c>
      <c r="C12" s="4" t="s">
        <v>1602</v>
      </c>
      <c r="D12" s="3">
        <v>4</v>
      </c>
      <c r="E12" s="3" t="s">
        <v>16</v>
      </c>
      <c r="F12" s="3" t="s">
        <v>289</v>
      </c>
      <c r="G12" s="3" t="s">
        <v>23</v>
      </c>
      <c r="H12" s="3" t="s">
        <v>40</v>
      </c>
    </row>
    <row r="13" spans="1:8" x14ac:dyDescent="0.2">
      <c r="A13" s="3">
        <v>3080105007</v>
      </c>
      <c r="B13" s="4" t="s">
        <v>50</v>
      </c>
      <c r="C13" s="4" t="s">
        <v>52</v>
      </c>
      <c r="D13" s="3">
        <v>2</v>
      </c>
      <c r="E13" s="3" t="s">
        <v>16</v>
      </c>
      <c r="F13" s="3" t="s">
        <v>293</v>
      </c>
      <c r="G13" s="3" t="s">
        <v>29</v>
      </c>
      <c r="H13" s="3" t="s">
        <v>40</v>
      </c>
    </row>
    <row r="14" spans="1:8" x14ac:dyDescent="0.2">
      <c r="A14" s="3">
        <v>3080105040</v>
      </c>
      <c r="B14" s="4" t="s">
        <v>50</v>
      </c>
      <c r="C14" s="4" t="s">
        <v>421</v>
      </c>
      <c r="D14" s="3">
        <v>2</v>
      </c>
      <c r="E14" s="3" t="s">
        <v>16</v>
      </c>
      <c r="F14" s="3" t="s">
        <v>291</v>
      </c>
      <c r="G14" s="3" t="s">
        <v>26</v>
      </c>
      <c r="H14" s="3" t="s">
        <v>40</v>
      </c>
    </row>
    <row r="15" spans="1:8" x14ac:dyDescent="0.2">
      <c r="A15" s="3">
        <v>3080105021</v>
      </c>
      <c r="B15" s="4" t="s">
        <v>50</v>
      </c>
      <c r="C15" s="4" t="s">
        <v>319</v>
      </c>
      <c r="D15" s="3">
        <v>4</v>
      </c>
      <c r="E15" s="3" t="s">
        <v>16</v>
      </c>
      <c r="F15" s="3" t="s">
        <v>291</v>
      </c>
      <c r="G15" s="3" t="s">
        <v>26</v>
      </c>
      <c r="H15" s="3" t="s">
        <v>40</v>
      </c>
    </row>
    <row r="16" spans="1:8" x14ac:dyDescent="0.2">
      <c r="A16" s="3">
        <v>3080105077</v>
      </c>
      <c r="B16" s="4" t="s">
        <v>50</v>
      </c>
      <c r="C16" s="4" t="s">
        <v>1603</v>
      </c>
      <c r="D16" s="3">
        <v>2</v>
      </c>
      <c r="E16" s="3" t="s">
        <v>16</v>
      </c>
      <c r="F16" s="3" t="s">
        <v>291</v>
      </c>
      <c r="G16" s="3" t="s">
        <v>26</v>
      </c>
      <c r="H16" s="3" t="s">
        <v>40</v>
      </c>
    </row>
    <row r="17" spans="1:8" x14ac:dyDescent="0.2">
      <c r="A17" s="3">
        <v>3080501013</v>
      </c>
      <c r="B17" s="4" t="s">
        <v>57</v>
      </c>
      <c r="C17" s="4" t="s">
        <v>58</v>
      </c>
      <c r="D17" s="3">
        <v>2</v>
      </c>
      <c r="E17" s="3" t="s">
        <v>16</v>
      </c>
      <c r="F17" s="3" t="s">
        <v>293</v>
      </c>
      <c r="G17" s="3" t="s">
        <v>29</v>
      </c>
      <c r="H17" s="3" t="s">
        <v>40</v>
      </c>
    </row>
    <row r="18" spans="1:8" x14ac:dyDescent="0.2">
      <c r="A18" s="3">
        <v>3080201016</v>
      </c>
      <c r="B18" s="4" t="s">
        <v>60</v>
      </c>
      <c r="C18" s="4" t="s">
        <v>1606</v>
      </c>
      <c r="D18" s="3">
        <v>5</v>
      </c>
      <c r="E18" s="3" t="s">
        <v>16</v>
      </c>
      <c r="F18" s="3" t="s">
        <v>289</v>
      </c>
      <c r="G18" s="3" t="s">
        <v>23</v>
      </c>
      <c r="H18" s="3" t="s">
        <v>40</v>
      </c>
    </row>
    <row r="19" spans="1:8" x14ac:dyDescent="0.2">
      <c r="A19" s="3">
        <v>3080106014</v>
      </c>
      <c r="B19" s="4" t="s">
        <v>66</v>
      </c>
      <c r="C19" s="4" t="s">
        <v>1608</v>
      </c>
      <c r="D19" s="3">
        <v>4</v>
      </c>
      <c r="E19" s="3" t="s">
        <v>16</v>
      </c>
      <c r="F19" s="3" t="s">
        <v>291</v>
      </c>
      <c r="G19" s="3" t="s">
        <v>26</v>
      </c>
      <c r="H19" s="3" t="s">
        <v>40</v>
      </c>
    </row>
    <row r="20" spans="1:8" x14ac:dyDescent="0.2">
      <c r="A20" s="3">
        <v>3080107265</v>
      </c>
      <c r="B20" s="4" t="s">
        <v>69</v>
      </c>
      <c r="C20" s="4" t="s">
        <v>1611</v>
      </c>
      <c r="D20" s="3">
        <v>2</v>
      </c>
      <c r="E20" s="3" t="s">
        <v>16</v>
      </c>
      <c r="F20" s="3" t="s">
        <v>289</v>
      </c>
      <c r="G20" s="3" t="s">
        <v>23</v>
      </c>
      <c r="H20" s="3" t="s">
        <v>40</v>
      </c>
    </row>
    <row r="21" spans="1:8" x14ac:dyDescent="0.2">
      <c r="A21" s="3">
        <v>3080107066</v>
      </c>
      <c r="B21" s="4" t="s">
        <v>69</v>
      </c>
      <c r="C21" s="4" t="s">
        <v>1610</v>
      </c>
      <c r="D21" s="3">
        <v>4</v>
      </c>
      <c r="E21" s="3" t="s">
        <v>16</v>
      </c>
      <c r="F21" s="3" t="s">
        <v>289</v>
      </c>
      <c r="G21" s="3" t="s">
        <v>23</v>
      </c>
      <c r="H21" s="3" t="s">
        <v>40</v>
      </c>
    </row>
    <row r="22" spans="1:8" x14ac:dyDescent="0.2">
      <c r="A22" s="3">
        <v>3080107063</v>
      </c>
      <c r="B22" s="4" t="s">
        <v>69</v>
      </c>
      <c r="C22" s="4" t="s">
        <v>1612</v>
      </c>
      <c r="D22" s="3">
        <v>1</v>
      </c>
      <c r="E22" s="3" t="s">
        <v>16</v>
      </c>
      <c r="F22" s="3" t="s">
        <v>289</v>
      </c>
      <c r="G22" s="3" t="s">
        <v>23</v>
      </c>
      <c r="H22" s="3" t="s">
        <v>40</v>
      </c>
    </row>
    <row r="23" spans="1:8" x14ac:dyDescent="0.2">
      <c r="A23" s="3">
        <v>3080107255</v>
      </c>
      <c r="B23" s="4" t="s">
        <v>69</v>
      </c>
      <c r="C23" s="4" t="s">
        <v>1614</v>
      </c>
      <c r="D23" s="3">
        <v>4</v>
      </c>
      <c r="E23" s="3" t="s">
        <v>16</v>
      </c>
      <c r="F23" s="3" t="s">
        <v>291</v>
      </c>
      <c r="G23" s="3" t="s">
        <v>26</v>
      </c>
      <c r="H23" s="3" t="s">
        <v>40</v>
      </c>
    </row>
    <row r="24" spans="1:8" x14ac:dyDescent="0.2">
      <c r="A24" s="3">
        <v>3080107038</v>
      </c>
      <c r="B24" s="4" t="s">
        <v>69</v>
      </c>
      <c r="C24" s="4" t="s">
        <v>72</v>
      </c>
      <c r="D24" s="3">
        <v>4</v>
      </c>
      <c r="E24" s="3" t="s">
        <v>16</v>
      </c>
      <c r="F24" s="3" t="s">
        <v>293</v>
      </c>
      <c r="G24" s="3" t="s">
        <v>29</v>
      </c>
      <c r="H24" s="3" t="s">
        <v>40</v>
      </c>
    </row>
    <row r="25" spans="1:8" x14ac:dyDescent="0.2">
      <c r="A25" s="3">
        <v>3080111087</v>
      </c>
      <c r="B25" s="4" t="s">
        <v>79</v>
      </c>
      <c r="C25" s="4" t="s">
        <v>80</v>
      </c>
      <c r="D25" s="3">
        <v>16</v>
      </c>
      <c r="E25" s="3" t="s">
        <v>16</v>
      </c>
      <c r="F25" s="3" t="s">
        <v>291</v>
      </c>
      <c r="G25" s="3" t="s">
        <v>26</v>
      </c>
      <c r="H25" s="3" t="s">
        <v>40</v>
      </c>
    </row>
    <row r="26" spans="1:8" x14ac:dyDescent="0.2">
      <c r="A26" s="3">
        <v>3080111077</v>
      </c>
      <c r="B26" s="4" t="s">
        <v>79</v>
      </c>
      <c r="C26" s="4" t="s">
        <v>1616</v>
      </c>
      <c r="D26" s="3">
        <v>1</v>
      </c>
      <c r="E26" s="3" t="s">
        <v>16</v>
      </c>
      <c r="F26" s="3" t="s">
        <v>289</v>
      </c>
      <c r="G26" s="3" t="s">
        <v>23</v>
      </c>
      <c r="H26" s="3" t="s">
        <v>40</v>
      </c>
    </row>
    <row r="27" spans="1:8" x14ac:dyDescent="0.2">
      <c r="A27" s="3">
        <v>3080111032</v>
      </c>
      <c r="B27" s="4" t="s">
        <v>79</v>
      </c>
      <c r="C27" s="4" t="s">
        <v>1618</v>
      </c>
      <c r="D27" s="3">
        <v>1</v>
      </c>
      <c r="E27" s="3" t="s">
        <v>16</v>
      </c>
      <c r="F27" s="3" t="s">
        <v>289</v>
      </c>
      <c r="G27" s="3" t="s">
        <v>23</v>
      </c>
      <c r="H27" s="3" t="s">
        <v>40</v>
      </c>
    </row>
    <row r="28" spans="1:8" x14ac:dyDescent="0.2">
      <c r="A28" s="3">
        <v>3080111032</v>
      </c>
      <c r="B28" s="4" t="s">
        <v>79</v>
      </c>
      <c r="C28" s="4" t="s">
        <v>1618</v>
      </c>
      <c r="D28" s="3">
        <v>10</v>
      </c>
      <c r="E28" s="3" t="s">
        <v>16</v>
      </c>
      <c r="F28" s="3" t="s">
        <v>291</v>
      </c>
      <c r="G28" s="3" t="s">
        <v>26</v>
      </c>
      <c r="H28" s="3" t="s">
        <v>40</v>
      </c>
    </row>
    <row r="29" spans="1:8" x14ac:dyDescent="0.2">
      <c r="A29" s="3">
        <v>407030096</v>
      </c>
      <c r="B29" s="4" t="s">
        <v>81</v>
      </c>
      <c r="C29" s="4" t="s">
        <v>1619</v>
      </c>
      <c r="D29" s="3">
        <v>1</v>
      </c>
      <c r="E29" s="3" t="s">
        <v>16</v>
      </c>
      <c r="F29" s="3" t="s">
        <v>301</v>
      </c>
      <c r="G29" s="3" t="s">
        <v>32</v>
      </c>
      <c r="H29" s="3" t="s">
        <v>40</v>
      </c>
    </row>
    <row r="30" spans="1:8" x14ac:dyDescent="0.2">
      <c r="A30" s="3">
        <v>3030101001</v>
      </c>
      <c r="B30" s="4" t="s">
        <v>636</v>
      </c>
      <c r="C30" s="4" t="s">
        <v>1669</v>
      </c>
      <c r="D30" s="3">
        <v>1</v>
      </c>
      <c r="E30" s="3" t="s">
        <v>16</v>
      </c>
      <c r="F30" s="3" t="s">
        <v>291</v>
      </c>
      <c r="G30" s="3" t="s">
        <v>26</v>
      </c>
      <c r="H30" s="3" t="s">
        <v>88</v>
      </c>
    </row>
    <row r="31" spans="1:8" x14ac:dyDescent="0.2">
      <c r="A31" s="3">
        <v>3099990106</v>
      </c>
      <c r="B31" s="4" t="s">
        <v>104</v>
      </c>
      <c r="C31" s="4" t="s">
        <v>90</v>
      </c>
      <c r="D31" s="3">
        <v>1</v>
      </c>
      <c r="E31" s="3" t="s">
        <v>16</v>
      </c>
      <c r="F31" s="3" t="s">
        <v>291</v>
      </c>
      <c r="G31" s="3" t="s">
        <v>26</v>
      </c>
      <c r="H31" s="3" t="s">
        <v>103</v>
      </c>
    </row>
    <row r="32" spans="1:8" x14ac:dyDescent="0.2">
      <c r="A32" s="3">
        <v>402030026</v>
      </c>
      <c r="B32" s="4" t="s">
        <v>107</v>
      </c>
      <c r="C32" s="4" t="s">
        <v>1171</v>
      </c>
      <c r="D32" s="3">
        <v>1</v>
      </c>
      <c r="E32" s="3" t="s">
        <v>16</v>
      </c>
      <c r="F32" s="3" t="s">
        <v>289</v>
      </c>
      <c r="G32" s="3" t="s">
        <v>23</v>
      </c>
      <c r="H32" s="3" t="s">
        <v>109</v>
      </c>
    </row>
    <row r="33" spans="1:8" x14ac:dyDescent="0.2">
      <c r="A33" s="3">
        <v>402030027</v>
      </c>
      <c r="B33" s="4" t="s">
        <v>107</v>
      </c>
      <c r="C33" s="4" t="s">
        <v>110</v>
      </c>
      <c r="D33" s="3">
        <v>1</v>
      </c>
      <c r="E33" s="3" t="s">
        <v>16</v>
      </c>
      <c r="F33" s="3" t="s">
        <v>291</v>
      </c>
      <c r="G33" s="3" t="s">
        <v>26</v>
      </c>
      <c r="H33" s="3" t="s">
        <v>109</v>
      </c>
    </row>
    <row r="34" spans="1:8" x14ac:dyDescent="0.2">
      <c r="A34" s="3">
        <v>402030019</v>
      </c>
      <c r="B34" s="4" t="s">
        <v>107</v>
      </c>
      <c r="C34" s="4" t="s">
        <v>638</v>
      </c>
      <c r="D34" s="3">
        <v>2</v>
      </c>
      <c r="E34" s="3" t="s">
        <v>16</v>
      </c>
      <c r="F34" s="3" t="s">
        <v>293</v>
      </c>
      <c r="G34" s="3" t="s">
        <v>29</v>
      </c>
      <c r="H34" s="3" t="s">
        <v>109</v>
      </c>
    </row>
    <row r="35" spans="1:8" x14ac:dyDescent="0.2">
      <c r="A35" s="3">
        <v>3040113002</v>
      </c>
      <c r="B35" s="4" t="s">
        <v>118</v>
      </c>
      <c r="C35" s="4" t="s">
        <v>119</v>
      </c>
      <c r="D35" s="3">
        <v>2</v>
      </c>
      <c r="E35" s="3" t="s">
        <v>16</v>
      </c>
      <c r="F35" s="3" t="s">
        <v>293</v>
      </c>
      <c r="G35" s="3" t="s">
        <v>29</v>
      </c>
      <c r="H35" s="3" t="s">
        <v>115</v>
      </c>
    </row>
    <row r="36" spans="1:8" x14ac:dyDescent="0.2">
      <c r="A36" s="3">
        <v>3040502081</v>
      </c>
      <c r="B36" s="4" t="s">
        <v>136</v>
      </c>
      <c r="C36" s="4" t="s">
        <v>1621</v>
      </c>
      <c r="D36" s="3">
        <v>2</v>
      </c>
      <c r="E36" s="3" t="s">
        <v>16</v>
      </c>
      <c r="F36" s="3" t="s">
        <v>293</v>
      </c>
      <c r="G36" s="3" t="s">
        <v>29</v>
      </c>
      <c r="H36" s="3" t="s">
        <v>138</v>
      </c>
    </row>
    <row r="37" spans="1:8" x14ac:dyDescent="0.2">
      <c r="A37" s="3">
        <v>407050043</v>
      </c>
      <c r="B37" s="4" t="s">
        <v>1321</v>
      </c>
      <c r="C37" s="4" t="s">
        <v>1622</v>
      </c>
      <c r="D37" s="3">
        <v>1</v>
      </c>
      <c r="E37" s="3" t="s">
        <v>16</v>
      </c>
      <c r="F37" s="3" t="s">
        <v>289</v>
      </c>
      <c r="G37" s="3" t="s">
        <v>23</v>
      </c>
      <c r="H37" s="3" t="s">
        <v>151</v>
      </c>
    </row>
    <row r="38" spans="1:8" x14ac:dyDescent="0.2">
      <c r="A38" s="3">
        <v>3060201051</v>
      </c>
      <c r="B38" s="4" t="s">
        <v>663</v>
      </c>
      <c r="C38" s="4" t="s">
        <v>1623</v>
      </c>
      <c r="D38" s="3">
        <v>1</v>
      </c>
      <c r="E38" s="3" t="s">
        <v>16</v>
      </c>
      <c r="F38" s="3" t="s">
        <v>289</v>
      </c>
      <c r="G38" s="3" t="s">
        <v>23</v>
      </c>
      <c r="H38" s="3" t="s">
        <v>154</v>
      </c>
    </row>
    <row r="39" spans="1:8" x14ac:dyDescent="0.2">
      <c r="A39" s="3">
        <v>3060206004</v>
      </c>
      <c r="B39" s="4" t="s">
        <v>1624</v>
      </c>
      <c r="C39" s="4" t="s">
        <v>1625</v>
      </c>
      <c r="D39" s="3">
        <v>1</v>
      </c>
      <c r="E39" s="3" t="s">
        <v>16</v>
      </c>
      <c r="F39" s="3" t="s">
        <v>289</v>
      </c>
      <c r="G39" s="3" t="s">
        <v>23</v>
      </c>
      <c r="H39" s="3" t="s">
        <v>154</v>
      </c>
    </row>
    <row r="40" spans="1:8" x14ac:dyDescent="0.2">
      <c r="A40" s="3">
        <v>3030316005</v>
      </c>
      <c r="B40" s="4" t="s">
        <v>1626</v>
      </c>
      <c r="C40" s="4" t="s">
        <v>1627</v>
      </c>
      <c r="D40" s="3">
        <v>1</v>
      </c>
      <c r="E40" s="3" t="s">
        <v>16</v>
      </c>
      <c r="F40" s="3" t="s">
        <v>291</v>
      </c>
      <c r="G40" s="3" t="s">
        <v>26</v>
      </c>
      <c r="H40" s="3" t="s">
        <v>165</v>
      </c>
    </row>
    <row r="41" spans="1:8" x14ac:dyDescent="0.2">
      <c r="A41" s="3">
        <v>3050305044</v>
      </c>
      <c r="B41" s="4" t="s">
        <v>1628</v>
      </c>
      <c r="C41" s="4" t="s">
        <v>1629</v>
      </c>
      <c r="D41" s="3">
        <v>2</v>
      </c>
      <c r="E41" s="3" t="s">
        <v>16</v>
      </c>
      <c r="F41" s="3" t="s">
        <v>291</v>
      </c>
      <c r="G41" s="3" t="s">
        <v>26</v>
      </c>
      <c r="H41" s="3" t="s">
        <v>165</v>
      </c>
    </row>
    <row r="42" spans="1:8" x14ac:dyDescent="0.2">
      <c r="A42" s="3">
        <v>3060342008</v>
      </c>
      <c r="B42" s="4" t="s">
        <v>1636</v>
      </c>
      <c r="C42" s="4" t="s">
        <v>1637</v>
      </c>
      <c r="D42" s="3">
        <v>1</v>
      </c>
      <c r="E42" s="3" t="s">
        <v>16</v>
      </c>
      <c r="F42" s="3" t="s">
        <v>289</v>
      </c>
      <c r="G42" s="3" t="s">
        <v>23</v>
      </c>
      <c r="H42" s="3" t="s">
        <v>173</v>
      </c>
    </row>
    <row r="43" spans="1:8" x14ac:dyDescent="0.2">
      <c r="A43" s="3">
        <v>3060343008</v>
      </c>
      <c r="B43" s="4" t="s">
        <v>1638</v>
      </c>
      <c r="C43" s="4" t="s">
        <v>1637</v>
      </c>
      <c r="D43" s="3">
        <v>1</v>
      </c>
      <c r="E43" s="3" t="s">
        <v>16</v>
      </c>
      <c r="F43" s="3" t="s">
        <v>289</v>
      </c>
      <c r="G43" s="3" t="s">
        <v>23</v>
      </c>
      <c r="H43" s="3" t="s">
        <v>173</v>
      </c>
    </row>
    <row r="44" spans="1:8" x14ac:dyDescent="0.2">
      <c r="A44" s="3">
        <v>3050305045</v>
      </c>
      <c r="B44" s="4" t="s">
        <v>1639</v>
      </c>
      <c r="C44" s="4" t="s">
        <v>653</v>
      </c>
      <c r="D44" s="3">
        <v>1</v>
      </c>
      <c r="E44" s="3" t="s">
        <v>16</v>
      </c>
      <c r="F44" s="3" t="s">
        <v>291</v>
      </c>
      <c r="G44" s="3" t="s">
        <v>26</v>
      </c>
      <c r="H44" s="3" t="s">
        <v>173</v>
      </c>
    </row>
    <row r="45" spans="1:8" x14ac:dyDescent="0.2">
      <c r="A45" s="3">
        <v>3050305046</v>
      </c>
      <c r="B45" s="4" t="s">
        <v>1640</v>
      </c>
      <c r="C45" s="4" t="s">
        <v>653</v>
      </c>
      <c r="D45" s="3">
        <v>1</v>
      </c>
      <c r="E45" s="3" t="s">
        <v>16</v>
      </c>
      <c r="F45" s="3" t="s">
        <v>291</v>
      </c>
      <c r="G45" s="3" t="s">
        <v>26</v>
      </c>
      <c r="H45" s="3" t="s">
        <v>173</v>
      </c>
    </row>
    <row r="46" spans="1:8" x14ac:dyDescent="0.2">
      <c r="A46" s="3">
        <v>3050304022</v>
      </c>
      <c r="B46" s="4" t="s">
        <v>181</v>
      </c>
      <c r="C46" s="4" t="s">
        <v>1631</v>
      </c>
      <c r="D46" s="3">
        <v>1</v>
      </c>
      <c r="E46" s="3" t="s">
        <v>16</v>
      </c>
      <c r="F46" s="3" t="s">
        <v>291</v>
      </c>
      <c r="G46" s="3" t="s">
        <v>26</v>
      </c>
      <c r="H46" s="3" t="s">
        <v>173</v>
      </c>
    </row>
    <row r="47" spans="1:8" x14ac:dyDescent="0.2">
      <c r="A47" s="3">
        <v>3050305047</v>
      </c>
      <c r="B47" s="4" t="s">
        <v>1641</v>
      </c>
      <c r="C47" s="4" t="s">
        <v>653</v>
      </c>
      <c r="D47" s="3">
        <v>1</v>
      </c>
      <c r="E47" s="3" t="s">
        <v>16</v>
      </c>
      <c r="F47" s="3" t="s">
        <v>291</v>
      </c>
      <c r="G47" s="3" t="s">
        <v>26</v>
      </c>
      <c r="H47" s="3" t="s">
        <v>173</v>
      </c>
    </row>
    <row r="48" spans="1:8" x14ac:dyDescent="0.2">
      <c r="A48" s="3">
        <v>3020502014</v>
      </c>
      <c r="B48" s="4" t="s">
        <v>183</v>
      </c>
      <c r="C48" s="4" t="s">
        <v>1307</v>
      </c>
      <c r="D48" s="3">
        <v>1</v>
      </c>
      <c r="E48" s="3" t="s">
        <v>16</v>
      </c>
      <c r="F48" s="3" t="s">
        <v>291</v>
      </c>
      <c r="G48" s="3" t="s">
        <v>26</v>
      </c>
      <c r="H48" s="3" t="s">
        <v>185</v>
      </c>
    </row>
    <row r="49" spans="1:8" x14ac:dyDescent="0.2">
      <c r="A49" s="3">
        <v>3110207005</v>
      </c>
      <c r="B49" s="4" t="s">
        <v>140</v>
      </c>
      <c r="C49" s="4" t="s">
        <v>1642</v>
      </c>
      <c r="D49" s="3">
        <v>1</v>
      </c>
      <c r="E49" s="3" t="s">
        <v>16</v>
      </c>
      <c r="F49" s="3" t="s">
        <v>285</v>
      </c>
      <c r="G49" s="3" t="s">
        <v>142</v>
      </c>
      <c r="H49" s="3" t="s">
        <v>187</v>
      </c>
    </row>
    <row r="50" spans="1:8" x14ac:dyDescent="0.2">
      <c r="A50" s="3">
        <v>3110205007</v>
      </c>
      <c r="B50" s="4" t="s">
        <v>146</v>
      </c>
      <c r="C50" s="4" t="s">
        <v>1644</v>
      </c>
      <c r="D50" s="3">
        <v>1</v>
      </c>
      <c r="E50" s="3" t="s">
        <v>16</v>
      </c>
      <c r="F50" s="3" t="s">
        <v>287</v>
      </c>
      <c r="G50" s="3" t="s">
        <v>148</v>
      </c>
      <c r="H50" s="3" t="s">
        <v>187</v>
      </c>
    </row>
    <row r="51" spans="1:8" x14ac:dyDescent="0.2">
      <c r="A51" s="3">
        <v>404030020</v>
      </c>
      <c r="B51" s="4" t="s">
        <v>30</v>
      </c>
      <c r="C51" s="4" t="s">
        <v>689</v>
      </c>
      <c r="D51" s="3">
        <v>1</v>
      </c>
      <c r="E51" s="3" t="s">
        <v>16</v>
      </c>
      <c r="F51" s="3" t="s">
        <v>291</v>
      </c>
      <c r="G51" s="3" t="s">
        <v>26</v>
      </c>
      <c r="H51" s="3" t="s">
        <v>198</v>
      </c>
    </row>
    <row r="52" spans="1:8" x14ac:dyDescent="0.2">
      <c r="A52" s="3">
        <v>403030003</v>
      </c>
      <c r="B52" s="4" t="s">
        <v>366</v>
      </c>
      <c r="C52" s="4" t="s">
        <v>1670</v>
      </c>
      <c r="D52" s="3">
        <v>1</v>
      </c>
      <c r="E52" s="3" t="s">
        <v>16</v>
      </c>
      <c r="F52" s="3" t="s">
        <v>291</v>
      </c>
      <c r="G52" s="3" t="s">
        <v>26</v>
      </c>
      <c r="H52" s="3" t="s">
        <v>198</v>
      </c>
    </row>
    <row r="53" spans="1:8" x14ac:dyDescent="0.2">
      <c r="A53" s="3">
        <v>401070018</v>
      </c>
      <c r="B53" s="4" t="s">
        <v>35</v>
      </c>
      <c r="C53" s="4" t="s">
        <v>202</v>
      </c>
      <c r="D53" s="3">
        <v>1</v>
      </c>
      <c r="E53" s="3" t="s">
        <v>16</v>
      </c>
      <c r="F53" s="3" t="s">
        <v>291</v>
      </c>
      <c r="G53" s="3" t="s">
        <v>26</v>
      </c>
      <c r="H53" s="3" t="s">
        <v>198</v>
      </c>
    </row>
    <row r="54" spans="1:8" x14ac:dyDescent="0.2">
      <c r="A54" s="3">
        <v>401070022</v>
      </c>
      <c r="B54" s="4" t="s">
        <v>35</v>
      </c>
      <c r="C54" s="4" t="s">
        <v>203</v>
      </c>
      <c r="D54" s="3">
        <v>1</v>
      </c>
      <c r="E54" s="3" t="s">
        <v>16</v>
      </c>
      <c r="F54" s="3" t="s">
        <v>297</v>
      </c>
      <c r="G54" s="3" t="s">
        <v>204</v>
      </c>
      <c r="H54" s="3" t="s">
        <v>198</v>
      </c>
    </row>
    <row r="55" spans="1:8" x14ac:dyDescent="0.2">
      <c r="A55" s="3">
        <v>3020302016</v>
      </c>
      <c r="B55" s="4" t="s">
        <v>209</v>
      </c>
      <c r="C55" s="4" t="s">
        <v>1308</v>
      </c>
      <c r="D55" s="3">
        <v>1</v>
      </c>
      <c r="E55" s="3" t="s">
        <v>16</v>
      </c>
      <c r="F55" s="3" t="s">
        <v>301</v>
      </c>
      <c r="G55" s="3" t="s">
        <v>32</v>
      </c>
      <c r="H55" s="3" t="s">
        <v>211</v>
      </c>
    </row>
    <row r="56" spans="1:8" x14ac:dyDescent="0.2">
      <c r="A56" s="3">
        <v>402050001</v>
      </c>
      <c r="B56" s="4" t="s">
        <v>522</v>
      </c>
      <c r="C56" s="4" t="s">
        <v>523</v>
      </c>
      <c r="D56" s="3">
        <v>1</v>
      </c>
      <c r="E56" s="3" t="s">
        <v>16</v>
      </c>
      <c r="F56" s="3" t="s">
        <v>289</v>
      </c>
      <c r="G56" s="3" t="s">
        <v>23</v>
      </c>
      <c r="H56" s="3" t="s">
        <v>524</v>
      </c>
    </row>
    <row r="57" spans="1:8" x14ac:dyDescent="0.2">
      <c r="A57" s="3">
        <v>3030303054</v>
      </c>
      <c r="B57" s="4" t="s">
        <v>177</v>
      </c>
      <c r="C57" s="4" t="s">
        <v>653</v>
      </c>
      <c r="D57" s="3">
        <v>1</v>
      </c>
      <c r="E57" s="3" t="s">
        <v>16</v>
      </c>
      <c r="F57" s="3" t="s">
        <v>291</v>
      </c>
      <c r="G57" s="3" t="s">
        <v>26</v>
      </c>
      <c r="H57" s="3" t="s">
        <v>226</v>
      </c>
    </row>
    <row r="58" spans="1:8" x14ac:dyDescent="0.2">
      <c r="A58" s="3">
        <v>3040312026</v>
      </c>
      <c r="B58" s="4" t="s">
        <v>263</v>
      </c>
      <c r="C58" s="4" t="s">
        <v>652</v>
      </c>
      <c r="D58" s="3">
        <v>2</v>
      </c>
      <c r="E58" s="3" t="s">
        <v>16</v>
      </c>
      <c r="F58" s="3" t="s">
        <v>293</v>
      </c>
      <c r="G58" s="3" t="s">
        <v>29</v>
      </c>
      <c r="H58" s="3" t="s">
        <v>226</v>
      </c>
    </row>
    <row r="59" spans="1:8" x14ac:dyDescent="0.2">
      <c r="A59" s="3">
        <v>3040303008</v>
      </c>
      <c r="B59" s="4" t="s">
        <v>265</v>
      </c>
      <c r="C59" s="4" t="s">
        <v>653</v>
      </c>
      <c r="D59" s="3">
        <v>2</v>
      </c>
      <c r="E59" s="3" t="s">
        <v>16</v>
      </c>
      <c r="F59" s="3" t="s">
        <v>293</v>
      </c>
      <c r="G59" s="3" t="s">
        <v>29</v>
      </c>
      <c r="H59" s="3" t="s">
        <v>226</v>
      </c>
    </row>
    <row r="60" spans="1:8" x14ac:dyDescent="0.2">
      <c r="A60" s="3">
        <v>3040320036</v>
      </c>
      <c r="B60" s="4" t="s">
        <v>269</v>
      </c>
      <c r="C60" s="4" t="s">
        <v>1653</v>
      </c>
      <c r="D60" s="3">
        <v>1</v>
      </c>
      <c r="E60" s="3" t="s">
        <v>16</v>
      </c>
      <c r="F60" s="3" t="s">
        <v>293</v>
      </c>
      <c r="G60" s="3" t="s">
        <v>29</v>
      </c>
      <c r="H60" s="3" t="s">
        <v>226</v>
      </c>
    </row>
    <row r="61" spans="1:8" x14ac:dyDescent="0.2">
      <c r="A61" s="3">
        <v>3040320037</v>
      </c>
      <c r="B61" s="4" t="s">
        <v>269</v>
      </c>
      <c r="C61" s="4" t="s">
        <v>1654</v>
      </c>
      <c r="D61" s="3">
        <v>1</v>
      </c>
      <c r="E61" s="3" t="s">
        <v>16</v>
      </c>
      <c r="F61" s="3" t="s">
        <v>293</v>
      </c>
      <c r="G61" s="3" t="s">
        <v>29</v>
      </c>
      <c r="H61" s="3" t="s">
        <v>226</v>
      </c>
    </row>
    <row r="62" spans="1:8" x14ac:dyDescent="0.2">
      <c r="A62" s="3">
        <v>3040113006</v>
      </c>
      <c r="B62" s="4" t="s">
        <v>500</v>
      </c>
      <c r="C62" s="4" t="s">
        <v>656</v>
      </c>
      <c r="D62" s="3">
        <v>1</v>
      </c>
      <c r="E62" s="3" t="s">
        <v>16</v>
      </c>
      <c r="F62" s="3" t="s">
        <v>293</v>
      </c>
      <c r="G62" s="3" t="s">
        <v>29</v>
      </c>
      <c r="H62" s="3" t="s">
        <v>226</v>
      </c>
    </row>
    <row r="63" spans="1:8" x14ac:dyDescent="0.2">
      <c r="A63" s="3">
        <v>3040113007</v>
      </c>
      <c r="B63" s="4" t="s">
        <v>500</v>
      </c>
      <c r="C63" s="4" t="s">
        <v>657</v>
      </c>
      <c r="D63" s="3">
        <v>1</v>
      </c>
      <c r="E63" s="3" t="s">
        <v>16</v>
      </c>
      <c r="F63" s="3" t="s">
        <v>293</v>
      </c>
      <c r="G63" s="3" t="s">
        <v>29</v>
      </c>
      <c r="H63" s="3" t="s">
        <v>226</v>
      </c>
    </row>
    <row r="64" spans="1:8" x14ac:dyDescent="0.2">
      <c r="A64" s="3">
        <v>3020101004</v>
      </c>
      <c r="B64" s="4" t="s">
        <v>239</v>
      </c>
      <c r="C64" s="4" t="s">
        <v>1098</v>
      </c>
      <c r="D64" s="3">
        <v>5</v>
      </c>
      <c r="E64" s="3" t="s">
        <v>16</v>
      </c>
      <c r="F64" s="3" t="s">
        <v>297</v>
      </c>
      <c r="G64" s="3" t="s">
        <v>204</v>
      </c>
      <c r="H64" s="3" t="s">
        <v>226</v>
      </c>
    </row>
    <row r="65" spans="1:8" x14ac:dyDescent="0.2">
      <c r="A65" s="3">
        <v>3991601013</v>
      </c>
      <c r="B65" s="4" t="s">
        <v>585</v>
      </c>
      <c r="C65" s="4" t="s">
        <v>1671</v>
      </c>
      <c r="D65" s="3">
        <v>25</v>
      </c>
      <c r="E65" s="3" t="s">
        <v>16</v>
      </c>
      <c r="F65" s="3" t="s">
        <v>289</v>
      </c>
      <c r="G65" s="3" t="s">
        <v>23</v>
      </c>
      <c r="H65" s="3" t="s">
        <v>226</v>
      </c>
    </row>
    <row r="66" spans="1:8" x14ac:dyDescent="0.2">
      <c r="A66" s="3">
        <v>3060333019</v>
      </c>
      <c r="B66" s="4" t="s">
        <v>227</v>
      </c>
      <c r="C66" s="4" t="s">
        <v>1672</v>
      </c>
      <c r="D66" s="3">
        <v>1</v>
      </c>
      <c r="E66" s="3" t="s">
        <v>16</v>
      </c>
      <c r="F66" s="3" t="s">
        <v>289</v>
      </c>
      <c r="G66" s="3" t="s">
        <v>23</v>
      </c>
      <c r="H66" s="3" t="s">
        <v>254</v>
      </c>
    </row>
    <row r="67" spans="1:8" x14ac:dyDescent="0.2">
      <c r="A67" s="3">
        <v>3060335043</v>
      </c>
      <c r="B67" s="4" t="s">
        <v>233</v>
      </c>
      <c r="C67" s="4" t="s">
        <v>1672</v>
      </c>
      <c r="D67" s="3">
        <v>1</v>
      </c>
      <c r="E67" s="3" t="s">
        <v>16</v>
      </c>
      <c r="F67" s="3" t="s">
        <v>289</v>
      </c>
      <c r="G67" s="3" t="s">
        <v>23</v>
      </c>
      <c r="H67" s="3" t="s">
        <v>254</v>
      </c>
    </row>
    <row r="68" spans="1:8" x14ac:dyDescent="0.2">
      <c r="A68" s="3">
        <v>3030306036</v>
      </c>
      <c r="B68" s="4" t="s">
        <v>1673</v>
      </c>
      <c r="C68" s="4" t="s">
        <v>1674</v>
      </c>
      <c r="D68" s="3">
        <v>1</v>
      </c>
      <c r="E68" s="3" t="s">
        <v>16</v>
      </c>
      <c r="F68" s="3" t="s">
        <v>291</v>
      </c>
      <c r="G68" s="3" t="s">
        <v>26</v>
      </c>
      <c r="H68" s="3" t="s">
        <v>254</v>
      </c>
    </row>
    <row r="69" spans="1:8" x14ac:dyDescent="0.2">
      <c r="A69" s="3">
        <v>3050303034</v>
      </c>
      <c r="B69" s="4" t="s">
        <v>245</v>
      </c>
      <c r="C69" s="4" t="s">
        <v>1660</v>
      </c>
      <c r="D69" s="3">
        <v>1</v>
      </c>
      <c r="E69" s="3" t="s">
        <v>16</v>
      </c>
      <c r="F69" s="3" t="s">
        <v>291</v>
      </c>
      <c r="G69" s="3" t="s">
        <v>26</v>
      </c>
      <c r="H69" s="3" t="s">
        <v>254</v>
      </c>
    </row>
    <row r="70" spans="1:8" x14ac:dyDescent="0.2">
      <c r="A70" s="3">
        <v>3050308008</v>
      </c>
      <c r="B70" s="4" t="s">
        <v>222</v>
      </c>
      <c r="C70" s="4" t="s">
        <v>1662</v>
      </c>
      <c r="D70" s="3">
        <v>1</v>
      </c>
      <c r="E70" s="3" t="s">
        <v>16</v>
      </c>
      <c r="F70" s="3" t="s">
        <v>291</v>
      </c>
      <c r="G70" s="3" t="s">
        <v>26</v>
      </c>
      <c r="H70" s="3" t="s">
        <v>254</v>
      </c>
    </row>
  </sheetData>
  <phoneticPr fontId="2" type="noConversion"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4B892-F785-4C58-BB57-35BA80E8BA5E}">
  <dimension ref="A1:H121"/>
  <sheetViews>
    <sheetView workbookViewId="0">
      <selection activeCell="I17" sqref="I17"/>
    </sheetView>
  </sheetViews>
  <sheetFormatPr defaultRowHeight="14.25" x14ac:dyDescent="0.2"/>
  <cols>
    <col min="1" max="1" width="11.625" customWidth="1"/>
    <col min="2" max="3" width="14.125" customWidth="1"/>
  </cols>
  <sheetData>
    <row r="1" spans="1:8" x14ac:dyDescent="0.2">
      <c r="A1" s="3" t="s">
        <v>1697</v>
      </c>
      <c r="B1" s="4"/>
      <c r="C1" s="4"/>
      <c r="D1" s="3"/>
      <c r="E1" s="3"/>
      <c r="F1" s="3"/>
      <c r="G1" s="3"/>
      <c r="H1" s="3"/>
    </row>
    <row r="2" spans="1:8" ht="28.5" x14ac:dyDescent="0.2">
      <c r="A2" s="1" t="s">
        <v>0</v>
      </c>
      <c r="B2" s="2" t="s">
        <v>1</v>
      </c>
      <c r="C2" s="2" t="s">
        <v>2</v>
      </c>
      <c r="D2" s="1" t="s">
        <v>4</v>
      </c>
      <c r="E2" s="1" t="s">
        <v>3</v>
      </c>
      <c r="F2" s="1" t="s">
        <v>5</v>
      </c>
      <c r="G2" s="1" t="s">
        <v>6</v>
      </c>
      <c r="H2" s="1" t="s">
        <v>7</v>
      </c>
    </row>
    <row r="3" spans="1:8" s="10" customFormat="1" x14ac:dyDescent="0.2">
      <c r="A3" s="8" t="s">
        <v>390</v>
      </c>
      <c r="B3" s="9" t="s">
        <v>8</v>
      </c>
      <c r="C3" s="9" t="s">
        <v>9</v>
      </c>
      <c r="D3" s="13">
        <f>0.4546/0.94</f>
        <v>0.48361702127659578</v>
      </c>
      <c r="E3" s="8" t="s">
        <v>596</v>
      </c>
      <c r="F3" s="8" t="s">
        <v>283</v>
      </c>
      <c r="G3" s="8" t="s">
        <v>13</v>
      </c>
      <c r="H3" s="8" t="s">
        <v>12</v>
      </c>
    </row>
    <row r="4" spans="1:8" x14ac:dyDescent="0.2">
      <c r="A4" s="3">
        <v>402030028</v>
      </c>
      <c r="B4" s="4" t="s">
        <v>107</v>
      </c>
      <c r="C4" s="4" t="s">
        <v>305</v>
      </c>
      <c r="D4" s="3">
        <v>1</v>
      </c>
      <c r="E4" s="3" t="s">
        <v>16</v>
      </c>
      <c r="F4" s="3" t="s">
        <v>289</v>
      </c>
      <c r="G4" s="3" t="s">
        <v>23</v>
      </c>
      <c r="H4" s="3" t="s">
        <v>306</v>
      </c>
    </row>
    <row r="5" spans="1:8" x14ac:dyDescent="0.2">
      <c r="A5" s="3">
        <v>3030314005</v>
      </c>
      <c r="B5" s="4" t="s">
        <v>394</v>
      </c>
      <c r="C5" s="4" t="s">
        <v>395</v>
      </c>
      <c r="D5" s="3">
        <v>1</v>
      </c>
      <c r="E5" s="3" t="s">
        <v>16</v>
      </c>
      <c r="F5" s="3" t="s">
        <v>291</v>
      </c>
      <c r="G5" s="3" t="s">
        <v>26</v>
      </c>
      <c r="H5" s="3" t="s">
        <v>18</v>
      </c>
    </row>
    <row r="6" spans="1:8" x14ac:dyDescent="0.2">
      <c r="A6" s="3">
        <v>404090098</v>
      </c>
      <c r="B6" s="4" t="s">
        <v>30</v>
      </c>
      <c r="C6" s="4" t="s">
        <v>1676</v>
      </c>
      <c r="D6" s="3">
        <v>1</v>
      </c>
      <c r="E6" s="3" t="s">
        <v>16</v>
      </c>
      <c r="F6" s="3" t="s">
        <v>301</v>
      </c>
      <c r="G6" s="3" t="s">
        <v>32</v>
      </c>
      <c r="H6" s="3" t="s">
        <v>33</v>
      </c>
    </row>
    <row r="7" spans="1:8" x14ac:dyDescent="0.2">
      <c r="A7" s="3">
        <v>404090104</v>
      </c>
      <c r="B7" s="4" t="s">
        <v>30</v>
      </c>
      <c r="C7" s="4" t="s">
        <v>1677</v>
      </c>
      <c r="D7" s="3">
        <v>1</v>
      </c>
      <c r="E7" s="3" t="s">
        <v>16</v>
      </c>
      <c r="F7" s="3" t="s">
        <v>301</v>
      </c>
      <c r="G7" s="3" t="s">
        <v>32</v>
      </c>
      <c r="H7" s="3" t="s">
        <v>33</v>
      </c>
    </row>
    <row r="8" spans="1:8" x14ac:dyDescent="0.2">
      <c r="A8" s="3">
        <v>404090103</v>
      </c>
      <c r="B8" s="4" t="s">
        <v>30</v>
      </c>
      <c r="C8" s="4" t="s">
        <v>625</v>
      </c>
      <c r="D8" s="3">
        <v>1</v>
      </c>
      <c r="E8" s="3" t="s">
        <v>16</v>
      </c>
      <c r="F8" s="3" t="s">
        <v>301</v>
      </c>
      <c r="G8" s="3" t="s">
        <v>32</v>
      </c>
      <c r="H8" s="3" t="s">
        <v>33</v>
      </c>
    </row>
    <row r="9" spans="1:8" x14ac:dyDescent="0.2">
      <c r="A9" s="3">
        <v>401020252</v>
      </c>
      <c r="B9" s="4" t="s">
        <v>35</v>
      </c>
      <c r="C9" s="4" t="s">
        <v>1678</v>
      </c>
      <c r="D9" s="3">
        <v>1</v>
      </c>
      <c r="E9" s="3" t="s">
        <v>16</v>
      </c>
      <c r="F9" s="3" t="s">
        <v>301</v>
      </c>
      <c r="G9" s="3" t="s">
        <v>32</v>
      </c>
      <c r="H9" s="3" t="s">
        <v>33</v>
      </c>
    </row>
    <row r="10" spans="1:8" x14ac:dyDescent="0.2">
      <c r="A10" s="3">
        <v>3080101001</v>
      </c>
      <c r="B10" s="4" t="s">
        <v>411</v>
      </c>
      <c r="C10" s="4" t="s">
        <v>1601</v>
      </c>
      <c r="D10" s="3">
        <v>10</v>
      </c>
      <c r="E10" s="3" t="s">
        <v>16</v>
      </c>
      <c r="F10" s="3" t="s">
        <v>317</v>
      </c>
      <c r="G10" s="3" t="s">
        <v>318</v>
      </c>
      <c r="H10" s="3" t="s">
        <v>40</v>
      </c>
    </row>
    <row r="11" spans="1:8" x14ac:dyDescent="0.2">
      <c r="A11" s="3">
        <v>3080101001</v>
      </c>
      <c r="B11" s="4" t="s">
        <v>411</v>
      </c>
      <c r="C11" s="4" t="s">
        <v>1601</v>
      </c>
      <c r="D11" s="3">
        <v>25</v>
      </c>
      <c r="E11" s="3" t="s">
        <v>16</v>
      </c>
      <c r="F11" s="3" t="s">
        <v>289</v>
      </c>
      <c r="G11" s="3" t="s">
        <v>23</v>
      </c>
      <c r="H11" s="3" t="s">
        <v>40</v>
      </c>
    </row>
    <row r="12" spans="1:8" x14ac:dyDescent="0.2">
      <c r="A12" s="3">
        <v>3080104079</v>
      </c>
      <c r="B12" s="4" t="s">
        <v>45</v>
      </c>
      <c r="C12" s="4" t="s">
        <v>627</v>
      </c>
      <c r="D12" s="3">
        <v>4</v>
      </c>
      <c r="E12" s="3" t="s">
        <v>16</v>
      </c>
      <c r="F12" s="3" t="s">
        <v>291</v>
      </c>
      <c r="G12" s="3" t="s">
        <v>26</v>
      </c>
      <c r="H12" s="3" t="s">
        <v>40</v>
      </c>
    </row>
    <row r="13" spans="1:8" x14ac:dyDescent="0.2">
      <c r="A13" s="3">
        <v>3080104014</v>
      </c>
      <c r="B13" s="4" t="s">
        <v>45</v>
      </c>
      <c r="C13" s="4" t="s">
        <v>312</v>
      </c>
      <c r="D13" s="3">
        <v>2</v>
      </c>
      <c r="E13" s="3" t="s">
        <v>16</v>
      </c>
      <c r="F13" s="3" t="s">
        <v>293</v>
      </c>
      <c r="G13" s="3" t="s">
        <v>29</v>
      </c>
      <c r="H13" s="3" t="s">
        <v>40</v>
      </c>
    </row>
    <row r="14" spans="1:8" x14ac:dyDescent="0.2">
      <c r="A14" s="3">
        <v>3080105007</v>
      </c>
      <c r="B14" s="4" t="s">
        <v>50</v>
      </c>
      <c r="C14" s="4" t="s">
        <v>52</v>
      </c>
      <c r="D14" s="3">
        <v>2</v>
      </c>
      <c r="E14" s="3" t="s">
        <v>16</v>
      </c>
      <c r="F14" s="3" t="s">
        <v>293</v>
      </c>
      <c r="G14" s="3" t="s">
        <v>29</v>
      </c>
      <c r="H14" s="3" t="s">
        <v>40</v>
      </c>
    </row>
    <row r="15" spans="1:8" x14ac:dyDescent="0.2">
      <c r="A15" s="3">
        <v>3080105033</v>
      </c>
      <c r="B15" s="4" t="s">
        <v>50</v>
      </c>
      <c r="C15" s="4" t="s">
        <v>628</v>
      </c>
      <c r="D15" s="3">
        <v>4</v>
      </c>
      <c r="E15" s="3" t="s">
        <v>16</v>
      </c>
      <c r="F15" s="3" t="s">
        <v>293</v>
      </c>
      <c r="G15" s="3" t="s">
        <v>29</v>
      </c>
      <c r="H15" s="3" t="s">
        <v>40</v>
      </c>
    </row>
    <row r="16" spans="1:8" x14ac:dyDescent="0.2">
      <c r="A16" s="3">
        <v>3080105021</v>
      </c>
      <c r="B16" s="4" t="s">
        <v>50</v>
      </c>
      <c r="C16" s="4" t="s">
        <v>319</v>
      </c>
      <c r="D16" s="3">
        <v>4</v>
      </c>
      <c r="E16" s="3" t="s">
        <v>16</v>
      </c>
      <c r="F16" s="3" t="s">
        <v>291</v>
      </c>
      <c r="G16" s="3" t="s">
        <v>26</v>
      </c>
      <c r="H16" s="3" t="s">
        <v>40</v>
      </c>
    </row>
    <row r="17" spans="1:8" x14ac:dyDescent="0.2">
      <c r="A17" s="3">
        <v>3080105077</v>
      </c>
      <c r="B17" s="4" t="s">
        <v>50</v>
      </c>
      <c r="C17" s="4" t="s">
        <v>1603</v>
      </c>
      <c r="D17" s="3">
        <v>2</v>
      </c>
      <c r="E17" s="3" t="s">
        <v>16</v>
      </c>
      <c r="F17" s="3" t="s">
        <v>291</v>
      </c>
      <c r="G17" s="3" t="s">
        <v>26</v>
      </c>
      <c r="H17" s="3" t="s">
        <v>40</v>
      </c>
    </row>
    <row r="18" spans="1:8" x14ac:dyDescent="0.2">
      <c r="A18" s="3">
        <v>3080105013</v>
      </c>
      <c r="B18" s="4" t="s">
        <v>50</v>
      </c>
      <c r="C18" s="4" t="s">
        <v>51</v>
      </c>
      <c r="D18" s="3">
        <v>2</v>
      </c>
      <c r="E18" s="3" t="s">
        <v>16</v>
      </c>
      <c r="F18" s="3" t="s">
        <v>291</v>
      </c>
      <c r="G18" s="3" t="s">
        <v>26</v>
      </c>
      <c r="H18" s="3" t="s">
        <v>40</v>
      </c>
    </row>
    <row r="19" spans="1:8" x14ac:dyDescent="0.2">
      <c r="A19" s="3">
        <v>3080105040</v>
      </c>
      <c r="B19" s="4" t="s">
        <v>50</v>
      </c>
      <c r="C19" s="4" t="s">
        <v>421</v>
      </c>
      <c r="D19" s="3">
        <v>2</v>
      </c>
      <c r="E19" s="3" t="s">
        <v>16</v>
      </c>
      <c r="F19" s="3" t="s">
        <v>291</v>
      </c>
      <c r="G19" s="3" t="s">
        <v>26</v>
      </c>
      <c r="H19" s="3" t="s">
        <v>40</v>
      </c>
    </row>
    <row r="20" spans="1:8" x14ac:dyDescent="0.2">
      <c r="A20" s="3">
        <v>3080105091</v>
      </c>
      <c r="B20" s="4" t="s">
        <v>50</v>
      </c>
      <c r="C20" s="4" t="s">
        <v>861</v>
      </c>
      <c r="D20" s="3">
        <v>10</v>
      </c>
      <c r="E20" s="3" t="s">
        <v>16</v>
      </c>
      <c r="F20" s="3" t="s">
        <v>293</v>
      </c>
      <c r="G20" s="3" t="s">
        <v>29</v>
      </c>
      <c r="H20" s="3" t="s">
        <v>40</v>
      </c>
    </row>
    <row r="21" spans="1:8" x14ac:dyDescent="0.2">
      <c r="A21" s="3">
        <v>3080502002</v>
      </c>
      <c r="B21" s="4" t="s">
        <v>55</v>
      </c>
      <c r="C21" s="4" t="s">
        <v>56</v>
      </c>
      <c r="D21" s="3">
        <v>1</v>
      </c>
      <c r="E21" s="3" t="s">
        <v>16</v>
      </c>
      <c r="F21" s="3" t="s">
        <v>317</v>
      </c>
      <c r="G21" s="3" t="s">
        <v>318</v>
      </c>
      <c r="H21" s="3" t="s">
        <v>40</v>
      </c>
    </row>
    <row r="22" spans="1:8" x14ac:dyDescent="0.2">
      <c r="A22" s="3">
        <v>3080501003</v>
      </c>
      <c r="B22" s="4" t="s">
        <v>57</v>
      </c>
      <c r="C22" s="4" t="s">
        <v>630</v>
      </c>
      <c r="D22" s="3">
        <v>6</v>
      </c>
      <c r="E22" s="3" t="s">
        <v>16</v>
      </c>
      <c r="F22" s="3" t="s">
        <v>291</v>
      </c>
      <c r="G22" s="3" t="s">
        <v>26</v>
      </c>
      <c r="H22" s="3" t="s">
        <v>40</v>
      </c>
    </row>
    <row r="23" spans="1:8" x14ac:dyDescent="0.2">
      <c r="A23" s="3">
        <v>3080501013</v>
      </c>
      <c r="B23" s="4" t="s">
        <v>57</v>
      </c>
      <c r="C23" s="4" t="s">
        <v>58</v>
      </c>
      <c r="D23" s="3">
        <v>2</v>
      </c>
      <c r="E23" s="3" t="s">
        <v>16</v>
      </c>
      <c r="F23" s="3" t="s">
        <v>293</v>
      </c>
      <c r="G23" s="3" t="s">
        <v>29</v>
      </c>
      <c r="H23" s="3" t="s">
        <v>40</v>
      </c>
    </row>
    <row r="24" spans="1:8" x14ac:dyDescent="0.2">
      <c r="A24" s="3">
        <v>3080501046</v>
      </c>
      <c r="B24" s="4" t="s">
        <v>57</v>
      </c>
      <c r="C24" s="4" t="s">
        <v>1605</v>
      </c>
      <c r="D24" s="3">
        <v>4</v>
      </c>
      <c r="E24" s="3" t="s">
        <v>16</v>
      </c>
      <c r="F24" s="3" t="s">
        <v>317</v>
      </c>
      <c r="G24" s="3" t="s">
        <v>318</v>
      </c>
      <c r="H24" s="3" t="s">
        <v>40</v>
      </c>
    </row>
    <row r="25" spans="1:8" x14ac:dyDescent="0.2">
      <c r="A25" s="3">
        <v>3080402002</v>
      </c>
      <c r="B25" s="4" t="s">
        <v>1679</v>
      </c>
      <c r="C25" s="4" t="s">
        <v>1680</v>
      </c>
      <c r="D25" s="3">
        <v>4</v>
      </c>
      <c r="E25" s="3" t="s">
        <v>16</v>
      </c>
      <c r="F25" s="3" t="s">
        <v>291</v>
      </c>
      <c r="G25" s="3" t="s">
        <v>26</v>
      </c>
      <c r="H25" s="3" t="s">
        <v>40</v>
      </c>
    </row>
    <row r="26" spans="1:8" x14ac:dyDescent="0.2">
      <c r="A26" s="3">
        <v>3080201016</v>
      </c>
      <c r="B26" s="4" t="s">
        <v>60</v>
      </c>
      <c r="C26" s="4" t="s">
        <v>1606</v>
      </c>
      <c r="D26" s="3">
        <v>5</v>
      </c>
      <c r="E26" s="3" t="s">
        <v>16</v>
      </c>
      <c r="F26" s="3" t="s">
        <v>289</v>
      </c>
      <c r="G26" s="3" t="s">
        <v>23</v>
      </c>
      <c r="H26" s="3" t="s">
        <v>40</v>
      </c>
    </row>
    <row r="27" spans="1:8" x14ac:dyDescent="0.2">
      <c r="A27" s="3">
        <v>3080201010</v>
      </c>
      <c r="B27" s="4" t="s">
        <v>60</v>
      </c>
      <c r="C27" s="4" t="s">
        <v>64</v>
      </c>
      <c r="D27" s="3">
        <v>1</v>
      </c>
      <c r="E27" s="3" t="s">
        <v>16</v>
      </c>
      <c r="F27" s="3" t="s">
        <v>291</v>
      </c>
      <c r="G27" s="3" t="s">
        <v>26</v>
      </c>
      <c r="H27" s="3" t="s">
        <v>40</v>
      </c>
    </row>
    <row r="28" spans="1:8" x14ac:dyDescent="0.2">
      <c r="A28" s="3">
        <v>3080201012</v>
      </c>
      <c r="B28" s="4" t="s">
        <v>60</v>
      </c>
      <c r="C28" s="4" t="s">
        <v>320</v>
      </c>
      <c r="D28" s="3">
        <v>1</v>
      </c>
      <c r="E28" s="3" t="s">
        <v>16</v>
      </c>
      <c r="F28" s="3" t="s">
        <v>317</v>
      </c>
      <c r="G28" s="3" t="s">
        <v>318</v>
      </c>
      <c r="H28" s="3" t="s">
        <v>40</v>
      </c>
    </row>
    <row r="29" spans="1:8" x14ac:dyDescent="0.2">
      <c r="A29" s="3">
        <v>3080201027</v>
      </c>
      <c r="B29" s="4" t="s">
        <v>60</v>
      </c>
      <c r="C29" s="4" t="s">
        <v>1607</v>
      </c>
      <c r="D29" s="3">
        <v>1</v>
      </c>
      <c r="E29" s="3" t="s">
        <v>16</v>
      </c>
      <c r="F29" s="3" t="s">
        <v>317</v>
      </c>
      <c r="G29" s="3" t="s">
        <v>318</v>
      </c>
      <c r="H29" s="3" t="s">
        <v>40</v>
      </c>
    </row>
    <row r="30" spans="1:8" x14ac:dyDescent="0.2">
      <c r="A30" s="3">
        <v>3080107284</v>
      </c>
      <c r="B30" s="4" t="s">
        <v>69</v>
      </c>
      <c r="C30" s="4" t="s">
        <v>706</v>
      </c>
      <c r="D30" s="3">
        <v>1</v>
      </c>
      <c r="E30" s="3" t="s">
        <v>16</v>
      </c>
      <c r="F30" s="3" t="s">
        <v>317</v>
      </c>
      <c r="G30" s="3" t="s">
        <v>318</v>
      </c>
      <c r="H30" s="3" t="s">
        <v>40</v>
      </c>
    </row>
    <row r="31" spans="1:8" x14ac:dyDescent="0.2">
      <c r="A31" s="3">
        <v>3080107265</v>
      </c>
      <c r="B31" s="4" t="s">
        <v>69</v>
      </c>
      <c r="C31" s="4" t="s">
        <v>1611</v>
      </c>
      <c r="D31" s="3">
        <v>2</v>
      </c>
      <c r="E31" s="3" t="s">
        <v>16</v>
      </c>
      <c r="F31" s="3" t="s">
        <v>289</v>
      </c>
      <c r="G31" s="3" t="s">
        <v>23</v>
      </c>
      <c r="H31" s="3" t="s">
        <v>40</v>
      </c>
    </row>
    <row r="32" spans="1:8" x14ac:dyDescent="0.2">
      <c r="A32" s="3">
        <v>3080107066</v>
      </c>
      <c r="B32" s="4" t="s">
        <v>69</v>
      </c>
      <c r="C32" s="4" t="s">
        <v>1610</v>
      </c>
      <c r="D32" s="3">
        <v>4</v>
      </c>
      <c r="E32" s="3" t="s">
        <v>16</v>
      </c>
      <c r="F32" s="3" t="s">
        <v>289</v>
      </c>
      <c r="G32" s="3" t="s">
        <v>23</v>
      </c>
      <c r="H32" s="3" t="s">
        <v>40</v>
      </c>
    </row>
    <row r="33" spans="1:8" x14ac:dyDescent="0.2">
      <c r="A33" s="3">
        <v>3080107063</v>
      </c>
      <c r="B33" s="4" t="s">
        <v>69</v>
      </c>
      <c r="C33" s="4" t="s">
        <v>1612</v>
      </c>
      <c r="D33" s="3">
        <v>1</v>
      </c>
      <c r="E33" s="3" t="s">
        <v>16</v>
      </c>
      <c r="F33" s="3" t="s">
        <v>289</v>
      </c>
      <c r="G33" s="3" t="s">
        <v>23</v>
      </c>
      <c r="H33" s="3" t="s">
        <v>40</v>
      </c>
    </row>
    <row r="34" spans="1:8" x14ac:dyDescent="0.2">
      <c r="A34" s="3">
        <v>3080107031</v>
      </c>
      <c r="B34" s="4" t="s">
        <v>69</v>
      </c>
      <c r="C34" s="4" t="s">
        <v>71</v>
      </c>
      <c r="D34" s="3">
        <v>2</v>
      </c>
      <c r="E34" s="3" t="s">
        <v>16</v>
      </c>
      <c r="F34" s="3" t="s">
        <v>289</v>
      </c>
      <c r="G34" s="3" t="s">
        <v>23</v>
      </c>
      <c r="H34" s="3" t="s">
        <v>40</v>
      </c>
    </row>
    <row r="35" spans="1:8" x14ac:dyDescent="0.2">
      <c r="A35" s="3">
        <v>3080107108</v>
      </c>
      <c r="B35" s="4" t="s">
        <v>69</v>
      </c>
      <c r="C35" s="4" t="s">
        <v>1681</v>
      </c>
      <c r="D35" s="3">
        <v>4</v>
      </c>
      <c r="E35" s="3" t="s">
        <v>16</v>
      </c>
      <c r="F35" s="3" t="s">
        <v>291</v>
      </c>
      <c r="G35" s="3" t="s">
        <v>26</v>
      </c>
      <c r="H35" s="3" t="s">
        <v>40</v>
      </c>
    </row>
    <row r="36" spans="1:8" x14ac:dyDescent="0.2">
      <c r="A36" s="3">
        <v>3080107112</v>
      </c>
      <c r="B36" s="4" t="s">
        <v>69</v>
      </c>
      <c r="C36" s="4" t="s">
        <v>705</v>
      </c>
      <c r="D36" s="3">
        <v>2</v>
      </c>
      <c r="E36" s="3" t="s">
        <v>16</v>
      </c>
      <c r="F36" s="3" t="s">
        <v>291</v>
      </c>
      <c r="G36" s="3" t="s">
        <v>26</v>
      </c>
      <c r="H36" s="3" t="s">
        <v>40</v>
      </c>
    </row>
    <row r="37" spans="1:8" x14ac:dyDescent="0.2">
      <c r="A37" s="3">
        <v>3080107112</v>
      </c>
      <c r="B37" s="4" t="s">
        <v>69</v>
      </c>
      <c r="C37" s="4" t="s">
        <v>705</v>
      </c>
      <c r="D37" s="3">
        <v>3</v>
      </c>
      <c r="E37" s="3" t="s">
        <v>16</v>
      </c>
      <c r="F37" s="3" t="s">
        <v>317</v>
      </c>
      <c r="G37" s="3" t="s">
        <v>318</v>
      </c>
      <c r="H37" s="3" t="s">
        <v>40</v>
      </c>
    </row>
    <row r="38" spans="1:8" x14ac:dyDescent="0.2">
      <c r="A38" s="3">
        <v>3080107252</v>
      </c>
      <c r="B38" s="4" t="s">
        <v>69</v>
      </c>
      <c r="C38" s="4" t="s">
        <v>1613</v>
      </c>
      <c r="D38" s="3">
        <v>1</v>
      </c>
      <c r="E38" s="3" t="s">
        <v>16</v>
      </c>
      <c r="F38" s="3" t="s">
        <v>317</v>
      </c>
      <c r="G38" s="3" t="s">
        <v>318</v>
      </c>
      <c r="H38" s="3" t="s">
        <v>40</v>
      </c>
    </row>
    <row r="39" spans="1:8" x14ac:dyDescent="0.2">
      <c r="A39" s="3">
        <v>3080108036</v>
      </c>
      <c r="B39" s="4" t="s">
        <v>77</v>
      </c>
      <c r="C39" s="4" t="s">
        <v>1682</v>
      </c>
      <c r="D39" s="3">
        <v>1</v>
      </c>
      <c r="E39" s="3" t="s">
        <v>16</v>
      </c>
      <c r="F39" s="3" t="s">
        <v>291</v>
      </c>
      <c r="G39" s="3" t="s">
        <v>26</v>
      </c>
      <c r="H39" s="3" t="s">
        <v>40</v>
      </c>
    </row>
    <row r="40" spans="1:8" x14ac:dyDescent="0.2">
      <c r="A40" s="3">
        <v>3080108051</v>
      </c>
      <c r="B40" s="4" t="s">
        <v>77</v>
      </c>
      <c r="C40" s="4" t="s">
        <v>1683</v>
      </c>
      <c r="D40" s="3">
        <v>2</v>
      </c>
      <c r="E40" s="3" t="s">
        <v>16</v>
      </c>
      <c r="F40" s="3" t="s">
        <v>291</v>
      </c>
      <c r="G40" s="3" t="s">
        <v>26</v>
      </c>
      <c r="H40" s="3" t="s">
        <v>40</v>
      </c>
    </row>
    <row r="41" spans="1:8" x14ac:dyDescent="0.2">
      <c r="A41" s="3">
        <v>3080108048</v>
      </c>
      <c r="B41" s="4" t="s">
        <v>77</v>
      </c>
      <c r="C41" s="4" t="s">
        <v>1615</v>
      </c>
      <c r="D41" s="3">
        <v>2</v>
      </c>
      <c r="E41" s="3" t="s">
        <v>16</v>
      </c>
      <c r="F41" s="3" t="s">
        <v>317</v>
      </c>
      <c r="G41" s="3" t="s">
        <v>318</v>
      </c>
      <c r="H41" s="3" t="s">
        <v>40</v>
      </c>
    </row>
    <row r="42" spans="1:8" x14ac:dyDescent="0.2">
      <c r="A42" s="3">
        <v>3080110010</v>
      </c>
      <c r="B42" s="4" t="s">
        <v>632</v>
      </c>
      <c r="C42" s="4" t="s">
        <v>633</v>
      </c>
      <c r="D42" s="3">
        <v>2</v>
      </c>
      <c r="E42" s="3" t="s">
        <v>16</v>
      </c>
      <c r="F42" s="3" t="s">
        <v>291</v>
      </c>
      <c r="G42" s="3" t="s">
        <v>26</v>
      </c>
      <c r="H42" s="3" t="s">
        <v>40</v>
      </c>
    </row>
    <row r="43" spans="1:8" x14ac:dyDescent="0.2">
      <c r="A43" s="3">
        <v>3080111087</v>
      </c>
      <c r="B43" s="4" t="s">
        <v>79</v>
      </c>
      <c r="C43" s="4" t="s">
        <v>80</v>
      </c>
      <c r="D43" s="3">
        <v>16</v>
      </c>
      <c r="E43" s="3" t="s">
        <v>16</v>
      </c>
      <c r="F43" s="3" t="s">
        <v>291</v>
      </c>
      <c r="G43" s="3" t="s">
        <v>26</v>
      </c>
      <c r="H43" s="3" t="s">
        <v>40</v>
      </c>
    </row>
    <row r="44" spans="1:8" x14ac:dyDescent="0.2">
      <c r="A44" s="3">
        <v>3080111077</v>
      </c>
      <c r="B44" s="4" t="s">
        <v>79</v>
      </c>
      <c r="C44" s="4" t="s">
        <v>1616</v>
      </c>
      <c r="D44" s="3">
        <v>1</v>
      </c>
      <c r="E44" s="3" t="s">
        <v>16</v>
      </c>
      <c r="F44" s="3" t="s">
        <v>289</v>
      </c>
      <c r="G44" s="3" t="s">
        <v>23</v>
      </c>
      <c r="H44" s="3" t="s">
        <v>40</v>
      </c>
    </row>
    <row r="45" spans="1:8" x14ac:dyDescent="0.2">
      <c r="A45" s="3">
        <v>3080111032</v>
      </c>
      <c r="B45" s="4" t="s">
        <v>79</v>
      </c>
      <c r="C45" s="4" t="s">
        <v>1618</v>
      </c>
      <c r="D45" s="3">
        <v>4</v>
      </c>
      <c r="E45" s="3" t="s">
        <v>16</v>
      </c>
      <c r="F45" s="3" t="s">
        <v>291</v>
      </c>
      <c r="G45" s="3" t="s">
        <v>26</v>
      </c>
      <c r="H45" s="3" t="s">
        <v>40</v>
      </c>
    </row>
    <row r="46" spans="1:8" x14ac:dyDescent="0.2">
      <c r="A46" s="3">
        <v>3080111082</v>
      </c>
      <c r="B46" s="4" t="s">
        <v>79</v>
      </c>
      <c r="C46" s="4" t="s">
        <v>1684</v>
      </c>
      <c r="D46" s="3">
        <v>2</v>
      </c>
      <c r="E46" s="3" t="s">
        <v>16</v>
      </c>
      <c r="F46" s="3" t="s">
        <v>291</v>
      </c>
      <c r="G46" s="3" t="s">
        <v>26</v>
      </c>
      <c r="H46" s="3" t="s">
        <v>40</v>
      </c>
    </row>
    <row r="47" spans="1:8" x14ac:dyDescent="0.2">
      <c r="A47" s="3">
        <v>3080111033</v>
      </c>
      <c r="B47" s="4" t="s">
        <v>79</v>
      </c>
      <c r="C47" s="4" t="s">
        <v>1429</v>
      </c>
      <c r="D47" s="3">
        <v>4</v>
      </c>
      <c r="E47" s="3" t="s">
        <v>16</v>
      </c>
      <c r="F47" s="3" t="s">
        <v>291</v>
      </c>
      <c r="G47" s="3" t="s">
        <v>26</v>
      </c>
      <c r="H47" s="3" t="s">
        <v>40</v>
      </c>
    </row>
    <row r="48" spans="1:8" x14ac:dyDescent="0.2">
      <c r="A48" s="3">
        <v>407030075</v>
      </c>
      <c r="B48" s="4" t="s">
        <v>81</v>
      </c>
      <c r="C48" s="4" t="s">
        <v>635</v>
      </c>
      <c r="D48" s="3">
        <v>1</v>
      </c>
      <c r="E48" s="3" t="s">
        <v>16</v>
      </c>
      <c r="F48" s="3" t="s">
        <v>301</v>
      </c>
      <c r="G48" s="3" t="s">
        <v>32</v>
      </c>
      <c r="H48" s="3" t="s">
        <v>40</v>
      </c>
    </row>
    <row r="49" spans="1:8" x14ac:dyDescent="0.2">
      <c r="A49" s="3">
        <v>3030101055</v>
      </c>
      <c r="B49" s="4" t="s">
        <v>636</v>
      </c>
      <c r="C49" s="4" t="s">
        <v>1685</v>
      </c>
      <c r="D49" s="3">
        <v>1</v>
      </c>
      <c r="E49" s="3" t="s">
        <v>16</v>
      </c>
      <c r="F49" s="3" t="s">
        <v>291</v>
      </c>
      <c r="G49" s="3" t="s">
        <v>26</v>
      </c>
      <c r="H49" s="3" t="s">
        <v>88</v>
      </c>
    </row>
    <row r="50" spans="1:8" x14ac:dyDescent="0.2">
      <c r="A50" s="3">
        <v>3099990106</v>
      </c>
      <c r="B50" s="4" t="s">
        <v>104</v>
      </c>
      <c r="C50" s="4" t="s">
        <v>90</v>
      </c>
      <c r="D50" s="3">
        <v>1</v>
      </c>
      <c r="E50" s="3" t="s">
        <v>16</v>
      </c>
      <c r="F50" s="3" t="s">
        <v>291</v>
      </c>
      <c r="G50" s="3" t="s">
        <v>26</v>
      </c>
      <c r="H50" s="3" t="s">
        <v>103</v>
      </c>
    </row>
    <row r="51" spans="1:8" x14ac:dyDescent="0.2">
      <c r="A51" s="3">
        <v>402030019</v>
      </c>
      <c r="B51" s="4" t="s">
        <v>107</v>
      </c>
      <c r="C51" s="4" t="s">
        <v>638</v>
      </c>
      <c r="D51" s="3">
        <v>2</v>
      </c>
      <c r="E51" s="3" t="s">
        <v>16</v>
      </c>
      <c r="F51" s="3" t="s">
        <v>293</v>
      </c>
      <c r="G51" s="3" t="s">
        <v>29</v>
      </c>
      <c r="H51" s="3" t="s">
        <v>109</v>
      </c>
    </row>
    <row r="52" spans="1:8" x14ac:dyDescent="0.2">
      <c r="A52" s="3">
        <v>402030027</v>
      </c>
      <c r="B52" s="4" t="s">
        <v>107</v>
      </c>
      <c r="C52" s="4" t="s">
        <v>110</v>
      </c>
      <c r="D52" s="3">
        <v>1</v>
      </c>
      <c r="E52" s="3" t="s">
        <v>16</v>
      </c>
      <c r="F52" s="3" t="s">
        <v>291</v>
      </c>
      <c r="G52" s="3" t="s">
        <v>26</v>
      </c>
      <c r="H52" s="3" t="s">
        <v>109</v>
      </c>
    </row>
    <row r="53" spans="1:8" x14ac:dyDescent="0.2">
      <c r="A53" s="3">
        <v>3040113002</v>
      </c>
      <c r="B53" s="4" t="s">
        <v>118</v>
      </c>
      <c r="C53" s="4" t="s">
        <v>119</v>
      </c>
      <c r="D53" s="3">
        <v>2</v>
      </c>
      <c r="E53" s="3" t="s">
        <v>16</v>
      </c>
      <c r="F53" s="3" t="s">
        <v>293</v>
      </c>
      <c r="G53" s="3" t="s">
        <v>29</v>
      </c>
      <c r="H53" s="3" t="s">
        <v>115</v>
      </c>
    </row>
    <row r="54" spans="1:8" x14ac:dyDescent="0.2">
      <c r="A54" s="3">
        <v>3040216001</v>
      </c>
      <c r="B54" s="4" t="s">
        <v>328</v>
      </c>
      <c r="C54" s="4" t="s">
        <v>329</v>
      </c>
      <c r="D54" s="3">
        <v>4</v>
      </c>
      <c r="E54" s="3" t="s">
        <v>16</v>
      </c>
      <c r="F54" s="3" t="s">
        <v>293</v>
      </c>
      <c r="G54" s="3" t="s">
        <v>29</v>
      </c>
      <c r="H54" s="3" t="s">
        <v>115</v>
      </c>
    </row>
    <row r="55" spans="1:8" x14ac:dyDescent="0.2">
      <c r="A55" s="3">
        <v>3030204033</v>
      </c>
      <c r="B55" s="4" t="s">
        <v>120</v>
      </c>
      <c r="C55" s="4" t="s">
        <v>1686</v>
      </c>
      <c r="D55" s="3">
        <v>2</v>
      </c>
      <c r="E55" s="3" t="s">
        <v>16</v>
      </c>
      <c r="F55" s="3" t="s">
        <v>291</v>
      </c>
      <c r="G55" s="3" t="s">
        <v>26</v>
      </c>
      <c r="H55" s="3" t="s">
        <v>115</v>
      </c>
    </row>
    <row r="56" spans="1:8" x14ac:dyDescent="0.2">
      <c r="A56" s="3">
        <v>3030204008</v>
      </c>
      <c r="B56" s="4" t="s">
        <v>122</v>
      </c>
      <c r="C56" s="4" t="s">
        <v>123</v>
      </c>
      <c r="D56" s="3">
        <v>1</v>
      </c>
      <c r="E56" s="3" t="s">
        <v>16</v>
      </c>
      <c r="F56" s="3" t="s">
        <v>291</v>
      </c>
      <c r="G56" s="3" t="s">
        <v>26</v>
      </c>
      <c r="H56" s="3" t="s">
        <v>115</v>
      </c>
    </row>
    <row r="57" spans="1:8" x14ac:dyDescent="0.2">
      <c r="A57" s="3">
        <v>3070104001</v>
      </c>
      <c r="B57" s="4" t="s">
        <v>331</v>
      </c>
      <c r="C57" s="4" t="s">
        <v>332</v>
      </c>
      <c r="D57" s="3">
        <v>1</v>
      </c>
      <c r="E57" s="3" t="s">
        <v>16</v>
      </c>
      <c r="F57" s="3" t="s">
        <v>317</v>
      </c>
      <c r="G57" s="3" t="s">
        <v>318</v>
      </c>
      <c r="H57" s="3" t="s">
        <v>115</v>
      </c>
    </row>
    <row r="58" spans="1:8" x14ac:dyDescent="0.2">
      <c r="A58" s="3">
        <v>404090009</v>
      </c>
      <c r="B58" s="4" t="s">
        <v>30</v>
      </c>
      <c r="C58" s="4" t="s">
        <v>1687</v>
      </c>
      <c r="D58" s="3">
        <v>1</v>
      </c>
      <c r="E58" s="3" t="s">
        <v>16</v>
      </c>
      <c r="F58" s="3" t="s">
        <v>291</v>
      </c>
      <c r="G58" s="3" t="s">
        <v>26</v>
      </c>
      <c r="H58" s="3" t="s">
        <v>134</v>
      </c>
    </row>
    <row r="59" spans="1:8" x14ac:dyDescent="0.2">
      <c r="A59" s="3">
        <v>401040438</v>
      </c>
      <c r="B59" s="4" t="s">
        <v>35</v>
      </c>
      <c r="C59" s="4" t="s">
        <v>639</v>
      </c>
      <c r="D59" s="3">
        <v>1</v>
      </c>
      <c r="E59" s="3" t="s">
        <v>16</v>
      </c>
      <c r="F59" s="3" t="s">
        <v>291</v>
      </c>
      <c r="G59" s="3" t="s">
        <v>26</v>
      </c>
      <c r="H59" s="3" t="s">
        <v>134</v>
      </c>
    </row>
    <row r="60" spans="1:8" x14ac:dyDescent="0.2">
      <c r="A60" s="3">
        <v>3040502080</v>
      </c>
      <c r="B60" s="4" t="s">
        <v>136</v>
      </c>
      <c r="C60" s="4" t="s">
        <v>1688</v>
      </c>
      <c r="D60" s="3">
        <v>2</v>
      </c>
      <c r="E60" s="3" t="s">
        <v>16</v>
      </c>
      <c r="F60" s="3" t="s">
        <v>293</v>
      </c>
      <c r="G60" s="3" t="s">
        <v>29</v>
      </c>
      <c r="H60" s="3" t="s">
        <v>138</v>
      </c>
    </row>
    <row r="61" spans="1:8" x14ac:dyDescent="0.2">
      <c r="A61" s="3">
        <v>3030301005</v>
      </c>
      <c r="B61" s="4" t="s">
        <v>144</v>
      </c>
      <c r="C61" s="4" t="s">
        <v>145</v>
      </c>
      <c r="D61" s="3">
        <v>2</v>
      </c>
      <c r="E61" s="3" t="s">
        <v>16</v>
      </c>
      <c r="F61" s="3" t="s">
        <v>291</v>
      </c>
      <c r="G61" s="3" t="s">
        <v>26</v>
      </c>
      <c r="H61" s="3" t="s">
        <v>143</v>
      </c>
    </row>
    <row r="62" spans="1:8" x14ac:dyDescent="0.2">
      <c r="A62" s="3">
        <v>3110203005</v>
      </c>
      <c r="B62" s="4" t="s">
        <v>189</v>
      </c>
      <c r="C62" s="4" t="s">
        <v>1689</v>
      </c>
      <c r="D62" s="3">
        <v>1</v>
      </c>
      <c r="E62" s="3" t="s">
        <v>16</v>
      </c>
      <c r="F62" s="3" t="s">
        <v>291</v>
      </c>
      <c r="G62" s="3" t="s">
        <v>26</v>
      </c>
      <c r="H62" s="3" t="s">
        <v>143</v>
      </c>
    </row>
    <row r="63" spans="1:8" x14ac:dyDescent="0.2">
      <c r="A63" s="3">
        <v>407010215</v>
      </c>
      <c r="B63" s="4" t="s">
        <v>149</v>
      </c>
      <c r="C63" s="4" t="s">
        <v>1690</v>
      </c>
      <c r="D63" s="3">
        <v>1</v>
      </c>
      <c r="E63" s="3" t="s">
        <v>16</v>
      </c>
      <c r="F63" s="3" t="s">
        <v>289</v>
      </c>
      <c r="G63" s="3" t="s">
        <v>23</v>
      </c>
      <c r="H63" s="3" t="s">
        <v>151</v>
      </c>
    </row>
    <row r="64" spans="1:8" x14ac:dyDescent="0.2">
      <c r="A64" s="3">
        <v>3040205016</v>
      </c>
      <c r="B64" s="4" t="s">
        <v>640</v>
      </c>
      <c r="C64" s="4" t="s">
        <v>1691</v>
      </c>
      <c r="D64" s="3">
        <v>1</v>
      </c>
      <c r="E64" s="3" t="s">
        <v>16</v>
      </c>
      <c r="F64" s="3" t="s">
        <v>291</v>
      </c>
      <c r="G64" s="3" t="s">
        <v>26</v>
      </c>
      <c r="H64" s="3" t="s">
        <v>154</v>
      </c>
    </row>
    <row r="65" spans="1:8" x14ac:dyDescent="0.2">
      <c r="A65" s="3">
        <v>3060206004</v>
      </c>
      <c r="B65" s="4" t="s">
        <v>1624</v>
      </c>
      <c r="C65" s="4" t="s">
        <v>1625</v>
      </c>
      <c r="D65" s="3">
        <v>1</v>
      </c>
      <c r="E65" s="3" t="s">
        <v>16</v>
      </c>
      <c r="F65" s="3" t="s">
        <v>289</v>
      </c>
      <c r="G65" s="3" t="s">
        <v>23</v>
      </c>
      <c r="H65" s="3" t="s">
        <v>154</v>
      </c>
    </row>
    <row r="66" spans="1:8" x14ac:dyDescent="0.2">
      <c r="A66" s="3">
        <v>3050206016</v>
      </c>
      <c r="B66" s="4" t="s">
        <v>1692</v>
      </c>
      <c r="C66" s="4" t="s">
        <v>1693</v>
      </c>
      <c r="D66" s="3">
        <v>2</v>
      </c>
      <c r="E66" s="3" t="s">
        <v>16</v>
      </c>
      <c r="F66" s="3" t="s">
        <v>291</v>
      </c>
      <c r="G66" s="3" t="s">
        <v>26</v>
      </c>
      <c r="H66" s="3" t="s">
        <v>154</v>
      </c>
    </row>
    <row r="67" spans="1:8" x14ac:dyDescent="0.2">
      <c r="A67" s="3">
        <v>3060501017</v>
      </c>
      <c r="B67" s="4" t="s">
        <v>224</v>
      </c>
      <c r="C67" s="4" t="s">
        <v>1694</v>
      </c>
      <c r="D67" s="3">
        <v>1</v>
      </c>
      <c r="E67" s="3" t="s">
        <v>16</v>
      </c>
      <c r="F67" s="3" t="s">
        <v>289</v>
      </c>
      <c r="G67" s="3" t="s">
        <v>23</v>
      </c>
      <c r="H67" s="3" t="s">
        <v>165</v>
      </c>
    </row>
    <row r="68" spans="1:8" x14ac:dyDescent="0.2">
      <c r="A68" s="3">
        <v>3110103002</v>
      </c>
      <c r="B68" s="4" t="s">
        <v>473</v>
      </c>
      <c r="C68" s="4" t="s">
        <v>474</v>
      </c>
      <c r="D68" s="3">
        <v>1</v>
      </c>
      <c r="E68" s="3" t="s">
        <v>16</v>
      </c>
      <c r="F68" s="3" t="s">
        <v>291</v>
      </c>
      <c r="G68" s="3" t="s">
        <v>26</v>
      </c>
      <c r="H68" s="3" t="s">
        <v>165</v>
      </c>
    </row>
    <row r="69" spans="1:8" x14ac:dyDescent="0.2">
      <c r="A69" s="3">
        <v>3050305044</v>
      </c>
      <c r="B69" s="4" t="s">
        <v>1628</v>
      </c>
      <c r="C69" s="4" t="s">
        <v>1629</v>
      </c>
      <c r="D69" s="3">
        <v>2</v>
      </c>
      <c r="E69" s="3" t="s">
        <v>16</v>
      </c>
      <c r="F69" s="3" t="s">
        <v>291</v>
      </c>
      <c r="G69" s="3" t="s">
        <v>26</v>
      </c>
      <c r="H69" s="3" t="s">
        <v>165</v>
      </c>
    </row>
    <row r="70" spans="1:8" x14ac:dyDescent="0.2">
      <c r="A70" s="3">
        <v>3070214002</v>
      </c>
      <c r="B70" s="4" t="s">
        <v>1630</v>
      </c>
      <c r="C70" s="4" t="s">
        <v>1631</v>
      </c>
      <c r="D70" s="3">
        <v>1</v>
      </c>
      <c r="E70" s="3" t="s">
        <v>16</v>
      </c>
      <c r="F70" s="3" t="s">
        <v>317</v>
      </c>
      <c r="G70" s="3" t="s">
        <v>318</v>
      </c>
      <c r="H70" s="3" t="s">
        <v>165</v>
      </c>
    </row>
    <row r="71" spans="1:8" x14ac:dyDescent="0.2">
      <c r="A71" s="3">
        <v>3070214011</v>
      </c>
      <c r="B71" s="4" t="s">
        <v>1632</v>
      </c>
      <c r="C71" s="4" t="s">
        <v>1633</v>
      </c>
      <c r="D71" s="3">
        <v>1</v>
      </c>
      <c r="E71" s="3" t="s">
        <v>16</v>
      </c>
      <c r="F71" s="3" t="s">
        <v>317</v>
      </c>
      <c r="G71" s="3" t="s">
        <v>318</v>
      </c>
      <c r="H71" s="3" t="s">
        <v>165</v>
      </c>
    </row>
    <row r="72" spans="1:8" x14ac:dyDescent="0.2">
      <c r="A72" s="3">
        <v>3070214012</v>
      </c>
      <c r="B72" s="4" t="s">
        <v>1634</v>
      </c>
      <c r="C72" s="4" t="s">
        <v>1633</v>
      </c>
      <c r="D72" s="3">
        <v>1</v>
      </c>
      <c r="E72" s="3" t="s">
        <v>16</v>
      </c>
      <c r="F72" s="3" t="s">
        <v>317</v>
      </c>
      <c r="G72" s="3" t="s">
        <v>318</v>
      </c>
      <c r="H72" s="3" t="s">
        <v>165</v>
      </c>
    </row>
    <row r="73" spans="1:8" x14ac:dyDescent="0.2">
      <c r="A73" s="3">
        <v>3050308009</v>
      </c>
      <c r="B73" s="4" t="s">
        <v>1695</v>
      </c>
      <c r="C73" s="4" t="s">
        <v>1696</v>
      </c>
      <c r="D73" s="3">
        <v>1</v>
      </c>
      <c r="E73" s="3" t="s">
        <v>16</v>
      </c>
      <c r="F73" s="3" t="s">
        <v>291</v>
      </c>
      <c r="G73" s="3" t="s">
        <v>26</v>
      </c>
      <c r="H73" s="3" t="s">
        <v>165</v>
      </c>
    </row>
    <row r="74" spans="1:8" x14ac:dyDescent="0.2">
      <c r="A74" s="3">
        <v>3050305045</v>
      </c>
      <c r="B74" s="4" t="s">
        <v>1639</v>
      </c>
      <c r="C74" s="4" t="s">
        <v>653</v>
      </c>
      <c r="D74" s="3">
        <v>1</v>
      </c>
      <c r="E74" s="3" t="s">
        <v>16</v>
      </c>
      <c r="F74" s="3" t="s">
        <v>291</v>
      </c>
      <c r="G74" s="3" t="s">
        <v>26</v>
      </c>
      <c r="H74" s="3" t="s">
        <v>173</v>
      </c>
    </row>
    <row r="75" spans="1:8" x14ac:dyDescent="0.2">
      <c r="A75" s="3">
        <v>3040309001</v>
      </c>
      <c r="B75" s="4" t="s">
        <v>346</v>
      </c>
      <c r="C75" s="4" t="s">
        <v>347</v>
      </c>
      <c r="D75" s="3">
        <v>8</v>
      </c>
      <c r="E75" s="3" t="s">
        <v>16</v>
      </c>
      <c r="F75" s="3" t="s">
        <v>293</v>
      </c>
      <c r="G75" s="3" t="s">
        <v>29</v>
      </c>
      <c r="H75" s="3" t="s">
        <v>173</v>
      </c>
    </row>
    <row r="76" spans="1:8" x14ac:dyDescent="0.2">
      <c r="A76" s="3">
        <v>3050305046</v>
      </c>
      <c r="B76" s="4" t="s">
        <v>1640</v>
      </c>
      <c r="C76" s="4" t="s">
        <v>653</v>
      </c>
      <c r="D76" s="3">
        <v>1</v>
      </c>
      <c r="E76" s="3" t="s">
        <v>16</v>
      </c>
      <c r="F76" s="3" t="s">
        <v>291</v>
      </c>
      <c r="G76" s="3" t="s">
        <v>26</v>
      </c>
      <c r="H76" s="3" t="s">
        <v>173</v>
      </c>
    </row>
    <row r="77" spans="1:8" x14ac:dyDescent="0.2">
      <c r="A77" s="3">
        <v>3050304022</v>
      </c>
      <c r="B77" s="4" t="s">
        <v>181</v>
      </c>
      <c r="C77" s="4" t="s">
        <v>1631</v>
      </c>
      <c r="D77" s="3">
        <v>1</v>
      </c>
      <c r="E77" s="3" t="s">
        <v>16</v>
      </c>
      <c r="F77" s="3" t="s">
        <v>291</v>
      </c>
      <c r="G77" s="3" t="s">
        <v>26</v>
      </c>
      <c r="H77" s="3" t="s">
        <v>173</v>
      </c>
    </row>
    <row r="78" spans="1:8" x14ac:dyDescent="0.2">
      <c r="A78" s="3">
        <v>3050305047</v>
      </c>
      <c r="B78" s="4" t="s">
        <v>1641</v>
      </c>
      <c r="C78" s="4" t="s">
        <v>653</v>
      </c>
      <c r="D78" s="3">
        <v>1</v>
      </c>
      <c r="E78" s="3" t="s">
        <v>16</v>
      </c>
      <c r="F78" s="3" t="s">
        <v>291</v>
      </c>
      <c r="G78" s="3" t="s">
        <v>26</v>
      </c>
      <c r="H78" s="3" t="s">
        <v>173</v>
      </c>
    </row>
    <row r="79" spans="1:8" x14ac:dyDescent="0.2">
      <c r="A79" s="3">
        <v>3020502014</v>
      </c>
      <c r="B79" s="4" t="s">
        <v>183</v>
      </c>
      <c r="C79" s="4" t="s">
        <v>1307</v>
      </c>
      <c r="D79" s="3">
        <v>1</v>
      </c>
      <c r="E79" s="3" t="s">
        <v>16</v>
      </c>
      <c r="F79" s="3" t="s">
        <v>291</v>
      </c>
      <c r="G79" s="3" t="s">
        <v>26</v>
      </c>
      <c r="H79" s="3" t="s">
        <v>185</v>
      </c>
    </row>
    <row r="80" spans="1:8" x14ac:dyDescent="0.2">
      <c r="A80" s="3">
        <v>3110207005</v>
      </c>
      <c r="B80" s="4" t="s">
        <v>140</v>
      </c>
      <c r="C80" s="4" t="s">
        <v>1642</v>
      </c>
      <c r="D80" s="3">
        <v>1</v>
      </c>
      <c r="E80" s="3" t="s">
        <v>16</v>
      </c>
      <c r="F80" s="3" t="s">
        <v>285</v>
      </c>
      <c r="G80" s="3" t="s">
        <v>142</v>
      </c>
      <c r="H80" s="3" t="s">
        <v>187</v>
      </c>
    </row>
    <row r="81" spans="1:8" x14ac:dyDescent="0.2">
      <c r="A81" s="3">
        <v>3110204004</v>
      </c>
      <c r="B81" s="4" t="s">
        <v>333</v>
      </c>
      <c r="C81" s="4" t="s">
        <v>1643</v>
      </c>
      <c r="D81" s="3">
        <v>1</v>
      </c>
      <c r="E81" s="3" t="s">
        <v>16</v>
      </c>
      <c r="F81" s="3" t="s">
        <v>335</v>
      </c>
      <c r="G81" s="3" t="s">
        <v>336</v>
      </c>
      <c r="H81" s="3" t="s">
        <v>187</v>
      </c>
    </row>
    <row r="82" spans="1:8" x14ac:dyDescent="0.2">
      <c r="A82" s="3">
        <v>3110205007</v>
      </c>
      <c r="B82" s="4" t="s">
        <v>146</v>
      </c>
      <c r="C82" s="4" t="s">
        <v>1644</v>
      </c>
      <c r="D82" s="3">
        <v>1</v>
      </c>
      <c r="E82" s="3" t="s">
        <v>16</v>
      </c>
      <c r="F82" s="3" t="s">
        <v>287</v>
      </c>
      <c r="G82" s="3" t="s">
        <v>148</v>
      </c>
      <c r="H82" s="3" t="s">
        <v>187</v>
      </c>
    </row>
    <row r="83" spans="1:8" x14ac:dyDescent="0.2">
      <c r="A83" s="3">
        <v>404030020</v>
      </c>
      <c r="B83" s="4" t="s">
        <v>30</v>
      </c>
      <c r="C83" s="4" t="s">
        <v>689</v>
      </c>
      <c r="D83" s="3">
        <v>1</v>
      </c>
      <c r="E83" s="3" t="s">
        <v>16</v>
      </c>
      <c r="F83" s="3" t="s">
        <v>289</v>
      </c>
      <c r="G83" s="3" t="s">
        <v>23</v>
      </c>
      <c r="H83" s="3" t="s">
        <v>198</v>
      </c>
    </row>
    <row r="84" spans="1:8" x14ac:dyDescent="0.2">
      <c r="A84" s="3">
        <v>401040473</v>
      </c>
      <c r="B84" s="4" t="s">
        <v>35</v>
      </c>
      <c r="C84" s="4" t="s">
        <v>645</v>
      </c>
      <c r="D84" s="3">
        <v>1</v>
      </c>
      <c r="E84" s="3" t="s">
        <v>16</v>
      </c>
      <c r="F84" s="3" t="s">
        <v>293</v>
      </c>
      <c r="G84" s="3" t="s">
        <v>29</v>
      </c>
      <c r="H84" s="3" t="s">
        <v>198</v>
      </c>
    </row>
    <row r="85" spans="1:8" x14ac:dyDescent="0.2">
      <c r="A85" s="3">
        <v>401070018</v>
      </c>
      <c r="B85" s="4" t="s">
        <v>35</v>
      </c>
      <c r="C85" s="4" t="s">
        <v>202</v>
      </c>
      <c r="D85" s="3">
        <v>1</v>
      </c>
      <c r="E85" s="3" t="s">
        <v>16</v>
      </c>
      <c r="F85" s="3" t="s">
        <v>291</v>
      </c>
      <c r="G85" s="3" t="s">
        <v>26</v>
      </c>
      <c r="H85" s="3" t="s">
        <v>198</v>
      </c>
    </row>
    <row r="86" spans="1:8" x14ac:dyDescent="0.2">
      <c r="A86" s="3">
        <v>401070022</v>
      </c>
      <c r="B86" s="4" t="s">
        <v>35</v>
      </c>
      <c r="C86" s="4" t="s">
        <v>203</v>
      </c>
      <c r="D86" s="3">
        <v>1</v>
      </c>
      <c r="E86" s="3" t="s">
        <v>16</v>
      </c>
      <c r="F86" s="3" t="s">
        <v>297</v>
      </c>
      <c r="G86" s="3" t="s">
        <v>204</v>
      </c>
      <c r="H86" s="3" t="s">
        <v>198</v>
      </c>
    </row>
    <row r="87" spans="1:8" x14ac:dyDescent="0.2">
      <c r="A87" s="3">
        <v>3020302016</v>
      </c>
      <c r="B87" s="4" t="s">
        <v>209</v>
      </c>
      <c r="C87" s="4" t="s">
        <v>1308</v>
      </c>
      <c r="D87" s="3">
        <v>1</v>
      </c>
      <c r="E87" s="3" t="s">
        <v>16</v>
      </c>
      <c r="F87" s="3" t="s">
        <v>291</v>
      </c>
      <c r="G87" s="3" t="s">
        <v>26</v>
      </c>
      <c r="H87" s="3" t="s">
        <v>211</v>
      </c>
    </row>
    <row r="88" spans="1:8" x14ac:dyDescent="0.2">
      <c r="A88" s="3">
        <v>3049904001</v>
      </c>
      <c r="B88" s="4" t="s">
        <v>354</v>
      </c>
      <c r="C88" s="4" t="s">
        <v>355</v>
      </c>
      <c r="D88" s="3">
        <v>4</v>
      </c>
      <c r="E88" s="3" t="s">
        <v>16</v>
      </c>
      <c r="F88" s="3" t="s">
        <v>293</v>
      </c>
      <c r="G88" s="3" t="s">
        <v>29</v>
      </c>
      <c r="H88" s="3" t="s">
        <v>214</v>
      </c>
    </row>
    <row r="89" spans="1:8" x14ac:dyDescent="0.2">
      <c r="A89" s="3">
        <v>3049902012</v>
      </c>
      <c r="B89" s="4" t="s">
        <v>518</v>
      </c>
      <c r="C89" s="4" t="s">
        <v>646</v>
      </c>
      <c r="D89" s="3">
        <v>2</v>
      </c>
      <c r="E89" s="3" t="s">
        <v>16</v>
      </c>
      <c r="F89" s="3" t="s">
        <v>293</v>
      </c>
      <c r="G89" s="3" t="s">
        <v>29</v>
      </c>
      <c r="H89" s="3" t="s">
        <v>214</v>
      </c>
    </row>
    <row r="90" spans="1:8" x14ac:dyDescent="0.2">
      <c r="A90" s="3">
        <v>3049902005</v>
      </c>
      <c r="B90" s="4" t="s">
        <v>356</v>
      </c>
      <c r="C90" s="4" t="s">
        <v>357</v>
      </c>
      <c r="D90" s="3">
        <v>2</v>
      </c>
      <c r="E90" s="3" t="s">
        <v>16</v>
      </c>
      <c r="F90" s="3" t="s">
        <v>293</v>
      </c>
      <c r="G90" s="3" t="s">
        <v>29</v>
      </c>
      <c r="H90" s="3" t="s">
        <v>214</v>
      </c>
    </row>
    <row r="91" spans="1:8" x14ac:dyDescent="0.2">
      <c r="A91" s="3">
        <v>3070105001</v>
      </c>
      <c r="B91" s="4" t="s">
        <v>360</v>
      </c>
      <c r="C91" s="4" t="s">
        <v>1647</v>
      </c>
      <c r="D91" s="3">
        <v>1</v>
      </c>
      <c r="E91" s="3" t="s">
        <v>16</v>
      </c>
      <c r="F91" s="3" t="s">
        <v>317</v>
      </c>
      <c r="G91" s="3" t="s">
        <v>318</v>
      </c>
      <c r="H91" s="3" t="s">
        <v>214</v>
      </c>
    </row>
    <row r="92" spans="1:8" x14ac:dyDescent="0.2">
      <c r="A92" s="3">
        <v>3070105002</v>
      </c>
      <c r="B92" s="4" t="s">
        <v>362</v>
      </c>
      <c r="C92" s="4" t="s">
        <v>1647</v>
      </c>
      <c r="D92" s="3">
        <v>1</v>
      </c>
      <c r="E92" s="3" t="s">
        <v>16</v>
      </c>
      <c r="F92" s="3" t="s">
        <v>317</v>
      </c>
      <c r="G92" s="3" t="s">
        <v>318</v>
      </c>
      <c r="H92" s="3" t="s">
        <v>214</v>
      </c>
    </row>
    <row r="93" spans="1:8" x14ac:dyDescent="0.2">
      <c r="A93" s="3">
        <v>3070105004</v>
      </c>
      <c r="B93" s="4" t="s">
        <v>1648</v>
      </c>
      <c r="C93" s="4" t="s">
        <v>1649</v>
      </c>
      <c r="D93" s="3">
        <v>1</v>
      </c>
      <c r="E93" s="3" t="s">
        <v>16</v>
      </c>
      <c r="F93" s="3" t="s">
        <v>317</v>
      </c>
      <c r="G93" s="3" t="s">
        <v>318</v>
      </c>
      <c r="H93" s="3" t="s">
        <v>214</v>
      </c>
    </row>
    <row r="94" spans="1:8" x14ac:dyDescent="0.2">
      <c r="A94" s="3">
        <v>402050001</v>
      </c>
      <c r="B94" s="4" t="s">
        <v>522</v>
      </c>
      <c r="C94" s="4" t="s">
        <v>523</v>
      </c>
      <c r="D94" s="3">
        <v>1</v>
      </c>
      <c r="E94" s="3" t="s">
        <v>16</v>
      </c>
      <c r="F94" s="3" t="s">
        <v>289</v>
      </c>
      <c r="G94" s="3" t="s">
        <v>23</v>
      </c>
      <c r="H94" s="3" t="s">
        <v>524</v>
      </c>
    </row>
    <row r="95" spans="1:8" x14ac:dyDescent="0.2">
      <c r="A95" s="3">
        <v>3050305016</v>
      </c>
      <c r="B95" s="4" t="s">
        <v>527</v>
      </c>
      <c r="C95" s="4" t="s">
        <v>528</v>
      </c>
      <c r="D95" s="3">
        <v>1</v>
      </c>
      <c r="E95" s="3" t="s">
        <v>16</v>
      </c>
      <c r="F95" s="3" t="s">
        <v>291</v>
      </c>
      <c r="G95" s="3" t="s">
        <v>26</v>
      </c>
      <c r="H95" s="3" t="s">
        <v>226</v>
      </c>
    </row>
    <row r="96" spans="1:8" x14ac:dyDescent="0.2">
      <c r="A96" s="3">
        <v>3050305015</v>
      </c>
      <c r="B96" s="4" t="s">
        <v>529</v>
      </c>
      <c r="C96" s="4" t="s">
        <v>530</v>
      </c>
      <c r="D96" s="3">
        <v>1</v>
      </c>
      <c r="E96" s="3" t="s">
        <v>16</v>
      </c>
      <c r="F96" s="3" t="s">
        <v>291</v>
      </c>
      <c r="G96" s="3" t="s">
        <v>26</v>
      </c>
      <c r="H96" s="3" t="s">
        <v>226</v>
      </c>
    </row>
    <row r="97" spans="1:8" x14ac:dyDescent="0.2">
      <c r="A97" s="3">
        <v>3050306011</v>
      </c>
      <c r="B97" s="4" t="s">
        <v>531</v>
      </c>
      <c r="C97" s="4" t="s">
        <v>609</v>
      </c>
      <c r="D97" s="3">
        <v>1</v>
      </c>
      <c r="E97" s="3" t="s">
        <v>16</v>
      </c>
      <c r="F97" s="3" t="s">
        <v>291</v>
      </c>
      <c r="G97" s="3" t="s">
        <v>26</v>
      </c>
      <c r="H97" s="3" t="s">
        <v>226</v>
      </c>
    </row>
    <row r="98" spans="1:8" x14ac:dyDescent="0.2">
      <c r="A98" s="3">
        <v>3030303046</v>
      </c>
      <c r="B98" s="4" t="s">
        <v>649</v>
      </c>
      <c r="C98" s="4" t="s">
        <v>650</v>
      </c>
      <c r="D98" s="3">
        <v>1</v>
      </c>
      <c r="E98" s="3" t="s">
        <v>16</v>
      </c>
      <c r="F98" s="3" t="s">
        <v>291</v>
      </c>
      <c r="G98" s="3" t="s">
        <v>26</v>
      </c>
      <c r="H98" s="3" t="s">
        <v>226</v>
      </c>
    </row>
    <row r="99" spans="1:8" x14ac:dyDescent="0.2">
      <c r="A99" s="3">
        <v>3030303047</v>
      </c>
      <c r="B99" s="4" t="s">
        <v>651</v>
      </c>
      <c r="C99" s="4" t="s">
        <v>650</v>
      </c>
      <c r="D99" s="3">
        <v>1</v>
      </c>
      <c r="E99" s="3" t="s">
        <v>16</v>
      </c>
      <c r="F99" s="3" t="s">
        <v>291</v>
      </c>
      <c r="G99" s="3" t="s">
        <v>26</v>
      </c>
      <c r="H99" s="3" t="s">
        <v>226</v>
      </c>
    </row>
    <row r="100" spans="1:8" x14ac:dyDescent="0.2">
      <c r="A100" s="3">
        <v>3040312026</v>
      </c>
      <c r="B100" s="4" t="s">
        <v>263</v>
      </c>
      <c r="C100" s="4" t="s">
        <v>652</v>
      </c>
      <c r="D100" s="3">
        <v>2</v>
      </c>
      <c r="E100" s="3" t="s">
        <v>16</v>
      </c>
      <c r="F100" s="3" t="s">
        <v>293</v>
      </c>
      <c r="G100" s="3" t="s">
        <v>29</v>
      </c>
      <c r="H100" s="3" t="s">
        <v>226</v>
      </c>
    </row>
    <row r="101" spans="1:8" x14ac:dyDescent="0.2">
      <c r="A101" s="3">
        <v>3040303008</v>
      </c>
      <c r="B101" s="4" t="s">
        <v>265</v>
      </c>
      <c r="C101" s="4" t="s">
        <v>653</v>
      </c>
      <c r="D101" s="3">
        <v>2</v>
      </c>
      <c r="E101" s="3" t="s">
        <v>16</v>
      </c>
      <c r="F101" s="3" t="s">
        <v>293</v>
      </c>
      <c r="G101" s="3" t="s">
        <v>29</v>
      </c>
      <c r="H101" s="3" t="s">
        <v>226</v>
      </c>
    </row>
    <row r="102" spans="1:8" x14ac:dyDescent="0.2">
      <c r="A102" s="3">
        <v>3040320017</v>
      </c>
      <c r="B102" s="4" t="s">
        <v>269</v>
      </c>
      <c r="C102" s="4" t="s">
        <v>654</v>
      </c>
      <c r="D102" s="3">
        <v>1</v>
      </c>
      <c r="E102" s="3" t="s">
        <v>16</v>
      </c>
      <c r="F102" s="3" t="s">
        <v>293</v>
      </c>
      <c r="G102" s="3" t="s">
        <v>29</v>
      </c>
      <c r="H102" s="3" t="s">
        <v>226</v>
      </c>
    </row>
    <row r="103" spans="1:8" x14ac:dyDescent="0.2">
      <c r="A103" s="3">
        <v>3040320016</v>
      </c>
      <c r="B103" s="4" t="s">
        <v>269</v>
      </c>
      <c r="C103" s="4" t="s">
        <v>655</v>
      </c>
      <c r="D103" s="3">
        <v>1</v>
      </c>
      <c r="E103" s="3" t="s">
        <v>16</v>
      </c>
      <c r="F103" s="3" t="s">
        <v>293</v>
      </c>
      <c r="G103" s="3" t="s">
        <v>29</v>
      </c>
      <c r="H103" s="3" t="s">
        <v>226</v>
      </c>
    </row>
    <row r="104" spans="1:8" x14ac:dyDescent="0.2">
      <c r="A104" s="3">
        <v>3040113006</v>
      </c>
      <c r="B104" s="4" t="s">
        <v>500</v>
      </c>
      <c r="C104" s="4" t="s">
        <v>656</v>
      </c>
      <c r="D104" s="3">
        <v>1</v>
      </c>
      <c r="E104" s="3" t="s">
        <v>16</v>
      </c>
      <c r="F104" s="3" t="s">
        <v>293</v>
      </c>
      <c r="G104" s="3" t="s">
        <v>29</v>
      </c>
      <c r="H104" s="3" t="s">
        <v>226</v>
      </c>
    </row>
    <row r="105" spans="1:8" x14ac:dyDescent="0.2">
      <c r="A105" s="3">
        <v>3040113007</v>
      </c>
      <c r="B105" s="4" t="s">
        <v>500</v>
      </c>
      <c r="C105" s="4" t="s">
        <v>657</v>
      </c>
      <c r="D105" s="3">
        <v>1</v>
      </c>
      <c r="E105" s="3" t="s">
        <v>16</v>
      </c>
      <c r="F105" s="3" t="s">
        <v>293</v>
      </c>
      <c r="G105" s="3" t="s">
        <v>29</v>
      </c>
      <c r="H105" s="3" t="s">
        <v>226</v>
      </c>
    </row>
    <row r="106" spans="1:8" x14ac:dyDescent="0.2">
      <c r="A106" s="3">
        <v>3030314001</v>
      </c>
      <c r="B106" s="4" t="s">
        <v>237</v>
      </c>
      <c r="C106" s="4" t="s">
        <v>238</v>
      </c>
      <c r="D106" s="3">
        <v>1</v>
      </c>
      <c r="E106" s="3" t="s">
        <v>16</v>
      </c>
      <c r="F106" s="3" t="s">
        <v>291</v>
      </c>
      <c r="G106" s="3" t="s">
        <v>26</v>
      </c>
      <c r="H106" s="3" t="s">
        <v>226</v>
      </c>
    </row>
    <row r="107" spans="1:8" x14ac:dyDescent="0.2">
      <c r="A107" s="3">
        <v>3030313003</v>
      </c>
      <c r="B107" s="4" t="s">
        <v>217</v>
      </c>
      <c r="C107" s="4" t="s">
        <v>544</v>
      </c>
      <c r="D107" s="3">
        <v>8</v>
      </c>
      <c r="E107" s="3" t="s">
        <v>16</v>
      </c>
      <c r="F107" s="3" t="s">
        <v>291</v>
      </c>
      <c r="G107" s="3" t="s">
        <v>26</v>
      </c>
      <c r="H107" s="3" t="s">
        <v>226</v>
      </c>
    </row>
    <row r="108" spans="1:8" x14ac:dyDescent="0.2">
      <c r="A108" s="3">
        <v>3020101004</v>
      </c>
      <c r="B108" s="4" t="s">
        <v>239</v>
      </c>
      <c r="C108" s="4" t="s">
        <v>1098</v>
      </c>
      <c r="D108" s="3">
        <v>5</v>
      </c>
      <c r="E108" s="3" t="s">
        <v>16</v>
      </c>
      <c r="F108" s="3" t="s">
        <v>297</v>
      </c>
      <c r="G108" s="3" t="s">
        <v>204</v>
      </c>
      <c r="H108" s="3" t="s">
        <v>226</v>
      </c>
    </row>
    <row r="109" spans="1:8" x14ac:dyDescent="0.2">
      <c r="A109" s="3">
        <v>3070201014</v>
      </c>
      <c r="B109" s="4" t="s">
        <v>1655</v>
      </c>
      <c r="C109" s="4" t="s">
        <v>1656</v>
      </c>
      <c r="D109" s="3">
        <v>1</v>
      </c>
      <c r="E109" s="3" t="s">
        <v>16</v>
      </c>
      <c r="F109" s="3" t="s">
        <v>317</v>
      </c>
      <c r="G109" s="3" t="s">
        <v>318</v>
      </c>
      <c r="H109" s="3" t="s">
        <v>226</v>
      </c>
    </row>
    <row r="110" spans="1:8" x14ac:dyDescent="0.2">
      <c r="A110" s="3">
        <v>3070202021</v>
      </c>
      <c r="B110" s="4" t="s">
        <v>1657</v>
      </c>
      <c r="C110" s="4" t="s">
        <v>1658</v>
      </c>
      <c r="D110" s="3">
        <v>1</v>
      </c>
      <c r="E110" s="3" t="s">
        <v>16</v>
      </c>
      <c r="F110" s="3" t="s">
        <v>317</v>
      </c>
      <c r="G110" s="3" t="s">
        <v>318</v>
      </c>
      <c r="H110" s="3" t="s">
        <v>226</v>
      </c>
    </row>
    <row r="111" spans="1:8" x14ac:dyDescent="0.2">
      <c r="A111" s="3">
        <v>3070204019</v>
      </c>
      <c r="B111" s="4" t="s">
        <v>1383</v>
      </c>
      <c r="C111" s="4" t="s">
        <v>1633</v>
      </c>
      <c r="D111" s="3">
        <v>1</v>
      </c>
      <c r="E111" s="3" t="s">
        <v>16</v>
      </c>
      <c r="F111" s="3" t="s">
        <v>317</v>
      </c>
      <c r="G111" s="3" t="s">
        <v>318</v>
      </c>
      <c r="H111" s="3" t="s">
        <v>226</v>
      </c>
    </row>
    <row r="112" spans="1:8" x14ac:dyDescent="0.2">
      <c r="A112" s="3">
        <v>3991601013</v>
      </c>
      <c r="B112" s="4" t="s">
        <v>585</v>
      </c>
      <c r="C112" s="4" t="s">
        <v>1671</v>
      </c>
      <c r="D112" s="3">
        <v>25</v>
      </c>
      <c r="E112" s="3" t="s">
        <v>16</v>
      </c>
      <c r="F112" s="3" t="s">
        <v>289</v>
      </c>
      <c r="G112" s="3" t="s">
        <v>23</v>
      </c>
      <c r="H112" s="3" t="s">
        <v>226</v>
      </c>
    </row>
    <row r="113" spans="1:8" x14ac:dyDescent="0.2">
      <c r="A113" s="3">
        <v>3080401031</v>
      </c>
      <c r="B113" s="4" t="s">
        <v>41</v>
      </c>
      <c r="C113" s="4" t="s">
        <v>551</v>
      </c>
      <c r="D113" s="3">
        <v>1</v>
      </c>
      <c r="E113" s="3" t="s">
        <v>16</v>
      </c>
      <c r="F113" s="3" t="s">
        <v>291</v>
      </c>
      <c r="G113" s="3" t="s">
        <v>26</v>
      </c>
      <c r="H113" s="3" t="s">
        <v>249</v>
      </c>
    </row>
    <row r="114" spans="1:8" x14ac:dyDescent="0.2">
      <c r="A114" s="3">
        <v>3060333019</v>
      </c>
      <c r="B114" s="4" t="s">
        <v>227</v>
      </c>
      <c r="C114" s="4" t="s">
        <v>1672</v>
      </c>
      <c r="D114" s="3">
        <v>1</v>
      </c>
      <c r="E114" s="3" t="s">
        <v>16</v>
      </c>
      <c r="F114" s="3" t="s">
        <v>289</v>
      </c>
      <c r="G114" s="3" t="s">
        <v>23</v>
      </c>
      <c r="H114" s="3" t="s">
        <v>254</v>
      </c>
    </row>
    <row r="115" spans="1:8" x14ac:dyDescent="0.2">
      <c r="A115" s="3">
        <v>3060335043</v>
      </c>
      <c r="B115" s="4" t="s">
        <v>233</v>
      </c>
      <c r="C115" s="4" t="s">
        <v>1672</v>
      </c>
      <c r="D115" s="3">
        <v>1</v>
      </c>
      <c r="E115" s="3" t="s">
        <v>16</v>
      </c>
      <c r="F115" s="3" t="s">
        <v>289</v>
      </c>
      <c r="G115" s="3" t="s">
        <v>23</v>
      </c>
      <c r="H115" s="3" t="s">
        <v>254</v>
      </c>
    </row>
    <row r="116" spans="1:8" x14ac:dyDescent="0.2">
      <c r="A116" s="3">
        <v>3049902004</v>
      </c>
      <c r="B116" s="4" t="s">
        <v>383</v>
      </c>
      <c r="C116" s="4" t="s">
        <v>384</v>
      </c>
      <c r="D116" s="3">
        <v>2</v>
      </c>
      <c r="E116" s="3" t="s">
        <v>16</v>
      </c>
      <c r="F116" s="3" t="s">
        <v>293</v>
      </c>
      <c r="G116" s="3" t="s">
        <v>29</v>
      </c>
      <c r="H116" s="3" t="s">
        <v>254</v>
      </c>
    </row>
    <row r="117" spans="1:8" x14ac:dyDescent="0.2">
      <c r="A117" s="3">
        <v>3040326018</v>
      </c>
      <c r="B117" s="4" t="s">
        <v>385</v>
      </c>
      <c r="C117" s="4" t="s">
        <v>384</v>
      </c>
      <c r="D117" s="3">
        <v>2</v>
      </c>
      <c r="E117" s="3" t="s">
        <v>16</v>
      </c>
      <c r="F117" s="3" t="s">
        <v>293</v>
      </c>
      <c r="G117" s="3" t="s">
        <v>29</v>
      </c>
      <c r="H117" s="3" t="s">
        <v>254</v>
      </c>
    </row>
    <row r="118" spans="1:8" x14ac:dyDescent="0.2">
      <c r="A118" s="3">
        <v>3060336006</v>
      </c>
      <c r="B118" s="4" t="s">
        <v>1659</v>
      </c>
      <c r="C118" s="4" t="s">
        <v>1660</v>
      </c>
      <c r="D118" s="3">
        <v>1</v>
      </c>
      <c r="E118" s="3" t="s">
        <v>16</v>
      </c>
      <c r="F118" s="3" t="s">
        <v>317</v>
      </c>
      <c r="G118" s="3" t="s">
        <v>318</v>
      </c>
      <c r="H118" s="3" t="s">
        <v>254</v>
      </c>
    </row>
    <row r="119" spans="1:8" x14ac:dyDescent="0.2">
      <c r="A119" s="3">
        <v>3030313004</v>
      </c>
      <c r="B119" s="4" t="s">
        <v>275</v>
      </c>
      <c r="C119" s="4" t="s">
        <v>258</v>
      </c>
      <c r="D119" s="3">
        <v>1</v>
      </c>
      <c r="E119" s="3" t="s">
        <v>16</v>
      </c>
      <c r="F119" s="3" t="s">
        <v>291</v>
      </c>
      <c r="G119" s="3" t="s">
        <v>26</v>
      </c>
      <c r="H119" s="3" t="s">
        <v>254</v>
      </c>
    </row>
    <row r="120" spans="1:8" x14ac:dyDescent="0.2">
      <c r="A120" s="3">
        <v>3991601005</v>
      </c>
      <c r="B120" s="4" t="s">
        <v>585</v>
      </c>
      <c r="C120" s="4" t="s">
        <v>1661</v>
      </c>
      <c r="D120" s="3">
        <v>10</v>
      </c>
      <c r="E120" s="3" t="s">
        <v>16</v>
      </c>
      <c r="F120" s="3" t="s">
        <v>317</v>
      </c>
      <c r="G120" s="3" t="s">
        <v>318</v>
      </c>
      <c r="H120" s="3" t="s">
        <v>254</v>
      </c>
    </row>
    <row r="121" spans="1:8" x14ac:dyDescent="0.2">
      <c r="A121" s="3">
        <v>3050303034</v>
      </c>
      <c r="B121" s="4" t="s">
        <v>245</v>
      </c>
      <c r="C121" s="4" t="s">
        <v>1660</v>
      </c>
      <c r="D121" s="3">
        <v>1</v>
      </c>
      <c r="E121" s="3" t="s">
        <v>16</v>
      </c>
      <c r="F121" s="3" t="s">
        <v>291</v>
      </c>
      <c r="G121" s="3" t="s">
        <v>26</v>
      </c>
      <c r="H121" s="3" t="s">
        <v>254</v>
      </c>
    </row>
  </sheetData>
  <phoneticPr fontId="2" type="noConversion"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E8AB3-8732-43CD-8D5D-F37CCE5B6B6E}">
  <dimension ref="A1:H175"/>
  <sheetViews>
    <sheetView workbookViewId="0">
      <selection activeCell="I15" sqref="I15"/>
    </sheetView>
  </sheetViews>
  <sheetFormatPr defaultRowHeight="14.25" x14ac:dyDescent="0.2"/>
  <cols>
    <col min="1" max="1" width="13.25" customWidth="1"/>
    <col min="2" max="3" width="13" customWidth="1"/>
  </cols>
  <sheetData>
    <row r="1" spans="1:8" x14ac:dyDescent="0.2">
      <c r="A1" s="3" t="s">
        <v>1747</v>
      </c>
      <c r="B1" s="4"/>
      <c r="C1" s="4"/>
      <c r="D1" s="3"/>
      <c r="E1" s="3"/>
      <c r="F1" s="3"/>
      <c r="G1" s="3"/>
      <c r="H1" s="3"/>
    </row>
    <row r="2" spans="1:8" ht="28.5" x14ac:dyDescent="0.2">
      <c r="A2" s="1" t="s">
        <v>0</v>
      </c>
      <c r="B2" s="2" t="s">
        <v>1</v>
      </c>
      <c r="C2" s="2" t="s">
        <v>2</v>
      </c>
      <c r="D2" s="1" t="s">
        <v>4</v>
      </c>
      <c r="E2" s="1" t="s">
        <v>3</v>
      </c>
      <c r="F2" s="1" t="s">
        <v>5</v>
      </c>
      <c r="G2" s="1" t="s">
        <v>6</v>
      </c>
      <c r="H2" s="1" t="s">
        <v>7</v>
      </c>
    </row>
    <row r="3" spans="1:8" s="10" customFormat="1" x14ac:dyDescent="0.2">
      <c r="A3" s="8" t="s">
        <v>390</v>
      </c>
      <c r="B3" s="9" t="s">
        <v>8</v>
      </c>
      <c r="C3" s="9" t="s">
        <v>9</v>
      </c>
      <c r="D3" s="13">
        <f>0.4546/0.94</f>
        <v>0.48361702127659578</v>
      </c>
      <c r="E3" s="8" t="s">
        <v>596</v>
      </c>
      <c r="F3" s="8" t="s">
        <v>283</v>
      </c>
      <c r="G3" s="8" t="s">
        <v>13</v>
      </c>
      <c r="H3" s="8" t="s">
        <v>12</v>
      </c>
    </row>
    <row r="4" spans="1:8" x14ac:dyDescent="0.2">
      <c r="A4" s="3">
        <v>403010377</v>
      </c>
      <c r="B4" s="4" t="s">
        <v>684</v>
      </c>
      <c r="C4" s="4" t="s">
        <v>1698</v>
      </c>
      <c r="D4" s="3">
        <v>1</v>
      </c>
      <c r="E4" s="3" t="s">
        <v>16</v>
      </c>
      <c r="F4" s="3" t="s">
        <v>291</v>
      </c>
      <c r="G4" s="3" t="s">
        <v>26</v>
      </c>
      <c r="H4" s="3" t="s">
        <v>306</v>
      </c>
    </row>
    <row r="5" spans="1:8" x14ac:dyDescent="0.2">
      <c r="A5" s="3">
        <v>403010371</v>
      </c>
      <c r="B5" s="4" t="s">
        <v>684</v>
      </c>
      <c r="C5" s="4" t="s">
        <v>1596</v>
      </c>
      <c r="D5" s="3">
        <v>1</v>
      </c>
      <c r="E5" s="3" t="s">
        <v>16</v>
      </c>
      <c r="F5" s="3" t="s">
        <v>301</v>
      </c>
      <c r="G5" s="3" t="s">
        <v>32</v>
      </c>
      <c r="H5" s="3" t="s">
        <v>306</v>
      </c>
    </row>
    <row r="6" spans="1:8" x14ac:dyDescent="0.2">
      <c r="A6" s="3">
        <v>403010378</v>
      </c>
      <c r="B6" s="4" t="s">
        <v>684</v>
      </c>
      <c r="C6" s="4" t="s">
        <v>1699</v>
      </c>
      <c r="D6" s="3">
        <v>1</v>
      </c>
      <c r="E6" s="3" t="s">
        <v>16</v>
      </c>
      <c r="F6" s="3" t="s">
        <v>301</v>
      </c>
      <c r="G6" s="3" t="s">
        <v>32</v>
      </c>
      <c r="H6" s="3" t="s">
        <v>306</v>
      </c>
    </row>
    <row r="7" spans="1:8" x14ac:dyDescent="0.2">
      <c r="A7" s="3">
        <v>403010379</v>
      </c>
      <c r="B7" s="4" t="s">
        <v>684</v>
      </c>
      <c r="C7" s="4" t="s">
        <v>1700</v>
      </c>
      <c r="D7" s="3">
        <v>1</v>
      </c>
      <c r="E7" s="3" t="s">
        <v>16</v>
      </c>
      <c r="F7" s="3" t="s">
        <v>301</v>
      </c>
      <c r="G7" s="3" t="s">
        <v>32</v>
      </c>
      <c r="H7" s="3" t="s">
        <v>306</v>
      </c>
    </row>
    <row r="8" spans="1:8" x14ac:dyDescent="0.2">
      <c r="A8" s="3">
        <v>403010376</v>
      </c>
      <c r="B8" s="4" t="s">
        <v>684</v>
      </c>
      <c r="C8" s="4" t="s">
        <v>1701</v>
      </c>
      <c r="D8" s="3">
        <v>1</v>
      </c>
      <c r="E8" s="3" t="s">
        <v>16</v>
      </c>
      <c r="F8" s="3" t="s">
        <v>291</v>
      </c>
      <c r="G8" s="3" t="s">
        <v>26</v>
      </c>
      <c r="H8" s="3" t="s">
        <v>306</v>
      </c>
    </row>
    <row r="9" spans="1:8" x14ac:dyDescent="0.2">
      <c r="A9" s="3">
        <v>402030028</v>
      </c>
      <c r="B9" s="4" t="s">
        <v>107</v>
      </c>
      <c r="C9" s="4" t="s">
        <v>305</v>
      </c>
      <c r="D9" s="3">
        <v>1</v>
      </c>
      <c r="E9" s="3" t="s">
        <v>16</v>
      </c>
      <c r="F9" s="3" t="s">
        <v>289</v>
      </c>
      <c r="G9" s="3" t="s">
        <v>23</v>
      </c>
      <c r="H9" s="3" t="s">
        <v>306</v>
      </c>
    </row>
    <row r="10" spans="1:8" x14ac:dyDescent="0.2">
      <c r="A10" s="3">
        <v>3080503020</v>
      </c>
      <c r="B10" s="4" t="s">
        <v>14</v>
      </c>
      <c r="C10" s="4" t="s">
        <v>15</v>
      </c>
      <c r="D10" s="3">
        <v>2</v>
      </c>
      <c r="E10" s="3" t="s">
        <v>16</v>
      </c>
      <c r="F10" s="3" t="s">
        <v>295</v>
      </c>
      <c r="G10" s="3" t="s">
        <v>17</v>
      </c>
      <c r="H10" s="3" t="s">
        <v>18</v>
      </c>
    </row>
    <row r="11" spans="1:8" x14ac:dyDescent="0.2">
      <c r="A11" s="3">
        <v>3080503002</v>
      </c>
      <c r="B11" s="4" t="s">
        <v>14</v>
      </c>
      <c r="C11" s="4" t="s">
        <v>1702</v>
      </c>
      <c r="D11" s="3">
        <v>6</v>
      </c>
      <c r="E11" s="3" t="s">
        <v>16</v>
      </c>
      <c r="F11" s="3" t="s">
        <v>295</v>
      </c>
      <c r="G11" s="3" t="s">
        <v>17</v>
      </c>
      <c r="H11" s="3" t="s">
        <v>18</v>
      </c>
    </row>
    <row r="12" spans="1:8" x14ac:dyDescent="0.2">
      <c r="A12" s="3">
        <v>3030215001</v>
      </c>
      <c r="B12" s="4" t="s">
        <v>24</v>
      </c>
      <c r="C12" s="4" t="s">
        <v>25</v>
      </c>
      <c r="D12" s="3">
        <v>1</v>
      </c>
      <c r="E12" s="3" t="s">
        <v>16</v>
      </c>
      <c r="F12" s="3" t="s">
        <v>295</v>
      </c>
      <c r="G12" s="3" t="s">
        <v>17</v>
      </c>
      <c r="H12" s="3" t="s">
        <v>18</v>
      </c>
    </row>
    <row r="13" spans="1:8" x14ac:dyDescent="0.2">
      <c r="A13" s="3">
        <v>404020029</v>
      </c>
      <c r="B13" s="4" t="s">
        <v>30</v>
      </c>
      <c r="C13" s="4" t="s">
        <v>31</v>
      </c>
      <c r="D13" s="3">
        <v>2</v>
      </c>
      <c r="E13" s="3" t="s">
        <v>16</v>
      </c>
      <c r="F13" s="3" t="s">
        <v>301</v>
      </c>
      <c r="G13" s="3" t="s">
        <v>32</v>
      </c>
      <c r="H13" s="3" t="s">
        <v>33</v>
      </c>
    </row>
    <row r="14" spans="1:8" x14ac:dyDescent="0.2">
      <c r="A14" s="3">
        <v>404020100</v>
      </c>
      <c r="B14" s="4" t="s">
        <v>30</v>
      </c>
      <c r="C14" s="4" t="s">
        <v>1703</v>
      </c>
      <c r="D14" s="3">
        <v>1</v>
      </c>
      <c r="E14" s="3" t="s">
        <v>16</v>
      </c>
      <c r="F14" s="3" t="s">
        <v>291</v>
      </c>
      <c r="G14" s="3" t="s">
        <v>26</v>
      </c>
      <c r="H14" s="3" t="s">
        <v>33</v>
      </c>
    </row>
    <row r="15" spans="1:8" x14ac:dyDescent="0.2">
      <c r="A15" s="3">
        <v>401040455</v>
      </c>
      <c r="B15" s="4" t="s">
        <v>35</v>
      </c>
      <c r="C15" s="4" t="s">
        <v>1704</v>
      </c>
      <c r="D15" s="3">
        <v>1</v>
      </c>
      <c r="E15" s="3" t="s">
        <v>16</v>
      </c>
      <c r="F15" s="3" t="s">
        <v>293</v>
      </c>
      <c r="G15" s="3" t="s">
        <v>29</v>
      </c>
      <c r="H15" s="3" t="s">
        <v>33</v>
      </c>
    </row>
    <row r="16" spans="1:8" x14ac:dyDescent="0.2">
      <c r="A16" s="3">
        <v>401040454</v>
      </c>
      <c r="B16" s="4" t="s">
        <v>35</v>
      </c>
      <c r="C16" s="4" t="s">
        <v>1705</v>
      </c>
      <c r="D16" s="3">
        <v>1</v>
      </c>
      <c r="E16" s="3" t="s">
        <v>16</v>
      </c>
      <c r="F16" s="3" t="s">
        <v>291</v>
      </c>
      <c r="G16" s="3" t="s">
        <v>26</v>
      </c>
      <c r="H16" s="3" t="s">
        <v>33</v>
      </c>
    </row>
    <row r="17" spans="1:8" x14ac:dyDescent="0.2">
      <c r="A17" s="3">
        <v>401020203</v>
      </c>
      <c r="B17" s="4" t="s">
        <v>35</v>
      </c>
      <c r="C17" s="4" t="s">
        <v>1706</v>
      </c>
      <c r="D17" s="3">
        <v>1</v>
      </c>
      <c r="E17" s="3" t="s">
        <v>16</v>
      </c>
      <c r="F17" s="3" t="s">
        <v>301</v>
      </c>
      <c r="G17" s="3" t="s">
        <v>32</v>
      </c>
      <c r="H17" s="3" t="s">
        <v>33</v>
      </c>
    </row>
    <row r="18" spans="1:8" x14ac:dyDescent="0.2">
      <c r="A18" s="3">
        <v>3080101001</v>
      </c>
      <c r="B18" s="4" t="s">
        <v>411</v>
      </c>
      <c r="C18" s="4" t="s">
        <v>1601</v>
      </c>
      <c r="D18" s="3">
        <v>10</v>
      </c>
      <c r="E18" s="3" t="s">
        <v>16</v>
      </c>
      <c r="F18" s="3" t="s">
        <v>317</v>
      </c>
      <c r="G18" s="3" t="s">
        <v>318</v>
      </c>
      <c r="H18" s="3" t="s">
        <v>40</v>
      </c>
    </row>
    <row r="19" spans="1:8" x14ac:dyDescent="0.2">
      <c r="A19" s="3">
        <v>3080401032</v>
      </c>
      <c r="B19" s="4" t="s">
        <v>41</v>
      </c>
      <c r="C19" s="4" t="s">
        <v>1707</v>
      </c>
      <c r="D19" s="3">
        <v>1</v>
      </c>
      <c r="E19" s="3" t="s">
        <v>16</v>
      </c>
      <c r="F19" s="3" t="s">
        <v>291</v>
      </c>
      <c r="G19" s="3" t="s">
        <v>26</v>
      </c>
      <c r="H19" s="3" t="s">
        <v>40</v>
      </c>
    </row>
    <row r="20" spans="1:8" x14ac:dyDescent="0.2">
      <c r="A20" s="3">
        <v>3080401006</v>
      </c>
      <c r="B20" s="4" t="s">
        <v>41</v>
      </c>
      <c r="C20" s="4" t="s">
        <v>44</v>
      </c>
      <c r="D20" s="3">
        <v>1</v>
      </c>
      <c r="E20" s="3" t="s">
        <v>16</v>
      </c>
      <c r="F20" s="3" t="s">
        <v>295</v>
      </c>
      <c r="G20" s="3" t="s">
        <v>17</v>
      </c>
      <c r="H20" s="3" t="s">
        <v>40</v>
      </c>
    </row>
    <row r="21" spans="1:8" x14ac:dyDescent="0.2">
      <c r="A21" s="3">
        <v>3080401015</v>
      </c>
      <c r="B21" s="4" t="s">
        <v>41</v>
      </c>
      <c r="C21" s="4" t="s">
        <v>1708</v>
      </c>
      <c r="D21" s="3">
        <v>2</v>
      </c>
      <c r="E21" s="3" t="s">
        <v>16</v>
      </c>
      <c r="F21" s="3" t="s">
        <v>295</v>
      </c>
      <c r="G21" s="3" t="s">
        <v>17</v>
      </c>
      <c r="H21" s="3" t="s">
        <v>40</v>
      </c>
    </row>
    <row r="22" spans="1:8" x14ac:dyDescent="0.2">
      <c r="A22" s="3">
        <v>3080104014</v>
      </c>
      <c r="B22" s="4" t="s">
        <v>45</v>
      </c>
      <c r="C22" s="4" t="s">
        <v>312</v>
      </c>
      <c r="D22" s="3">
        <v>2</v>
      </c>
      <c r="E22" s="3" t="s">
        <v>16</v>
      </c>
      <c r="F22" s="3" t="s">
        <v>293</v>
      </c>
      <c r="G22" s="3" t="s">
        <v>29</v>
      </c>
      <c r="H22" s="3" t="s">
        <v>40</v>
      </c>
    </row>
    <row r="23" spans="1:8" x14ac:dyDescent="0.2">
      <c r="A23" s="3">
        <v>3080105033</v>
      </c>
      <c r="B23" s="4" t="s">
        <v>50</v>
      </c>
      <c r="C23" s="4" t="s">
        <v>628</v>
      </c>
      <c r="D23" s="3">
        <v>4</v>
      </c>
      <c r="E23" s="3" t="s">
        <v>16</v>
      </c>
      <c r="F23" s="3" t="s">
        <v>293</v>
      </c>
      <c r="G23" s="3" t="s">
        <v>29</v>
      </c>
      <c r="H23" s="3" t="s">
        <v>40</v>
      </c>
    </row>
    <row r="24" spans="1:8" x14ac:dyDescent="0.2">
      <c r="A24" s="3">
        <v>3080105007</v>
      </c>
      <c r="B24" s="4" t="s">
        <v>50</v>
      </c>
      <c r="C24" s="4" t="s">
        <v>52</v>
      </c>
      <c r="D24" s="3">
        <v>2</v>
      </c>
      <c r="E24" s="3" t="s">
        <v>16</v>
      </c>
      <c r="F24" s="3" t="s">
        <v>293</v>
      </c>
      <c r="G24" s="3" t="s">
        <v>29</v>
      </c>
      <c r="H24" s="3" t="s">
        <v>40</v>
      </c>
    </row>
    <row r="25" spans="1:8" x14ac:dyDescent="0.2">
      <c r="A25" s="3">
        <v>3080105012</v>
      </c>
      <c r="B25" s="4" t="s">
        <v>50</v>
      </c>
      <c r="C25" s="4" t="s">
        <v>674</v>
      </c>
      <c r="D25" s="3">
        <v>4</v>
      </c>
      <c r="E25" s="3" t="s">
        <v>16</v>
      </c>
      <c r="F25" s="3" t="s">
        <v>291</v>
      </c>
      <c r="G25" s="3" t="s">
        <v>26</v>
      </c>
      <c r="H25" s="3" t="s">
        <v>40</v>
      </c>
    </row>
    <row r="26" spans="1:8" x14ac:dyDescent="0.2">
      <c r="A26" s="3">
        <v>3080105021</v>
      </c>
      <c r="B26" s="4" t="s">
        <v>50</v>
      </c>
      <c r="C26" s="4" t="s">
        <v>319</v>
      </c>
      <c r="D26" s="3">
        <v>3</v>
      </c>
      <c r="E26" s="3" t="s">
        <v>16</v>
      </c>
      <c r="F26" s="3" t="s">
        <v>289</v>
      </c>
      <c r="G26" s="3" t="s">
        <v>23</v>
      </c>
      <c r="H26" s="3" t="s">
        <v>40</v>
      </c>
    </row>
    <row r="27" spans="1:8" x14ac:dyDescent="0.2">
      <c r="A27" s="3">
        <v>3080105021</v>
      </c>
      <c r="B27" s="4" t="s">
        <v>50</v>
      </c>
      <c r="C27" s="4" t="s">
        <v>319</v>
      </c>
      <c r="D27" s="3">
        <v>4</v>
      </c>
      <c r="E27" s="3" t="s">
        <v>16</v>
      </c>
      <c r="F27" s="3" t="s">
        <v>291</v>
      </c>
      <c r="G27" s="3" t="s">
        <v>26</v>
      </c>
      <c r="H27" s="3" t="s">
        <v>40</v>
      </c>
    </row>
    <row r="28" spans="1:8" x14ac:dyDescent="0.2">
      <c r="A28" s="3">
        <v>3080105091</v>
      </c>
      <c r="B28" s="4" t="s">
        <v>50</v>
      </c>
      <c r="C28" s="4" t="s">
        <v>861</v>
      </c>
      <c r="D28" s="3">
        <v>10</v>
      </c>
      <c r="E28" s="3" t="s">
        <v>16</v>
      </c>
      <c r="F28" s="3" t="s">
        <v>293</v>
      </c>
      <c r="G28" s="3" t="s">
        <v>29</v>
      </c>
      <c r="H28" s="3" t="s">
        <v>40</v>
      </c>
    </row>
    <row r="29" spans="1:8" x14ac:dyDescent="0.2">
      <c r="A29" s="3">
        <v>3080105028</v>
      </c>
      <c r="B29" s="4" t="s">
        <v>50</v>
      </c>
      <c r="C29" s="4" t="s">
        <v>1602</v>
      </c>
      <c r="D29" s="3">
        <v>2</v>
      </c>
      <c r="E29" s="3" t="s">
        <v>16</v>
      </c>
      <c r="F29" s="3" t="s">
        <v>289</v>
      </c>
      <c r="G29" s="3" t="s">
        <v>23</v>
      </c>
      <c r="H29" s="3" t="s">
        <v>40</v>
      </c>
    </row>
    <row r="30" spans="1:8" x14ac:dyDescent="0.2">
      <c r="A30" s="3">
        <v>3080502002</v>
      </c>
      <c r="B30" s="4" t="s">
        <v>55</v>
      </c>
      <c r="C30" s="4" t="s">
        <v>56</v>
      </c>
      <c r="D30" s="3">
        <v>1</v>
      </c>
      <c r="E30" s="3" t="s">
        <v>16</v>
      </c>
      <c r="F30" s="3" t="s">
        <v>317</v>
      </c>
      <c r="G30" s="3" t="s">
        <v>318</v>
      </c>
      <c r="H30" s="3" t="s">
        <v>40</v>
      </c>
    </row>
    <row r="31" spans="1:8" x14ac:dyDescent="0.2">
      <c r="A31" s="3">
        <v>3080502001</v>
      </c>
      <c r="B31" s="4" t="s">
        <v>55</v>
      </c>
      <c r="C31" s="4" t="s">
        <v>1709</v>
      </c>
      <c r="D31" s="3">
        <v>4</v>
      </c>
      <c r="E31" s="3" t="s">
        <v>16</v>
      </c>
      <c r="F31" s="3" t="s">
        <v>291</v>
      </c>
      <c r="G31" s="3" t="s">
        <v>26</v>
      </c>
      <c r="H31" s="3" t="s">
        <v>40</v>
      </c>
    </row>
    <row r="32" spans="1:8" x14ac:dyDescent="0.2">
      <c r="A32" s="3">
        <v>3080502002</v>
      </c>
      <c r="B32" s="4" t="s">
        <v>55</v>
      </c>
      <c r="C32" s="4" t="s">
        <v>56</v>
      </c>
      <c r="D32" s="3">
        <v>4</v>
      </c>
      <c r="E32" s="3" t="s">
        <v>16</v>
      </c>
      <c r="F32" s="3" t="s">
        <v>293</v>
      </c>
      <c r="G32" s="3" t="s">
        <v>29</v>
      </c>
      <c r="H32" s="3" t="s">
        <v>40</v>
      </c>
    </row>
    <row r="33" spans="1:8" x14ac:dyDescent="0.2">
      <c r="A33" s="3">
        <v>3080501001</v>
      </c>
      <c r="B33" s="4" t="s">
        <v>57</v>
      </c>
      <c r="C33" s="4" t="s">
        <v>1604</v>
      </c>
      <c r="D33" s="3">
        <v>2</v>
      </c>
      <c r="E33" s="3" t="s">
        <v>16</v>
      </c>
      <c r="F33" s="3" t="s">
        <v>289</v>
      </c>
      <c r="G33" s="3" t="s">
        <v>23</v>
      </c>
      <c r="H33" s="3" t="s">
        <v>40</v>
      </c>
    </row>
    <row r="34" spans="1:8" x14ac:dyDescent="0.2">
      <c r="A34" s="3">
        <v>3080501001</v>
      </c>
      <c r="B34" s="4" t="s">
        <v>57</v>
      </c>
      <c r="C34" s="4" t="s">
        <v>1604</v>
      </c>
      <c r="D34" s="3">
        <v>4</v>
      </c>
      <c r="E34" s="3" t="s">
        <v>16</v>
      </c>
      <c r="F34" s="3" t="s">
        <v>291</v>
      </c>
      <c r="G34" s="3" t="s">
        <v>26</v>
      </c>
      <c r="H34" s="3" t="s">
        <v>40</v>
      </c>
    </row>
    <row r="35" spans="1:8" x14ac:dyDescent="0.2">
      <c r="A35" s="3">
        <v>3080501046</v>
      </c>
      <c r="B35" s="4" t="s">
        <v>57</v>
      </c>
      <c r="C35" s="4" t="s">
        <v>1605</v>
      </c>
      <c r="D35" s="3">
        <v>4</v>
      </c>
      <c r="E35" s="3" t="s">
        <v>16</v>
      </c>
      <c r="F35" s="3" t="s">
        <v>317</v>
      </c>
      <c r="G35" s="3" t="s">
        <v>318</v>
      </c>
      <c r="H35" s="3" t="s">
        <v>40</v>
      </c>
    </row>
    <row r="36" spans="1:8" x14ac:dyDescent="0.2">
      <c r="A36" s="3">
        <v>3080501013</v>
      </c>
      <c r="B36" s="4" t="s">
        <v>57</v>
      </c>
      <c r="C36" s="4" t="s">
        <v>58</v>
      </c>
      <c r="D36" s="3">
        <v>2</v>
      </c>
      <c r="E36" s="3" t="s">
        <v>16</v>
      </c>
      <c r="F36" s="3" t="s">
        <v>293</v>
      </c>
      <c r="G36" s="3" t="s">
        <v>29</v>
      </c>
      <c r="H36" s="3" t="s">
        <v>40</v>
      </c>
    </row>
    <row r="37" spans="1:8" x14ac:dyDescent="0.2">
      <c r="A37" s="3">
        <v>3080402002</v>
      </c>
      <c r="B37" s="4" t="s">
        <v>1679</v>
      </c>
      <c r="C37" s="4" t="s">
        <v>1680</v>
      </c>
      <c r="D37" s="3">
        <v>4</v>
      </c>
      <c r="E37" s="3" t="s">
        <v>16</v>
      </c>
      <c r="F37" s="3" t="s">
        <v>291</v>
      </c>
      <c r="G37" s="3" t="s">
        <v>26</v>
      </c>
      <c r="H37" s="3" t="s">
        <v>40</v>
      </c>
    </row>
    <row r="38" spans="1:8" x14ac:dyDescent="0.2">
      <c r="A38" s="3">
        <v>3080201010</v>
      </c>
      <c r="B38" s="4" t="s">
        <v>60</v>
      </c>
      <c r="C38" s="4" t="s">
        <v>64</v>
      </c>
      <c r="D38" s="3">
        <v>1</v>
      </c>
      <c r="E38" s="3" t="s">
        <v>16</v>
      </c>
      <c r="F38" s="3" t="s">
        <v>291</v>
      </c>
      <c r="G38" s="3" t="s">
        <v>26</v>
      </c>
      <c r="H38" s="3" t="s">
        <v>40</v>
      </c>
    </row>
    <row r="39" spans="1:8" x14ac:dyDescent="0.2">
      <c r="A39" s="3">
        <v>3080201012</v>
      </c>
      <c r="B39" s="4" t="s">
        <v>60</v>
      </c>
      <c r="C39" s="4" t="s">
        <v>320</v>
      </c>
      <c r="D39" s="3">
        <v>1</v>
      </c>
      <c r="E39" s="3" t="s">
        <v>16</v>
      </c>
      <c r="F39" s="3" t="s">
        <v>317</v>
      </c>
      <c r="G39" s="3" t="s">
        <v>318</v>
      </c>
      <c r="H39" s="3" t="s">
        <v>40</v>
      </c>
    </row>
    <row r="40" spans="1:8" x14ac:dyDescent="0.2">
      <c r="A40" s="3">
        <v>3080201027</v>
      </c>
      <c r="B40" s="4" t="s">
        <v>60</v>
      </c>
      <c r="C40" s="4" t="s">
        <v>1607</v>
      </c>
      <c r="D40" s="3">
        <v>1</v>
      </c>
      <c r="E40" s="3" t="s">
        <v>16</v>
      </c>
      <c r="F40" s="3" t="s">
        <v>317</v>
      </c>
      <c r="G40" s="3" t="s">
        <v>318</v>
      </c>
      <c r="H40" s="3" t="s">
        <v>40</v>
      </c>
    </row>
    <row r="41" spans="1:8" x14ac:dyDescent="0.2">
      <c r="A41" s="3">
        <v>3080201007</v>
      </c>
      <c r="B41" s="4" t="s">
        <v>60</v>
      </c>
      <c r="C41" s="4" t="s">
        <v>62</v>
      </c>
      <c r="D41" s="3">
        <v>1</v>
      </c>
      <c r="E41" s="3" t="s">
        <v>16</v>
      </c>
      <c r="F41" s="3" t="s">
        <v>295</v>
      </c>
      <c r="G41" s="3" t="s">
        <v>17</v>
      </c>
      <c r="H41" s="3" t="s">
        <v>40</v>
      </c>
    </row>
    <row r="42" spans="1:8" x14ac:dyDescent="0.2">
      <c r="A42" s="3">
        <v>3080201008</v>
      </c>
      <c r="B42" s="4" t="s">
        <v>60</v>
      </c>
      <c r="C42" s="4" t="s">
        <v>63</v>
      </c>
      <c r="D42" s="3">
        <v>1</v>
      </c>
      <c r="E42" s="3" t="s">
        <v>16</v>
      </c>
      <c r="F42" s="3" t="s">
        <v>295</v>
      </c>
      <c r="G42" s="3" t="s">
        <v>17</v>
      </c>
      <c r="H42" s="3" t="s">
        <v>40</v>
      </c>
    </row>
    <row r="43" spans="1:8" x14ac:dyDescent="0.2">
      <c r="A43" s="3">
        <v>3080201010</v>
      </c>
      <c r="B43" s="4" t="s">
        <v>60</v>
      </c>
      <c r="C43" s="4" t="s">
        <v>64</v>
      </c>
      <c r="D43" s="3">
        <v>2</v>
      </c>
      <c r="E43" s="3" t="s">
        <v>16</v>
      </c>
      <c r="F43" s="3" t="s">
        <v>295</v>
      </c>
      <c r="G43" s="3" t="s">
        <v>17</v>
      </c>
      <c r="H43" s="3" t="s">
        <v>40</v>
      </c>
    </row>
    <row r="44" spans="1:8" x14ac:dyDescent="0.2">
      <c r="A44" s="3">
        <v>3080201015</v>
      </c>
      <c r="B44" s="4" t="s">
        <v>60</v>
      </c>
      <c r="C44" s="4" t="s">
        <v>65</v>
      </c>
      <c r="D44" s="3">
        <v>2</v>
      </c>
      <c r="E44" s="3" t="s">
        <v>16</v>
      </c>
      <c r="F44" s="3" t="s">
        <v>295</v>
      </c>
      <c r="G44" s="3" t="s">
        <v>17</v>
      </c>
      <c r="H44" s="3" t="s">
        <v>40</v>
      </c>
    </row>
    <row r="45" spans="1:8" x14ac:dyDescent="0.2">
      <c r="A45" s="3">
        <v>3080201016</v>
      </c>
      <c r="B45" s="4" t="s">
        <v>60</v>
      </c>
      <c r="C45" s="4" t="s">
        <v>1606</v>
      </c>
      <c r="D45" s="3">
        <v>5</v>
      </c>
      <c r="E45" s="3" t="s">
        <v>16</v>
      </c>
      <c r="F45" s="3" t="s">
        <v>289</v>
      </c>
      <c r="G45" s="3" t="s">
        <v>23</v>
      </c>
      <c r="H45" s="3" t="s">
        <v>40</v>
      </c>
    </row>
    <row r="46" spans="1:8" x14ac:dyDescent="0.2">
      <c r="A46" s="3">
        <v>3080106007</v>
      </c>
      <c r="B46" s="4" t="s">
        <v>66</v>
      </c>
      <c r="C46" s="4" t="s">
        <v>68</v>
      </c>
      <c r="D46" s="3">
        <v>1</v>
      </c>
      <c r="E46" s="3" t="s">
        <v>16</v>
      </c>
      <c r="F46" s="3" t="s">
        <v>295</v>
      </c>
      <c r="G46" s="3" t="s">
        <v>17</v>
      </c>
      <c r="H46" s="3" t="s">
        <v>40</v>
      </c>
    </row>
    <row r="47" spans="1:8" x14ac:dyDescent="0.2">
      <c r="A47" s="3">
        <v>3080107284</v>
      </c>
      <c r="B47" s="4" t="s">
        <v>69</v>
      </c>
      <c r="C47" s="4" t="s">
        <v>706</v>
      </c>
      <c r="D47" s="3">
        <v>1</v>
      </c>
      <c r="E47" s="3" t="s">
        <v>16</v>
      </c>
      <c r="F47" s="3" t="s">
        <v>317</v>
      </c>
      <c r="G47" s="3" t="s">
        <v>318</v>
      </c>
      <c r="H47" s="3" t="s">
        <v>40</v>
      </c>
    </row>
    <row r="48" spans="1:8" x14ac:dyDescent="0.2">
      <c r="A48" s="3">
        <v>3080107290</v>
      </c>
      <c r="B48" s="4" t="s">
        <v>69</v>
      </c>
      <c r="C48" s="4" t="s">
        <v>1609</v>
      </c>
      <c r="D48" s="3">
        <v>7</v>
      </c>
      <c r="E48" s="3" t="s">
        <v>16</v>
      </c>
      <c r="F48" s="3" t="s">
        <v>289</v>
      </c>
      <c r="G48" s="3" t="s">
        <v>23</v>
      </c>
      <c r="H48" s="3" t="s">
        <v>40</v>
      </c>
    </row>
    <row r="49" spans="1:8" x14ac:dyDescent="0.2">
      <c r="A49" s="3">
        <v>3080107031</v>
      </c>
      <c r="B49" s="4" t="s">
        <v>69</v>
      </c>
      <c r="C49" s="4" t="s">
        <v>71</v>
      </c>
      <c r="D49" s="3">
        <v>9</v>
      </c>
      <c r="E49" s="3" t="s">
        <v>16</v>
      </c>
      <c r="F49" s="3" t="s">
        <v>295</v>
      </c>
      <c r="G49" s="3" t="s">
        <v>17</v>
      </c>
      <c r="H49" s="3" t="s">
        <v>40</v>
      </c>
    </row>
    <row r="50" spans="1:8" x14ac:dyDescent="0.2">
      <c r="A50" s="3">
        <v>3080107034</v>
      </c>
      <c r="B50" s="4" t="s">
        <v>69</v>
      </c>
      <c r="C50" s="4" t="s">
        <v>429</v>
      </c>
      <c r="D50" s="3">
        <v>4</v>
      </c>
      <c r="E50" s="3" t="s">
        <v>16</v>
      </c>
      <c r="F50" s="3" t="s">
        <v>291</v>
      </c>
      <c r="G50" s="3" t="s">
        <v>26</v>
      </c>
      <c r="H50" s="3" t="s">
        <v>40</v>
      </c>
    </row>
    <row r="51" spans="1:8" x14ac:dyDescent="0.2">
      <c r="A51" s="3">
        <v>3080107112</v>
      </c>
      <c r="B51" s="4" t="s">
        <v>69</v>
      </c>
      <c r="C51" s="4" t="s">
        <v>705</v>
      </c>
      <c r="D51" s="3">
        <v>3</v>
      </c>
      <c r="E51" s="3" t="s">
        <v>16</v>
      </c>
      <c r="F51" s="3" t="s">
        <v>317</v>
      </c>
      <c r="G51" s="3" t="s">
        <v>318</v>
      </c>
      <c r="H51" s="3" t="s">
        <v>40</v>
      </c>
    </row>
    <row r="52" spans="1:8" x14ac:dyDescent="0.2">
      <c r="A52" s="3">
        <v>3080107252</v>
      </c>
      <c r="B52" s="4" t="s">
        <v>69</v>
      </c>
      <c r="C52" s="4" t="s">
        <v>1613</v>
      </c>
      <c r="D52" s="3">
        <v>1</v>
      </c>
      <c r="E52" s="3" t="s">
        <v>16</v>
      </c>
      <c r="F52" s="3" t="s">
        <v>317</v>
      </c>
      <c r="G52" s="3" t="s">
        <v>318</v>
      </c>
      <c r="H52" s="3" t="s">
        <v>40</v>
      </c>
    </row>
    <row r="53" spans="1:8" x14ac:dyDescent="0.2">
      <c r="A53" s="3">
        <v>3080107010</v>
      </c>
      <c r="B53" s="4" t="s">
        <v>69</v>
      </c>
      <c r="C53" s="4" t="s">
        <v>1710</v>
      </c>
      <c r="D53" s="3">
        <v>4</v>
      </c>
      <c r="E53" s="3" t="s">
        <v>16</v>
      </c>
      <c r="F53" s="3" t="s">
        <v>293</v>
      </c>
      <c r="G53" s="3" t="s">
        <v>29</v>
      </c>
      <c r="H53" s="3" t="s">
        <v>40</v>
      </c>
    </row>
    <row r="54" spans="1:8" x14ac:dyDescent="0.2">
      <c r="A54" s="3">
        <v>3080107248</v>
      </c>
      <c r="B54" s="4" t="s">
        <v>69</v>
      </c>
      <c r="C54" s="4" t="s">
        <v>1711</v>
      </c>
      <c r="D54" s="3">
        <v>1</v>
      </c>
      <c r="E54" s="3" t="s">
        <v>16</v>
      </c>
      <c r="F54" s="3" t="s">
        <v>295</v>
      </c>
      <c r="G54" s="3" t="s">
        <v>17</v>
      </c>
      <c r="H54" s="3" t="s">
        <v>40</v>
      </c>
    </row>
    <row r="55" spans="1:8" x14ac:dyDescent="0.2">
      <c r="A55" s="3">
        <v>3080107250</v>
      </c>
      <c r="B55" s="4" t="s">
        <v>69</v>
      </c>
      <c r="C55" s="4" t="s">
        <v>1712</v>
      </c>
      <c r="D55" s="3">
        <v>1</v>
      </c>
      <c r="E55" s="3" t="s">
        <v>16</v>
      </c>
      <c r="F55" s="3" t="s">
        <v>295</v>
      </c>
      <c r="G55" s="3" t="s">
        <v>17</v>
      </c>
      <c r="H55" s="3" t="s">
        <v>40</v>
      </c>
    </row>
    <row r="56" spans="1:8" x14ac:dyDescent="0.2">
      <c r="A56" s="3">
        <v>3080107249</v>
      </c>
      <c r="B56" s="4" t="s">
        <v>69</v>
      </c>
      <c r="C56" s="4" t="s">
        <v>1713</v>
      </c>
      <c r="D56" s="3">
        <v>1</v>
      </c>
      <c r="E56" s="3" t="s">
        <v>16</v>
      </c>
      <c r="F56" s="3" t="s">
        <v>295</v>
      </c>
      <c r="G56" s="3" t="s">
        <v>17</v>
      </c>
      <c r="H56" s="3" t="s">
        <v>40</v>
      </c>
    </row>
    <row r="57" spans="1:8" x14ac:dyDescent="0.2">
      <c r="A57" s="3">
        <v>3080107066</v>
      </c>
      <c r="B57" s="4" t="s">
        <v>69</v>
      </c>
      <c r="C57" s="4" t="s">
        <v>1610</v>
      </c>
      <c r="D57" s="3">
        <v>4</v>
      </c>
      <c r="E57" s="3" t="s">
        <v>16</v>
      </c>
      <c r="F57" s="3" t="s">
        <v>289</v>
      </c>
      <c r="G57" s="3" t="s">
        <v>23</v>
      </c>
      <c r="H57" s="3" t="s">
        <v>40</v>
      </c>
    </row>
    <row r="58" spans="1:8" x14ac:dyDescent="0.2">
      <c r="A58" s="3">
        <v>3080107063</v>
      </c>
      <c r="B58" s="4" t="s">
        <v>69</v>
      </c>
      <c r="C58" s="4" t="s">
        <v>1612</v>
      </c>
      <c r="D58" s="3">
        <v>1</v>
      </c>
      <c r="E58" s="3" t="s">
        <v>16</v>
      </c>
      <c r="F58" s="3" t="s">
        <v>289</v>
      </c>
      <c r="G58" s="3" t="s">
        <v>23</v>
      </c>
      <c r="H58" s="3" t="s">
        <v>40</v>
      </c>
    </row>
    <row r="59" spans="1:8" x14ac:dyDescent="0.2">
      <c r="A59" s="3">
        <v>3080107265</v>
      </c>
      <c r="B59" s="4" t="s">
        <v>69</v>
      </c>
      <c r="C59" s="4" t="s">
        <v>1611</v>
      </c>
      <c r="D59" s="3">
        <v>4</v>
      </c>
      <c r="E59" s="3" t="s">
        <v>16</v>
      </c>
      <c r="F59" s="3" t="s">
        <v>289</v>
      </c>
      <c r="G59" s="3" t="s">
        <v>23</v>
      </c>
      <c r="H59" s="3" t="s">
        <v>40</v>
      </c>
    </row>
    <row r="60" spans="1:8" x14ac:dyDescent="0.2">
      <c r="A60" s="3">
        <v>3080108051</v>
      </c>
      <c r="B60" s="4" t="s">
        <v>77</v>
      </c>
      <c r="C60" s="4" t="s">
        <v>1683</v>
      </c>
      <c r="D60" s="3">
        <v>2</v>
      </c>
      <c r="E60" s="3" t="s">
        <v>16</v>
      </c>
      <c r="F60" s="3" t="s">
        <v>291</v>
      </c>
      <c r="G60" s="3" t="s">
        <v>26</v>
      </c>
      <c r="H60" s="3" t="s">
        <v>40</v>
      </c>
    </row>
    <row r="61" spans="1:8" x14ac:dyDescent="0.2">
      <c r="A61" s="3">
        <v>3080108036</v>
      </c>
      <c r="B61" s="4" t="s">
        <v>77</v>
      </c>
      <c r="C61" s="4" t="s">
        <v>1682</v>
      </c>
      <c r="D61" s="3">
        <v>1</v>
      </c>
      <c r="E61" s="3" t="s">
        <v>16</v>
      </c>
      <c r="F61" s="3" t="s">
        <v>291</v>
      </c>
      <c r="G61" s="3" t="s">
        <v>26</v>
      </c>
      <c r="H61" s="3" t="s">
        <v>40</v>
      </c>
    </row>
    <row r="62" spans="1:8" x14ac:dyDescent="0.2">
      <c r="A62" s="3">
        <v>3080108048</v>
      </c>
      <c r="B62" s="4" t="s">
        <v>77</v>
      </c>
      <c r="C62" s="4" t="s">
        <v>1615</v>
      </c>
      <c r="D62" s="3">
        <v>2</v>
      </c>
      <c r="E62" s="3" t="s">
        <v>16</v>
      </c>
      <c r="F62" s="3" t="s">
        <v>317</v>
      </c>
      <c r="G62" s="3" t="s">
        <v>318</v>
      </c>
      <c r="H62" s="3" t="s">
        <v>40</v>
      </c>
    </row>
    <row r="63" spans="1:8" x14ac:dyDescent="0.2">
      <c r="A63" s="3">
        <v>3080108036</v>
      </c>
      <c r="B63" s="4" t="s">
        <v>77</v>
      </c>
      <c r="C63" s="4" t="s">
        <v>1682</v>
      </c>
      <c r="D63" s="3">
        <v>1</v>
      </c>
      <c r="E63" s="3" t="s">
        <v>16</v>
      </c>
      <c r="F63" s="3" t="s">
        <v>295</v>
      </c>
      <c r="G63" s="3" t="s">
        <v>17</v>
      </c>
      <c r="H63" s="3" t="s">
        <v>40</v>
      </c>
    </row>
    <row r="64" spans="1:8" x14ac:dyDescent="0.2">
      <c r="A64" s="3">
        <v>3080111087</v>
      </c>
      <c r="B64" s="4" t="s">
        <v>79</v>
      </c>
      <c r="C64" s="4" t="s">
        <v>80</v>
      </c>
      <c r="D64" s="3">
        <v>16</v>
      </c>
      <c r="E64" s="3" t="s">
        <v>16</v>
      </c>
      <c r="F64" s="3" t="s">
        <v>291</v>
      </c>
      <c r="G64" s="3" t="s">
        <v>26</v>
      </c>
      <c r="H64" s="3" t="s">
        <v>40</v>
      </c>
    </row>
    <row r="65" spans="1:8" x14ac:dyDescent="0.2">
      <c r="A65" s="3">
        <v>3080111032</v>
      </c>
      <c r="B65" s="4" t="s">
        <v>79</v>
      </c>
      <c r="C65" s="4" t="s">
        <v>1618</v>
      </c>
      <c r="D65" s="3">
        <v>2</v>
      </c>
      <c r="E65" s="3" t="s">
        <v>16</v>
      </c>
      <c r="F65" s="3" t="s">
        <v>289</v>
      </c>
      <c r="G65" s="3" t="s">
        <v>23</v>
      </c>
      <c r="H65" s="3" t="s">
        <v>40</v>
      </c>
    </row>
    <row r="66" spans="1:8" x14ac:dyDescent="0.2">
      <c r="A66" s="3">
        <v>3080111047</v>
      </c>
      <c r="B66" s="4" t="s">
        <v>79</v>
      </c>
      <c r="C66" s="4" t="s">
        <v>1435</v>
      </c>
      <c r="D66" s="3">
        <v>4</v>
      </c>
      <c r="E66" s="3" t="s">
        <v>16</v>
      </c>
      <c r="F66" s="3" t="s">
        <v>291</v>
      </c>
      <c r="G66" s="3" t="s">
        <v>26</v>
      </c>
      <c r="H66" s="3" t="s">
        <v>40</v>
      </c>
    </row>
    <row r="67" spans="1:8" x14ac:dyDescent="0.2">
      <c r="A67" s="3">
        <v>3080111082</v>
      </c>
      <c r="B67" s="4" t="s">
        <v>79</v>
      </c>
      <c r="C67" s="4" t="s">
        <v>1684</v>
      </c>
      <c r="D67" s="3">
        <v>2</v>
      </c>
      <c r="E67" s="3" t="s">
        <v>16</v>
      </c>
      <c r="F67" s="3" t="s">
        <v>291</v>
      </c>
      <c r="G67" s="3" t="s">
        <v>26</v>
      </c>
      <c r="H67" s="3" t="s">
        <v>40</v>
      </c>
    </row>
    <row r="68" spans="1:8" x14ac:dyDescent="0.2">
      <c r="A68" s="3">
        <v>3080111075</v>
      </c>
      <c r="B68" s="4" t="s">
        <v>79</v>
      </c>
      <c r="C68" s="4" t="s">
        <v>1714</v>
      </c>
      <c r="D68" s="3">
        <v>1</v>
      </c>
      <c r="E68" s="3" t="s">
        <v>16</v>
      </c>
      <c r="F68" s="3" t="s">
        <v>291</v>
      </c>
      <c r="G68" s="3" t="s">
        <v>26</v>
      </c>
      <c r="H68" s="3" t="s">
        <v>40</v>
      </c>
    </row>
    <row r="69" spans="1:8" x14ac:dyDescent="0.2">
      <c r="A69" s="3">
        <v>3080111030</v>
      </c>
      <c r="B69" s="4" t="s">
        <v>79</v>
      </c>
      <c r="C69" s="4" t="s">
        <v>1715</v>
      </c>
      <c r="D69" s="3">
        <v>4</v>
      </c>
      <c r="E69" s="3" t="s">
        <v>16</v>
      </c>
      <c r="F69" s="3" t="s">
        <v>295</v>
      </c>
      <c r="G69" s="3" t="s">
        <v>17</v>
      </c>
      <c r="H69" s="3" t="s">
        <v>40</v>
      </c>
    </row>
    <row r="70" spans="1:8" x14ac:dyDescent="0.2">
      <c r="A70" s="3">
        <v>3080111019</v>
      </c>
      <c r="B70" s="4" t="s">
        <v>79</v>
      </c>
      <c r="C70" s="4" t="s">
        <v>1617</v>
      </c>
      <c r="D70" s="3">
        <v>2</v>
      </c>
      <c r="E70" s="3" t="s">
        <v>16</v>
      </c>
      <c r="F70" s="3" t="s">
        <v>289</v>
      </c>
      <c r="G70" s="3" t="s">
        <v>23</v>
      </c>
      <c r="H70" s="3" t="s">
        <v>40</v>
      </c>
    </row>
    <row r="71" spans="1:8" x14ac:dyDescent="0.2">
      <c r="A71" s="3">
        <v>3080111077</v>
      </c>
      <c r="B71" s="4" t="s">
        <v>79</v>
      </c>
      <c r="C71" s="4" t="s">
        <v>1616</v>
      </c>
      <c r="D71" s="3">
        <v>4</v>
      </c>
      <c r="E71" s="3" t="s">
        <v>16</v>
      </c>
      <c r="F71" s="3" t="s">
        <v>289</v>
      </c>
      <c r="G71" s="3" t="s">
        <v>23</v>
      </c>
      <c r="H71" s="3" t="s">
        <v>40</v>
      </c>
    </row>
    <row r="72" spans="1:8" x14ac:dyDescent="0.2">
      <c r="A72" s="3">
        <v>407030095</v>
      </c>
      <c r="B72" s="4" t="s">
        <v>81</v>
      </c>
      <c r="C72" s="4" t="s">
        <v>1716</v>
      </c>
      <c r="D72" s="3">
        <v>1</v>
      </c>
      <c r="E72" s="3" t="s">
        <v>16</v>
      </c>
      <c r="F72" s="3" t="s">
        <v>301</v>
      </c>
      <c r="G72" s="3" t="s">
        <v>32</v>
      </c>
      <c r="H72" s="3" t="s">
        <v>40</v>
      </c>
    </row>
    <row r="73" spans="1:8" x14ac:dyDescent="0.2">
      <c r="A73" s="3">
        <v>3080112014</v>
      </c>
      <c r="B73" s="4" t="s">
        <v>83</v>
      </c>
      <c r="C73" s="4" t="s">
        <v>1717</v>
      </c>
      <c r="D73" s="3">
        <v>4</v>
      </c>
      <c r="E73" s="3" t="s">
        <v>16</v>
      </c>
      <c r="F73" s="3" t="s">
        <v>291</v>
      </c>
      <c r="G73" s="3" t="s">
        <v>26</v>
      </c>
      <c r="H73" s="3" t="s">
        <v>40</v>
      </c>
    </row>
    <row r="74" spans="1:8" x14ac:dyDescent="0.2">
      <c r="A74" s="3">
        <v>3080112003</v>
      </c>
      <c r="B74" s="4" t="s">
        <v>83</v>
      </c>
      <c r="C74" s="4" t="s">
        <v>85</v>
      </c>
      <c r="D74" s="3">
        <v>1</v>
      </c>
      <c r="E74" s="3" t="s">
        <v>16</v>
      </c>
      <c r="F74" s="3" t="s">
        <v>295</v>
      </c>
      <c r="G74" s="3" t="s">
        <v>17</v>
      </c>
      <c r="H74" s="3" t="s">
        <v>40</v>
      </c>
    </row>
    <row r="75" spans="1:8" x14ac:dyDescent="0.2">
      <c r="A75" s="3">
        <v>3080307001</v>
      </c>
      <c r="B75" s="4" t="s">
        <v>86</v>
      </c>
      <c r="C75" s="4" t="s">
        <v>87</v>
      </c>
      <c r="D75" s="3">
        <v>1</v>
      </c>
      <c r="E75" s="3" t="s">
        <v>16</v>
      </c>
      <c r="F75" s="3" t="s">
        <v>295</v>
      </c>
      <c r="G75" s="3" t="s">
        <v>17</v>
      </c>
      <c r="H75" s="3" t="s">
        <v>88</v>
      </c>
    </row>
    <row r="76" spans="1:8" x14ac:dyDescent="0.2">
      <c r="A76" s="3">
        <v>3080506001</v>
      </c>
      <c r="B76" s="4" t="s">
        <v>89</v>
      </c>
      <c r="C76" s="4" t="s">
        <v>90</v>
      </c>
      <c r="D76" s="3">
        <v>1</v>
      </c>
      <c r="E76" s="3" t="s">
        <v>16</v>
      </c>
      <c r="F76" s="3" t="s">
        <v>295</v>
      </c>
      <c r="G76" s="3" t="s">
        <v>17</v>
      </c>
      <c r="H76" s="3" t="s">
        <v>88</v>
      </c>
    </row>
    <row r="77" spans="1:8" x14ac:dyDescent="0.2">
      <c r="A77" s="3">
        <v>3030204002</v>
      </c>
      <c r="B77" s="4" t="s">
        <v>91</v>
      </c>
      <c r="C77" s="4" t="s">
        <v>92</v>
      </c>
      <c r="D77" s="3">
        <v>1</v>
      </c>
      <c r="E77" s="3" t="s">
        <v>16</v>
      </c>
      <c r="F77" s="3" t="s">
        <v>295</v>
      </c>
      <c r="G77" s="3" t="s">
        <v>17</v>
      </c>
      <c r="H77" s="3" t="s">
        <v>88</v>
      </c>
    </row>
    <row r="78" spans="1:8" x14ac:dyDescent="0.2">
      <c r="A78" s="3">
        <v>3030205008</v>
      </c>
      <c r="B78" s="4" t="s">
        <v>93</v>
      </c>
      <c r="C78" s="4" t="s">
        <v>1718</v>
      </c>
      <c r="D78" s="3">
        <v>1</v>
      </c>
      <c r="E78" s="3" t="s">
        <v>16</v>
      </c>
      <c r="F78" s="3" t="s">
        <v>295</v>
      </c>
      <c r="G78" s="3" t="s">
        <v>17</v>
      </c>
      <c r="H78" s="3" t="s">
        <v>88</v>
      </c>
    </row>
    <row r="79" spans="1:8" x14ac:dyDescent="0.2">
      <c r="A79" s="3">
        <v>3030208001</v>
      </c>
      <c r="B79" s="4" t="s">
        <v>95</v>
      </c>
      <c r="C79" s="4" t="s">
        <v>96</v>
      </c>
      <c r="D79" s="3">
        <v>1</v>
      </c>
      <c r="E79" s="3" t="s">
        <v>16</v>
      </c>
      <c r="F79" s="3" t="s">
        <v>295</v>
      </c>
      <c r="G79" s="3" t="s">
        <v>17</v>
      </c>
      <c r="H79" s="3" t="s">
        <v>88</v>
      </c>
    </row>
    <row r="80" spans="1:8" x14ac:dyDescent="0.2">
      <c r="A80" s="3">
        <v>3030202005</v>
      </c>
      <c r="B80" s="4" t="s">
        <v>97</v>
      </c>
      <c r="C80" s="4" t="s">
        <v>94</v>
      </c>
      <c r="D80" s="3">
        <v>1</v>
      </c>
      <c r="E80" s="3" t="s">
        <v>16</v>
      </c>
      <c r="F80" s="3" t="s">
        <v>295</v>
      </c>
      <c r="G80" s="3" t="s">
        <v>17</v>
      </c>
      <c r="H80" s="3" t="s">
        <v>88</v>
      </c>
    </row>
    <row r="81" spans="1:8" x14ac:dyDescent="0.2">
      <c r="A81" s="3">
        <v>3080201009</v>
      </c>
      <c r="B81" s="4" t="s">
        <v>60</v>
      </c>
      <c r="C81" s="4" t="s">
        <v>98</v>
      </c>
      <c r="D81" s="3">
        <v>1</v>
      </c>
      <c r="E81" s="3" t="s">
        <v>16</v>
      </c>
      <c r="F81" s="3" t="s">
        <v>295</v>
      </c>
      <c r="G81" s="3" t="s">
        <v>17</v>
      </c>
      <c r="H81" s="3" t="s">
        <v>88</v>
      </c>
    </row>
    <row r="82" spans="1:8" x14ac:dyDescent="0.2">
      <c r="A82" s="3">
        <v>3099990106</v>
      </c>
      <c r="B82" s="4" t="s">
        <v>104</v>
      </c>
      <c r="C82" s="4" t="s">
        <v>90</v>
      </c>
      <c r="D82" s="3">
        <v>1</v>
      </c>
      <c r="E82" s="3" t="s">
        <v>16</v>
      </c>
      <c r="F82" s="3" t="s">
        <v>291</v>
      </c>
      <c r="G82" s="3" t="s">
        <v>26</v>
      </c>
      <c r="H82" s="3" t="s">
        <v>103</v>
      </c>
    </row>
    <row r="83" spans="1:8" x14ac:dyDescent="0.2">
      <c r="A83" s="3">
        <v>402030019</v>
      </c>
      <c r="B83" s="4" t="s">
        <v>107</v>
      </c>
      <c r="C83" s="4" t="s">
        <v>638</v>
      </c>
      <c r="D83" s="3">
        <v>2</v>
      </c>
      <c r="E83" s="3" t="s">
        <v>16</v>
      </c>
      <c r="F83" s="3" t="s">
        <v>293</v>
      </c>
      <c r="G83" s="3" t="s">
        <v>29</v>
      </c>
      <c r="H83" s="3" t="s">
        <v>109</v>
      </c>
    </row>
    <row r="84" spans="1:8" x14ac:dyDescent="0.2">
      <c r="A84" s="3">
        <v>402030027</v>
      </c>
      <c r="B84" s="4" t="s">
        <v>107</v>
      </c>
      <c r="C84" s="4" t="s">
        <v>110</v>
      </c>
      <c r="D84" s="3">
        <v>1</v>
      </c>
      <c r="E84" s="3" t="s">
        <v>16</v>
      </c>
      <c r="F84" s="3" t="s">
        <v>291</v>
      </c>
      <c r="G84" s="3" t="s">
        <v>26</v>
      </c>
      <c r="H84" s="3" t="s">
        <v>109</v>
      </c>
    </row>
    <row r="85" spans="1:8" x14ac:dyDescent="0.2">
      <c r="A85" s="3">
        <v>3030204032</v>
      </c>
      <c r="B85" s="4" t="s">
        <v>116</v>
      </c>
      <c r="C85" s="4" t="s">
        <v>117</v>
      </c>
      <c r="D85" s="3">
        <v>1</v>
      </c>
      <c r="E85" s="3" t="s">
        <v>16</v>
      </c>
      <c r="F85" s="3" t="s">
        <v>295</v>
      </c>
      <c r="G85" s="3" t="s">
        <v>17</v>
      </c>
      <c r="H85" s="3" t="s">
        <v>115</v>
      </c>
    </row>
    <row r="86" spans="1:8" x14ac:dyDescent="0.2">
      <c r="A86" s="3">
        <v>3040113002</v>
      </c>
      <c r="B86" s="4" t="s">
        <v>118</v>
      </c>
      <c r="C86" s="4" t="s">
        <v>119</v>
      </c>
      <c r="D86" s="3">
        <v>2</v>
      </c>
      <c r="E86" s="3" t="s">
        <v>16</v>
      </c>
      <c r="F86" s="3" t="s">
        <v>293</v>
      </c>
      <c r="G86" s="3" t="s">
        <v>29</v>
      </c>
      <c r="H86" s="3" t="s">
        <v>115</v>
      </c>
    </row>
    <row r="87" spans="1:8" x14ac:dyDescent="0.2">
      <c r="A87" s="3">
        <v>3040216001</v>
      </c>
      <c r="B87" s="4" t="s">
        <v>328</v>
      </c>
      <c r="C87" s="4" t="s">
        <v>329</v>
      </c>
      <c r="D87" s="3">
        <v>4</v>
      </c>
      <c r="E87" s="3" t="s">
        <v>16</v>
      </c>
      <c r="F87" s="3" t="s">
        <v>293</v>
      </c>
      <c r="G87" s="3" t="s">
        <v>29</v>
      </c>
      <c r="H87" s="3" t="s">
        <v>115</v>
      </c>
    </row>
    <row r="88" spans="1:8" x14ac:dyDescent="0.2">
      <c r="A88" s="3">
        <v>3030204033</v>
      </c>
      <c r="B88" s="4" t="s">
        <v>120</v>
      </c>
      <c r="C88" s="4" t="s">
        <v>1686</v>
      </c>
      <c r="D88" s="3">
        <v>2</v>
      </c>
      <c r="E88" s="3" t="s">
        <v>16</v>
      </c>
      <c r="F88" s="3" t="s">
        <v>291</v>
      </c>
      <c r="G88" s="3" t="s">
        <v>26</v>
      </c>
      <c r="H88" s="3" t="s">
        <v>115</v>
      </c>
    </row>
    <row r="89" spans="1:8" x14ac:dyDescent="0.2">
      <c r="A89" s="3">
        <v>3030204008</v>
      </c>
      <c r="B89" s="4" t="s">
        <v>122</v>
      </c>
      <c r="C89" s="4" t="s">
        <v>123</v>
      </c>
      <c r="D89" s="3">
        <v>1</v>
      </c>
      <c r="E89" s="3" t="s">
        <v>16</v>
      </c>
      <c r="F89" s="3" t="s">
        <v>291</v>
      </c>
      <c r="G89" s="3" t="s">
        <v>26</v>
      </c>
      <c r="H89" s="3" t="s">
        <v>115</v>
      </c>
    </row>
    <row r="90" spans="1:8" x14ac:dyDescent="0.2">
      <c r="A90" s="3">
        <v>3030204010</v>
      </c>
      <c r="B90" s="4" t="s">
        <v>124</v>
      </c>
      <c r="C90" s="4" t="s">
        <v>125</v>
      </c>
      <c r="D90" s="3">
        <v>1</v>
      </c>
      <c r="E90" s="3" t="s">
        <v>16</v>
      </c>
      <c r="F90" s="3" t="s">
        <v>295</v>
      </c>
      <c r="G90" s="3" t="s">
        <v>17</v>
      </c>
      <c r="H90" s="3" t="s">
        <v>115</v>
      </c>
    </row>
    <row r="91" spans="1:8" x14ac:dyDescent="0.2">
      <c r="A91" s="3">
        <v>3030204012</v>
      </c>
      <c r="B91" s="4" t="s">
        <v>126</v>
      </c>
      <c r="C91" s="4" t="s">
        <v>127</v>
      </c>
      <c r="D91" s="3">
        <v>1</v>
      </c>
      <c r="E91" s="3" t="s">
        <v>16</v>
      </c>
      <c r="F91" s="3" t="s">
        <v>295</v>
      </c>
      <c r="G91" s="3" t="s">
        <v>17</v>
      </c>
      <c r="H91" s="3" t="s">
        <v>115</v>
      </c>
    </row>
    <row r="92" spans="1:8" x14ac:dyDescent="0.2">
      <c r="A92" s="3">
        <v>3070104001</v>
      </c>
      <c r="B92" s="4" t="s">
        <v>331</v>
      </c>
      <c r="C92" s="4" t="s">
        <v>332</v>
      </c>
      <c r="D92" s="3">
        <v>1</v>
      </c>
      <c r="E92" s="3" t="s">
        <v>16</v>
      </c>
      <c r="F92" s="3" t="s">
        <v>317</v>
      </c>
      <c r="G92" s="3" t="s">
        <v>318</v>
      </c>
      <c r="H92" s="3" t="s">
        <v>115</v>
      </c>
    </row>
    <row r="93" spans="1:8" x14ac:dyDescent="0.2">
      <c r="A93" s="3">
        <v>3040502080</v>
      </c>
      <c r="B93" s="4" t="s">
        <v>136</v>
      </c>
      <c r="C93" s="4" t="s">
        <v>1688</v>
      </c>
      <c r="D93" s="3">
        <v>2</v>
      </c>
      <c r="E93" s="3" t="s">
        <v>16</v>
      </c>
      <c r="F93" s="3" t="s">
        <v>293</v>
      </c>
      <c r="G93" s="3" t="s">
        <v>29</v>
      </c>
      <c r="H93" s="3" t="s">
        <v>138</v>
      </c>
    </row>
    <row r="94" spans="1:8" x14ac:dyDescent="0.2">
      <c r="A94" s="3">
        <v>407010217</v>
      </c>
      <c r="B94" s="4" t="s">
        <v>149</v>
      </c>
      <c r="C94" s="4" t="s">
        <v>1719</v>
      </c>
      <c r="D94" s="3">
        <v>1</v>
      </c>
      <c r="E94" s="3" t="s">
        <v>16</v>
      </c>
      <c r="F94" s="3" t="s">
        <v>289</v>
      </c>
      <c r="G94" s="3" t="s">
        <v>23</v>
      </c>
      <c r="H94" s="3" t="s">
        <v>151</v>
      </c>
    </row>
    <row r="95" spans="1:8" x14ac:dyDescent="0.2">
      <c r="A95" s="3">
        <v>3080503014</v>
      </c>
      <c r="B95" s="4" t="s">
        <v>14</v>
      </c>
      <c r="C95" s="4" t="s">
        <v>1720</v>
      </c>
      <c r="D95" s="3">
        <v>4</v>
      </c>
      <c r="E95" s="3" t="s">
        <v>16</v>
      </c>
      <c r="F95" s="3" t="s">
        <v>295</v>
      </c>
      <c r="G95" s="3" t="s">
        <v>17</v>
      </c>
      <c r="H95" s="3" t="s">
        <v>154</v>
      </c>
    </row>
    <row r="96" spans="1:8" x14ac:dyDescent="0.2">
      <c r="A96" s="3">
        <v>3030203004</v>
      </c>
      <c r="B96" s="4" t="s">
        <v>155</v>
      </c>
      <c r="C96" s="4" t="s">
        <v>156</v>
      </c>
      <c r="D96" s="3">
        <v>1</v>
      </c>
      <c r="E96" s="3" t="s">
        <v>16</v>
      </c>
      <c r="F96" s="3" t="s">
        <v>295</v>
      </c>
      <c r="G96" s="3" t="s">
        <v>17</v>
      </c>
      <c r="H96" s="3" t="s">
        <v>154</v>
      </c>
    </row>
    <row r="97" spans="1:8" x14ac:dyDescent="0.2">
      <c r="A97" s="3">
        <v>3040211002</v>
      </c>
      <c r="B97" s="4" t="s">
        <v>157</v>
      </c>
      <c r="C97" s="4" t="s">
        <v>158</v>
      </c>
      <c r="D97" s="3">
        <v>2</v>
      </c>
      <c r="E97" s="3" t="s">
        <v>16</v>
      </c>
      <c r="F97" s="3" t="s">
        <v>293</v>
      </c>
      <c r="G97" s="3" t="s">
        <v>29</v>
      </c>
      <c r="H97" s="3" t="s">
        <v>154</v>
      </c>
    </row>
    <row r="98" spans="1:8" x14ac:dyDescent="0.2">
      <c r="A98" s="3">
        <v>3060206004</v>
      </c>
      <c r="B98" s="4" t="s">
        <v>1624</v>
      </c>
      <c r="C98" s="4" t="s">
        <v>1625</v>
      </c>
      <c r="D98" s="3">
        <v>1</v>
      </c>
      <c r="E98" s="3" t="s">
        <v>16</v>
      </c>
      <c r="F98" s="3" t="s">
        <v>289</v>
      </c>
      <c r="G98" s="3" t="s">
        <v>23</v>
      </c>
      <c r="H98" s="3" t="s">
        <v>154</v>
      </c>
    </row>
    <row r="99" spans="1:8" x14ac:dyDescent="0.2">
      <c r="A99" s="3">
        <v>3030310016</v>
      </c>
      <c r="B99" s="4" t="s">
        <v>161</v>
      </c>
      <c r="C99" s="4" t="s">
        <v>1721</v>
      </c>
      <c r="D99" s="3">
        <v>1</v>
      </c>
      <c r="E99" s="3" t="s">
        <v>16</v>
      </c>
      <c r="F99" s="3" t="s">
        <v>295</v>
      </c>
      <c r="G99" s="3" t="s">
        <v>17</v>
      </c>
      <c r="H99" s="3" t="s">
        <v>154</v>
      </c>
    </row>
    <row r="100" spans="1:8" x14ac:dyDescent="0.2">
      <c r="A100" s="3">
        <v>3050206016</v>
      </c>
      <c r="B100" s="4" t="s">
        <v>1692</v>
      </c>
      <c r="C100" s="4" t="s">
        <v>1693</v>
      </c>
      <c r="D100" s="3">
        <v>2</v>
      </c>
      <c r="E100" s="3" t="s">
        <v>16</v>
      </c>
      <c r="F100" s="3" t="s">
        <v>291</v>
      </c>
      <c r="G100" s="3" t="s">
        <v>26</v>
      </c>
      <c r="H100" s="3" t="s">
        <v>154</v>
      </c>
    </row>
    <row r="101" spans="1:8" x14ac:dyDescent="0.2">
      <c r="A101" s="3">
        <v>3030303058</v>
      </c>
      <c r="B101" s="4" t="s">
        <v>1722</v>
      </c>
      <c r="C101" s="4" t="s">
        <v>1631</v>
      </c>
      <c r="D101" s="3">
        <v>2</v>
      </c>
      <c r="E101" s="3" t="s">
        <v>16</v>
      </c>
      <c r="F101" s="3" t="s">
        <v>295</v>
      </c>
      <c r="G101" s="3" t="s">
        <v>17</v>
      </c>
      <c r="H101" s="3" t="s">
        <v>165</v>
      </c>
    </row>
    <row r="102" spans="1:8" x14ac:dyDescent="0.2">
      <c r="A102" s="3">
        <v>3050305044</v>
      </c>
      <c r="B102" s="4" t="s">
        <v>1628</v>
      </c>
      <c r="C102" s="4" t="s">
        <v>1629</v>
      </c>
      <c r="D102" s="3">
        <v>2</v>
      </c>
      <c r="E102" s="3" t="s">
        <v>16</v>
      </c>
      <c r="F102" s="3" t="s">
        <v>291</v>
      </c>
      <c r="G102" s="3" t="s">
        <v>26</v>
      </c>
      <c r="H102" s="3" t="s">
        <v>165</v>
      </c>
    </row>
    <row r="103" spans="1:8" x14ac:dyDescent="0.2">
      <c r="A103" s="3">
        <v>3030309013</v>
      </c>
      <c r="B103" s="4" t="s">
        <v>1723</v>
      </c>
      <c r="C103" s="4" t="s">
        <v>1724</v>
      </c>
      <c r="D103" s="3">
        <v>1</v>
      </c>
      <c r="E103" s="3" t="s">
        <v>16</v>
      </c>
      <c r="F103" s="3" t="s">
        <v>295</v>
      </c>
      <c r="G103" s="3" t="s">
        <v>17</v>
      </c>
      <c r="H103" s="3" t="s">
        <v>165</v>
      </c>
    </row>
    <row r="104" spans="1:8" x14ac:dyDescent="0.2">
      <c r="A104" s="3">
        <v>3030307022</v>
      </c>
      <c r="B104" s="4" t="s">
        <v>1725</v>
      </c>
      <c r="C104" s="4" t="s">
        <v>1629</v>
      </c>
      <c r="D104" s="3">
        <v>1</v>
      </c>
      <c r="E104" s="3" t="s">
        <v>16</v>
      </c>
      <c r="F104" s="3" t="s">
        <v>295</v>
      </c>
      <c r="G104" s="3" t="s">
        <v>17</v>
      </c>
      <c r="H104" s="3" t="s">
        <v>165</v>
      </c>
    </row>
    <row r="105" spans="1:8" x14ac:dyDescent="0.2">
      <c r="A105" s="3">
        <v>3030308016</v>
      </c>
      <c r="B105" s="4" t="s">
        <v>1726</v>
      </c>
      <c r="C105" s="4" t="s">
        <v>1629</v>
      </c>
      <c r="D105" s="3">
        <v>1</v>
      </c>
      <c r="E105" s="3" t="s">
        <v>16</v>
      </c>
      <c r="F105" s="3" t="s">
        <v>295</v>
      </c>
      <c r="G105" s="3" t="s">
        <v>17</v>
      </c>
      <c r="H105" s="3" t="s">
        <v>165</v>
      </c>
    </row>
    <row r="106" spans="1:8" x14ac:dyDescent="0.2">
      <c r="A106" s="3">
        <v>3070214002</v>
      </c>
      <c r="B106" s="4" t="s">
        <v>1630</v>
      </c>
      <c r="C106" s="4" t="s">
        <v>1631</v>
      </c>
      <c r="D106" s="3">
        <v>1</v>
      </c>
      <c r="E106" s="3" t="s">
        <v>16</v>
      </c>
      <c r="F106" s="3" t="s">
        <v>317</v>
      </c>
      <c r="G106" s="3" t="s">
        <v>318</v>
      </c>
      <c r="H106" s="3" t="s">
        <v>165</v>
      </c>
    </row>
    <row r="107" spans="1:8" x14ac:dyDescent="0.2">
      <c r="A107" s="3">
        <v>3070214011</v>
      </c>
      <c r="B107" s="4" t="s">
        <v>1632</v>
      </c>
      <c r="C107" s="4" t="s">
        <v>1633</v>
      </c>
      <c r="D107" s="3">
        <v>1</v>
      </c>
      <c r="E107" s="3" t="s">
        <v>16</v>
      </c>
      <c r="F107" s="3" t="s">
        <v>317</v>
      </c>
      <c r="G107" s="3" t="s">
        <v>318</v>
      </c>
      <c r="H107" s="3" t="s">
        <v>165</v>
      </c>
    </row>
    <row r="108" spans="1:8" x14ac:dyDescent="0.2">
      <c r="A108" s="3">
        <v>3070214012</v>
      </c>
      <c r="B108" s="4" t="s">
        <v>1634</v>
      </c>
      <c r="C108" s="4" t="s">
        <v>1633</v>
      </c>
      <c r="D108" s="3">
        <v>1</v>
      </c>
      <c r="E108" s="3" t="s">
        <v>16</v>
      </c>
      <c r="F108" s="3" t="s">
        <v>317</v>
      </c>
      <c r="G108" s="3" t="s">
        <v>318</v>
      </c>
      <c r="H108" s="3" t="s">
        <v>165</v>
      </c>
    </row>
    <row r="109" spans="1:8" x14ac:dyDescent="0.2">
      <c r="A109" s="3">
        <v>3991601002</v>
      </c>
      <c r="B109" s="4" t="s">
        <v>585</v>
      </c>
      <c r="C109" s="4" t="s">
        <v>1635</v>
      </c>
      <c r="D109" s="3">
        <v>3</v>
      </c>
      <c r="E109" s="3" t="s">
        <v>16</v>
      </c>
      <c r="F109" s="3" t="s">
        <v>289</v>
      </c>
      <c r="G109" s="3" t="s">
        <v>23</v>
      </c>
      <c r="H109" s="3" t="s">
        <v>165</v>
      </c>
    </row>
    <row r="110" spans="1:8" x14ac:dyDescent="0.2">
      <c r="A110" s="3">
        <v>3030309014</v>
      </c>
      <c r="B110" s="4" t="s">
        <v>1727</v>
      </c>
      <c r="C110" s="4" t="s">
        <v>1724</v>
      </c>
      <c r="D110" s="3">
        <v>1</v>
      </c>
      <c r="E110" s="3" t="s">
        <v>16</v>
      </c>
      <c r="F110" s="3" t="s">
        <v>295</v>
      </c>
      <c r="G110" s="3" t="s">
        <v>17</v>
      </c>
      <c r="H110" s="3" t="s">
        <v>165</v>
      </c>
    </row>
    <row r="111" spans="1:8" x14ac:dyDescent="0.2">
      <c r="A111" s="3">
        <v>3030307023</v>
      </c>
      <c r="B111" s="4" t="s">
        <v>1728</v>
      </c>
      <c r="C111" s="4" t="s">
        <v>1629</v>
      </c>
      <c r="D111" s="3">
        <v>1</v>
      </c>
      <c r="E111" s="3" t="s">
        <v>16</v>
      </c>
      <c r="F111" s="3" t="s">
        <v>295</v>
      </c>
      <c r="G111" s="3" t="s">
        <v>17</v>
      </c>
      <c r="H111" s="3" t="s">
        <v>165</v>
      </c>
    </row>
    <row r="112" spans="1:8" x14ac:dyDescent="0.2">
      <c r="A112" s="3">
        <v>3030308017</v>
      </c>
      <c r="B112" s="4" t="s">
        <v>1729</v>
      </c>
      <c r="C112" s="4" t="s">
        <v>1629</v>
      </c>
      <c r="D112" s="3">
        <v>1</v>
      </c>
      <c r="E112" s="3" t="s">
        <v>16</v>
      </c>
      <c r="F112" s="3" t="s">
        <v>295</v>
      </c>
      <c r="G112" s="3" t="s">
        <v>17</v>
      </c>
      <c r="H112" s="3" t="s">
        <v>165</v>
      </c>
    </row>
    <row r="113" spans="1:8" x14ac:dyDescent="0.2">
      <c r="A113" s="3">
        <v>3030309015</v>
      </c>
      <c r="B113" s="4" t="s">
        <v>1730</v>
      </c>
      <c r="C113" s="4" t="s">
        <v>1629</v>
      </c>
      <c r="D113" s="3">
        <v>1</v>
      </c>
      <c r="E113" s="3" t="s">
        <v>16</v>
      </c>
      <c r="F113" s="3" t="s">
        <v>291</v>
      </c>
      <c r="G113" s="3" t="s">
        <v>26</v>
      </c>
      <c r="H113" s="3" t="s">
        <v>165</v>
      </c>
    </row>
    <row r="114" spans="1:8" x14ac:dyDescent="0.2">
      <c r="A114" s="3">
        <v>3030307024</v>
      </c>
      <c r="B114" s="4" t="s">
        <v>1731</v>
      </c>
      <c r="C114" s="4" t="s">
        <v>1629</v>
      </c>
      <c r="D114" s="3">
        <v>1</v>
      </c>
      <c r="E114" s="3" t="s">
        <v>16</v>
      </c>
      <c r="F114" s="3" t="s">
        <v>291</v>
      </c>
      <c r="G114" s="3" t="s">
        <v>26</v>
      </c>
      <c r="H114" s="3" t="s">
        <v>165</v>
      </c>
    </row>
    <row r="115" spans="1:8" x14ac:dyDescent="0.2">
      <c r="A115" s="3">
        <v>3030308018</v>
      </c>
      <c r="B115" s="4" t="s">
        <v>1732</v>
      </c>
      <c r="C115" s="4" t="s">
        <v>1629</v>
      </c>
      <c r="D115" s="3">
        <v>1</v>
      </c>
      <c r="E115" s="3" t="s">
        <v>16</v>
      </c>
      <c r="F115" s="3" t="s">
        <v>291</v>
      </c>
      <c r="G115" s="3" t="s">
        <v>26</v>
      </c>
      <c r="H115" s="3" t="s">
        <v>165</v>
      </c>
    </row>
    <row r="116" spans="1:8" x14ac:dyDescent="0.2">
      <c r="A116" s="3">
        <v>3030303056</v>
      </c>
      <c r="B116" s="4" t="s">
        <v>1733</v>
      </c>
      <c r="C116" s="4" t="s">
        <v>90</v>
      </c>
      <c r="D116" s="3">
        <v>1</v>
      </c>
      <c r="E116" s="3" t="s">
        <v>16</v>
      </c>
      <c r="F116" s="3" t="s">
        <v>295</v>
      </c>
      <c r="G116" s="3" t="s">
        <v>17</v>
      </c>
      <c r="H116" s="3" t="s">
        <v>173</v>
      </c>
    </row>
    <row r="117" spans="1:8" x14ac:dyDescent="0.2">
      <c r="A117" s="3">
        <v>3030303052</v>
      </c>
      <c r="B117" s="4" t="s">
        <v>175</v>
      </c>
      <c r="C117" s="4" t="s">
        <v>1631</v>
      </c>
      <c r="D117" s="3">
        <v>1</v>
      </c>
      <c r="E117" s="3" t="s">
        <v>16</v>
      </c>
      <c r="F117" s="3" t="s">
        <v>295</v>
      </c>
      <c r="G117" s="3" t="s">
        <v>17</v>
      </c>
      <c r="H117" s="3" t="s">
        <v>173</v>
      </c>
    </row>
    <row r="118" spans="1:8" x14ac:dyDescent="0.2">
      <c r="A118" s="3">
        <v>3030303053</v>
      </c>
      <c r="B118" s="4" t="s">
        <v>177</v>
      </c>
      <c r="C118" s="4" t="s">
        <v>1631</v>
      </c>
      <c r="D118" s="3">
        <v>1</v>
      </c>
      <c r="E118" s="3" t="s">
        <v>16</v>
      </c>
      <c r="F118" s="3" t="s">
        <v>295</v>
      </c>
      <c r="G118" s="3" t="s">
        <v>17</v>
      </c>
      <c r="H118" s="3" t="s">
        <v>173</v>
      </c>
    </row>
    <row r="119" spans="1:8" x14ac:dyDescent="0.2">
      <c r="A119" s="3">
        <v>3040309001</v>
      </c>
      <c r="B119" s="4" t="s">
        <v>346</v>
      </c>
      <c r="C119" s="4" t="s">
        <v>347</v>
      </c>
      <c r="D119" s="3">
        <v>8</v>
      </c>
      <c r="E119" s="3" t="s">
        <v>16</v>
      </c>
      <c r="F119" s="3" t="s">
        <v>293</v>
      </c>
      <c r="G119" s="3" t="s">
        <v>29</v>
      </c>
      <c r="H119" s="3" t="s">
        <v>173</v>
      </c>
    </row>
    <row r="120" spans="1:8" x14ac:dyDescent="0.2">
      <c r="A120" s="3">
        <v>3030310007</v>
      </c>
      <c r="B120" s="4" t="s">
        <v>178</v>
      </c>
      <c r="C120" s="4" t="s">
        <v>179</v>
      </c>
      <c r="D120" s="3">
        <v>1</v>
      </c>
      <c r="E120" s="3" t="s">
        <v>16</v>
      </c>
      <c r="F120" s="3" t="s">
        <v>295</v>
      </c>
      <c r="G120" s="3" t="s">
        <v>17</v>
      </c>
      <c r="H120" s="3" t="s">
        <v>173</v>
      </c>
    </row>
    <row r="121" spans="1:8" x14ac:dyDescent="0.2">
      <c r="A121" s="3">
        <v>3030310009</v>
      </c>
      <c r="B121" s="4" t="s">
        <v>180</v>
      </c>
      <c r="C121" s="4" t="s">
        <v>179</v>
      </c>
      <c r="D121" s="3">
        <v>1</v>
      </c>
      <c r="E121" s="3" t="s">
        <v>16</v>
      </c>
      <c r="F121" s="3" t="s">
        <v>295</v>
      </c>
      <c r="G121" s="3" t="s">
        <v>17</v>
      </c>
      <c r="H121" s="3" t="s">
        <v>173</v>
      </c>
    </row>
    <row r="122" spans="1:8" x14ac:dyDescent="0.2">
      <c r="A122" s="3">
        <v>3050304022</v>
      </c>
      <c r="B122" s="4" t="s">
        <v>181</v>
      </c>
      <c r="C122" s="4" t="s">
        <v>1631</v>
      </c>
      <c r="D122" s="3">
        <v>1</v>
      </c>
      <c r="E122" s="3" t="s">
        <v>16</v>
      </c>
      <c r="F122" s="3" t="s">
        <v>291</v>
      </c>
      <c r="G122" s="3" t="s">
        <v>26</v>
      </c>
      <c r="H122" s="3" t="s">
        <v>173</v>
      </c>
    </row>
    <row r="123" spans="1:8" x14ac:dyDescent="0.2">
      <c r="A123" s="3">
        <v>3020501004</v>
      </c>
      <c r="B123" s="4" t="s">
        <v>183</v>
      </c>
      <c r="C123" s="4" t="s">
        <v>761</v>
      </c>
      <c r="D123" s="3">
        <v>1</v>
      </c>
      <c r="E123" s="3" t="s">
        <v>16</v>
      </c>
      <c r="F123" s="3" t="s">
        <v>291</v>
      </c>
      <c r="G123" s="3" t="s">
        <v>26</v>
      </c>
      <c r="H123" s="3" t="s">
        <v>185</v>
      </c>
    </row>
    <row r="124" spans="1:8" x14ac:dyDescent="0.2">
      <c r="A124" s="3">
        <v>3110207005</v>
      </c>
      <c r="B124" s="4" t="s">
        <v>140</v>
      </c>
      <c r="C124" s="4" t="s">
        <v>1642</v>
      </c>
      <c r="D124" s="3">
        <v>1</v>
      </c>
      <c r="E124" s="3" t="s">
        <v>16</v>
      </c>
      <c r="F124" s="3" t="s">
        <v>285</v>
      </c>
      <c r="G124" s="3" t="s">
        <v>142</v>
      </c>
      <c r="H124" s="3" t="s">
        <v>187</v>
      </c>
    </row>
    <row r="125" spans="1:8" x14ac:dyDescent="0.2">
      <c r="A125" s="3">
        <v>3110201007</v>
      </c>
      <c r="B125" s="4" t="s">
        <v>186</v>
      </c>
      <c r="C125" s="4" t="s">
        <v>90</v>
      </c>
      <c r="D125" s="3">
        <v>1</v>
      </c>
      <c r="E125" s="3" t="s">
        <v>16</v>
      </c>
      <c r="F125" s="3" t="s">
        <v>295</v>
      </c>
      <c r="G125" s="3" t="s">
        <v>17</v>
      </c>
      <c r="H125" s="3" t="s">
        <v>187</v>
      </c>
    </row>
    <row r="126" spans="1:8" x14ac:dyDescent="0.2">
      <c r="A126" s="3">
        <v>3110202002</v>
      </c>
      <c r="B126" s="4" t="s">
        <v>188</v>
      </c>
      <c r="C126" s="4" t="s">
        <v>1734</v>
      </c>
      <c r="D126" s="3">
        <v>1</v>
      </c>
      <c r="E126" s="3" t="s">
        <v>16</v>
      </c>
      <c r="F126" s="3" t="s">
        <v>295</v>
      </c>
      <c r="G126" s="3" t="s">
        <v>17</v>
      </c>
      <c r="H126" s="3" t="s">
        <v>187</v>
      </c>
    </row>
    <row r="127" spans="1:8" x14ac:dyDescent="0.2">
      <c r="A127" s="3">
        <v>3110204004</v>
      </c>
      <c r="B127" s="4" t="s">
        <v>333</v>
      </c>
      <c r="C127" s="4" t="s">
        <v>1643</v>
      </c>
      <c r="D127" s="3">
        <v>1</v>
      </c>
      <c r="E127" s="3" t="s">
        <v>16</v>
      </c>
      <c r="F127" s="3" t="s">
        <v>335</v>
      </c>
      <c r="G127" s="3" t="s">
        <v>336</v>
      </c>
      <c r="H127" s="3" t="s">
        <v>187</v>
      </c>
    </row>
    <row r="128" spans="1:8" x14ac:dyDescent="0.2">
      <c r="A128" s="3">
        <v>3110205007</v>
      </c>
      <c r="B128" s="4" t="s">
        <v>146</v>
      </c>
      <c r="C128" s="4" t="s">
        <v>1644</v>
      </c>
      <c r="D128" s="3">
        <v>1</v>
      </c>
      <c r="E128" s="3" t="s">
        <v>16</v>
      </c>
      <c r="F128" s="3" t="s">
        <v>287</v>
      </c>
      <c r="G128" s="3" t="s">
        <v>148</v>
      </c>
      <c r="H128" s="3" t="s">
        <v>187</v>
      </c>
    </row>
    <row r="129" spans="1:8" x14ac:dyDescent="0.2">
      <c r="A129" s="3">
        <v>3110203004</v>
      </c>
      <c r="B129" s="4" t="s">
        <v>189</v>
      </c>
      <c r="C129" s="4" t="s">
        <v>90</v>
      </c>
      <c r="D129" s="3">
        <v>1</v>
      </c>
      <c r="E129" s="3" t="s">
        <v>16</v>
      </c>
      <c r="F129" s="3" t="s">
        <v>291</v>
      </c>
      <c r="G129" s="3" t="s">
        <v>26</v>
      </c>
      <c r="H129" s="3" t="s">
        <v>187</v>
      </c>
    </row>
    <row r="130" spans="1:8" x14ac:dyDescent="0.2">
      <c r="A130" s="3">
        <v>3020301004</v>
      </c>
      <c r="B130" s="4" t="s">
        <v>209</v>
      </c>
      <c r="C130" s="4" t="s">
        <v>1090</v>
      </c>
      <c r="D130" s="3">
        <v>1</v>
      </c>
      <c r="E130" s="3" t="s">
        <v>16</v>
      </c>
      <c r="F130" s="3" t="s">
        <v>301</v>
      </c>
      <c r="G130" s="3" t="s">
        <v>32</v>
      </c>
      <c r="H130" s="3" t="s">
        <v>192</v>
      </c>
    </row>
    <row r="131" spans="1:8" x14ac:dyDescent="0.2">
      <c r="A131" s="3">
        <v>401070018</v>
      </c>
      <c r="B131" s="4" t="s">
        <v>35</v>
      </c>
      <c r="C131" s="4" t="s">
        <v>202</v>
      </c>
      <c r="D131" s="3">
        <v>1</v>
      </c>
      <c r="E131" s="3" t="s">
        <v>16</v>
      </c>
      <c r="F131" s="3" t="s">
        <v>291</v>
      </c>
      <c r="G131" s="3" t="s">
        <v>26</v>
      </c>
      <c r="H131" s="3" t="s">
        <v>198</v>
      </c>
    </row>
    <row r="132" spans="1:8" x14ac:dyDescent="0.2">
      <c r="A132" s="3">
        <v>401070022</v>
      </c>
      <c r="B132" s="4" t="s">
        <v>35</v>
      </c>
      <c r="C132" s="4" t="s">
        <v>203</v>
      </c>
      <c r="D132" s="3">
        <v>1</v>
      </c>
      <c r="E132" s="3" t="s">
        <v>16</v>
      </c>
      <c r="F132" s="3" t="s">
        <v>297</v>
      </c>
      <c r="G132" s="3" t="s">
        <v>204</v>
      </c>
      <c r="H132" s="3" t="s">
        <v>198</v>
      </c>
    </row>
    <row r="133" spans="1:8" x14ac:dyDescent="0.2">
      <c r="A133" s="3">
        <v>3992002002</v>
      </c>
      <c r="B133" s="4" t="s">
        <v>1735</v>
      </c>
      <c r="C133" s="4" t="s">
        <v>357</v>
      </c>
      <c r="D133" s="3">
        <v>2</v>
      </c>
      <c r="E133" s="3" t="s">
        <v>16</v>
      </c>
      <c r="F133" s="3" t="s">
        <v>295</v>
      </c>
      <c r="G133" s="3" t="s">
        <v>17</v>
      </c>
      <c r="H133" s="3" t="s">
        <v>214</v>
      </c>
    </row>
    <row r="134" spans="1:8" x14ac:dyDescent="0.2">
      <c r="A134" s="3">
        <v>3992001001</v>
      </c>
      <c r="B134" s="4" t="s">
        <v>215</v>
      </c>
      <c r="C134" s="4" t="s">
        <v>213</v>
      </c>
      <c r="D134" s="3">
        <v>2</v>
      </c>
      <c r="E134" s="3" t="s">
        <v>16</v>
      </c>
      <c r="F134" s="3" t="s">
        <v>295</v>
      </c>
      <c r="G134" s="3" t="s">
        <v>17</v>
      </c>
      <c r="H134" s="3" t="s">
        <v>214</v>
      </c>
    </row>
    <row r="135" spans="1:8" x14ac:dyDescent="0.2">
      <c r="A135" s="3">
        <v>3030201004</v>
      </c>
      <c r="B135" s="4" t="s">
        <v>216</v>
      </c>
      <c r="C135" s="4" t="s">
        <v>213</v>
      </c>
      <c r="D135" s="3">
        <v>2</v>
      </c>
      <c r="E135" s="3" t="s">
        <v>16</v>
      </c>
      <c r="F135" s="3" t="s">
        <v>295</v>
      </c>
      <c r="G135" s="3" t="s">
        <v>17</v>
      </c>
      <c r="H135" s="3" t="s">
        <v>214</v>
      </c>
    </row>
    <row r="136" spans="1:8" x14ac:dyDescent="0.2">
      <c r="A136" s="3">
        <v>3049904001</v>
      </c>
      <c r="B136" s="4" t="s">
        <v>354</v>
      </c>
      <c r="C136" s="4" t="s">
        <v>355</v>
      </c>
      <c r="D136" s="3">
        <v>4</v>
      </c>
      <c r="E136" s="3" t="s">
        <v>16</v>
      </c>
      <c r="F136" s="3" t="s">
        <v>293</v>
      </c>
      <c r="G136" s="3" t="s">
        <v>29</v>
      </c>
      <c r="H136" s="3" t="s">
        <v>214</v>
      </c>
    </row>
    <row r="137" spans="1:8" x14ac:dyDescent="0.2">
      <c r="A137" s="3">
        <v>3049905002</v>
      </c>
      <c r="B137" s="4" t="s">
        <v>1736</v>
      </c>
      <c r="C137" s="4" t="s">
        <v>357</v>
      </c>
      <c r="D137" s="3">
        <v>2</v>
      </c>
      <c r="E137" s="3" t="s">
        <v>16</v>
      </c>
      <c r="F137" s="3" t="s">
        <v>293</v>
      </c>
      <c r="G137" s="3" t="s">
        <v>29</v>
      </c>
      <c r="H137" s="3" t="s">
        <v>214</v>
      </c>
    </row>
    <row r="138" spans="1:8" x14ac:dyDescent="0.2">
      <c r="A138" s="3">
        <v>3049902005</v>
      </c>
      <c r="B138" s="4" t="s">
        <v>356</v>
      </c>
      <c r="C138" s="4" t="s">
        <v>357</v>
      </c>
      <c r="D138" s="3">
        <v>2</v>
      </c>
      <c r="E138" s="3" t="s">
        <v>16</v>
      </c>
      <c r="F138" s="3" t="s">
        <v>293</v>
      </c>
      <c r="G138" s="3" t="s">
        <v>29</v>
      </c>
      <c r="H138" s="3" t="s">
        <v>214</v>
      </c>
    </row>
    <row r="139" spans="1:8" x14ac:dyDescent="0.2">
      <c r="A139" s="3">
        <v>3040314004</v>
      </c>
      <c r="B139" s="4" t="s">
        <v>271</v>
      </c>
      <c r="C139" s="4" t="s">
        <v>1737</v>
      </c>
      <c r="D139" s="3">
        <v>2</v>
      </c>
      <c r="E139" s="3" t="s">
        <v>16</v>
      </c>
      <c r="F139" s="3" t="s">
        <v>293</v>
      </c>
      <c r="G139" s="3" t="s">
        <v>29</v>
      </c>
      <c r="H139" s="3" t="s">
        <v>214</v>
      </c>
    </row>
    <row r="140" spans="1:8" x14ac:dyDescent="0.2">
      <c r="A140" s="3">
        <v>3070105001</v>
      </c>
      <c r="B140" s="4" t="s">
        <v>360</v>
      </c>
      <c r="C140" s="4" t="s">
        <v>1647</v>
      </c>
      <c r="D140" s="3">
        <v>1</v>
      </c>
      <c r="E140" s="3" t="s">
        <v>16</v>
      </c>
      <c r="F140" s="3" t="s">
        <v>317</v>
      </c>
      <c r="G140" s="3" t="s">
        <v>318</v>
      </c>
      <c r="H140" s="3" t="s">
        <v>214</v>
      </c>
    </row>
    <row r="141" spans="1:8" x14ac:dyDescent="0.2">
      <c r="A141" s="3">
        <v>3070105002</v>
      </c>
      <c r="B141" s="4" t="s">
        <v>362</v>
      </c>
      <c r="C141" s="4" t="s">
        <v>1647</v>
      </c>
      <c r="D141" s="3">
        <v>1</v>
      </c>
      <c r="E141" s="3" t="s">
        <v>16</v>
      </c>
      <c r="F141" s="3" t="s">
        <v>317</v>
      </c>
      <c r="G141" s="3" t="s">
        <v>318</v>
      </c>
      <c r="H141" s="3" t="s">
        <v>214</v>
      </c>
    </row>
    <row r="142" spans="1:8" x14ac:dyDescent="0.2">
      <c r="A142" s="3">
        <v>3070105004</v>
      </c>
      <c r="B142" s="4" t="s">
        <v>1648</v>
      </c>
      <c r="C142" s="4" t="s">
        <v>1649</v>
      </c>
      <c r="D142" s="3">
        <v>1</v>
      </c>
      <c r="E142" s="3" t="s">
        <v>16</v>
      </c>
      <c r="F142" s="3" t="s">
        <v>317</v>
      </c>
      <c r="G142" s="3" t="s">
        <v>318</v>
      </c>
      <c r="H142" s="3" t="s">
        <v>214</v>
      </c>
    </row>
    <row r="143" spans="1:8" x14ac:dyDescent="0.2">
      <c r="A143" s="3">
        <v>3060403028</v>
      </c>
      <c r="B143" s="4" t="s">
        <v>190</v>
      </c>
      <c r="C143" s="4" t="s">
        <v>1738</v>
      </c>
      <c r="D143" s="3">
        <v>1</v>
      </c>
      <c r="E143" s="3" t="s">
        <v>16</v>
      </c>
      <c r="F143" s="3" t="s">
        <v>295</v>
      </c>
      <c r="G143" s="3" t="s">
        <v>17</v>
      </c>
      <c r="H143" s="3" t="s">
        <v>221</v>
      </c>
    </row>
    <row r="144" spans="1:8" x14ac:dyDescent="0.2">
      <c r="A144" s="3">
        <v>3060404030</v>
      </c>
      <c r="B144" s="4" t="s">
        <v>729</v>
      </c>
      <c r="C144" s="4" t="s">
        <v>1650</v>
      </c>
      <c r="D144" s="3">
        <v>1</v>
      </c>
      <c r="E144" s="3" t="s">
        <v>16</v>
      </c>
      <c r="F144" s="3" t="s">
        <v>289</v>
      </c>
      <c r="G144" s="3" t="s">
        <v>23</v>
      </c>
      <c r="H144" s="3" t="s">
        <v>221</v>
      </c>
    </row>
    <row r="145" spans="1:8" x14ac:dyDescent="0.2">
      <c r="A145" s="3">
        <v>3030402026</v>
      </c>
      <c r="B145" s="4" t="s">
        <v>498</v>
      </c>
      <c r="C145" s="4" t="s">
        <v>1739</v>
      </c>
      <c r="D145" s="3">
        <v>1</v>
      </c>
      <c r="E145" s="3" t="s">
        <v>16</v>
      </c>
      <c r="F145" s="3" t="s">
        <v>295</v>
      </c>
      <c r="G145" s="3" t="s">
        <v>17</v>
      </c>
      <c r="H145" s="3" t="s">
        <v>221</v>
      </c>
    </row>
    <row r="146" spans="1:8" x14ac:dyDescent="0.2">
      <c r="A146" s="3">
        <v>3040402080</v>
      </c>
      <c r="B146" s="4" t="s">
        <v>193</v>
      </c>
      <c r="C146" s="4" t="s">
        <v>1740</v>
      </c>
      <c r="D146" s="3">
        <v>1</v>
      </c>
      <c r="E146" s="3" t="s">
        <v>16</v>
      </c>
      <c r="F146" s="3" t="s">
        <v>293</v>
      </c>
      <c r="G146" s="3" t="s">
        <v>29</v>
      </c>
      <c r="H146" s="3" t="s">
        <v>221</v>
      </c>
    </row>
    <row r="147" spans="1:8" x14ac:dyDescent="0.2">
      <c r="A147" s="3">
        <v>3040402081</v>
      </c>
      <c r="B147" s="4" t="s">
        <v>193</v>
      </c>
      <c r="C147" s="4" t="s">
        <v>1741</v>
      </c>
      <c r="D147" s="3">
        <v>1</v>
      </c>
      <c r="E147" s="3" t="s">
        <v>16</v>
      </c>
      <c r="F147" s="3" t="s">
        <v>293</v>
      </c>
      <c r="G147" s="3" t="s">
        <v>29</v>
      </c>
      <c r="H147" s="3" t="s">
        <v>221</v>
      </c>
    </row>
    <row r="148" spans="1:8" x14ac:dyDescent="0.2">
      <c r="A148" s="3">
        <v>3050401038</v>
      </c>
      <c r="B148" s="4" t="s">
        <v>222</v>
      </c>
      <c r="C148" s="4" t="s">
        <v>1742</v>
      </c>
      <c r="D148" s="3">
        <v>1</v>
      </c>
      <c r="E148" s="3" t="s">
        <v>16</v>
      </c>
      <c r="F148" s="3" t="s">
        <v>291</v>
      </c>
      <c r="G148" s="3" t="s">
        <v>26</v>
      </c>
      <c r="H148" s="3" t="s">
        <v>221</v>
      </c>
    </row>
    <row r="149" spans="1:8" x14ac:dyDescent="0.2">
      <c r="A149" s="3">
        <v>3060501016</v>
      </c>
      <c r="B149" s="4" t="s">
        <v>224</v>
      </c>
      <c r="C149" s="4" t="s">
        <v>1743</v>
      </c>
      <c r="D149" s="3">
        <v>1</v>
      </c>
      <c r="E149" s="3" t="s">
        <v>16</v>
      </c>
      <c r="F149" s="3" t="s">
        <v>289</v>
      </c>
      <c r="G149" s="3" t="s">
        <v>23</v>
      </c>
      <c r="H149" s="3" t="s">
        <v>226</v>
      </c>
    </row>
    <row r="150" spans="1:8" x14ac:dyDescent="0.2">
      <c r="A150" s="3">
        <v>3030303057</v>
      </c>
      <c r="B150" s="4" t="s">
        <v>1744</v>
      </c>
      <c r="C150" s="4" t="s">
        <v>1631</v>
      </c>
      <c r="D150" s="3">
        <v>2</v>
      </c>
      <c r="E150" s="3" t="s">
        <v>16</v>
      </c>
      <c r="F150" s="3" t="s">
        <v>295</v>
      </c>
      <c r="G150" s="3" t="s">
        <v>17</v>
      </c>
      <c r="H150" s="3" t="s">
        <v>226</v>
      </c>
    </row>
    <row r="151" spans="1:8" x14ac:dyDescent="0.2">
      <c r="A151" s="3">
        <v>3060333021</v>
      </c>
      <c r="B151" s="4" t="s">
        <v>227</v>
      </c>
      <c r="C151" s="4" t="s">
        <v>1651</v>
      </c>
      <c r="D151" s="3">
        <v>1</v>
      </c>
      <c r="E151" s="3" t="s">
        <v>16</v>
      </c>
      <c r="F151" s="3" t="s">
        <v>289</v>
      </c>
      <c r="G151" s="3" t="s">
        <v>23</v>
      </c>
      <c r="H151" s="3" t="s">
        <v>226</v>
      </c>
    </row>
    <row r="152" spans="1:8" x14ac:dyDescent="0.2">
      <c r="A152" s="3">
        <v>3060335034</v>
      </c>
      <c r="B152" s="4" t="s">
        <v>233</v>
      </c>
      <c r="C152" s="4" t="s">
        <v>1652</v>
      </c>
      <c r="D152" s="3">
        <v>1</v>
      </c>
      <c r="E152" s="3" t="s">
        <v>16</v>
      </c>
      <c r="F152" s="3" t="s">
        <v>289</v>
      </c>
      <c r="G152" s="3" t="s">
        <v>23</v>
      </c>
      <c r="H152" s="3" t="s">
        <v>226</v>
      </c>
    </row>
    <row r="153" spans="1:8" x14ac:dyDescent="0.2">
      <c r="A153" s="3">
        <v>3030303055</v>
      </c>
      <c r="B153" s="4" t="s">
        <v>1745</v>
      </c>
      <c r="C153" s="4" t="s">
        <v>1746</v>
      </c>
      <c r="D153" s="3">
        <v>1</v>
      </c>
      <c r="E153" s="3" t="s">
        <v>16</v>
      </c>
      <c r="F153" s="3" t="s">
        <v>295</v>
      </c>
      <c r="G153" s="3" t="s">
        <v>17</v>
      </c>
      <c r="H153" s="3" t="s">
        <v>226</v>
      </c>
    </row>
    <row r="154" spans="1:8" x14ac:dyDescent="0.2">
      <c r="A154" s="3">
        <v>3030314001</v>
      </c>
      <c r="B154" s="4" t="s">
        <v>237</v>
      </c>
      <c r="C154" s="4" t="s">
        <v>238</v>
      </c>
      <c r="D154" s="3">
        <v>1</v>
      </c>
      <c r="E154" s="3" t="s">
        <v>16</v>
      </c>
      <c r="F154" s="3" t="s">
        <v>295</v>
      </c>
      <c r="G154" s="3" t="s">
        <v>17</v>
      </c>
      <c r="H154" s="3" t="s">
        <v>226</v>
      </c>
    </row>
    <row r="155" spans="1:8" x14ac:dyDescent="0.2">
      <c r="A155" s="3">
        <v>3030313003</v>
      </c>
      <c r="B155" s="4" t="s">
        <v>217</v>
      </c>
      <c r="C155" s="4" t="s">
        <v>544</v>
      </c>
      <c r="D155" s="3">
        <v>8</v>
      </c>
      <c r="E155" s="3" t="s">
        <v>16</v>
      </c>
      <c r="F155" s="3" t="s">
        <v>291</v>
      </c>
      <c r="G155" s="3" t="s">
        <v>26</v>
      </c>
      <c r="H155" s="3" t="s">
        <v>226</v>
      </c>
    </row>
    <row r="156" spans="1:8" x14ac:dyDescent="0.2">
      <c r="A156" s="3">
        <v>3020101004</v>
      </c>
      <c r="B156" s="4" t="s">
        <v>239</v>
      </c>
      <c r="C156" s="4" t="s">
        <v>1098</v>
      </c>
      <c r="D156" s="3">
        <v>5</v>
      </c>
      <c r="E156" s="3" t="s">
        <v>16</v>
      </c>
      <c r="F156" s="3" t="s">
        <v>297</v>
      </c>
      <c r="G156" s="3" t="s">
        <v>204</v>
      </c>
      <c r="H156" s="3" t="s">
        <v>226</v>
      </c>
    </row>
    <row r="157" spans="1:8" x14ac:dyDescent="0.2">
      <c r="A157" s="3">
        <v>3070201014</v>
      </c>
      <c r="B157" s="4" t="s">
        <v>1655</v>
      </c>
      <c r="C157" s="4" t="s">
        <v>1656</v>
      </c>
      <c r="D157" s="3">
        <v>1</v>
      </c>
      <c r="E157" s="3" t="s">
        <v>16</v>
      </c>
      <c r="F157" s="3" t="s">
        <v>317</v>
      </c>
      <c r="G157" s="3" t="s">
        <v>318</v>
      </c>
      <c r="H157" s="3" t="s">
        <v>226</v>
      </c>
    </row>
    <row r="158" spans="1:8" x14ac:dyDescent="0.2">
      <c r="A158" s="3">
        <v>3070202021</v>
      </c>
      <c r="B158" s="4" t="s">
        <v>1657</v>
      </c>
      <c r="C158" s="4" t="s">
        <v>1658</v>
      </c>
      <c r="D158" s="3">
        <v>1</v>
      </c>
      <c r="E158" s="3" t="s">
        <v>16</v>
      </c>
      <c r="F158" s="3" t="s">
        <v>317</v>
      </c>
      <c r="G158" s="3" t="s">
        <v>318</v>
      </c>
      <c r="H158" s="3" t="s">
        <v>226</v>
      </c>
    </row>
    <row r="159" spans="1:8" x14ac:dyDescent="0.2">
      <c r="A159" s="3">
        <v>3070204019</v>
      </c>
      <c r="B159" s="4" t="s">
        <v>1383</v>
      </c>
      <c r="C159" s="4" t="s">
        <v>1633</v>
      </c>
      <c r="D159" s="3">
        <v>1</v>
      </c>
      <c r="E159" s="3" t="s">
        <v>16</v>
      </c>
      <c r="F159" s="3" t="s">
        <v>317</v>
      </c>
      <c r="G159" s="3" t="s">
        <v>318</v>
      </c>
      <c r="H159" s="3" t="s">
        <v>226</v>
      </c>
    </row>
    <row r="160" spans="1:8" x14ac:dyDescent="0.2">
      <c r="A160" s="3">
        <v>3080301002</v>
      </c>
      <c r="B160" s="4" t="s">
        <v>247</v>
      </c>
      <c r="C160" s="4" t="s">
        <v>248</v>
      </c>
      <c r="D160" s="3">
        <v>1</v>
      </c>
      <c r="E160" s="3" t="s">
        <v>16</v>
      </c>
      <c r="F160" s="3" t="s">
        <v>295</v>
      </c>
      <c r="G160" s="3" t="s">
        <v>17</v>
      </c>
      <c r="H160" s="3" t="s">
        <v>249</v>
      </c>
    </row>
    <row r="161" spans="1:8" x14ac:dyDescent="0.2">
      <c r="A161" s="3">
        <v>3030306038</v>
      </c>
      <c r="B161" s="4" t="s">
        <v>235</v>
      </c>
      <c r="C161" s="4" t="s">
        <v>1660</v>
      </c>
      <c r="D161" s="3">
        <v>1</v>
      </c>
      <c r="E161" s="3" t="s">
        <v>16</v>
      </c>
      <c r="F161" s="3" t="s">
        <v>295</v>
      </c>
      <c r="G161" s="3" t="s">
        <v>17</v>
      </c>
      <c r="H161" s="3" t="s">
        <v>254</v>
      </c>
    </row>
    <row r="162" spans="1:8" x14ac:dyDescent="0.2">
      <c r="A162" s="3">
        <v>3030315001</v>
      </c>
      <c r="B162" s="4" t="s">
        <v>257</v>
      </c>
      <c r="C162" s="4" t="s">
        <v>258</v>
      </c>
      <c r="D162" s="3">
        <v>2</v>
      </c>
      <c r="E162" s="3" t="s">
        <v>16</v>
      </c>
      <c r="F162" s="3" t="s">
        <v>295</v>
      </c>
      <c r="G162" s="3" t="s">
        <v>17</v>
      </c>
      <c r="H162" s="3" t="s">
        <v>254</v>
      </c>
    </row>
    <row r="163" spans="1:8" x14ac:dyDescent="0.2">
      <c r="A163" s="3">
        <v>3030316001</v>
      </c>
      <c r="B163" s="4" t="s">
        <v>261</v>
      </c>
      <c r="C163" s="4" t="s">
        <v>262</v>
      </c>
      <c r="D163" s="3">
        <v>3</v>
      </c>
      <c r="E163" s="3" t="s">
        <v>16</v>
      </c>
      <c r="F163" s="3" t="s">
        <v>295</v>
      </c>
      <c r="G163" s="3" t="s">
        <v>17</v>
      </c>
      <c r="H163" s="3" t="s">
        <v>254</v>
      </c>
    </row>
    <row r="164" spans="1:8" x14ac:dyDescent="0.2">
      <c r="A164" s="3">
        <v>3040312007</v>
      </c>
      <c r="B164" s="4" t="s">
        <v>263</v>
      </c>
      <c r="C164" s="4" t="s">
        <v>264</v>
      </c>
      <c r="D164" s="3">
        <v>2</v>
      </c>
      <c r="E164" s="3" t="s">
        <v>16</v>
      </c>
      <c r="F164" s="3" t="s">
        <v>293</v>
      </c>
      <c r="G164" s="3" t="s">
        <v>29</v>
      </c>
      <c r="H164" s="3" t="s">
        <v>254</v>
      </c>
    </row>
    <row r="165" spans="1:8" x14ac:dyDescent="0.2">
      <c r="A165" s="3">
        <v>3040303001</v>
      </c>
      <c r="B165" s="4" t="s">
        <v>265</v>
      </c>
      <c r="C165" s="4" t="s">
        <v>266</v>
      </c>
      <c r="D165" s="3">
        <v>2</v>
      </c>
      <c r="E165" s="3" t="s">
        <v>16</v>
      </c>
      <c r="F165" s="3" t="s">
        <v>293</v>
      </c>
      <c r="G165" s="3" t="s">
        <v>29</v>
      </c>
      <c r="H165" s="3" t="s">
        <v>254</v>
      </c>
    </row>
    <row r="166" spans="1:8" x14ac:dyDescent="0.2">
      <c r="A166" s="3">
        <v>3049902004</v>
      </c>
      <c r="B166" s="4" t="s">
        <v>383</v>
      </c>
      <c r="C166" s="4" t="s">
        <v>384</v>
      </c>
      <c r="D166" s="3">
        <v>2</v>
      </c>
      <c r="E166" s="3" t="s">
        <v>16</v>
      </c>
      <c r="F166" s="3" t="s">
        <v>293</v>
      </c>
      <c r="G166" s="3" t="s">
        <v>29</v>
      </c>
      <c r="H166" s="3" t="s">
        <v>254</v>
      </c>
    </row>
    <row r="167" spans="1:8" x14ac:dyDescent="0.2">
      <c r="A167" s="3">
        <v>3040326018</v>
      </c>
      <c r="B167" s="4" t="s">
        <v>385</v>
      </c>
      <c r="C167" s="4" t="s">
        <v>384</v>
      </c>
      <c r="D167" s="3">
        <v>2</v>
      </c>
      <c r="E167" s="3" t="s">
        <v>16</v>
      </c>
      <c r="F167" s="3" t="s">
        <v>293</v>
      </c>
      <c r="G167" s="3" t="s">
        <v>29</v>
      </c>
      <c r="H167" s="3" t="s">
        <v>254</v>
      </c>
    </row>
    <row r="168" spans="1:8" x14ac:dyDescent="0.2">
      <c r="A168" s="3">
        <v>3040320035</v>
      </c>
      <c r="B168" s="4" t="s">
        <v>269</v>
      </c>
      <c r="C168" s="4" t="s">
        <v>90</v>
      </c>
      <c r="D168" s="3">
        <v>2</v>
      </c>
      <c r="E168" s="3" t="s">
        <v>16</v>
      </c>
      <c r="F168" s="3" t="s">
        <v>293</v>
      </c>
      <c r="G168" s="3" t="s">
        <v>29</v>
      </c>
      <c r="H168" s="3" t="s">
        <v>254</v>
      </c>
    </row>
    <row r="169" spans="1:8" x14ac:dyDescent="0.2">
      <c r="A169" s="3">
        <v>3060336006</v>
      </c>
      <c r="B169" s="4" t="s">
        <v>1659</v>
      </c>
      <c r="C169" s="4" t="s">
        <v>1660</v>
      </c>
      <c r="D169" s="3">
        <v>1</v>
      </c>
      <c r="E169" s="3" t="s">
        <v>16</v>
      </c>
      <c r="F169" s="3" t="s">
        <v>317</v>
      </c>
      <c r="G169" s="3" t="s">
        <v>318</v>
      </c>
      <c r="H169" s="3" t="s">
        <v>254</v>
      </c>
    </row>
    <row r="170" spans="1:8" x14ac:dyDescent="0.2">
      <c r="A170" s="3">
        <v>3030310004</v>
      </c>
      <c r="B170" s="4" t="s">
        <v>273</v>
      </c>
      <c r="C170" s="4" t="s">
        <v>274</v>
      </c>
      <c r="D170" s="3">
        <v>1</v>
      </c>
      <c r="E170" s="3" t="s">
        <v>16</v>
      </c>
      <c r="F170" s="3" t="s">
        <v>295</v>
      </c>
      <c r="G170" s="3" t="s">
        <v>17</v>
      </c>
      <c r="H170" s="3" t="s">
        <v>254</v>
      </c>
    </row>
    <row r="171" spans="1:8" x14ac:dyDescent="0.2">
      <c r="A171" s="3">
        <v>3030313004</v>
      </c>
      <c r="B171" s="4" t="s">
        <v>275</v>
      </c>
      <c r="C171" s="4" t="s">
        <v>258</v>
      </c>
      <c r="D171" s="3">
        <v>1</v>
      </c>
      <c r="E171" s="3" t="s">
        <v>16</v>
      </c>
      <c r="F171" s="3" t="s">
        <v>291</v>
      </c>
      <c r="G171" s="3" t="s">
        <v>26</v>
      </c>
      <c r="H171" s="3" t="s">
        <v>254</v>
      </c>
    </row>
    <row r="172" spans="1:8" x14ac:dyDescent="0.2">
      <c r="A172" s="3">
        <v>3030313004</v>
      </c>
      <c r="B172" s="4" t="s">
        <v>275</v>
      </c>
      <c r="C172" s="4" t="s">
        <v>258</v>
      </c>
      <c r="D172" s="3">
        <v>1</v>
      </c>
      <c r="E172" s="3" t="s">
        <v>16</v>
      </c>
      <c r="F172" s="3" t="s">
        <v>295</v>
      </c>
      <c r="G172" s="3" t="s">
        <v>17</v>
      </c>
      <c r="H172" s="3" t="s">
        <v>254</v>
      </c>
    </row>
    <row r="173" spans="1:8" x14ac:dyDescent="0.2">
      <c r="A173" s="3">
        <v>3080308001</v>
      </c>
      <c r="B173" s="4" t="s">
        <v>276</v>
      </c>
      <c r="C173" s="4" t="s">
        <v>258</v>
      </c>
      <c r="D173" s="3">
        <v>1</v>
      </c>
      <c r="E173" s="3" t="s">
        <v>16</v>
      </c>
      <c r="F173" s="3" t="s">
        <v>295</v>
      </c>
      <c r="G173" s="3" t="s">
        <v>17</v>
      </c>
      <c r="H173" s="3" t="s">
        <v>254</v>
      </c>
    </row>
    <row r="174" spans="1:8" x14ac:dyDescent="0.2">
      <c r="A174" s="3">
        <v>3991601005</v>
      </c>
      <c r="B174" s="4" t="s">
        <v>585</v>
      </c>
      <c r="C174" s="4" t="s">
        <v>1661</v>
      </c>
      <c r="D174" s="3">
        <v>10</v>
      </c>
      <c r="E174" s="3" t="s">
        <v>16</v>
      </c>
      <c r="F174" s="3" t="s">
        <v>317</v>
      </c>
      <c r="G174" s="3" t="s">
        <v>318</v>
      </c>
      <c r="H174" s="3" t="s">
        <v>254</v>
      </c>
    </row>
    <row r="175" spans="1:8" x14ac:dyDescent="0.2">
      <c r="A175" s="3">
        <v>3050303034</v>
      </c>
      <c r="B175" s="4" t="s">
        <v>245</v>
      </c>
      <c r="C175" s="4" t="s">
        <v>1660</v>
      </c>
      <c r="D175" s="3">
        <v>1</v>
      </c>
      <c r="E175" s="3" t="s">
        <v>16</v>
      </c>
      <c r="F175" s="3" t="s">
        <v>291</v>
      </c>
      <c r="G175" s="3" t="s">
        <v>26</v>
      </c>
      <c r="H175" s="3" t="s">
        <v>254</v>
      </c>
    </row>
  </sheetData>
  <phoneticPr fontId="2" type="noConversion"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5C7FE-662E-4B32-90E0-C4793199F9AB}">
  <dimension ref="A1:H153"/>
  <sheetViews>
    <sheetView workbookViewId="0">
      <selection activeCell="M17" sqref="M17"/>
    </sheetView>
  </sheetViews>
  <sheetFormatPr defaultRowHeight="14.25" x14ac:dyDescent="0.2"/>
  <cols>
    <col min="1" max="1" width="13.375" customWidth="1"/>
    <col min="2" max="3" width="12.625" customWidth="1"/>
  </cols>
  <sheetData>
    <row r="1" spans="1:8" x14ac:dyDescent="0.2">
      <c r="A1" s="3" t="s">
        <v>1752</v>
      </c>
      <c r="B1" s="4"/>
      <c r="C1" s="4"/>
      <c r="D1" s="3"/>
      <c r="E1" s="3"/>
      <c r="F1" s="3"/>
      <c r="G1" s="3"/>
      <c r="H1" s="3"/>
    </row>
    <row r="2" spans="1:8" ht="28.5" x14ac:dyDescent="0.2">
      <c r="A2" s="1" t="s">
        <v>0</v>
      </c>
      <c r="B2" s="2" t="s">
        <v>1</v>
      </c>
      <c r="C2" s="2" t="s">
        <v>2</v>
      </c>
      <c r="D2" s="1" t="s">
        <v>4</v>
      </c>
      <c r="E2" s="1" t="s">
        <v>3</v>
      </c>
      <c r="F2" s="1" t="s">
        <v>5</v>
      </c>
      <c r="G2" s="1" t="s">
        <v>6</v>
      </c>
      <c r="H2" s="1" t="s">
        <v>7</v>
      </c>
    </row>
    <row r="3" spans="1:8" s="10" customFormat="1" x14ac:dyDescent="0.2">
      <c r="A3" s="8" t="s">
        <v>390</v>
      </c>
      <c r="B3" s="9" t="s">
        <v>8</v>
      </c>
      <c r="C3" s="9" t="s">
        <v>9</v>
      </c>
      <c r="D3" s="13">
        <f>0.408/0.94</f>
        <v>0.43404255319148938</v>
      </c>
      <c r="E3" s="8" t="s">
        <v>596</v>
      </c>
      <c r="F3" s="8" t="s">
        <v>283</v>
      </c>
      <c r="G3" s="8" t="s">
        <v>13</v>
      </c>
      <c r="H3" s="8" t="s">
        <v>12</v>
      </c>
    </row>
    <row r="4" spans="1:8" x14ac:dyDescent="0.2">
      <c r="A4" s="3">
        <v>403010407</v>
      </c>
      <c r="B4" s="4" t="s">
        <v>684</v>
      </c>
      <c r="C4" s="4" t="s">
        <v>1748</v>
      </c>
      <c r="D4" s="3">
        <v>1</v>
      </c>
      <c r="E4" s="3" t="s">
        <v>16</v>
      </c>
      <c r="F4" s="3" t="s">
        <v>301</v>
      </c>
      <c r="G4" s="3" t="s">
        <v>32</v>
      </c>
      <c r="H4" s="3" t="s">
        <v>306</v>
      </c>
    </row>
    <row r="5" spans="1:8" x14ac:dyDescent="0.2">
      <c r="A5" s="3">
        <v>403010408</v>
      </c>
      <c r="B5" s="4" t="s">
        <v>684</v>
      </c>
      <c r="C5" s="4" t="s">
        <v>1749</v>
      </c>
      <c r="D5" s="3">
        <v>1</v>
      </c>
      <c r="E5" s="3" t="s">
        <v>16</v>
      </c>
      <c r="F5" s="3" t="s">
        <v>301</v>
      </c>
      <c r="G5" s="3" t="s">
        <v>32</v>
      </c>
      <c r="H5" s="3" t="s">
        <v>306</v>
      </c>
    </row>
    <row r="6" spans="1:8" x14ac:dyDescent="0.2">
      <c r="A6" s="3">
        <v>403010377</v>
      </c>
      <c r="B6" s="4" t="s">
        <v>684</v>
      </c>
      <c r="C6" s="4" t="s">
        <v>1698</v>
      </c>
      <c r="D6" s="3">
        <v>1</v>
      </c>
      <c r="E6" s="3" t="s">
        <v>16</v>
      </c>
      <c r="F6" s="3" t="s">
        <v>291</v>
      </c>
      <c r="G6" s="3" t="s">
        <v>26</v>
      </c>
      <c r="H6" s="3" t="s">
        <v>306</v>
      </c>
    </row>
    <row r="7" spans="1:8" x14ac:dyDescent="0.2">
      <c r="A7" s="3">
        <v>403010373</v>
      </c>
      <c r="B7" s="4" t="s">
        <v>684</v>
      </c>
      <c r="C7" s="4" t="s">
        <v>1750</v>
      </c>
      <c r="D7" s="3">
        <v>1</v>
      </c>
      <c r="E7" s="3" t="s">
        <v>16</v>
      </c>
      <c r="F7" s="3" t="s">
        <v>301</v>
      </c>
      <c r="G7" s="3" t="s">
        <v>32</v>
      </c>
      <c r="H7" s="3" t="s">
        <v>306</v>
      </c>
    </row>
    <row r="8" spans="1:8" x14ac:dyDescent="0.2">
      <c r="A8" s="3">
        <v>403010376</v>
      </c>
      <c r="B8" s="4" t="s">
        <v>684</v>
      </c>
      <c r="C8" s="4" t="s">
        <v>1701</v>
      </c>
      <c r="D8" s="3">
        <v>1</v>
      </c>
      <c r="E8" s="3" t="s">
        <v>16</v>
      </c>
      <c r="F8" s="3" t="s">
        <v>291</v>
      </c>
      <c r="G8" s="3" t="s">
        <v>26</v>
      </c>
      <c r="H8" s="3" t="s">
        <v>306</v>
      </c>
    </row>
    <row r="9" spans="1:8" x14ac:dyDescent="0.2">
      <c r="A9" s="3">
        <v>3080503020</v>
      </c>
      <c r="B9" s="4" t="s">
        <v>14</v>
      </c>
      <c r="C9" s="4" t="s">
        <v>15</v>
      </c>
      <c r="D9" s="3">
        <v>2</v>
      </c>
      <c r="E9" s="3" t="s">
        <v>16</v>
      </c>
      <c r="F9" s="3" t="s">
        <v>295</v>
      </c>
      <c r="G9" s="3" t="s">
        <v>17</v>
      </c>
      <c r="H9" s="3" t="s">
        <v>18</v>
      </c>
    </row>
    <row r="10" spans="1:8" x14ac:dyDescent="0.2">
      <c r="A10" s="3">
        <v>3080503002</v>
      </c>
      <c r="B10" s="4" t="s">
        <v>14</v>
      </c>
      <c r="C10" s="4" t="s">
        <v>1702</v>
      </c>
      <c r="D10" s="3">
        <v>6</v>
      </c>
      <c r="E10" s="3" t="s">
        <v>16</v>
      </c>
      <c r="F10" s="3" t="s">
        <v>295</v>
      </c>
      <c r="G10" s="3" t="s">
        <v>17</v>
      </c>
      <c r="H10" s="3" t="s">
        <v>18</v>
      </c>
    </row>
    <row r="11" spans="1:8" x14ac:dyDescent="0.2">
      <c r="A11" s="3">
        <v>3030215001</v>
      </c>
      <c r="B11" s="4" t="s">
        <v>24</v>
      </c>
      <c r="C11" s="4" t="s">
        <v>25</v>
      </c>
      <c r="D11" s="3">
        <v>1</v>
      </c>
      <c r="E11" s="3" t="s">
        <v>16</v>
      </c>
      <c r="F11" s="3" t="s">
        <v>295</v>
      </c>
      <c r="G11" s="3" t="s">
        <v>17</v>
      </c>
      <c r="H11" s="3" t="s">
        <v>18</v>
      </c>
    </row>
    <row r="12" spans="1:8" x14ac:dyDescent="0.2">
      <c r="A12" s="3">
        <v>404020029</v>
      </c>
      <c r="B12" s="4" t="s">
        <v>30</v>
      </c>
      <c r="C12" s="4" t="s">
        <v>31</v>
      </c>
      <c r="D12" s="3">
        <v>2</v>
      </c>
      <c r="E12" s="3" t="s">
        <v>16</v>
      </c>
      <c r="F12" s="3" t="s">
        <v>301</v>
      </c>
      <c r="G12" s="3" t="s">
        <v>32</v>
      </c>
      <c r="H12" s="3" t="s">
        <v>33</v>
      </c>
    </row>
    <row r="13" spans="1:8" x14ac:dyDescent="0.2">
      <c r="A13" s="3">
        <v>404020100</v>
      </c>
      <c r="B13" s="4" t="s">
        <v>30</v>
      </c>
      <c r="C13" s="4" t="s">
        <v>1703</v>
      </c>
      <c r="D13" s="3">
        <v>1</v>
      </c>
      <c r="E13" s="3" t="s">
        <v>16</v>
      </c>
      <c r="F13" s="3" t="s">
        <v>291</v>
      </c>
      <c r="G13" s="3" t="s">
        <v>26</v>
      </c>
      <c r="H13" s="3" t="s">
        <v>33</v>
      </c>
    </row>
    <row r="14" spans="1:8" x14ac:dyDescent="0.2">
      <c r="A14" s="3">
        <v>401040455</v>
      </c>
      <c r="B14" s="4" t="s">
        <v>35</v>
      </c>
      <c r="C14" s="4" t="s">
        <v>1704</v>
      </c>
      <c r="D14" s="3">
        <v>1</v>
      </c>
      <c r="E14" s="3" t="s">
        <v>16</v>
      </c>
      <c r="F14" s="3" t="s">
        <v>293</v>
      </c>
      <c r="G14" s="3" t="s">
        <v>29</v>
      </c>
      <c r="H14" s="3" t="s">
        <v>33</v>
      </c>
    </row>
    <row r="15" spans="1:8" x14ac:dyDescent="0.2">
      <c r="A15" s="3">
        <v>401040454</v>
      </c>
      <c r="B15" s="4" t="s">
        <v>35</v>
      </c>
      <c r="C15" s="4" t="s">
        <v>1705</v>
      </c>
      <c r="D15" s="3">
        <v>1</v>
      </c>
      <c r="E15" s="3" t="s">
        <v>16</v>
      </c>
      <c r="F15" s="3" t="s">
        <v>291</v>
      </c>
      <c r="G15" s="3" t="s">
        <v>26</v>
      </c>
      <c r="H15" s="3" t="s">
        <v>33</v>
      </c>
    </row>
    <row r="16" spans="1:8" x14ac:dyDescent="0.2">
      <c r="A16" s="3">
        <v>401020202</v>
      </c>
      <c r="B16" s="4" t="s">
        <v>35</v>
      </c>
      <c r="C16" s="4" t="s">
        <v>1751</v>
      </c>
      <c r="D16" s="3">
        <v>1</v>
      </c>
      <c r="E16" s="3" t="s">
        <v>16</v>
      </c>
      <c r="F16" s="3" t="s">
        <v>301</v>
      </c>
      <c r="G16" s="3" t="s">
        <v>32</v>
      </c>
      <c r="H16" s="3" t="s">
        <v>33</v>
      </c>
    </row>
    <row r="17" spans="1:8" x14ac:dyDescent="0.2">
      <c r="A17" s="3">
        <v>3080401032</v>
      </c>
      <c r="B17" s="4" t="s">
        <v>41</v>
      </c>
      <c r="C17" s="4" t="s">
        <v>1707</v>
      </c>
      <c r="D17" s="3">
        <v>1</v>
      </c>
      <c r="E17" s="3" t="s">
        <v>16</v>
      </c>
      <c r="F17" s="3" t="s">
        <v>291</v>
      </c>
      <c r="G17" s="3" t="s">
        <v>26</v>
      </c>
      <c r="H17" s="3" t="s">
        <v>40</v>
      </c>
    </row>
    <row r="18" spans="1:8" x14ac:dyDescent="0.2">
      <c r="A18" s="3">
        <v>3080401006</v>
      </c>
      <c r="B18" s="4" t="s">
        <v>41</v>
      </c>
      <c r="C18" s="4" t="s">
        <v>44</v>
      </c>
      <c r="D18" s="3">
        <v>1</v>
      </c>
      <c r="E18" s="3" t="s">
        <v>16</v>
      </c>
      <c r="F18" s="3" t="s">
        <v>295</v>
      </c>
      <c r="G18" s="3" t="s">
        <v>17</v>
      </c>
      <c r="H18" s="3" t="s">
        <v>40</v>
      </c>
    </row>
    <row r="19" spans="1:8" x14ac:dyDescent="0.2">
      <c r="A19" s="3">
        <v>3080401015</v>
      </c>
      <c r="B19" s="4" t="s">
        <v>41</v>
      </c>
      <c r="C19" s="4" t="s">
        <v>1708</v>
      </c>
      <c r="D19" s="3">
        <v>2</v>
      </c>
      <c r="E19" s="3" t="s">
        <v>16</v>
      </c>
      <c r="F19" s="3" t="s">
        <v>295</v>
      </c>
      <c r="G19" s="3" t="s">
        <v>17</v>
      </c>
      <c r="H19" s="3" t="s">
        <v>40</v>
      </c>
    </row>
    <row r="20" spans="1:8" x14ac:dyDescent="0.2">
      <c r="A20" s="3">
        <v>3080104014</v>
      </c>
      <c r="B20" s="4" t="s">
        <v>45</v>
      </c>
      <c r="C20" s="4" t="s">
        <v>312</v>
      </c>
      <c r="D20" s="3">
        <v>2</v>
      </c>
      <c r="E20" s="3" t="s">
        <v>16</v>
      </c>
      <c r="F20" s="3" t="s">
        <v>293</v>
      </c>
      <c r="G20" s="3" t="s">
        <v>29</v>
      </c>
      <c r="H20" s="3" t="s">
        <v>40</v>
      </c>
    </row>
    <row r="21" spans="1:8" x14ac:dyDescent="0.2">
      <c r="A21" s="3">
        <v>3080105033</v>
      </c>
      <c r="B21" s="4" t="s">
        <v>50</v>
      </c>
      <c r="C21" s="4" t="s">
        <v>628</v>
      </c>
      <c r="D21" s="3">
        <v>4</v>
      </c>
      <c r="E21" s="3" t="s">
        <v>16</v>
      </c>
      <c r="F21" s="3" t="s">
        <v>293</v>
      </c>
      <c r="G21" s="3" t="s">
        <v>29</v>
      </c>
      <c r="H21" s="3" t="s">
        <v>40</v>
      </c>
    </row>
    <row r="22" spans="1:8" x14ac:dyDescent="0.2">
      <c r="A22" s="3">
        <v>3080105007</v>
      </c>
      <c r="B22" s="4" t="s">
        <v>50</v>
      </c>
      <c r="C22" s="4" t="s">
        <v>52</v>
      </c>
      <c r="D22" s="3">
        <v>2</v>
      </c>
      <c r="E22" s="3" t="s">
        <v>16</v>
      </c>
      <c r="F22" s="3" t="s">
        <v>293</v>
      </c>
      <c r="G22" s="3" t="s">
        <v>29</v>
      </c>
      <c r="H22" s="3" t="s">
        <v>40</v>
      </c>
    </row>
    <row r="23" spans="1:8" x14ac:dyDescent="0.2">
      <c r="A23" s="3">
        <v>3080105012</v>
      </c>
      <c r="B23" s="4" t="s">
        <v>50</v>
      </c>
      <c r="C23" s="4" t="s">
        <v>674</v>
      </c>
      <c r="D23" s="3">
        <v>4</v>
      </c>
      <c r="E23" s="3" t="s">
        <v>16</v>
      </c>
      <c r="F23" s="3" t="s">
        <v>291</v>
      </c>
      <c r="G23" s="3" t="s">
        <v>26</v>
      </c>
      <c r="H23" s="3" t="s">
        <v>40</v>
      </c>
    </row>
    <row r="24" spans="1:8" x14ac:dyDescent="0.2">
      <c r="A24" s="3">
        <v>3080105021</v>
      </c>
      <c r="B24" s="4" t="s">
        <v>50</v>
      </c>
      <c r="C24" s="4" t="s">
        <v>319</v>
      </c>
      <c r="D24" s="3">
        <v>3</v>
      </c>
      <c r="E24" s="3" t="s">
        <v>16</v>
      </c>
      <c r="F24" s="3" t="s">
        <v>289</v>
      </c>
      <c r="G24" s="3" t="s">
        <v>23</v>
      </c>
      <c r="H24" s="3" t="s">
        <v>40</v>
      </c>
    </row>
    <row r="25" spans="1:8" x14ac:dyDescent="0.2">
      <c r="A25" s="3">
        <v>3080105021</v>
      </c>
      <c r="B25" s="4" t="s">
        <v>50</v>
      </c>
      <c r="C25" s="4" t="s">
        <v>319</v>
      </c>
      <c r="D25" s="3">
        <v>4</v>
      </c>
      <c r="E25" s="3" t="s">
        <v>16</v>
      </c>
      <c r="F25" s="3" t="s">
        <v>291</v>
      </c>
      <c r="G25" s="3" t="s">
        <v>26</v>
      </c>
      <c r="H25" s="3" t="s">
        <v>40</v>
      </c>
    </row>
    <row r="26" spans="1:8" x14ac:dyDescent="0.2">
      <c r="A26" s="3">
        <v>3080105091</v>
      </c>
      <c r="B26" s="4" t="s">
        <v>50</v>
      </c>
      <c r="C26" s="4" t="s">
        <v>861</v>
      </c>
      <c r="D26" s="3">
        <v>10</v>
      </c>
      <c r="E26" s="3" t="s">
        <v>16</v>
      </c>
      <c r="F26" s="3" t="s">
        <v>293</v>
      </c>
      <c r="G26" s="3" t="s">
        <v>29</v>
      </c>
      <c r="H26" s="3" t="s">
        <v>40</v>
      </c>
    </row>
    <row r="27" spans="1:8" x14ac:dyDescent="0.2">
      <c r="A27" s="3">
        <v>3080105028</v>
      </c>
      <c r="B27" s="4" t="s">
        <v>50</v>
      </c>
      <c r="C27" s="4" t="s">
        <v>1602</v>
      </c>
      <c r="D27" s="3">
        <v>2</v>
      </c>
      <c r="E27" s="3" t="s">
        <v>16</v>
      </c>
      <c r="F27" s="3" t="s">
        <v>289</v>
      </c>
      <c r="G27" s="3" t="s">
        <v>23</v>
      </c>
      <c r="H27" s="3" t="s">
        <v>40</v>
      </c>
    </row>
    <row r="28" spans="1:8" x14ac:dyDescent="0.2">
      <c r="A28" s="3">
        <v>3080502001</v>
      </c>
      <c r="B28" s="4" t="s">
        <v>55</v>
      </c>
      <c r="C28" s="4" t="s">
        <v>1709</v>
      </c>
      <c r="D28" s="3">
        <v>4</v>
      </c>
      <c r="E28" s="3" t="s">
        <v>16</v>
      </c>
      <c r="F28" s="3" t="s">
        <v>291</v>
      </c>
      <c r="G28" s="3" t="s">
        <v>26</v>
      </c>
      <c r="H28" s="3" t="s">
        <v>40</v>
      </c>
    </row>
    <row r="29" spans="1:8" x14ac:dyDescent="0.2">
      <c r="A29" s="3">
        <v>3080502002</v>
      </c>
      <c r="B29" s="4" t="s">
        <v>55</v>
      </c>
      <c r="C29" s="4" t="s">
        <v>56</v>
      </c>
      <c r="D29" s="3">
        <v>4</v>
      </c>
      <c r="E29" s="3" t="s">
        <v>16</v>
      </c>
      <c r="F29" s="3" t="s">
        <v>293</v>
      </c>
      <c r="G29" s="3" t="s">
        <v>29</v>
      </c>
      <c r="H29" s="3" t="s">
        <v>40</v>
      </c>
    </row>
    <row r="30" spans="1:8" x14ac:dyDescent="0.2">
      <c r="A30" s="3">
        <v>3080501001</v>
      </c>
      <c r="B30" s="4" t="s">
        <v>57</v>
      </c>
      <c r="C30" s="4" t="s">
        <v>1604</v>
      </c>
      <c r="D30" s="3">
        <v>2</v>
      </c>
      <c r="E30" s="3" t="s">
        <v>16</v>
      </c>
      <c r="F30" s="3" t="s">
        <v>289</v>
      </c>
      <c r="G30" s="3" t="s">
        <v>23</v>
      </c>
      <c r="H30" s="3" t="s">
        <v>40</v>
      </c>
    </row>
    <row r="31" spans="1:8" x14ac:dyDescent="0.2">
      <c r="A31" s="3">
        <v>3080501001</v>
      </c>
      <c r="B31" s="4" t="s">
        <v>57</v>
      </c>
      <c r="C31" s="4" t="s">
        <v>1604</v>
      </c>
      <c r="D31" s="3">
        <v>4</v>
      </c>
      <c r="E31" s="3" t="s">
        <v>16</v>
      </c>
      <c r="F31" s="3" t="s">
        <v>291</v>
      </c>
      <c r="G31" s="3" t="s">
        <v>26</v>
      </c>
      <c r="H31" s="3" t="s">
        <v>40</v>
      </c>
    </row>
    <row r="32" spans="1:8" x14ac:dyDescent="0.2">
      <c r="A32" s="3">
        <v>3080501013</v>
      </c>
      <c r="B32" s="4" t="s">
        <v>57</v>
      </c>
      <c r="C32" s="4" t="s">
        <v>58</v>
      </c>
      <c r="D32" s="3">
        <v>2</v>
      </c>
      <c r="E32" s="3" t="s">
        <v>16</v>
      </c>
      <c r="F32" s="3" t="s">
        <v>293</v>
      </c>
      <c r="G32" s="3" t="s">
        <v>29</v>
      </c>
      <c r="H32" s="3" t="s">
        <v>40</v>
      </c>
    </row>
    <row r="33" spans="1:8" x14ac:dyDescent="0.2">
      <c r="A33" s="3">
        <v>3080402002</v>
      </c>
      <c r="B33" s="4" t="s">
        <v>1679</v>
      </c>
      <c r="C33" s="4" t="s">
        <v>1680</v>
      </c>
      <c r="D33" s="3">
        <v>4</v>
      </c>
      <c r="E33" s="3" t="s">
        <v>16</v>
      </c>
      <c r="F33" s="3" t="s">
        <v>291</v>
      </c>
      <c r="G33" s="3" t="s">
        <v>26</v>
      </c>
      <c r="H33" s="3" t="s">
        <v>40</v>
      </c>
    </row>
    <row r="34" spans="1:8" x14ac:dyDescent="0.2">
      <c r="A34" s="3">
        <v>3080201010</v>
      </c>
      <c r="B34" s="4" t="s">
        <v>60</v>
      </c>
      <c r="C34" s="4" t="s">
        <v>64</v>
      </c>
      <c r="D34" s="3">
        <v>1</v>
      </c>
      <c r="E34" s="3" t="s">
        <v>16</v>
      </c>
      <c r="F34" s="3" t="s">
        <v>291</v>
      </c>
      <c r="G34" s="3" t="s">
        <v>26</v>
      </c>
      <c r="H34" s="3" t="s">
        <v>40</v>
      </c>
    </row>
    <row r="35" spans="1:8" x14ac:dyDescent="0.2">
      <c r="A35" s="3">
        <v>3080201007</v>
      </c>
      <c r="B35" s="4" t="s">
        <v>60</v>
      </c>
      <c r="C35" s="4" t="s">
        <v>62</v>
      </c>
      <c r="D35" s="3">
        <v>1</v>
      </c>
      <c r="E35" s="3" t="s">
        <v>16</v>
      </c>
      <c r="F35" s="3" t="s">
        <v>295</v>
      </c>
      <c r="G35" s="3" t="s">
        <v>17</v>
      </c>
      <c r="H35" s="3" t="s">
        <v>40</v>
      </c>
    </row>
    <row r="36" spans="1:8" x14ac:dyDescent="0.2">
      <c r="A36" s="3">
        <v>3080201008</v>
      </c>
      <c r="B36" s="4" t="s">
        <v>60</v>
      </c>
      <c r="C36" s="4" t="s">
        <v>63</v>
      </c>
      <c r="D36" s="3">
        <v>1</v>
      </c>
      <c r="E36" s="3" t="s">
        <v>16</v>
      </c>
      <c r="F36" s="3" t="s">
        <v>295</v>
      </c>
      <c r="G36" s="3" t="s">
        <v>17</v>
      </c>
      <c r="H36" s="3" t="s">
        <v>40</v>
      </c>
    </row>
    <row r="37" spans="1:8" x14ac:dyDescent="0.2">
      <c r="A37" s="3">
        <v>3080201010</v>
      </c>
      <c r="B37" s="4" t="s">
        <v>60</v>
      </c>
      <c r="C37" s="4" t="s">
        <v>64</v>
      </c>
      <c r="D37" s="3">
        <v>2</v>
      </c>
      <c r="E37" s="3" t="s">
        <v>16</v>
      </c>
      <c r="F37" s="3" t="s">
        <v>295</v>
      </c>
      <c r="G37" s="3" t="s">
        <v>17</v>
      </c>
      <c r="H37" s="3" t="s">
        <v>40</v>
      </c>
    </row>
    <row r="38" spans="1:8" x14ac:dyDescent="0.2">
      <c r="A38" s="3">
        <v>3080201015</v>
      </c>
      <c r="B38" s="4" t="s">
        <v>60</v>
      </c>
      <c r="C38" s="4" t="s">
        <v>65</v>
      </c>
      <c r="D38" s="3">
        <v>2</v>
      </c>
      <c r="E38" s="3" t="s">
        <v>16</v>
      </c>
      <c r="F38" s="3" t="s">
        <v>295</v>
      </c>
      <c r="G38" s="3" t="s">
        <v>17</v>
      </c>
      <c r="H38" s="3" t="s">
        <v>40</v>
      </c>
    </row>
    <row r="39" spans="1:8" x14ac:dyDescent="0.2">
      <c r="A39" s="3">
        <v>3080201016</v>
      </c>
      <c r="B39" s="4" t="s">
        <v>60</v>
      </c>
      <c r="C39" s="4" t="s">
        <v>1606</v>
      </c>
      <c r="D39" s="3">
        <v>5</v>
      </c>
      <c r="E39" s="3" t="s">
        <v>16</v>
      </c>
      <c r="F39" s="3" t="s">
        <v>289</v>
      </c>
      <c r="G39" s="3" t="s">
        <v>23</v>
      </c>
      <c r="H39" s="3" t="s">
        <v>40</v>
      </c>
    </row>
    <row r="40" spans="1:8" x14ac:dyDescent="0.2">
      <c r="A40" s="3">
        <v>3080106007</v>
      </c>
      <c r="B40" s="4" t="s">
        <v>66</v>
      </c>
      <c r="C40" s="4" t="s">
        <v>68</v>
      </c>
      <c r="D40" s="3">
        <v>1</v>
      </c>
      <c r="E40" s="3" t="s">
        <v>16</v>
      </c>
      <c r="F40" s="3" t="s">
        <v>295</v>
      </c>
      <c r="G40" s="3" t="s">
        <v>17</v>
      </c>
      <c r="H40" s="3" t="s">
        <v>40</v>
      </c>
    </row>
    <row r="41" spans="1:8" x14ac:dyDescent="0.2">
      <c r="A41" s="3">
        <v>3080107290</v>
      </c>
      <c r="B41" s="4" t="s">
        <v>69</v>
      </c>
      <c r="C41" s="4" t="s">
        <v>1609</v>
      </c>
      <c r="D41" s="3">
        <v>7</v>
      </c>
      <c r="E41" s="3" t="s">
        <v>16</v>
      </c>
      <c r="F41" s="3" t="s">
        <v>289</v>
      </c>
      <c r="G41" s="3" t="s">
        <v>23</v>
      </c>
      <c r="H41" s="3" t="s">
        <v>40</v>
      </c>
    </row>
    <row r="42" spans="1:8" x14ac:dyDescent="0.2">
      <c r="A42" s="3">
        <v>3080107031</v>
      </c>
      <c r="B42" s="4" t="s">
        <v>69</v>
      </c>
      <c r="C42" s="4" t="s">
        <v>71</v>
      </c>
      <c r="D42" s="3">
        <v>9</v>
      </c>
      <c r="E42" s="3" t="s">
        <v>16</v>
      </c>
      <c r="F42" s="3" t="s">
        <v>295</v>
      </c>
      <c r="G42" s="3" t="s">
        <v>17</v>
      </c>
      <c r="H42" s="3" t="s">
        <v>40</v>
      </c>
    </row>
    <row r="43" spans="1:8" x14ac:dyDescent="0.2">
      <c r="A43" s="3">
        <v>3080107034</v>
      </c>
      <c r="B43" s="4" t="s">
        <v>69</v>
      </c>
      <c r="C43" s="4" t="s">
        <v>429</v>
      </c>
      <c r="D43" s="3">
        <v>4</v>
      </c>
      <c r="E43" s="3" t="s">
        <v>16</v>
      </c>
      <c r="F43" s="3" t="s">
        <v>291</v>
      </c>
      <c r="G43" s="3" t="s">
        <v>26</v>
      </c>
      <c r="H43" s="3" t="s">
        <v>40</v>
      </c>
    </row>
    <row r="44" spans="1:8" x14ac:dyDescent="0.2">
      <c r="A44" s="3">
        <v>3080107010</v>
      </c>
      <c r="B44" s="4" t="s">
        <v>69</v>
      </c>
      <c r="C44" s="4" t="s">
        <v>1710</v>
      </c>
      <c r="D44" s="3">
        <v>4</v>
      </c>
      <c r="E44" s="3" t="s">
        <v>16</v>
      </c>
      <c r="F44" s="3" t="s">
        <v>293</v>
      </c>
      <c r="G44" s="3" t="s">
        <v>29</v>
      </c>
      <c r="H44" s="3" t="s">
        <v>40</v>
      </c>
    </row>
    <row r="45" spans="1:8" x14ac:dyDescent="0.2">
      <c r="A45" s="3">
        <v>3080107248</v>
      </c>
      <c r="B45" s="4" t="s">
        <v>69</v>
      </c>
      <c r="C45" s="4" t="s">
        <v>1711</v>
      </c>
      <c r="D45" s="3">
        <v>1</v>
      </c>
      <c r="E45" s="3" t="s">
        <v>16</v>
      </c>
      <c r="F45" s="3" t="s">
        <v>295</v>
      </c>
      <c r="G45" s="3" t="s">
        <v>17</v>
      </c>
      <c r="H45" s="3" t="s">
        <v>40</v>
      </c>
    </row>
    <row r="46" spans="1:8" x14ac:dyDescent="0.2">
      <c r="A46" s="3">
        <v>3080107250</v>
      </c>
      <c r="B46" s="4" t="s">
        <v>69</v>
      </c>
      <c r="C46" s="4" t="s">
        <v>1712</v>
      </c>
      <c r="D46" s="3">
        <v>1</v>
      </c>
      <c r="E46" s="3" t="s">
        <v>16</v>
      </c>
      <c r="F46" s="3" t="s">
        <v>295</v>
      </c>
      <c r="G46" s="3" t="s">
        <v>17</v>
      </c>
      <c r="H46" s="3" t="s">
        <v>40</v>
      </c>
    </row>
    <row r="47" spans="1:8" x14ac:dyDescent="0.2">
      <c r="A47" s="3">
        <v>3080107249</v>
      </c>
      <c r="B47" s="4" t="s">
        <v>69</v>
      </c>
      <c r="C47" s="4" t="s">
        <v>1713</v>
      </c>
      <c r="D47" s="3">
        <v>1</v>
      </c>
      <c r="E47" s="3" t="s">
        <v>16</v>
      </c>
      <c r="F47" s="3" t="s">
        <v>295</v>
      </c>
      <c r="G47" s="3" t="s">
        <v>17</v>
      </c>
      <c r="H47" s="3" t="s">
        <v>40</v>
      </c>
    </row>
    <row r="48" spans="1:8" x14ac:dyDescent="0.2">
      <c r="A48" s="3">
        <v>3080107066</v>
      </c>
      <c r="B48" s="4" t="s">
        <v>69</v>
      </c>
      <c r="C48" s="4" t="s">
        <v>1610</v>
      </c>
      <c r="D48" s="3">
        <v>4</v>
      </c>
      <c r="E48" s="3" t="s">
        <v>16</v>
      </c>
      <c r="F48" s="3" t="s">
        <v>289</v>
      </c>
      <c r="G48" s="3" t="s">
        <v>23</v>
      </c>
      <c r="H48" s="3" t="s">
        <v>40</v>
      </c>
    </row>
    <row r="49" spans="1:8" x14ac:dyDescent="0.2">
      <c r="A49" s="3">
        <v>3080107063</v>
      </c>
      <c r="B49" s="4" t="s">
        <v>69</v>
      </c>
      <c r="C49" s="4" t="s">
        <v>1612</v>
      </c>
      <c r="D49" s="3">
        <v>1</v>
      </c>
      <c r="E49" s="3" t="s">
        <v>16</v>
      </c>
      <c r="F49" s="3" t="s">
        <v>289</v>
      </c>
      <c r="G49" s="3" t="s">
        <v>23</v>
      </c>
      <c r="H49" s="3" t="s">
        <v>40</v>
      </c>
    </row>
    <row r="50" spans="1:8" x14ac:dyDescent="0.2">
      <c r="A50" s="3">
        <v>3080107265</v>
      </c>
      <c r="B50" s="4" t="s">
        <v>69</v>
      </c>
      <c r="C50" s="4" t="s">
        <v>1611</v>
      </c>
      <c r="D50" s="3">
        <v>4</v>
      </c>
      <c r="E50" s="3" t="s">
        <v>16</v>
      </c>
      <c r="F50" s="3" t="s">
        <v>289</v>
      </c>
      <c r="G50" s="3" t="s">
        <v>23</v>
      </c>
      <c r="H50" s="3" t="s">
        <v>40</v>
      </c>
    </row>
    <row r="51" spans="1:8" x14ac:dyDescent="0.2">
      <c r="A51" s="3">
        <v>3080108051</v>
      </c>
      <c r="B51" s="4" t="s">
        <v>77</v>
      </c>
      <c r="C51" s="4" t="s">
        <v>1683</v>
      </c>
      <c r="D51" s="3">
        <v>2</v>
      </c>
      <c r="E51" s="3" t="s">
        <v>16</v>
      </c>
      <c r="F51" s="3" t="s">
        <v>291</v>
      </c>
      <c r="G51" s="3" t="s">
        <v>26</v>
      </c>
      <c r="H51" s="3" t="s">
        <v>40</v>
      </c>
    </row>
    <row r="52" spans="1:8" x14ac:dyDescent="0.2">
      <c r="A52" s="3">
        <v>3080108036</v>
      </c>
      <c r="B52" s="4" t="s">
        <v>77</v>
      </c>
      <c r="C52" s="4" t="s">
        <v>1682</v>
      </c>
      <c r="D52" s="3">
        <v>1</v>
      </c>
      <c r="E52" s="3" t="s">
        <v>16</v>
      </c>
      <c r="F52" s="3" t="s">
        <v>291</v>
      </c>
      <c r="G52" s="3" t="s">
        <v>26</v>
      </c>
      <c r="H52" s="3" t="s">
        <v>40</v>
      </c>
    </row>
    <row r="53" spans="1:8" x14ac:dyDescent="0.2">
      <c r="A53" s="3">
        <v>3080108036</v>
      </c>
      <c r="B53" s="4" t="s">
        <v>77</v>
      </c>
      <c r="C53" s="4" t="s">
        <v>1682</v>
      </c>
      <c r="D53" s="3">
        <v>1</v>
      </c>
      <c r="E53" s="3" t="s">
        <v>16</v>
      </c>
      <c r="F53" s="3" t="s">
        <v>295</v>
      </c>
      <c r="G53" s="3" t="s">
        <v>17</v>
      </c>
      <c r="H53" s="3" t="s">
        <v>40</v>
      </c>
    </row>
    <row r="54" spans="1:8" x14ac:dyDescent="0.2">
      <c r="A54" s="3">
        <v>3080111087</v>
      </c>
      <c r="B54" s="4" t="s">
        <v>79</v>
      </c>
      <c r="C54" s="4" t="s">
        <v>80</v>
      </c>
      <c r="D54" s="3">
        <v>16</v>
      </c>
      <c r="E54" s="3" t="s">
        <v>16</v>
      </c>
      <c r="F54" s="3" t="s">
        <v>291</v>
      </c>
      <c r="G54" s="3" t="s">
        <v>26</v>
      </c>
      <c r="H54" s="3" t="s">
        <v>40</v>
      </c>
    </row>
    <row r="55" spans="1:8" x14ac:dyDescent="0.2">
      <c r="A55" s="3">
        <v>3080111032</v>
      </c>
      <c r="B55" s="4" t="s">
        <v>79</v>
      </c>
      <c r="C55" s="4" t="s">
        <v>1618</v>
      </c>
      <c r="D55" s="3">
        <v>2</v>
      </c>
      <c r="E55" s="3" t="s">
        <v>16</v>
      </c>
      <c r="F55" s="3" t="s">
        <v>289</v>
      </c>
      <c r="G55" s="3" t="s">
        <v>23</v>
      </c>
      <c r="H55" s="3" t="s">
        <v>40</v>
      </c>
    </row>
    <row r="56" spans="1:8" x14ac:dyDescent="0.2">
      <c r="A56" s="3">
        <v>3080111047</v>
      </c>
      <c r="B56" s="4" t="s">
        <v>79</v>
      </c>
      <c r="C56" s="4" t="s">
        <v>1435</v>
      </c>
      <c r="D56" s="3">
        <v>4</v>
      </c>
      <c r="E56" s="3" t="s">
        <v>16</v>
      </c>
      <c r="F56" s="3" t="s">
        <v>291</v>
      </c>
      <c r="G56" s="3" t="s">
        <v>26</v>
      </c>
      <c r="H56" s="3" t="s">
        <v>40</v>
      </c>
    </row>
    <row r="57" spans="1:8" x14ac:dyDescent="0.2">
      <c r="A57" s="3">
        <v>3080111082</v>
      </c>
      <c r="B57" s="4" t="s">
        <v>79</v>
      </c>
      <c r="C57" s="4" t="s">
        <v>1684</v>
      </c>
      <c r="D57" s="3">
        <v>2</v>
      </c>
      <c r="E57" s="3" t="s">
        <v>16</v>
      </c>
      <c r="F57" s="3" t="s">
        <v>291</v>
      </c>
      <c r="G57" s="3" t="s">
        <v>26</v>
      </c>
      <c r="H57" s="3" t="s">
        <v>40</v>
      </c>
    </row>
    <row r="58" spans="1:8" x14ac:dyDescent="0.2">
      <c r="A58" s="3">
        <v>3080111075</v>
      </c>
      <c r="B58" s="4" t="s">
        <v>79</v>
      </c>
      <c r="C58" s="4" t="s">
        <v>1714</v>
      </c>
      <c r="D58" s="3">
        <v>1</v>
      </c>
      <c r="E58" s="3" t="s">
        <v>16</v>
      </c>
      <c r="F58" s="3" t="s">
        <v>291</v>
      </c>
      <c r="G58" s="3" t="s">
        <v>26</v>
      </c>
      <c r="H58" s="3" t="s">
        <v>40</v>
      </c>
    </row>
    <row r="59" spans="1:8" x14ac:dyDescent="0.2">
      <c r="A59" s="3">
        <v>3080111030</v>
      </c>
      <c r="B59" s="4" t="s">
        <v>79</v>
      </c>
      <c r="C59" s="4" t="s">
        <v>1715</v>
      </c>
      <c r="D59" s="3">
        <v>4</v>
      </c>
      <c r="E59" s="3" t="s">
        <v>16</v>
      </c>
      <c r="F59" s="3" t="s">
        <v>295</v>
      </c>
      <c r="G59" s="3" t="s">
        <v>17</v>
      </c>
      <c r="H59" s="3" t="s">
        <v>40</v>
      </c>
    </row>
    <row r="60" spans="1:8" x14ac:dyDescent="0.2">
      <c r="A60" s="3">
        <v>3080111019</v>
      </c>
      <c r="B60" s="4" t="s">
        <v>79</v>
      </c>
      <c r="C60" s="4" t="s">
        <v>1617</v>
      </c>
      <c r="D60" s="3">
        <v>2</v>
      </c>
      <c r="E60" s="3" t="s">
        <v>16</v>
      </c>
      <c r="F60" s="3" t="s">
        <v>289</v>
      </c>
      <c r="G60" s="3" t="s">
        <v>23</v>
      </c>
      <c r="H60" s="3" t="s">
        <v>40</v>
      </c>
    </row>
    <row r="61" spans="1:8" x14ac:dyDescent="0.2">
      <c r="A61" s="3">
        <v>3080111077</v>
      </c>
      <c r="B61" s="4" t="s">
        <v>79</v>
      </c>
      <c r="C61" s="4" t="s">
        <v>1616</v>
      </c>
      <c r="D61" s="3">
        <v>4</v>
      </c>
      <c r="E61" s="3" t="s">
        <v>16</v>
      </c>
      <c r="F61" s="3" t="s">
        <v>289</v>
      </c>
      <c r="G61" s="3" t="s">
        <v>23</v>
      </c>
      <c r="H61" s="3" t="s">
        <v>40</v>
      </c>
    </row>
    <row r="62" spans="1:8" x14ac:dyDescent="0.2">
      <c r="A62" s="3">
        <v>407030095</v>
      </c>
      <c r="B62" s="4" t="s">
        <v>81</v>
      </c>
      <c r="C62" s="4" t="s">
        <v>1716</v>
      </c>
      <c r="D62" s="3">
        <v>1</v>
      </c>
      <c r="E62" s="3" t="s">
        <v>16</v>
      </c>
      <c r="F62" s="3" t="s">
        <v>301</v>
      </c>
      <c r="G62" s="3" t="s">
        <v>32</v>
      </c>
      <c r="H62" s="3" t="s">
        <v>40</v>
      </c>
    </row>
    <row r="63" spans="1:8" x14ac:dyDescent="0.2">
      <c r="A63" s="3">
        <v>3080112014</v>
      </c>
      <c r="B63" s="4" t="s">
        <v>83</v>
      </c>
      <c r="C63" s="4" t="s">
        <v>1717</v>
      </c>
      <c r="D63" s="3">
        <v>4</v>
      </c>
      <c r="E63" s="3" t="s">
        <v>16</v>
      </c>
      <c r="F63" s="3" t="s">
        <v>291</v>
      </c>
      <c r="G63" s="3" t="s">
        <v>26</v>
      </c>
      <c r="H63" s="3" t="s">
        <v>40</v>
      </c>
    </row>
    <row r="64" spans="1:8" x14ac:dyDescent="0.2">
      <c r="A64" s="3">
        <v>3080112003</v>
      </c>
      <c r="B64" s="4" t="s">
        <v>83</v>
      </c>
      <c r="C64" s="4" t="s">
        <v>85</v>
      </c>
      <c r="D64" s="3">
        <v>1</v>
      </c>
      <c r="E64" s="3" t="s">
        <v>16</v>
      </c>
      <c r="F64" s="3" t="s">
        <v>295</v>
      </c>
      <c r="G64" s="3" t="s">
        <v>17</v>
      </c>
      <c r="H64" s="3" t="s">
        <v>40</v>
      </c>
    </row>
    <row r="65" spans="1:8" x14ac:dyDescent="0.2">
      <c r="A65" s="3">
        <v>3080307001</v>
      </c>
      <c r="B65" s="4" t="s">
        <v>86</v>
      </c>
      <c r="C65" s="4" t="s">
        <v>87</v>
      </c>
      <c r="D65" s="3">
        <v>1</v>
      </c>
      <c r="E65" s="3" t="s">
        <v>16</v>
      </c>
      <c r="F65" s="3" t="s">
        <v>295</v>
      </c>
      <c r="G65" s="3" t="s">
        <v>17</v>
      </c>
      <c r="H65" s="3" t="s">
        <v>88</v>
      </c>
    </row>
    <row r="66" spans="1:8" x14ac:dyDescent="0.2">
      <c r="A66" s="3">
        <v>3080506001</v>
      </c>
      <c r="B66" s="4" t="s">
        <v>89</v>
      </c>
      <c r="C66" s="4" t="s">
        <v>90</v>
      </c>
      <c r="D66" s="3">
        <v>1</v>
      </c>
      <c r="E66" s="3" t="s">
        <v>16</v>
      </c>
      <c r="F66" s="3" t="s">
        <v>295</v>
      </c>
      <c r="G66" s="3" t="s">
        <v>17</v>
      </c>
      <c r="H66" s="3" t="s">
        <v>88</v>
      </c>
    </row>
    <row r="67" spans="1:8" x14ac:dyDescent="0.2">
      <c r="A67" s="3">
        <v>3030204002</v>
      </c>
      <c r="B67" s="4" t="s">
        <v>91</v>
      </c>
      <c r="C67" s="4" t="s">
        <v>92</v>
      </c>
      <c r="D67" s="3">
        <v>1</v>
      </c>
      <c r="E67" s="3" t="s">
        <v>16</v>
      </c>
      <c r="F67" s="3" t="s">
        <v>295</v>
      </c>
      <c r="G67" s="3" t="s">
        <v>17</v>
      </c>
      <c r="H67" s="3" t="s">
        <v>88</v>
      </c>
    </row>
    <row r="68" spans="1:8" x14ac:dyDescent="0.2">
      <c r="A68" s="3">
        <v>3030205008</v>
      </c>
      <c r="B68" s="4" t="s">
        <v>93</v>
      </c>
      <c r="C68" s="4" t="s">
        <v>1718</v>
      </c>
      <c r="D68" s="3">
        <v>1</v>
      </c>
      <c r="E68" s="3" t="s">
        <v>16</v>
      </c>
      <c r="F68" s="3" t="s">
        <v>295</v>
      </c>
      <c r="G68" s="3" t="s">
        <v>17</v>
      </c>
      <c r="H68" s="3" t="s">
        <v>88</v>
      </c>
    </row>
    <row r="69" spans="1:8" x14ac:dyDescent="0.2">
      <c r="A69" s="3">
        <v>3030208001</v>
      </c>
      <c r="B69" s="4" t="s">
        <v>95</v>
      </c>
      <c r="C69" s="4" t="s">
        <v>96</v>
      </c>
      <c r="D69" s="3">
        <v>1</v>
      </c>
      <c r="E69" s="3" t="s">
        <v>16</v>
      </c>
      <c r="F69" s="3" t="s">
        <v>295</v>
      </c>
      <c r="G69" s="3" t="s">
        <v>17</v>
      </c>
      <c r="H69" s="3" t="s">
        <v>88</v>
      </c>
    </row>
    <row r="70" spans="1:8" x14ac:dyDescent="0.2">
      <c r="A70" s="3">
        <v>3030202005</v>
      </c>
      <c r="B70" s="4" t="s">
        <v>97</v>
      </c>
      <c r="C70" s="4" t="s">
        <v>94</v>
      </c>
      <c r="D70" s="3">
        <v>1</v>
      </c>
      <c r="E70" s="3" t="s">
        <v>16</v>
      </c>
      <c r="F70" s="3" t="s">
        <v>295</v>
      </c>
      <c r="G70" s="3" t="s">
        <v>17</v>
      </c>
      <c r="H70" s="3" t="s">
        <v>88</v>
      </c>
    </row>
    <row r="71" spans="1:8" x14ac:dyDescent="0.2">
      <c r="A71" s="3">
        <v>3080201009</v>
      </c>
      <c r="B71" s="4" t="s">
        <v>60</v>
      </c>
      <c r="C71" s="4" t="s">
        <v>98</v>
      </c>
      <c r="D71" s="3">
        <v>1</v>
      </c>
      <c r="E71" s="3" t="s">
        <v>16</v>
      </c>
      <c r="F71" s="3" t="s">
        <v>295</v>
      </c>
      <c r="G71" s="3" t="s">
        <v>17</v>
      </c>
      <c r="H71" s="3" t="s">
        <v>88</v>
      </c>
    </row>
    <row r="72" spans="1:8" x14ac:dyDescent="0.2">
      <c r="A72" s="3">
        <v>3099990106</v>
      </c>
      <c r="B72" s="4" t="s">
        <v>104</v>
      </c>
      <c r="C72" s="4" t="s">
        <v>90</v>
      </c>
      <c r="D72" s="3">
        <v>1</v>
      </c>
      <c r="E72" s="3" t="s">
        <v>16</v>
      </c>
      <c r="F72" s="3" t="s">
        <v>291</v>
      </c>
      <c r="G72" s="3" t="s">
        <v>26</v>
      </c>
      <c r="H72" s="3" t="s">
        <v>103</v>
      </c>
    </row>
    <row r="73" spans="1:8" x14ac:dyDescent="0.2">
      <c r="A73" s="3">
        <v>402030026</v>
      </c>
      <c r="B73" s="4" t="s">
        <v>107</v>
      </c>
      <c r="C73" s="4" t="s">
        <v>1171</v>
      </c>
      <c r="D73" s="3">
        <v>1</v>
      </c>
      <c r="E73" s="3" t="s">
        <v>16</v>
      </c>
      <c r="F73" s="3" t="s">
        <v>289</v>
      </c>
      <c r="G73" s="3" t="s">
        <v>23</v>
      </c>
      <c r="H73" s="3" t="s">
        <v>109</v>
      </c>
    </row>
    <row r="74" spans="1:8" x14ac:dyDescent="0.2">
      <c r="A74" s="3">
        <v>402030019</v>
      </c>
      <c r="B74" s="4" t="s">
        <v>107</v>
      </c>
      <c r="C74" s="4" t="s">
        <v>638</v>
      </c>
      <c r="D74" s="3">
        <v>2</v>
      </c>
      <c r="E74" s="3" t="s">
        <v>16</v>
      </c>
      <c r="F74" s="3" t="s">
        <v>293</v>
      </c>
      <c r="G74" s="3" t="s">
        <v>29</v>
      </c>
      <c r="H74" s="3" t="s">
        <v>109</v>
      </c>
    </row>
    <row r="75" spans="1:8" x14ac:dyDescent="0.2">
      <c r="A75" s="3">
        <v>402030027</v>
      </c>
      <c r="B75" s="4" t="s">
        <v>107</v>
      </c>
      <c r="C75" s="4" t="s">
        <v>110</v>
      </c>
      <c r="D75" s="3">
        <v>1</v>
      </c>
      <c r="E75" s="3" t="s">
        <v>16</v>
      </c>
      <c r="F75" s="3" t="s">
        <v>291</v>
      </c>
      <c r="G75" s="3" t="s">
        <v>26</v>
      </c>
      <c r="H75" s="3" t="s">
        <v>109</v>
      </c>
    </row>
    <row r="76" spans="1:8" x14ac:dyDescent="0.2">
      <c r="A76" s="3">
        <v>3030204032</v>
      </c>
      <c r="B76" s="4" t="s">
        <v>116</v>
      </c>
      <c r="C76" s="4" t="s">
        <v>117</v>
      </c>
      <c r="D76" s="3">
        <v>1</v>
      </c>
      <c r="E76" s="3" t="s">
        <v>16</v>
      </c>
      <c r="F76" s="3" t="s">
        <v>295</v>
      </c>
      <c r="G76" s="3" t="s">
        <v>17</v>
      </c>
      <c r="H76" s="3" t="s">
        <v>115</v>
      </c>
    </row>
    <row r="77" spans="1:8" x14ac:dyDescent="0.2">
      <c r="A77" s="3">
        <v>3040113002</v>
      </c>
      <c r="B77" s="4" t="s">
        <v>118</v>
      </c>
      <c r="C77" s="4" t="s">
        <v>119</v>
      </c>
      <c r="D77" s="3">
        <v>2</v>
      </c>
      <c r="E77" s="3" t="s">
        <v>16</v>
      </c>
      <c r="F77" s="3" t="s">
        <v>293</v>
      </c>
      <c r="G77" s="3" t="s">
        <v>29</v>
      </c>
      <c r="H77" s="3" t="s">
        <v>115</v>
      </c>
    </row>
    <row r="78" spans="1:8" x14ac:dyDescent="0.2">
      <c r="A78" s="3">
        <v>3040216001</v>
      </c>
      <c r="B78" s="4" t="s">
        <v>328</v>
      </c>
      <c r="C78" s="4" t="s">
        <v>329</v>
      </c>
      <c r="D78" s="3">
        <v>4</v>
      </c>
      <c r="E78" s="3" t="s">
        <v>16</v>
      </c>
      <c r="F78" s="3" t="s">
        <v>293</v>
      </c>
      <c r="G78" s="3" t="s">
        <v>29</v>
      </c>
      <c r="H78" s="3" t="s">
        <v>115</v>
      </c>
    </row>
    <row r="79" spans="1:8" x14ac:dyDescent="0.2">
      <c r="A79" s="3">
        <v>3030204033</v>
      </c>
      <c r="B79" s="4" t="s">
        <v>120</v>
      </c>
      <c r="C79" s="4" t="s">
        <v>1686</v>
      </c>
      <c r="D79" s="3">
        <v>2</v>
      </c>
      <c r="E79" s="3" t="s">
        <v>16</v>
      </c>
      <c r="F79" s="3" t="s">
        <v>291</v>
      </c>
      <c r="G79" s="3" t="s">
        <v>26</v>
      </c>
      <c r="H79" s="3" t="s">
        <v>115</v>
      </c>
    </row>
    <row r="80" spans="1:8" x14ac:dyDescent="0.2">
      <c r="A80" s="3">
        <v>3030204008</v>
      </c>
      <c r="B80" s="4" t="s">
        <v>122</v>
      </c>
      <c r="C80" s="4" t="s">
        <v>123</v>
      </c>
      <c r="D80" s="3">
        <v>1</v>
      </c>
      <c r="E80" s="3" t="s">
        <v>16</v>
      </c>
      <c r="F80" s="3" t="s">
        <v>291</v>
      </c>
      <c r="G80" s="3" t="s">
        <v>26</v>
      </c>
      <c r="H80" s="3" t="s">
        <v>115</v>
      </c>
    </row>
    <row r="81" spans="1:8" x14ac:dyDescent="0.2">
      <c r="A81" s="3">
        <v>3030204010</v>
      </c>
      <c r="B81" s="4" t="s">
        <v>124</v>
      </c>
      <c r="C81" s="4" t="s">
        <v>125</v>
      </c>
      <c r="D81" s="3">
        <v>1</v>
      </c>
      <c r="E81" s="3" t="s">
        <v>16</v>
      </c>
      <c r="F81" s="3" t="s">
        <v>295</v>
      </c>
      <c r="G81" s="3" t="s">
        <v>17</v>
      </c>
      <c r="H81" s="3" t="s">
        <v>115</v>
      </c>
    </row>
    <row r="82" spans="1:8" x14ac:dyDescent="0.2">
      <c r="A82" s="3">
        <v>3030204012</v>
      </c>
      <c r="B82" s="4" t="s">
        <v>126</v>
      </c>
      <c r="C82" s="4" t="s">
        <v>127</v>
      </c>
      <c r="D82" s="3">
        <v>1</v>
      </c>
      <c r="E82" s="3" t="s">
        <v>16</v>
      </c>
      <c r="F82" s="3" t="s">
        <v>295</v>
      </c>
      <c r="G82" s="3" t="s">
        <v>17</v>
      </c>
      <c r="H82" s="3" t="s">
        <v>115</v>
      </c>
    </row>
    <row r="83" spans="1:8" x14ac:dyDescent="0.2">
      <c r="A83" s="3">
        <v>3040502080</v>
      </c>
      <c r="B83" s="4" t="s">
        <v>136</v>
      </c>
      <c r="C83" s="4" t="s">
        <v>1688</v>
      </c>
      <c r="D83" s="3">
        <v>2</v>
      </c>
      <c r="E83" s="3" t="s">
        <v>16</v>
      </c>
      <c r="F83" s="3" t="s">
        <v>293</v>
      </c>
      <c r="G83" s="3" t="s">
        <v>29</v>
      </c>
      <c r="H83" s="3" t="s">
        <v>138</v>
      </c>
    </row>
    <row r="84" spans="1:8" x14ac:dyDescent="0.2">
      <c r="A84" s="3">
        <v>407010217</v>
      </c>
      <c r="B84" s="4" t="s">
        <v>149</v>
      </c>
      <c r="C84" s="4" t="s">
        <v>1719</v>
      </c>
      <c r="D84" s="3">
        <v>1</v>
      </c>
      <c r="E84" s="3" t="s">
        <v>16</v>
      </c>
      <c r="F84" s="3" t="s">
        <v>289</v>
      </c>
      <c r="G84" s="3" t="s">
        <v>23</v>
      </c>
      <c r="H84" s="3" t="s">
        <v>151</v>
      </c>
    </row>
    <row r="85" spans="1:8" x14ac:dyDescent="0.2">
      <c r="A85" s="3">
        <v>3080503014</v>
      </c>
      <c r="B85" s="4" t="s">
        <v>14</v>
      </c>
      <c r="C85" s="4" t="s">
        <v>1720</v>
      </c>
      <c r="D85" s="3">
        <v>4</v>
      </c>
      <c r="E85" s="3" t="s">
        <v>16</v>
      </c>
      <c r="F85" s="3" t="s">
        <v>295</v>
      </c>
      <c r="G85" s="3" t="s">
        <v>17</v>
      </c>
      <c r="H85" s="3" t="s">
        <v>154</v>
      </c>
    </row>
    <row r="86" spans="1:8" x14ac:dyDescent="0.2">
      <c r="A86" s="3">
        <v>3030203004</v>
      </c>
      <c r="B86" s="4" t="s">
        <v>155</v>
      </c>
      <c r="C86" s="4" t="s">
        <v>156</v>
      </c>
      <c r="D86" s="3">
        <v>1</v>
      </c>
      <c r="E86" s="3" t="s">
        <v>16</v>
      </c>
      <c r="F86" s="3" t="s">
        <v>295</v>
      </c>
      <c r="G86" s="3" t="s">
        <v>17</v>
      </c>
      <c r="H86" s="3" t="s">
        <v>154</v>
      </c>
    </row>
    <row r="87" spans="1:8" x14ac:dyDescent="0.2">
      <c r="A87" s="3">
        <v>3040211002</v>
      </c>
      <c r="B87" s="4" t="s">
        <v>157</v>
      </c>
      <c r="C87" s="4" t="s">
        <v>158</v>
      </c>
      <c r="D87" s="3">
        <v>2</v>
      </c>
      <c r="E87" s="3" t="s">
        <v>16</v>
      </c>
      <c r="F87" s="3" t="s">
        <v>293</v>
      </c>
      <c r="G87" s="3" t="s">
        <v>29</v>
      </c>
      <c r="H87" s="3" t="s">
        <v>154</v>
      </c>
    </row>
    <row r="88" spans="1:8" x14ac:dyDescent="0.2">
      <c r="A88" s="3">
        <v>3060206004</v>
      </c>
      <c r="B88" s="4" t="s">
        <v>1624</v>
      </c>
      <c r="C88" s="4" t="s">
        <v>1625</v>
      </c>
      <c r="D88" s="3">
        <v>1</v>
      </c>
      <c r="E88" s="3" t="s">
        <v>16</v>
      </c>
      <c r="F88" s="3" t="s">
        <v>289</v>
      </c>
      <c r="G88" s="3" t="s">
        <v>23</v>
      </c>
      <c r="H88" s="3" t="s">
        <v>154</v>
      </c>
    </row>
    <row r="89" spans="1:8" x14ac:dyDescent="0.2">
      <c r="A89" s="3">
        <v>3030310016</v>
      </c>
      <c r="B89" s="4" t="s">
        <v>161</v>
      </c>
      <c r="C89" s="4" t="s">
        <v>1721</v>
      </c>
      <c r="D89" s="3">
        <v>1</v>
      </c>
      <c r="E89" s="3" t="s">
        <v>16</v>
      </c>
      <c r="F89" s="3" t="s">
        <v>295</v>
      </c>
      <c r="G89" s="3" t="s">
        <v>17</v>
      </c>
      <c r="H89" s="3" t="s">
        <v>154</v>
      </c>
    </row>
    <row r="90" spans="1:8" x14ac:dyDescent="0.2">
      <c r="A90" s="3">
        <v>3050206016</v>
      </c>
      <c r="B90" s="4" t="s">
        <v>1692</v>
      </c>
      <c r="C90" s="4" t="s">
        <v>1693</v>
      </c>
      <c r="D90" s="3">
        <v>2</v>
      </c>
      <c r="E90" s="3" t="s">
        <v>16</v>
      </c>
      <c r="F90" s="3" t="s">
        <v>291</v>
      </c>
      <c r="G90" s="3" t="s">
        <v>26</v>
      </c>
      <c r="H90" s="3" t="s">
        <v>154</v>
      </c>
    </row>
    <row r="91" spans="1:8" x14ac:dyDescent="0.2">
      <c r="A91" s="3">
        <v>3030303058</v>
      </c>
      <c r="B91" s="4" t="s">
        <v>1722</v>
      </c>
      <c r="C91" s="4" t="s">
        <v>1631</v>
      </c>
      <c r="D91" s="3">
        <v>2</v>
      </c>
      <c r="E91" s="3" t="s">
        <v>16</v>
      </c>
      <c r="F91" s="3" t="s">
        <v>295</v>
      </c>
      <c r="G91" s="3" t="s">
        <v>17</v>
      </c>
      <c r="H91" s="3" t="s">
        <v>165</v>
      </c>
    </row>
    <row r="92" spans="1:8" x14ac:dyDescent="0.2">
      <c r="A92" s="3">
        <v>3050305044</v>
      </c>
      <c r="B92" s="4" t="s">
        <v>1628</v>
      </c>
      <c r="C92" s="4" t="s">
        <v>1629</v>
      </c>
      <c r="D92" s="3">
        <v>2</v>
      </c>
      <c r="E92" s="3" t="s">
        <v>16</v>
      </c>
      <c r="F92" s="3" t="s">
        <v>291</v>
      </c>
      <c r="G92" s="3" t="s">
        <v>26</v>
      </c>
      <c r="H92" s="3" t="s">
        <v>165</v>
      </c>
    </row>
    <row r="93" spans="1:8" x14ac:dyDescent="0.2">
      <c r="A93" s="3">
        <v>3030309013</v>
      </c>
      <c r="B93" s="4" t="s">
        <v>1723</v>
      </c>
      <c r="C93" s="4" t="s">
        <v>1724</v>
      </c>
      <c r="D93" s="3">
        <v>1</v>
      </c>
      <c r="E93" s="3" t="s">
        <v>16</v>
      </c>
      <c r="F93" s="3" t="s">
        <v>295</v>
      </c>
      <c r="G93" s="3" t="s">
        <v>17</v>
      </c>
      <c r="H93" s="3" t="s">
        <v>165</v>
      </c>
    </row>
    <row r="94" spans="1:8" x14ac:dyDescent="0.2">
      <c r="A94" s="3">
        <v>3030307022</v>
      </c>
      <c r="B94" s="4" t="s">
        <v>1725</v>
      </c>
      <c r="C94" s="4" t="s">
        <v>1629</v>
      </c>
      <c r="D94" s="3">
        <v>1</v>
      </c>
      <c r="E94" s="3" t="s">
        <v>16</v>
      </c>
      <c r="F94" s="3" t="s">
        <v>295</v>
      </c>
      <c r="G94" s="3" t="s">
        <v>17</v>
      </c>
      <c r="H94" s="3" t="s">
        <v>165</v>
      </c>
    </row>
    <row r="95" spans="1:8" x14ac:dyDescent="0.2">
      <c r="A95" s="3">
        <v>3030308016</v>
      </c>
      <c r="B95" s="4" t="s">
        <v>1726</v>
      </c>
      <c r="C95" s="4" t="s">
        <v>1629</v>
      </c>
      <c r="D95" s="3">
        <v>1</v>
      </c>
      <c r="E95" s="3" t="s">
        <v>16</v>
      </c>
      <c r="F95" s="3" t="s">
        <v>295</v>
      </c>
      <c r="G95" s="3" t="s">
        <v>17</v>
      </c>
      <c r="H95" s="3" t="s">
        <v>165</v>
      </c>
    </row>
    <row r="96" spans="1:8" x14ac:dyDescent="0.2">
      <c r="A96" s="3">
        <v>3991601002</v>
      </c>
      <c r="B96" s="4" t="s">
        <v>585</v>
      </c>
      <c r="C96" s="4" t="s">
        <v>1635</v>
      </c>
      <c r="D96" s="3">
        <v>3</v>
      </c>
      <c r="E96" s="3" t="s">
        <v>16</v>
      </c>
      <c r="F96" s="3" t="s">
        <v>289</v>
      </c>
      <c r="G96" s="3" t="s">
        <v>23</v>
      </c>
      <c r="H96" s="3" t="s">
        <v>165</v>
      </c>
    </row>
    <row r="97" spans="1:8" x14ac:dyDescent="0.2">
      <c r="A97" s="3">
        <v>3030309014</v>
      </c>
      <c r="B97" s="4" t="s">
        <v>1727</v>
      </c>
      <c r="C97" s="4" t="s">
        <v>1724</v>
      </c>
      <c r="D97" s="3">
        <v>1</v>
      </c>
      <c r="E97" s="3" t="s">
        <v>16</v>
      </c>
      <c r="F97" s="3" t="s">
        <v>295</v>
      </c>
      <c r="G97" s="3" t="s">
        <v>17</v>
      </c>
      <c r="H97" s="3" t="s">
        <v>165</v>
      </c>
    </row>
    <row r="98" spans="1:8" x14ac:dyDescent="0.2">
      <c r="A98" s="3">
        <v>3030307023</v>
      </c>
      <c r="B98" s="4" t="s">
        <v>1728</v>
      </c>
      <c r="C98" s="4" t="s">
        <v>1629</v>
      </c>
      <c r="D98" s="3">
        <v>1</v>
      </c>
      <c r="E98" s="3" t="s">
        <v>16</v>
      </c>
      <c r="F98" s="3" t="s">
        <v>295</v>
      </c>
      <c r="G98" s="3" t="s">
        <v>17</v>
      </c>
      <c r="H98" s="3" t="s">
        <v>165</v>
      </c>
    </row>
    <row r="99" spans="1:8" x14ac:dyDescent="0.2">
      <c r="A99" s="3">
        <v>3030308017</v>
      </c>
      <c r="B99" s="4" t="s">
        <v>1729</v>
      </c>
      <c r="C99" s="4" t="s">
        <v>1629</v>
      </c>
      <c r="D99" s="3">
        <v>1</v>
      </c>
      <c r="E99" s="3" t="s">
        <v>16</v>
      </c>
      <c r="F99" s="3" t="s">
        <v>295</v>
      </c>
      <c r="G99" s="3" t="s">
        <v>17</v>
      </c>
      <c r="H99" s="3" t="s">
        <v>165</v>
      </c>
    </row>
    <row r="100" spans="1:8" x14ac:dyDescent="0.2">
      <c r="A100" s="3">
        <v>3030309015</v>
      </c>
      <c r="B100" s="4" t="s">
        <v>1730</v>
      </c>
      <c r="C100" s="4" t="s">
        <v>1629</v>
      </c>
      <c r="D100" s="3">
        <v>1</v>
      </c>
      <c r="E100" s="3" t="s">
        <v>16</v>
      </c>
      <c r="F100" s="3" t="s">
        <v>291</v>
      </c>
      <c r="G100" s="3" t="s">
        <v>26</v>
      </c>
      <c r="H100" s="3" t="s">
        <v>165</v>
      </c>
    </row>
    <row r="101" spans="1:8" x14ac:dyDescent="0.2">
      <c r="A101" s="3">
        <v>3030307024</v>
      </c>
      <c r="B101" s="4" t="s">
        <v>1731</v>
      </c>
      <c r="C101" s="4" t="s">
        <v>1629</v>
      </c>
      <c r="D101" s="3">
        <v>1</v>
      </c>
      <c r="E101" s="3" t="s">
        <v>16</v>
      </c>
      <c r="F101" s="3" t="s">
        <v>291</v>
      </c>
      <c r="G101" s="3" t="s">
        <v>26</v>
      </c>
      <c r="H101" s="3" t="s">
        <v>165</v>
      </c>
    </row>
    <row r="102" spans="1:8" x14ac:dyDescent="0.2">
      <c r="A102" s="3">
        <v>3030308018</v>
      </c>
      <c r="B102" s="4" t="s">
        <v>1732</v>
      </c>
      <c r="C102" s="4" t="s">
        <v>1629</v>
      </c>
      <c r="D102" s="3">
        <v>1</v>
      </c>
      <c r="E102" s="3" t="s">
        <v>16</v>
      </c>
      <c r="F102" s="3" t="s">
        <v>291</v>
      </c>
      <c r="G102" s="3" t="s">
        <v>26</v>
      </c>
      <c r="H102" s="3" t="s">
        <v>165</v>
      </c>
    </row>
    <row r="103" spans="1:8" x14ac:dyDescent="0.2">
      <c r="A103" s="3">
        <v>3030303056</v>
      </c>
      <c r="B103" s="4" t="s">
        <v>1733</v>
      </c>
      <c r="C103" s="4" t="s">
        <v>90</v>
      </c>
      <c r="D103" s="3">
        <v>1</v>
      </c>
      <c r="E103" s="3" t="s">
        <v>16</v>
      </c>
      <c r="F103" s="3" t="s">
        <v>295</v>
      </c>
      <c r="G103" s="3" t="s">
        <v>17</v>
      </c>
      <c r="H103" s="3" t="s">
        <v>173</v>
      </c>
    </row>
    <row r="104" spans="1:8" x14ac:dyDescent="0.2">
      <c r="A104" s="3">
        <v>3030303052</v>
      </c>
      <c r="B104" s="4" t="s">
        <v>175</v>
      </c>
      <c r="C104" s="4" t="s">
        <v>1631</v>
      </c>
      <c r="D104" s="3">
        <v>1</v>
      </c>
      <c r="E104" s="3" t="s">
        <v>16</v>
      </c>
      <c r="F104" s="3" t="s">
        <v>295</v>
      </c>
      <c r="G104" s="3" t="s">
        <v>17</v>
      </c>
      <c r="H104" s="3" t="s">
        <v>173</v>
      </c>
    </row>
    <row r="105" spans="1:8" x14ac:dyDescent="0.2">
      <c r="A105" s="3">
        <v>3030303053</v>
      </c>
      <c r="B105" s="4" t="s">
        <v>177</v>
      </c>
      <c r="C105" s="4" t="s">
        <v>1631</v>
      </c>
      <c r="D105" s="3">
        <v>1</v>
      </c>
      <c r="E105" s="3" t="s">
        <v>16</v>
      </c>
      <c r="F105" s="3" t="s">
        <v>295</v>
      </c>
      <c r="G105" s="3" t="s">
        <v>17</v>
      </c>
      <c r="H105" s="3" t="s">
        <v>173</v>
      </c>
    </row>
    <row r="106" spans="1:8" x14ac:dyDescent="0.2">
      <c r="A106" s="3">
        <v>3040309001</v>
      </c>
      <c r="B106" s="4" t="s">
        <v>346</v>
      </c>
      <c r="C106" s="4" t="s">
        <v>347</v>
      </c>
      <c r="D106" s="3">
        <v>8</v>
      </c>
      <c r="E106" s="3" t="s">
        <v>16</v>
      </c>
      <c r="F106" s="3" t="s">
        <v>293</v>
      </c>
      <c r="G106" s="3" t="s">
        <v>29</v>
      </c>
      <c r="H106" s="3" t="s">
        <v>173</v>
      </c>
    </row>
    <row r="107" spans="1:8" x14ac:dyDescent="0.2">
      <c r="A107" s="3">
        <v>3030310007</v>
      </c>
      <c r="B107" s="4" t="s">
        <v>178</v>
      </c>
      <c r="C107" s="4" t="s">
        <v>179</v>
      </c>
      <c r="D107" s="3">
        <v>1</v>
      </c>
      <c r="E107" s="3" t="s">
        <v>16</v>
      </c>
      <c r="F107" s="3" t="s">
        <v>295</v>
      </c>
      <c r="G107" s="3" t="s">
        <v>17</v>
      </c>
      <c r="H107" s="3" t="s">
        <v>173</v>
      </c>
    </row>
    <row r="108" spans="1:8" x14ac:dyDescent="0.2">
      <c r="A108" s="3">
        <v>3030310009</v>
      </c>
      <c r="B108" s="4" t="s">
        <v>180</v>
      </c>
      <c r="C108" s="4" t="s">
        <v>179</v>
      </c>
      <c r="D108" s="3">
        <v>1</v>
      </c>
      <c r="E108" s="3" t="s">
        <v>16</v>
      </c>
      <c r="F108" s="3" t="s">
        <v>295</v>
      </c>
      <c r="G108" s="3" t="s">
        <v>17</v>
      </c>
      <c r="H108" s="3" t="s">
        <v>173</v>
      </c>
    </row>
    <row r="109" spans="1:8" x14ac:dyDescent="0.2">
      <c r="A109" s="3">
        <v>3050304022</v>
      </c>
      <c r="B109" s="4" t="s">
        <v>181</v>
      </c>
      <c r="C109" s="4" t="s">
        <v>1631</v>
      </c>
      <c r="D109" s="3">
        <v>1</v>
      </c>
      <c r="E109" s="3" t="s">
        <v>16</v>
      </c>
      <c r="F109" s="3" t="s">
        <v>291</v>
      </c>
      <c r="G109" s="3" t="s">
        <v>26</v>
      </c>
      <c r="H109" s="3" t="s">
        <v>173</v>
      </c>
    </row>
    <row r="110" spans="1:8" x14ac:dyDescent="0.2">
      <c r="A110" s="3">
        <v>3020501004</v>
      </c>
      <c r="B110" s="4" t="s">
        <v>183</v>
      </c>
      <c r="C110" s="4" t="s">
        <v>761</v>
      </c>
      <c r="D110" s="3">
        <v>1</v>
      </c>
      <c r="E110" s="3" t="s">
        <v>16</v>
      </c>
      <c r="F110" s="3" t="s">
        <v>291</v>
      </c>
      <c r="G110" s="3" t="s">
        <v>26</v>
      </c>
      <c r="H110" s="3" t="s">
        <v>185</v>
      </c>
    </row>
    <row r="111" spans="1:8" x14ac:dyDescent="0.2">
      <c r="A111" s="3">
        <v>3110207005</v>
      </c>
      <c r="B111" s="4" t="s">
        <v>140</v>
      </c>
      <c r="C111" s="4" t="s">
        <v>1642</v>
      </c>
      <c r="D111" s="3">
        <v>1</v>
      </c>
      <c r="E111" s="3" t="s">
        <v>16</v>
      </c>
      <c r="F111" s="3" t="s">
        <v>285</v>
      </c>
      <c r="G111" s="3" t="s">
        <v>142</v>
      </c>
      <c r="H111" s="3" t="s">
        <v>187</v>
      </c>
    </row>
    <row r="112" spans="1:8" x14ac:dyDescent="0.2">
      <c r="A112" s="3">
        <v>3110201007</v>
      </c>
      <c r="B112" s="4" t="s">
        <v>186</v>
      </c>
      <c r="C112" s="4" t="s">
        <v>90</v>
      </c>
      <c r="D112" s="3">
        <v>1</v>
      </c>
      <c r="E112" s="3" t="s">
        <v>16</v>
      </c>
      <c r="F112" s="3" t="s">
        <v>295</v>
      </c>
      <c r="G112" s="3" t="s">
        <v>17</v>
      </c>
      <c r="H112" s="3" t="s">
        <v>187</v>
      </c>
    </row>
    <row r="113" spans="1:8" x14ac:dyDescent="0.2">
      <c r="A113" s="3">
        <v>3110202002</v>
      </c>
      <c r="B113" s="4" t="s">
        <v>188</v>
      </c>
      <c r="C113" s="4" t="s">
        <v>1734</v>
      </c>
      <c r="D113" s="3">
        <v>1</v>
      </c>
      <c r="E113" s="3" t="s">
        <v>16</v>
      </c>
      <c r="F113" s="3" t="s">
        <v>295</v>
      </c>
      <c r="G113" s="3" t="s">
        <v>17</v>
      </c>
      <c r="H113" s="3" t="s">
        <v>187</v>
      </c>
    </row>
    <row r="114" spans="1:8" x14ac:dyDescent="0.2">
      <c r="A114" s="3">
        <v>3110205007</v>
      </c>
      <c r="B114" s="4" t="s">
        <v>146</v>
      </c>
      <c r="C114" s="4" t="s">
        <v>1644</v>
      </c>
      <c r="D114" s="3">
        <v>1</v>
      </c>
      <c r="E114" s="3" t="s">
        <v>16</v>
      </c>
      <c r="F114" s="3" t="s">
        <v>287</v>
      </c>
      <c r="G114" s="3" t="s">
        <v>148</v>
      </c>
      <c r="H114" s="3" t="s">
        <v>187</v>
      </c>
    </row>
    <row r="115" spans="1:8" x14ac:dyDescent="0.2">
      <c r="A115" s="3">
        <v>3110203004</v>
      </c>
      <c r="B115" s="4" t="s">
        <v>189</v>
      </c>
      <c r="C115" s="4" t="s">
        <v>90</v>
      </c>
      <c r="D115" s="3">
        <v>1</v>
      </c>
      <c r="E115" s="3" t="s">
        <v>16</v>
      </c>
      <c r="F115" s="3" t="s">
        <v>291</v>
      </c>
      <c r="G115" s="3" t="s">
        <v>26</v>
      </c>
      <c r="H115" s="3" t="s">
        <v>187</v>
      </c>
    </row>
    <row r="116" spans="1:8" x14ac:dyDescent="0.2">
      <c r="A116" s="3">
        <v>3020301004</v>
      </c>
      <c r="B116" s="4" t="s">
        <v>209</v>
      </c>
      <c r="C116" s="4" t="s">
        <v>1090</v>
      </c>
      <c r="D116" s="3">
        <v>1</v>
      </c>
      <c r="E116" s="3" t="s">
        <v>16</v>
      </c>
      <c r="F116" s="3" t="s">
        <v>301</v>
      </c>
      <c r="G116" s="3" t="s">
        <v>32</v>
      </c>
      <c r="H116" s="3" t="s">
        <v>192</v>
      </c>
    </row>
    <row r="117" spans="1:8" x14ac:dyDescent="0.2">
      <c r="A117" s="3">
        <v>401070018</v>
      </c>
      <c r="B117" s="4" t="s">
        <v>35</v>
      </c>
      <c r="C117" s="4" t="s">
        <v>202</v>
      </c>
      <c r="D117" s="3">
        <v>1</v>
      </c>
      <c r="E117" s="3" t="s">
        <v>16</v>
      </c>
      <c r="F117" s="3" t="s">
        <v>291</v>
      </c>
      <c r="G117" s="3" t="s">
        <v>26</v>
      </c>
      <c r="H117" s="3" t="s">
        <v>198</v>
      </c>
    </row>
    <row r="118" spans="1:8" x14ac:dyDescent="0.2">
      <c r="A118" s="3">
        <v>401070022</v>
      </c>
      <c r="B118" s="4" t="s">
        <v>35</v>
      </c>
      <c r="C118" s="4" t="s">
        <v>203</v>
      </c>
      <c r="D118" s="3">
        <v>1</v>
      </c>
      <c r="E118" s="3" t="s">
        <v>16</v>
      </c>
      <c r="F118" s="3" t="s">
        <v>297</v>
      </c>
      <c r="G118" s="3" t="s">
        <v>204</v>
      </c>
      <c r="H118" s="3" t="s">
        <v>198</v>
      </c>
    </row>
    <row r="119" spans="1:8" x14ac:dyDescent="0.2">
      <c r="A119" s="3">
        <v>3992002002</v>
      </c>
      <c r="B119" s="4" t="s">
        <v>1735</v>
      </c>
      <c r="C119" s="4" t="s">
        <v>357</v>
      </c>
      <c r="D119" s="3">
        <v>2</v>
      </c>
      <c r="E119" s="3" t="s">
        <v>16</v>
      </c>
      <c r="F119" s="3" t="s">
        <v>295</v>
      </c>
      <c r="G119" s="3" t="s">
        <v>17</v>
      </c>
      <c r="H119" s="3" t="s">
        <v>214</v>
      </c>
    </row>
    <row r="120" spans="1:8" x14ac:dyDescent="0.2">
      <c r="A120" s="3">
        <v>3992001001</v>
      </c>
      <c r="B120" s="4" t="s">
        <v>215</v>
      </c>
      <c r="C120" s="4" t="s">
        <v>213</v>
      </c>
      <c r="D120" s="3">
        <v>2</v>
      </c>
      <c r="E120" s="3" t="s">
        <v>16</v>
      </c>
      <c r="F120" s="3" t="s">
        <v>295</v>
      </c>
      <c r="G120" s="3" t="s">
        <v>17</v>
      </c>
      <c r="H120" s="3" t="s">
        <v>214</v>
      </c>
    </row>
    <row r="121" spans="1:8" x14ac:dyDescent="0.2">
      <c r="A121" s="3">
        <v>3030201004</v>
      </c>
      <c r="B121" s="4" t="s">
        <v>216</v>
      </c>
      <c r="C121" s="4" t="s">
        <v>213</v>
      </c>
      <c r="D121" s="3">
        <v>2</v>
      </c>
      <c r="E121" s="3" t="s">
        <v>16</v>
      </c>
      <c r="F121" s="3" t="s">
        <v>295</v>
      </c>
      <c r="G121" s="3" t="s">
        <v>17</v>
      </c>
      <c r="H121" s="3" t="s">
        <v>214</v>
      </c>
    </row>
    <row r="122" spans="1:8" x14ac:dyDescent="0.2">
      <c r="A122" s="3">
        <v>3049904001</v>
      </c>
      <c r="B122" s="4" t="s">
        <v>354</v>
      </c>
      <c r="C122" s="4" t="s">
        <v>355</v>
      </c>
      <c r="D122" s="3">
        <v>4</v>
      </c>
      <c r="E122" s="3" t="s">
        <v>16</v>
      </c>
      <c r="F122" s="3" t="s">
        <v>293</v>
      </c>
      <c r="G122" s="3" t="s">
        <v>29</v>
      </c>
      <c r="H122" s="3" t="s">
        <v>214</v>
      </c>
    </row>
    <row r="123" spans="1:8" x14ac:dyDescent="0.2">
      <c r="A123" s="3">
        <v>3049905002</v>
      </c>
      <c r="B123" s="4" t="s">
        <v>1736</v>
      </c>
      <c r="C123" s="4" t="s">
        <v>357</v>
      </c>
      <c r="D123" s="3">
        <v>2</v>
      </c>
      <c r="E123" s="3" t="s">
        <v>16</v>
      </c>
      <c r="F123" s="3" t="s">
        <v>293</v>
      </c>
      <c r="G123" s="3" t="s">
        <v>29</v>
      </c>
      <c r="H123" s="3" t="s">
        <v>214</v>
      </c>
    </row>
    <row r="124" spans="1:8" x14ac:dyDescent="0.2">
      <c r="A124" s="3">
        <v>3049902005</v>
      </c>
      <c r="B124" s="4" t="s">
        <v>356</v>
      </c>
      <c r="C124" s="4" t="s">
        <v>357</v>
      </c>
      <c r="D124" s="3">
        <v>2</v>
      </c>
      <c r="E124" s="3" t="s">
        <v>16</v>
      </c>
      <c r="F124" s="3" t="s">
        <v>293</v>
      </c>
      <c r="G124" s="3" t="s">
        <v>29</v>
      </c>
      <c r="H124" s="3" t="s">
        <v>214</v>
      </c>
    </row>
    <row r="125" spans="1:8" x14ac:dyDescent="0.2">
      <c r="A125" s="3">
        <v>3040314004</v>
      </c>
      <c r="B125" s="4" t="s">
        <v>271</v>
      </c>
      <c r="C125" s="4" t="s">
        <v>1737</v>
      </c>
      <c r="D125" s="3">
        <v>2</v>
      </c>
      <c r="E125" s="3" t="s">
        <v>16</v>
      </c>
      <c r="F125" s="3" t="s">
        <v>293</v>
      </c>
      <c r="G125" s="3" t="s">
        <v>29</v>
      </c>
      <c r="H125" s="3" t="s">
        <v>214</v>
      </c>
    </row>
    <row r="126" spans="1:8" x14ac:dyDescent="0.2">
      <c r="A126" s="3">
        <v>3060403028</v>
      </c>
      <c r="B126" s="4" t="s">
        <v>190</v>
      </c>
      <c r="C126" s="4" t="s">
        <v>1738</v>
      </c>
      <c r="D126" s="3">
        <v>1</v>
      </c>
      <c r="E126" s="3" t="s">
        <v>16</v>
      </c>
      <c r="F126" s="3" t="s">
        <v>295</v>
      </c>
      <c r="G126" s="3" t="s">
        <v>17</v>
      </c>
      <c r="H126" s="3" t="s">
        <v>221</v>
      </c>
    </row>
    <row r="127" spans="1:8" x14ac:dyDescent="0.2">
      <c r="A127" s="3">
        <v>3060404030</v>
      </c>
      <c r="B127" s="4" t="s">
        <v>729</v>
      </c>
      <c r="C127" s="4" t="s">
        <v>1650</v>
      </c>
      <c r="D127" s="3">
        <v>1</v>
      </c>
      <c r="E127" s="3" t="s">
        <v>16</v>
      </c>
      <c r="F127" s="3" t="s">
        <v>289</v>
      </c>
      <c r="G127" s="3" t="s">
        <v>23</v>
      </c>
      <c r="H127" s="3" t="s">
        <v>221</v>
      </c>
    </row>
    <row r="128" spans="1:8" x14ac:dyDescent="0.2">
      <c r="A128" s="3">
        <v>3030402026</v>
      </c>
      <c r="B128" s="4" t="s">
        <v>498</v>
      </c>
      <c r="C128" s="4" t="s">
        <v>1739</v>
      </c>
      <c r="D128" s="3">
        <v>1</v>
      </c>
      <c r="E128" s="3" t="s">
        <v>16</v>
      </c>
      <c r="F128" s="3" t="s">
        <v>295</v>
      </c>
      <c r="G128" s="3" t="s">
        <v>17</v>
      </c>
      <c r="H128" s="3" t="s">
        <v>221</v>
      </c>
    </row>
    <row r="129" spans="1:8" x14ac:dyDescent="0.2">
      <c r="A129" s="3">
        <v>3040402080</v>
      </c>
      <c r="B129" s="4" t="s">
        <v>193</v>
      </c>
      <c r="C129" s="4" t="s">
        <v>1740</v>
      </c>
      <c r="D129" s="3">
        <v>1</v>
      </c>
      <c r="E129" s="3" t="s">
        <v>16</v>
      </c>
      <c r="F129" s="3" t="s">
        <v>293</v>
      </c>
      <c r="G129" s="3" t="s">
        <v>29</v>
      </c>
      <c r="H129" s="3" t="s">
        <v>221</v>
      </c>
    </row>
    <row r="130" spans="1:8" x14ac:dyDescent="0.2">
      <c r="A130" s="3">
        <v>3040402081</v>
      </c>
      <c r="B130" s="4" t="s">
        <v>193</v>
      </c>
      <c r="C130" s="4" t="s">
        <v>1741</v>
      </c>
      <c r="D130" s="3">
        <v>1</v>
      </c>
      <c r="E130" s="3" t="s">
        <v>16</v>
      </c>
      <c r="F130" s="3" t="s">
        <v>293</v>
      </c>
      <c r="G130" s="3" t="s">
        <v>29</v>
      </c>
      <c r="H130" s="3" t="s">
        <v>221</v>
      </c>
    </row>
    <row r="131" spans="1:8" x14ac:dyDescent="0.2">
      <c r="A131" s="3">
        <v>3050401038</v>
      </c>
      <c r="B131" s="4" t="s">
        <v>222</v>
      </c>
      <c r="C131" s="4" t="s">
        <v>1742</v>
      </c>
      <c r="D131" s="3">
        <v>1</v>
      </c>
      <c r="E131" s="3" t="s">
        <v>16</v>
      </c>
      <c r="F131" s="3" t="s">
        <v>291</v>
      </c>
      <c r="G131" s="3" t="s">
        <v>26</v>
      </c>
      <c r="H131" s="3" t="s">
        <v>221</v>
      </c>
    </row>
    <row r="132" spans="1:8" x14ac:dyDescent="0.2">
      <c r="A132" s="3">
        <v>3060501016</v>
      </c>
      <c r="B132" s="4" t="s">
        <v>224</v>
      </c>
      <c r="C132" s="4" t="s">
        <v>1743</v>
      </c>
      <c r="D132" s="3">
        <v>1</v>
      </c>
      <c r="E132" s="3" t="s">
        <v>16</v>
      </c>
      <c r="F132" s="3" t="s">
        <v>289</v>
      </c>
      <c r="G132" s="3" t="s">
        <v>23</v>
      </c>
      <c r="H132" s="3" t="s">
        <v>226</v>
      </c>
    </row>
    <row r="133" spans="1:8" x14ac:dyDescent="0.2">
      <c r="A133" s="3">
        <v>3030303057</v>
      </c>
      <c r="B133" s="4" t="s">
        <v>1744</v>
      </c>
      <c r="C133" s="4" t="s">
        <v>1631</v>
      </c>
      <c r="D133" s="3">
        <v>2</v>
      </c>
      <c r="E133" s="3" t="s">
        <v>16</v>
      </c>
      <c r="F133" s="3" t="s">
        <v>295</v>
      </c>
      <c r="G133" s="3" t="s">
        <v>17</v>
      </c>
      <c r="H133" s="3" t="s">
        <v>226</v>
      </c>
    </row>
    <row r="134" spans="1:8" x14ac:dyDescent="0.2">
      <c r="A134" s="3">
        <v>3060333021</v>
      </c>
      <c r="B134" s="4" t="s">
        <v>227</v>
      </c>
      <c r="C134" s="4" t="s">
        <v>1651</v>
      </c>
      <c r="D134" s="3">
        <v>1</v>
      </c>
      <c r="E134" s="3" t="s">
        <v>16</v>
      </c>
      <c r="F134" s="3" t="s">
        <v>289</v>
      </c>
      <c r="G134" s="3" t="s">
        <v>23</v>
      </c>
      <c r="H134" s="3" t="s">
        <v>226</v>
      </c>
    </row>
    <row r="135" spans="1:8" x14ac:dyDescent="0.2">
      <c r="A135" s="3">
        <v>3060335034</v>
      </c>
      <c r="B135" s="4" t="s">
        <v>233</v>
      </c>
      <c r="C135" s="4" t="s">
        <v>1652</v>
      </c>
      <c r="D135" s="3">
        <v>1</v>
      </c>
      <c r="E135" s="3" t="s">
        <v>16</v>
      </c>
      <c r="F135" s="3" t="s">
        <v>289</v>
      </c>
      <c r="G135" s="3" t="s">
        <v>23</v>
      </c>
      <c r="H135" s="3" t="s">
        <v>226</v>
      </c>
    </row>
    <row r="136" spans="1:8" x14ac:dyDescent="0.2">
      <c r="A136" s="3">
        <v>3030303055</v>
      </c>
      <c r="B136" s="4" t="s">
        <v>1745</v>
      </c>
      <c r="C136" s="4" t="s">
        <v>1746</v>
      </c>
      <c r="D136" s="3">
        <v>1</v>
      </c>
      <c r="E136" s="3" t="s">
        <v>16</v>
      </c>
      <c r="F136" s="3" t="s">
        <v>295</v>
      </c>
      <c r="G136" s="3" t="s">
        <v>17</v>
      </c>
      <c r="H136" s="3" t="s">
        <v>226</v>
      </c>
    </row>
    <row r="137" spans="1:8" x14ac:dyDescent="0.2">
      <c r="A137" s="3">
        <v>3030314001</v>
      </c>
      <c r="B137" s="4" t="s">
        <v>237</v>
      </c>
      <c r="C137" s="4" t="s">
        <v>238</v>
      </c>
      <c r="D137" s="3">
        <v>1</v>
      </c>
      <c r="E137" s="3" t="s">
        <v>16</v>
      </c>
      <c r="F137" s="3" t="s">
        <v>295</v>
      </c>
      <c r="G137" s="3" t="s">
        <v>17</v>
      </c>
      <c r="H137" s="3" t="s">
        <v>226</v>
      </c>
    </row>
    <row r="138" spans="1:8" x14ac:dyDescent="0.2">
      <c r="A138" s="3">
        <v>3030313003</v>
      </c>
      <c r="B138" s="4" t="s">
        <v>217</v>
      </c>
      <c r="C138" s="4" t="s">
        <v>544</v>
      </c>
      <c r="D138" s="3">
        <v>8</v>
      </c>
      <c r="E138" s="3" t="s">
        <v>16</v>
      </c>
      <c r="F138" s="3" t="s">
        <v>291</v>
      </c>
      <c r="G138" s="3" t="s">
        <v>26</v>
      </c>
      <c r="H138" s="3" t="s">
        <v>226</v>
      </c>
    </row>
    <row r="139" spans="1:8" x14ac:dyDescent="0.2">
      <c r="A139" s="3">
        <v>3020101004</v>
      </c>
      <c r="B139" s="4" t="s">
        <v>239</v>
      </c>
      <c r="C139" s="4" t="s">
        <v>1098</v>
      </c>
      <c r="D139" s="3">
        <v>5</v>
      </c>
      <c r="E139" s="3" t="s">
        <v>16</v>
      </c>
      <c r="F139" s="3" t="s">
        <v>297</v>
      </c>
      <c r="G139" s="3" t="s">
        <v>204</v>
      </c>
      <c r="H139" s="3" t="s">
        <v>226</v>
      </c>
    </row>
    <row r="140" spans="1:8" x14ac:dyDescent="0.2">
      <c r="A140" s="3">
        <v>3080301002</v>
      </c>
      <c r="B140" s="4" t="s">
        <v>247</v>
      </c>
      <c r="C140" s="4" t="s">
        <v>248</v>
      </c>
      <c r="D140" s="3">
        <v>1</v>
      </c>
      <c r="E140" s="3" t="s">
        <v>16</v>
      </c>
      <c r="F140" s="3" t="s">
        <v>295</v>
      </c>
      <c r="G140" s="3" t="s">
        <v>17</v>
      </c>
      <c r="H140" s="3" t="s">
        <v>249</v>
      </c>
    </row>
    <row r="141" spans="1:8" x14ac:dyDescent="0.2">
      <c r="A141" s="3">
        <v>3030306038</v>
      </c>
      <c r="B141" s="4" t="s">
        <v>235</v>
      </c>
      <c r="C141" s="4" t="s">
        <v>1660</v>
      </c>
      <c r="D141" s="3">
        <v>1</v>
      </c>
      <c r="E141" s="3" t="s">
        <v>16</v>
      </c>
      <c r="F141" s="3" t="s">
        <v>295</v>
      </c>
      <c r="G141" s="3" t="s">
        <v>17</v>
      </c>
      <c r="H141" s="3" t="s">
        <v>254</v>
      </c>
    </row>
    <row r="142" spans="1:8" x14ac:dyDescent="0.2">
      <c r="A142" s="3">
        <v>3030315001</v>
      </c>
      <c r="B142" s="4" t="s">
        <v>257</v>
      </c>
      <c r="C142" s="4" t="s">
        <v>258</v>
      </c>
      <c r="D142" s="3">
        <v>2</v>
      </c>
      <c r="E142" s="3" t="s">
        <v>16</v>
      </c>
      <c r="F142" s="3" t="s">
        <v>295</v>
      </c>
      <c r="G142" s="3" t="s">
        <v>17</v>
      </c>
      <c r="H142" s="3" t="s">
        <v>254</v>
      </c>
    </row>
    <row r="143" spans="1:8" x14ac:dyDescent="0.2">
      <c r="A143" s="3">
        <v>3030316001</v>
      </c>
      <c r="B143" s="4" t="s">
        <v>261</v>
      </c>
      <c r="C143" s="4" t="s">
        <v>262</v>
      </c>
      <c r="D143" s="3">
        <v>3</v>
      </c>
      <c r="E143" s="3" t="s">
        <v>16</v>
      </c>
      <c r="F143" s="3" t="s">
        <v>295</v>
      </c>
      <c r="G143" s="3" t="s">
        <v>17</v>
      </c>
      <c r="H143" s="3" t="s">
        <v>254</v>
      </c>
    </row>
    <row r="144" spans="1:8" x14ac:dyDescent="0.2">
      <c r="A144" s="3">
        <v>3040312007</v>
      </c>
      <c r="B144" s="4" t="s">
        <v>263</v>
      </c>
      <c r="C144" s="4" t="s">
        <v>264</v>
      </c>
      <c r="D144" s="3">
        <v>2</v>
      </c>
      <c r="E144" s="3" t="s">
        <v>16</v>
      </c>
      <c r="F144" s="3" t="s">
        <v>293</v>
      </c>
      <c r="G144" s="3" t="s">
        <v>29</v>
      </c>
      <c r="H144" s="3" t="s">
        <v>254</v>
      </c>
    </row>
    <row r="145" spans="1:8" x14ac:dyDescent="0.2">
      <c r="A145" s="3">
        <v>3040303001</v>
      </c>
      <c r="B145" s="4" t="s">
        <v>265</v>
      </c>
      <c r="C145" s="4" t="s">
        <v>266</v>
      </c>
      <c r="D145" s="3">
        <v>2</v>
      </c>
      <c r="E145" s="3" t="s">
        <v>16</v>
      </c>
      <c r="F145" s="3" t="s">
        <v>293</v>
      </c>
      <c r="G145" s="3" t="s">
        <v>29</v>
      </c>
      <c r="H145" s="3" t="s">
        <v>254</v>
      </c>
    </row>
    <row r="146" spans="1:8" x14ac:dyDescent="0.2">
      <c r="A146" s="3">
        <v>3049902004</v>
      </c>
      <c r="B146" s="4" t="s">
        <v>383</v>
      </c>
      <c r="C146" s="4" t="s">
        <v>384</v>
      </c>
      <c r="D146" s="3">
        <v>2</v>
      </c>
      <c r="E146" s="3" t="s">
        <v>16</v>
      </c>
      <c r="F146" s="3" t="s">
        <v>293</v>
      </c>
      <c r="G146" s="3" t="s">
        <v>29</v>
      </c>
      <c r="H146" s="3" t="s">
        <v>254</v>
      </c>
    </row>
    <row r="147" spans="1:8" x14ac:dyDescent="0.2">
      <c r="A147" s="3">
        <v>3040326018</v>
      </c>
      <c r="B147" s="4" t="s">
        <v>385</v>
      </c>
      <c r="C147" s="4" t="s">
        <v>384</v>
      </c>
      <c r="D147" s="3">
        <v>2</v>
      </c>
      <c r="E147" s="3" t="s">
        <v>16</v>
      </c>
      <c r="F147" s="3" t="s">
        <v>293</v>
      </c>
      <c r="G147" s="3" t="s">
        <v>29</v>
      </c>
      <c r="H147" s="3" t="s">
        <v>254</v>
      </c>
    </row>
    <row r="148" spans="1:8" x14ac:dyDescent="0.2">
      <c r="A148" s="3">
        <v>3040320035</v>
      </c>
      <c r="B148" s="4" t="s">
        <v>269</v>
      </c>
      <c r="C148" s="4" t="s">
        <v>90</v>
      </c>
      <c r="D148" s="3">
        <v>2</v>
      </c>
      <c r="E148" s="3" t="s">
        <v>16</v>
      </c>
      <c r="F148" s="3" t="s">
        <v>293</v>
      </c>
      <c r="G148" s="3" t="s">
        <v>29</v>
      </c>
      <c r="H148" s="3" t="s">
        <v>254</v>
      </c>
    </row>
    <row r="149" spans="1:8" x14ac:dyDescent="0.2">
      <c r="A149" s="3">
        <v>3030310004</v>
      </c>
      <c r="B149" s="4" t="s">
        <v>273</v>
      </c>
      <c r="C149" s="4" t="s">
        <v>274</v>
      </c>
      <c r="D149" s="3">
        <v>1</v>
      </c>
      <c r="E149" s="3" t="s">
        <v>16</v>
      </c>
      <c r="F149" s="3" t="s">
        <v>295</v>
      </c>
      <c r="G149" s="3" t="s">
        <v>17</v>
      </c>
      <c r="H149" s="3" t="s">
        <v>254</v>
      </c>
    </row>
    <row r="150" spans="1:8" x14ac:dyDescent="0.2">
      <c r="A150" s="3">
        <v>3030313004</v>
      </c>
      <c r="B150" s="4" t="s">
        <v>275</v>
      </c>
      <c r="C150" s="4" t="s">
        <v>258</v>
      </c>
      <c r="D150" s="3">
        <v>1</v>
      </c>
      <c r="E150" s="3" t="s">
        <v>16</v>
      </c>
      <c r="F150" s="3" t="s">
        <v>291</v>
      </c>
      <c r="G150" s="3" t="s">
        <v>26</v>
      </c>
      <c r="H150" s="3" t="s">
        <v>254</v>
      </c>
    </row>
    <row r="151" spans="1:8" x14ac:dyDescent="0.2">
      <c r="A151" s="3">
        <v>3030313004</v>
      </c>
      <c r="B151" s="4" t="s">
        <v>275</v>
      </c>
      <c r="C151" s="4" t="s">
        <v>258</v>
      </c>
      <c r="D151" s="3">
        <v>1</v>
      </c>
      <c r="E151" s="3" t="s">
        <v>16</v>
      </c>
      <c r="F151" s="3" t="s">
        <v>295</v>
      </c>
      <c r="G151" s="3" t="s">
        <v>17</v>
      </c>
      <c r="H151" s="3" t="s">
        <v>254</v>
      </c>
    </row>
    <row r="152" spans="1:8" x14ac:dyDescent="0.2">
      <c r="A152" s="3">
        <v>3080308001</v>
      </c>
      <c r="B152" s="4" t="s">
        <v>276</v>
      </c>
      <c r="C152" s="4" t="s">
        <v>258</v>
      </c>
      <c r="D152" s="3">
        <v>1</v>
      </c>
      <c r="E152" s="3" t="s">
        <v>16</v>
      </c>
      <c r="F152" s="3" t="s">
        <v>295</v>
      </c>
      <c r="G152" s="3" t="s">
        <v>17</v>
      </c>
      <c r="H152" s="3" t="s">
        <v>254</v>
      </c>
    </row>
    <row r="153" spans="1:8" x14ac:dyDescent="0.2">
      <c r="A153" s="3">
        <v>3050303034</v>
      </c>
      <c r="B153" s="4" t="s">
        <v>245</v>
      </c>
      <c r="C153" s="4" t="s">
        <v>1660</v>
      </c>
      <c r="D153" s="3">
        <v>1</v>
      </c>
      <c r="E153" s="3" t="s">
        <v>16</v>
      </c>
      <c r="F153" s="3" t="s">
        <v>291</v>
      </c>
      <c r="G153" s="3" t="s">
        <v>26</v>
      </c>
      <c r="H153" s="3" t="s">
        <v>254</v>
      </c>
    </row>
  </sheetData>
  <phoneticPr fontId="2" type="noConversion"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BD672-D595-4A06-BC51-BB7DD1FF5DEB}">
  <dimension ref="A1:H39"/>
  <sheetViews>
    <sheetView workbookViewId="0">
      <selection activeCell="D3" sqref="D3"/>
    </sheetView>
  </sheetViews>
  <sheetFormatPr defaultRowHeight="14.25" x14ac:dyDescent="0.2"/>
  <cols>
    <col min="1" max="1" width="11.25" customWidth="1"/>
    <col min="2" max="3" width="14.125" customWidth="1"/>
  </cols>
  <sheetData>
    <row r="1" spans="1:8" x14ac:dyDescent="0.2">
      <c r="A1" s="3" t="s">
        <v>1780</v>
      </c>
      <c r="B1" s="4"/>
      <c r="C1" s="4"/>
      <c r="D1" s="3"/>
      <c r="E1" s="3"/>
      <c r="F1" s="3"/>
      <c r="G1" s="3"/>
      <c r="H1" s="3"/>
    </row>
    <row r="2" spans="1:8" ht="28.5" x14ac:dyDescent="0.2">
      <c r="A2" s="1" t="s">
        <v>0</v>
      </c>
      <c r="B2" s="2" t="s">
        <v>1</v>
      </c>
      <c r="C2" s="2" t="s">
        <v>2</v>
      </c>
      <c r="D2" s="1" t="s">
        <v>4</v>
      </c>
      <c r="E2" s="1" t="s">
        <v>3</v>
      </c>
      <c r="F2" s="1" t="s">
        <v>5</v>
      </c>
      <c r="G2" s="1" t="s">
        <v>6</v>
      </c>
      <c r="H2" s="1" t="s">
        <v>7</v>
      </c>
    </row>
    <row r="3" spans="1:8" s="10" customFormat="1" x14ac:dyDescent="0.2">
      <c r="A3" s="8" t="s">
        <v>390</v>
      </c>
      <c r="B3" s="9" t="s">
        <v>8</v>
      </c>
      <c r="C3" s="9" t="s">
        <v>9</v>
      </c>
      <c r="D3" s="13">
        <v>0.25419999999999998</v>
      </c>
      <c r="E3" s="8" t="s">
        <v>596</v>
      </c>
      <c r="F3" s="8" t="s">
        <v>283</v>
      </c>
      <c r="G3" s="8" t="s">
        <v>13</v>
      </c>
      <c r="H3" s="8" t="s">
        <v>12</v>
      </c>
    </row>
    <row r="4" spans="1:8" x14ac:dyDescent="0.2">
      <c r="A4" s="3">
        <v>401020169</v>
      </c>
      <c r="B4" s="4" t="s">
        <v>35</v>
      </c>
      <c r="C4" s="4" t="s">
        <v>1753</v>
      </c>
      <c r="D4" s="3">
        <v>1</v>
      </c>
      <c r="E4" s="3" t="s">
        <v>16</v>
      </c>
      <c r="F4" s="3" t="s">
        <v>301</v>
      </c>
      <c r="G4" s="3" t="s">
        <v>32</v>
      </c>
      <c r="H4" s="3" t="s">
        <v>33</v>
      </c>
    </row>
    <row r="5" spans="1:8" x14ac:dyDescent="0.2">
      <c r="A5" s="3">
        <v>3080101011</v>
      </c>
      <c r="B5" s="4" t="s">
        <v>411</v>
      </c>
      <c r="C5" s="4" t="s">
        <v>1754</v>
      </c>
      <c r="D5" s="3">
        <v>3</v>
      </c>
      <c r="E5" s="3" t="s">
        <v>16</v>
      </c>
      <c r="F5" s="3" t="s">
        <v>289</v>
      </c>
      <c r="G5" s="3" t="s">
        <v>23</v>
      </c>
      <c r="H5" s="3" t="s">
        <v>40</v>
      </c>
    </row>
    <row r="6" spans="1:8" x14ac:dyDescent="0.2">
      <c r="A6" s="3">
        <v>3080101002</v>
      </c>
      <c r="B6" s="4" t="s">
        <v>411</v>
      </c>
      <c r="C6" s="4" t="s">
        <v>413</v>
      </c>
      <c r="D6" s="3">
        <v>6</v>
      </c>
      <c r="E6" s="3" t="s">
        <v>16</v>
      </c>
      <c r="F6" s="3" t="s">
        <v>289</v>
      </c>
      <c r="G6" s="3" t="s">
        <v>23</v>
      </c>
      <c r="H6" s="3" t="s">
        <v>40</v>
      </c>
    </row>
    <row r="7" spans="1:8" x14ac:dyDescent="0.2">
      <c r="A7" s="3">
        <v>3080101009</v>
      </c>
      <c r="B7" s="4" t="s">
        <v>411</v>
      </c>
      <c r="C7" s="4" t="s">
        <v>1755</v>
      </c>
      <c r="D7" s="3">
        <v>1</v>
      </c>
      <c r="E7" s="3" t="s">
        <v>16</v>
      </c>
      <c r="F7" s="3" t="s">
        <v>289</v>
      </c>
      <c r="G7" s="3" t="s">
        <v>23</v>
      </c>
      <c r="H7" s="3" t="s">
        <v>40</v>
      </c>
    </row>
    <row r="8" spans="1:8" x14ac:dyDescent="0.2">
      <c r="A8" s="3">
        <v>3080105085</v>
      </c>
      <c r="B8" s="4" t="s">
        <v>50</v>
      </c>
      <c r="C8" s="4" t="s">
        <v>864</v>
      </c>
      <c r="D8" s="3">
        <v>4</v>
      </c>
      <c r="E8" s="3" t="s">
        <v>16</v>
      </c>
      <c r="F8" s="3" t="s">
        <v>289</v>
      </c>
      <c r="G8" s="3" t="s">
        <v>23</v>
      </c>
      <c r="H8" s="3" t="s">
        <v>40</v>
      </c>
    </row>
    <row r="9" spans="1:8" x14ac:dyDescent="0.2">
      <c r="A9" s="3">
        <v>3080105070</v>
      </c>
      <c r="B9" s="4" t="s">
        <v>50</v>
      </c>
      <c r="C9" s="4" t="s">
        <v>1160</v>
      </c>
      <c r="D9" s="3">
        <v>2</v>
      </c>
      <c r="E9" s="3" t="s">
        <v>16</v>
      </c>
      <c r="F9" s="3" t="s">
        <v>289</v>
      </c>
      <c r="G9" s="3" t="s">
        <v>23</v>
      </c>
      <c r="H9" s="3" t="s">
        <v>40</v>
      </c>
    </row>
    <row r="10" spans="1:8" x14ac:dyDescent="0.2">
      <c r="A10" s="3">
        <v>3080501007</v>
      </c>
      <c r="B10" s="4" t="s">
        <v>57</v>
      </c>
      <c r="C10" s="4" t="s">
        <v>1756</v>
      </c>
      <c r="D10" s="3">
        <v>2</v>
      </c>
      <c r="E10" s="3" t="s">
        <v>16</v>
      </c>
      <c r="F10" s="3" t="s">
        <v>291</v>
      </c>
      <c r="G10" s="3" t="s">
        <v>26</v>
      </c>
      <c r="H10" s="3" t="s">
        <v>40</v>
      </c>
    </row>
    <row r="11" spans="1:8" x14ac:dyDescent="0.2">
      <c r="A11" s="3">
        <v>3080107305</v>
      </c>
      <c r="B11" s="4" t="s">
        <v>69</v>
      </c>
      <c r="C11" s="4" t="s">
        <v>434</v>
      </c>
      <c r="D11" s="3">
        <v>4</v>
      </c>
      <c r="E11" s="3" t="s">
        <v>16</v>
      </c>
      <c r="F11" s="3" t="s">
        <v>289</v>
      </c>
      <c r="G11" s="3" t="s">
        <v>23</v>
      </c>
      <c r="H11" s="3" t="s">
        <v>40</v>
      </c>
    </row>
    <row r="12" spans="1:8" x14ac:dyDescent="0.2">
      <c r="A12" s="3">
        <v>3080107218</v>
      </c>
      <c r="B12" s="4" t="s">
        <v>69</v>
      </c>
      <c r="C12" s="4" t="s">
        <v>1757</v>
      </c>
      <c r="D12" s="3">
        <v>1</v>
      </c>
      <c r="E12" s="3" t="s">
        <v>16</v>
      </c>
      <c r="F12" s="3" t="s">
        <v>291</v>
      </c>
      <c r="G12" s="3" t="s">
        <v>26</v>
      </c>
      <c r="H12" s="3" t="s">
        <v>40</v>
      </c>
    </row>
    <row r="13" spans="1:8" x14ac:dyDescent="0.2">
      <c r="A13" s="3">
        <v>3080107219</v>
      </c>
      <c r="B13" s="4" t="s">
        <v>69</v>
      </c>
      <c r="C13" s="4" t="s">
        <v>1758</v>
      </c>
      <c r="D13" s="3">
        <v>1</v>
      </c>
      <c r="E13" s="3" t="s">
        <v>16</v>
      </c>
      <c r="F13" s="3" t="s">
        <v>291</v>
      </c>
      <c r="G13" s="3" t="s">
        <v>26</v>
      </c>
      <c r="H13" s="3" t="s">
        <v>40</v>
      </c>
    </row>
    <row r="14" spans="1:8" x14ac:dyDescent="0.2">
      <c r="A14" s="3">
        <v>3080111045</v>
      </c>
      <c r="B14" s="4" t="s">
        <v>79</v>
      </c>
      <c r="C14" s="4" t="s">
        <v>1759</v>
      </c>
      <c r="D14" s="3">
        <v>16</v>
      </c>
      <c r="E14" s="3" t="s">
        <v>16</v>
      </c>
      <c r="F14" s="3" t="s">
        <v>291</v>
      </c>
      <c r="G14" s="3" t="s">
        <v>26</v>
      </c>
      <c r="H14" s="3" t="s">
        <v>40</v>
      </c>
    </row>
    <row r="15" spans="1:8" x14ac:dyDescent="0.2">
      <c r="A15" s="3">
        <v>3099991107</v>
      </c>
      <c r="B15" s="4" t="s">
        <v>1169</v>
      </c>
      <c r="C15" s="4" t="s">
        <v>1760</v>
      </c>
      <c r="D15" s="3">
        <v>1</v>
      </c>
      <c r="E15" s="3" t="s">
        <v>16</v>
      </c>
      <c r="F15" s="3" t="s">
        <v>299</v>
      </c>
      <c r="G15" s="3" t="s">
        <v>106</v>
      </c>
      <c r="H15" s="3" t="s">
        <v>103</v>
      </c>
    </row>
    <row r="16" spans="1:8" x14ac:dyDescent="0.2">
      <c r="A16" s="3">
        <v>3099990112</v>
      </c>
      <c r="B16" s="4" t="s">
        <v>104</v>
      </c>
      <c r="C16" s="4" t="s">
        <v>1760</v>
      </c>
      <c r="D16" s="3">
        <v>1</v>
      </c>
      <c r="E16" s="3" t="s">
        <v>16</v>
      </c>
      <c r="F16" s="3" t="s">
        <v>299</v>
      </c>
      <c r="G16" s="3" t="s">
        <v>106</v>
      </c>
      <c r="H16" s="3" t="s">
        <v>103</v>
      </c>
    </row>
    <row r="17" spans="1:8" x14ac:dyDescent="0.2">
      <c r="A17" s="3">
        <v>402030027</v>
      </c>
      <c r="B17" s="4" t="s">
        <v>107</v>
      </c>
      <c r="C17" s="4" t="s">
        <v>110</v>
      </c>
      <c r="D17" s="3">
        <v>1</v>
      </c>
      <c r="E17" s="3" t="s">
        <v>16</v>
      </c>
      <c r="F17" s="3" t="s">
        <v>289</v>
      </c>
      <c r="G17" s="3" t="s">
        <v>23</v>
      </c>
      <c r="H17" s="3" t="s">
        <v>109</v>
      </c>
    </row>
    <row r="18" spans="1:8" x14ac:dyDescent="0.2">
      <c r="A18" s="3">
        <v>402030027</v>
      </c>
      <c r="B18" s="4" t="s">
        <v>107</v>
      </c>
      <c r="C18" s="4" t="s">
        <v>110</v>
      </c>
      <c r="D18" s="3">
        <v>1</v>
      </c>
      <c r="E18" s="3" t="s">
        <v>16</v>
      </c>
      <c r="F18" s="3" t="s">
        <v>291</v>
      </c>
      <c r="G18" s="3" t="s">
        <v>26</v>
      </c>
      <c r="H18" s="3" t="s">
        <v>109</v>
      </c>
    </row>
    <row r="19" spans="1:8" x14ac:dyDescent="0.2">
      <c r="A19" s="3">
        <v>3110207002</v>
      </c>
      <c r="B19" s="4" t="s">
        <v>140</v>
      </c>
      <c r="C19" s="4" t="s">
        <v>1761</v>
      </c>
      <c r="D19" s="3">
        <v>1</v>
      </c>
      <c r="E19" s="3" t="s">
        <v>16</v>
      </c>
      <c r="F19" s="3" t="s">
        <v>285</v>
      </c>
      <c r="G19" s="3" t="s">
        <v>142</v>
      </c>
      <c r="H19" s="3" t="s">
        <v>143</v>
      </c>
    </row>
    <row r="20" spans="1:8" x14ac:dyDescent="0.2">
      <c r="A20" s="3">
        <v>3990205003</v>
      </c>
      <c r="B20" s="4" t="s">
        <v>146</v>
      </c>
      <c r="C20" s="4" t="s">
        <v>460</v>
      </c>
      <c r="D20" s="3">
        <v>1</v>
      </c>
      <c r="E20" s="3" t="s">
        <v>16</v>
      </c>
      <c r="F20" s="3" t="s">
        <v>287</v>
      </c>
      <c r="G20" s="3" t="s">
        <v>148</v>
      </c>
      <c r="H20" s="3" t="s">
        <v>143</v>
      </c>
    </row>
    <row r="21" spans="1:8" x14ac:dyDescent="0.2">
      <c r="A21" s="3">
        <v>408990161</v>
      </c>
      <c r="B21" s="4" t="s">
        <v>1284</v>
      </c>
      <c r="C21" s="4" t="s">
        <v>1285</v>
      </c>
      <c r="D21" s="3">
        <v>1</v>
      </c>
      <c r="E21" s="3" t="s">
        <v>16</v>
      </c>
      <c r="F21" s="3" t="s">
        <v>291</v>
      </c>
      <c r="G21" s="3" t="s">
        <v>26</v>
      </c>
      <c r="H21" s="3" t="s">
        <v>151</v>
      </c>
    </row>
    <row r="22" spans="1:8" x14ac:dyDescent="0.2">
      <c r="A22" s="3">
        <v>408030019</v>
      </c>
      <c r="B22" s="4" t="s">
        <v>1286</v>
      </c>
      <c r="C22" s="4" t="s">
        <v>1287</v>
      </c>
      <c r="D22" s="3">
        <v>1</v>
      </c>
      <c r="E22" s="3" t="s">
        <v>16</v>
      </c>
      <c r="F22" s="3" t="s">
        <v>291</v>
      </c>
      <c r="G22" s="3" t="s">
        <v>26</v>
      </c>
      <c r="H22" s="3" t="s">
        <v>151</v>
      </c>
    </row>
    <row r="23" spans="1:8" x14ac:dyDescent="0.2">
      <c r="A23" s="3">
        <v>408040029</v>
      </c>
      <c r="B23" s="4" t="s">
        <v>1288</v>
      </c>
      <c r="C23" s="4" t="s">
        <v>1287</v>
      </c>
      <c r="D23" s="3">
        <v>1</v>
      </c>
      <c r="E23" s="3" t="s">
        <v>16</v>
      </c>
      <c r="F23" s="3" t="s">
        <v>291</v>
      </c>
      <c r="G23" s="3" t="s">
        <v>26</v>
      </c>
      <c r="H23" s="3" t="s">
        <v>151</v>
      </c>
    </row>
    <row r="24" spans="1:8" x14ac:dyDescent="0.2">
      <c r="A24" s="3">
        <v>3050210027</v>
      </c>
      <c r="B24" s="4" t="s">
        <v>1762</v>
      </c>
      <c r="C24" s="4" t="s">
        <v>1763</v>
      </c>
      <c r="D24" s="3">
        <v>1</v>
      </c>
      <c r="E24" s="3" t="s">
        <v>16</v>
      </c>
      <c r="F24" s="3" t="s">
        <v>291</v>
      </c>
      <c r="G24" s="3" t="s">
        <v>26</v>
      </c>
      <c r="H24" s="3" t="s">
        <v>154</v>
      </c>
    </row>
    <row r="25" spans="1:8" x14ac:dyDescent="0.2">
      <c r="A25" s="3">
        <v>403030050</v>
      </c>
      <c r="B25" s="4" t="s">
        <v>366</v>
      </c>
      <c r="C25" s="4" t="s">
        <v>1764</v>
      </c>
      <c r="D25" s="3">
        <v>1</v>
      </c>
      <c r="E25" s="3" t="s">
        <v>16</v>
      </c>
      <c r="F25" s="3" t="s">
        <v>301</v>
      </c>
      <c r="G25" s="3" t="s">
        <v>32</v>
      </c>
      <c r="H25" s="3" t="s">
        <v>198</v>
      </c>
    </row>
    <row r="26" spans="1:8" x14ac:dyDescent="0.2">
      <c r="A26" s="3">
        <v>408120011</v>
      </c>
      <c r="B26" s="4" t="s">
        <v>525</v>
      </c>
      <c r="C26" s="4" t="s">
        <v>1765</v>
      </c>
      <c r="D26" s="3">
        <v>4</v>
      </c>
      <c r="E26" s="3" t="s">
        <v>16</v>
      </c>
      <c r="F26" s="3" t="s">
        <v>289</v>
      </c>
      <c r="G26" s="3" t="s">
        <v>23</v>
      </c>
      <c r="H26" s="3" t="s">
        <v>524</v>
      </c>
    </row>
    <row r="27" spans="1:8" x14ac:dyDescent="0.2">
      <c r="A27" s="3">
        <v>408120019</v>
      </c>
      <c r="B27" s="4" t="s">
        <v>525</v>
      </c>
      <c r="C27" s="4" t="s">
        <v>1766</v>
      </c>
      <c r="D27" s="3">
        <v>2</v>
      </c>
      <c r="E27" s="3" t="s">
        <v>16</v>
      </c>
      <c r="F27" s="3" t="s">
        <v>289</v>
      </c>
      <c r="G27" s="3" t="s">
        <v>23</v>
      </c>
      <c r="H27" s="3" t="s">
        <v>524</v>
      </c>
    </row>
    <row r="28" spans="1:8" x14ac:dyDescent="0.2">
      <c r="A28" s="3">
        <v>408120032</v>
      </c>
      <c r="B28" s="4" t="s">
        <v>525</v>
      </c>
      <c r="C28" s="4" t="s">
        <v>1210</v>
      </c>
      <c r="D28" s="3">
        <v>10</v>
      </c>
      <c r="E28" s="3" t="s">
        <v>16</v>
      </c>
      <c r="F28" s="3" t="s">
        <v>289</v>
      </c>
      <c r="G28" s="3" t="s">
        <v>23</v>
      </c>
      <c r="H28" s="3" t="s">
        <v>524</v>
      </c>
    </row>
    <row r="29" spans="1:8" x14ac:dyDescent="0.2">
      <c r="A29" s="3">
        <v>3060333013</v>
      </c>
      <c r="B29" s="4" t="s">
        <v>227</v>
      </c>
      <c r="C29" s="4" t="s">
        <v>1767</v>
      </c>
      <c r="D29" s="3">
        <v>1</v>
      </c>
      <c r="E29" s="3" t="s">
        <v>16</v>
      </c>
      <c r="F29" s="3" t="s">
        <v>289</v>
      </c>
      <c r="G29" s="3" t="s">
        <v>23</v>
      </c>
      <c r="H29" s="3" t="s">
        <v>226</v>
      </c>
    </row>
    <row r="30" spans="1:8" x14ac:dyDescent="0.2">
      <c r="A30" s="3">
        <v>3060311003</v>
      </c>
      <c r="B30" s="4" t="s">
        <v>1768</v>
      </c>
      <c r="C30" s="4" t="s">
        <v>1769</v>
      </c>
      <c r="D30" s="3">
        <v>1</v>
      </c>
      <c r="E30" s="3" t="s">
        <v>16</v>
      </c>
      <c r="F30" s="3" t="s">
        <v>289</v>
      </c>
      <c r="G30" s="3" t="s">
        <v>23</v>
      </c>
      <c r="H30" s="3" t="s">
        <v>226</v>
      </c>
    </row>
    <row r="31" spans="1:8" x14ac:dyDescent="0.2">
      <c r="A31" s="3">
        <v>3060310003</v>
      </c>
      <c r="B31" s="4" t="s">
        <v>1770</v>
      </c>
      <c r="C31" s="4" t="s">
        <v>1769</v>
      </c>
      <c r="D31" s="3">
        <v>1</v>
      </c>
      <c r="E31" s="3" t="s">
        <v>16</v>
      </c>
      <c r="F31" s="3" t="s">
        <v>289</v>
      </c>
      <c r="G31" s="3" t="s">
        <v>23</v>
      </c>
      <c r="H31" s="3" t="s">
        <v>226</v>
      </c>
    </row>
    <row r="32" spans="1:8" x14ac:dyDescent="0.2">
      <c r="A32" s="3">
        <v>3040327005</v>
      </c>
      <c r="B32" s="4" t="s">
        <v>500</v>
      </c>
      <c r="C32" s="4" t="s">
        <v>1771</v>
      </c>
      <c r="D32" s="3">
        <v>1</v>
      </c>
      <c r="E32" s="3" t="s">
        <v>16</v>
      </c>
      <c r="F32" s="3" t="s">
        <v>291</v>
      </c>
      <c r="G32" s="3" t="s">
        <v>26</v>
      </c>
      <c r="H32" s="3" t="s">
        <v>226</v>
      </c>
    </row>
    <row r="33" spans="1:8" x14ac:dyDescent="0.2">
      <c r="A33" s="3">
        <v>3040327004</v>
      </c>
      <c r="B33" s="4" t="s">
        <v>500</v>
      </c>
      <c r="C33" s="4" t="s">
        <v>1772</v>
      </c>
      <c r="D33" s="3">
        <v>1</v>
      </c>
      <c r="E33" s="3" t="s">
        <v>16</v>
      </c>
      <c r="F33" s="3" t="s">
        <v>291</v>
      </c>
      <c r="G33" s="3" t="s">
        <v>26</v>
      </c>
      <c r="H33" s="3" t="s">
        <v>226</v>
      </c>
    </row>
    <row r="34" spans="1:8" x14ac:dyDescent="0.2">
      <c r="A34" s="3">
        <v>3040304003</v>
      </c>
      <c r="B34" s="4" t="s">
        <v>1773</v>
      </c>
      <c r="C34" s="4" t="s">
        <v>1774</v>
      </c>
      <c r="D34" s="3">
        <v>2</v>
      </c>
      <c r="E34" s="3" t="s">
        <v>16</v>
      </c>
      <c r="F34" s="3" t="s">
        <v>291</v>
      </c>
      <c r="G34" s="3" t="s">
        <v>26</v>
      </c>
      <c r="H34" s="3" t="s">
        <v>226</v>
      </c>
    </row>
    <row r="35" spans="1:8" x14ac:dyDescent="0.2">
      <c r="A35" s="3">
        <v>3110104003</v>
      </c>
      <c r="B35" s="4" t="s">
        <v>1775</v>
      </c>
      <c r="C35" s="4" t="s">
        <v>1776</v>
      </c>
      <c r="D35" s="3">
        <v>4</v>
      </c>
      <c r="E35" s="3" t="s">
        <v>16</v>
      </c>
      <c r="F35" s="3" t="s">
        <v>289</v>
      </c>
      <c r="G35" s="3" t="s">
        <v>23</v>
      </c>
      <c r="H35" s="3" t="s">
        <v>226</v>
      </c>
    </row>
    <row r="36" spans="1:8" x14ac:dyDescent="0.2">
      <c r="A36" s="3">
        <v>3020101007</v>
      </c>
      <c r="B36" s="4" t="s">
        <v>239</v>
      </c>
      <c r="C36" s="4" t="s">
        <v>1777</v>
      </c>
      <c r="D36" s="3">
        <v>4</v>
      </c>
      <c r="E36" s="3" t="s">
        <v>16</v>
      </c>
      <c r="F36" s="3" t="s">
        <v>301</v>
      </c>
      <c r="G36" s="3" t="s">
        <v>32</v>
      </c>
      <c r="H36" s="3" t="s">
        <v>226</v>
      </c>
    </row>
    <row r="37" spans="1:8" x14ac:dyDescent="0.2">
      <c r="A37" s="3">
        <v>3991601007</v>
      </c>
      <c r="B37" s="4" t="s">
        <v>585</v>
      </c>
      <c r="C37" s="4" t="s">
        <v>1229</v>
      </c>
      <c r="D37" s="3">
        <v>10</v>
      </c>
      <c r="E37" s="3" t="s">
        <v>16</v>
      </c>
      <c r="F37" s="3" t="s">
        <v>289</v>
      </c>
      <c r="G37" s="3" t="s">
        <v>23</v>
      </c>
      <c r="H37" s="3" t="s">
        <v>226</v>
      </c>
    </row>
    <row r="38" spans="1:8" x14ac:dyDescent="0.2">
      <c r="A38" s="3">
        <v>3050304017</v>
      </c>
      <c r="B38" s="4" t="s">
        <v>181</v>
      </c>
      <c r="C38" s="4" t="s">
        <v>1778</v>
      </c>
      <c r="D38" s="3">
        <v>1</v>
      </c>
      <c r="E38" s="3" t="s">
        <v>16</v>
      </c>
      <c r="F38" s="3" t="s">
        <v>291</v>
      </c>
      <c r="G38" s="3" t="s">
        <v>26</v>
      </c>
      <c r="H38" s="3" t="s">
        <v>226</v>
      </c>
    </row>
    <row r="39" spans="1:8" x14ac:dyDescent="0.2">
      <c r="A39" s="3">
        <v>3050303020</v>
      </c>
      <c r="B39" s="4" t="s">
        <v>245</v>
      </c>
      <c r="C39" s="4" t="s">
        <v>1779</v>
      </c>
      <c r="D39" s="3">
        <v>1</v>
      </c>
      <c r="E39" s="3" t="s">
        <v>16</v>
      </c>
      <c r="F39" s="3" t="s">
        <v>291</v>
      </c>
      <c r="G39" s="3" t="s">
        <v>26</v>
      </c>
      <c r="H39" s="3" t="s">
        <v>226</v>
      </c>
    </row>
  </sheetData>
  <phoneticPr fontId="2" type="noConversion"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9C79A-2695-44C0-BFE3-299FADD46970}">
  <dimension ref="A1:H43"/>
  <sheetViews>
    <sheetView workbookViewId="0">
      <selection activeCell="M19" sqref="M19"/>
    </sheetView>
  </sheetViews>
  <sheetFormatPr defaultRowHeight="14.25" x14ac:dyDescent="0.2"/>
  <cols>
    <col min="1" max="1" width="11.875" customWidth="1"/>
    <col min="2" max="3" width="14" customWidth="1"/>
  </cols>
  <sheetData>
    <row r="1" spans="1:8" x14ac:dyDescent="0.2">
      <c r="A1" s="3" t="s">
        <v>1803</v>
      </c>
      <c r="B1" s="4"/>
      <c r="C1" s="4"/>
      <c r="D1" s="3"/>
      <c r="E1" s="3"/>
      <c r="F1" s="3"/>
      <c r="G1" s="3"/>
      <c r="H1" s="3"/>
    </row>
    <row r="2" spans="1:8" ht="28.5" x14ac:dyDescent="0.2">
      <c r="A2" s="1" t="s">
        <v>0</v>
      </c>
      <c r="B2" s="2" t="s">
        <v>1</v>
      </c>
      <c r="C2" s="2" t="s">
        <v>2</v>
      </c>
      <c r="D2" s="1" t="s">
        <v>4</v>
      </c>
      <c r="E2" s="1" t="s">
        <v>3</v>
      </c>
      <c r="F2" s="1" t="s">
        <v>5</v>
      </c>
      <c r="G2" s="1" t="s">
        <v>6</v>
      </c>
      <c r="H2" s="1" t="s">
        <v>7</v>
      </c>
    </row>
    <row r="3" spans="1:8" s="10" customFormat="1" x14ac:dyDescent="0.2">
      <c r="A3" s="8" t="s">
        <v>390</v>
      </c>
      <c r="B3" s="9" t="s">
        <v>8</v>
      </c>
      <c r="C3" s="9" t="s">
        <v>9</v>
      </c>
      <c r="D3" s="13">
        <f>0.2273/0.94</f>
        <v>0.24180851063829789</v>
      </c>
      <c r="E3" s="8" t="s">
        <v>596</v>
      </c>
      <c r="F3" s="8" t="s">
        <v>283</v>
      </c>
      <c r="G3" s="8" t="s">
        <v>13</v>
      </c>
      <c r="H3" s="8" t="s">
        <v>12</v>
      </c>
    </row>
    <row r="4" spans="1:8" x14ac:dyDescent="0.2">
      <c r="A4" s="3">
        <v>403010052</v>
      </c>
      <c r="B4" s="4" t="s">
        <v>684</v>
      </c>
      <c r="C4" s="4" t="s">
        <v>1781</v>
      </c>
      <c r="D4" s="3">
        <v>1</v>
      </c>
      <c r="E4" s="3" t="s">
        <v>16</v>
      </c>
      <c r="F4" s="3" t="s">
        <v>301</v>
      </c>
      <c r="G4" s="3" t="s">
        <v>32</v>
      </c>
      <c r="H4" s="3" t="s">
        <v>306</v>
      </c>
    </row>
    <row r="5" spans="1:8" x14ac:dyDescent="0.2">
      <c r="A5" s="3">
        <v>3060211001</v>
      </c>
      <c r="B5" s="4" t="s">
        <v>1782</v>
      </c>
      <c r="C5" s="4" t="s">
        <v>22</v>
      </c>
      <c r="D5" s="3">
        <v>1</v>
      </c>
      <c r="E5" s="3" t="s">
        <v>16</v>
      </c>
      <c r="F5" s="3" t="s">
        <v>289</v>
      </c>
      <c r="G5" s="3" t="s">
        <v>23</v>
      </c>
      <c r="H5" s="3" t="s">
        <v>18</v>
      </c>
    </row>
    <row r="6" spans="1:8" x14ac:dyDescent="0.2">
      <c r="A6" s="3">
        <v>401020127</v>
      </c>
      <c r="B6" s="4" t="s">
        <v>35</v>
      </c>
      <c r="C6" s="4" t="s">
        <v>1783</v>
      </c>
      <c r="D6" s="3">
        <v>1</v>
      </c>
      <c r="E6" s="3" t="s">
        <v>16</v>
      </c>
      <c r="F6" s="3" t="s">
        <v>301</v>
      </c>
      <c r="G6" s="3" t="s">
        <v>32</v>
      </c>
      <c r="H6" s="3" t="s">
        <v>33</v>
      </c>
    </row>
    <row r="7" spans="1:8" x14ac:dyDescent="0.2">
      <c r="A7" s="3">
        <v>409010005</v>
      </c>
      <c r="B7" s="4" t="s">
        <v>1784</v>
      </c>
      <c r="C7" s="4" t="s">
        <v>1785</v>
      </c>
      <c r="D7" s="3">
        <v>1</v>
      </c>
      <c r="E7" s="3" t="s">
        <v>16</v>
      </c>
      <c r="F7" s="3" t="s">
        <v>301</v>
      </c>
      <c r="G7" s="3" t="s">
        <v>32</v>
      </c>
      <c r="H7" s="3" t="s">
        <v>40</v>
      </c>
    </row>
    <row r="8" spans="1:8" x14ac:dyDescent="0.2">
      <c r="A8" s="3">
        <v>3080105114</v>
      </c>
      <c r="B8" s="4" t="s">
        <v>50</v>
      </c>
      <c r="C8" s="4" t="s">
        <v>53</v>
      </c>
      <c r="D8" s="3">
        <v>4</v>
      </c>
      <c r="E8" s="3" t="s">
        <v>16</v>
      </c>
      <c r="F8" s="3" t="s">
        <v>289</v>
      </c>
      <c r="G8" s="3" t="s">
        <v>23</v>
      </c>
      <c r="H8" s="3" t="s">
        <v>40</v>
      </c>
    </row>
    <row r="9" spans="1:8" x14ac:dyDescent="0.2">
      <c r="A9" s="3">
        <v>3080105114</v>
      </c>
      <c r="B9" s="4" t="s">
        <v>50</v>
      </c>
      <c r="C9" s="4" t="s">
        <v>53</v>
      </c>
      <c r="D9" s="3">
        <v>4</v>
      </c>
      <c r="E9" s="3" t="s">
        <v>16</v>
      </c>
      <c r="F9" s="3" t="s">
        <v>289</v>
      </c>
      <c r="G9" s="3" t="s">
        <v>23</v>
      </c>
      <c r="H9" s="3" t="s">
        <v>40</v>
      </c>
    </row>
    <row r="10" spans="1:8" x14ac:dyDescent="0.2">
      <c r="A10" s="3">
        <v>3080105007</v>
      </c>
      <c r="B10" s="4" t="s">
        <v>50</v>
      </c>
      <c r="C10" s="4" t="s">
        <v>52</v>
      </c>
      <c r="D10" s="3">
        <v>8</v>
      </c>
      <c r="E10" s="3" t="s">
        <v>16</v>
      </c>
      <c r="F10" s="3" t="s">
        <v>289</v>
      </c>
      <c r="G10" s="3" t="s">
        <v>23</v>
      </c>
      <c r="H10" s="3" t="s">
        <v>40</v>
      </c>
    </row>
    <row r="11" spans="1:8" x14ac:dyDescent="0.2">
      <c r="A11" s="3">
        <v>3080105004</v>
      </c>
      <c r="B11" s="4" t="s">
        <v>50</v>
      </c>
      <c r="C11" s="4" t="s">
        <v>54</v>
      </c>
      <c r="D11" s="3">
        <v>1</v>
      </c>
      <c r="E11" s="3" t="s">
        <v>16</v>
      </c>
      <c r="F11" s="3" t="s">
        <v>289</v>
      </c>
      <c r="G11" s="3" t="s">
        <v>23</v>
      </c>
      <c r="H11" s="3" t="s">
        <v>40</v>
      </c>
    </row>
    <row r="12" spans="1:8" x14ac:dyDescent="0.2">
      <c r="A12" s="3">
        <v>3080105007</v>
      </c>
      <c r="B12" s="4" t="s">
        <v>50</v>
      </c>
      <c r="C12" s="4" t="s">
        <v>52</v>
      </c>
      <c r="D12" s="3">
        <v>6</v>
      </c>
      <c r="E12" s="3" t="s">
        <v>16</v>
      </c>
      <c r="F12" s="3" t="s">
        <v>289</v>
      </c>
      <c r="G12" s="3" t="s">
        <v>23</v>
      </c>
      <c r="H12" s="3" t="s">
        <v>40</v>
      </c>
    </row>
    <row r="13" spans="1:8" x14ac:dyDescent="0.2">
      <c r="A13" s="3">
        <v>3080107281</v>
      </c>
      <c r="B13" s="4" t="s">
        <v>69</v>
      </c>
      <c r="C13" s="4" t="s">
        <v>1786</v>
      </c>
      <c r="D13" s="3">
        <v>2</v>
      </c>
      <c r="E13" s="3" t="s">
        <v>16</v>
      </c>
      <c r="F13" s="3" t="s">
        <v>291</v>
      </c>
      <c r="G13" s="3" t="s">
        <v>26</v>
      </c>
      <c r="H13" s="3" t="s">
        <v>40</v>
      </c>
    </row>
    <row r="14" spans="1:8" x14ac:dyDescent="0.2">
      <c r="A14" s="3">
        <v>3080107010</v>
      </c>
      <c r="B14" s="4" t="s">
        <v>69</v>
      </c>
      <c r="C14" s="4" t="s">
        <v>1710</v>
      </c>
      <c r="D14" s="3">
        <v>4</v>
      </c>
      <c r="E14" s="3" t="s">
        <v>16</v>
      </c>
      <c r="F14" s="3" t="s">
        <v>291</v>
      </c>
      <c r="G14" s="3" t="s">
        <v>26</v>
      </c>
      <c r="H14" s="3" t="s">
        <v>40</v>
      </c>
    </row>
    <row r="15" spans="1:8" x14ac:dyDescent="0.2">
      <c r="A15" s="3">
        <v>3080107034</v>
      </c>
      <c r="B15" s="4" t="s">
        <v>69</v>
      </c>
      <c r="C15" s="4" t="s">
        <v>429</v>
      </c>
      <c r="D15" s="3">
        <v>2</v>
      </c>
      <c r="E15" s="3" t="s">
        <v>16</v>
      </c>
      <c r="F15" s="3" t="s">
        <v>291</v>
      </c>
      <c r="G15" s="3" t="s">
        <v>26</v>
      </c>
      <c r="H15" s="3" t="s">
        <v>40</v>
      </c>
    </row>
    <row r="16" spans="1:8" x14ac:dyDescent="0.2">
      <c r="A16" s="3">
        <v>3080107038</v>
      </c>
      <c r="B16" s="4" t="s">
        <v>69</v>
      </c>
      <c r="C16" s="4" t="s">
        <v>72</v>
      </c>
      <c r="D16" s="3">
        <v>4</v>
      </c>
      <c r="E16" s="3" t="s">
        <v>16</v>
      </c>
      <c r="F16" s="3" t="s">
        <v>289</v>
      </c>
      <c r="G16" s="3" t="s">
        <v>23</v>
      </c>
      <c r="H16" s="3" t="s">
        <v>40</v>
      </c>
    </row>
    <row r="17" spans="1:8" x14ac:dyDescent="0.2">
      <c r="A17" s="3">
        <v>3080107004</v>
      </c>
      <c r="B17" s="4" t="s">
        <v>69</v>
      </c>
      <c r="C17" s="4" t="s">
        <v>1787</v>
      </c>
      <c r="D17" s="3">
        <v>4</v>
      </c>
      <c r="E17" s="3" t="s">
        <v>16</v>
      </c>
      <c r="F17" s="3" t="s">
        <v>289</v>
      </c>
      <c r="G17" s="3" t="s">
        <v>23</v>
      </c>
      <c r="H17" s="3" t="s">
        <v>40</v>
      </c>
    </row>
    <row r="18" spans="1:8" x14ac:dyDescent="0.2">
      <c r="A18" s="3">
        <v>3080111087</v>
      </c>
      <c r="B18" s="4" t="s">
        <v>79</v>
      </c>
      <c r="C18" s="4" t="s">
        <v>80</v>
      </c>
      <c r="D18" s="3">
        <v>17</v>
      </c>
      <c r="E18" s="3" t="s">
        <v>16</v>
      </c>
      <c r="F18" s="3" t="s">
        <v>291</v>
      </c>
      <c r="G18" s="3" t="s">
        <v>26</v>
      </c>
      <c r="H18" s="3" t="s">
        <v>40</v>
      </c>
    </row>
    <row r="19" spans="1:8" x14ac:dyDescent="0.2">
      <c r="A19" s="3">
        <v>3080111026</v>
      </c>
      <c r="B19" s="4" t="s">
        <v>79</v>
      </c>
      <c r="C19" s="4" t="s">
        <v>1788</v>
      </c>
      <c r="D19" s="3">
        <v>2</v>
      </c>
      <c r="E19" s="3" t="s">
        <v>16</v>
      </c>
      <c r="F19" s="3" t="s">
        <v>291</v>
      </c>
      <c r="G19" s="3" t="s">
        <v>26</v>
      </c>
      <c r="H19" s="3" t="s">
        <v>40</v>
      </c>
    </row>
    <row r="20" spans="1:8" x14ac:dyDescent="0.2">
      <c r="A20" s="3">
        <v>3099990108</v>
      </c>
      <c r="B20" s="4" t="s">
        <v>104</v>
      </c>
      <c r="C20" s="4" t="s">
        <v>1789</v>
      </c>
      <c r="D20" s="3">
        <v>1</v>
      </c>
      <c r="E20" s="3" t="s">
        <v>16</v>
      </c>
      <c r="F20" s="3" t="s">
        <v>299</v>
      </c>
      <c r="G20" s="3" t="s">
        <v>106</v>
      </c>
      <c r="H20" s="3" t="s">
        <v>103</v>
      </c>
    </row>
    <row r="21" spans="1:8" x14ac:dyDescent="0.2">
      <c r="A21" s="3">
        <v>402030026</v>
      </c>
      <c r="B21" s="4" t="s">
        <v>107</v>
      </c>
      <c r="C21" s="4" t="s">
        <v>1171</v>
      </c>
      <c r="D21" s="3">
        <v>1</v>
      </c>
      <c r="E21" s="3" t="s">
        <v>16</v>
      </c>
      <c r="F21" s="3" t="s">
        <v>289</v>
      </c>
      <c r="G21" s="3" t="s">
        <v>23</v>
      </c>
      <c r="H21" s="3" t="s">
        <v>109</v>
      </c>
    </row>
    <row r="22" spans="1:8" x14ac:dyDescent="0.2">
      <c r="A22" s="3">
        <v>402030027</v>
      </c>
      <c r="B22" s="4" t="s">
        <v>107</v>
      </c>
      <c r="C22" s="4" t="s">
        <v>110</v>
      </c>
      <c r="D22" s="3">
        <v>1</v>
      </c>
      <c r="E22" s="3" t="s">
        <v>16</v>
      </c>
      <c r="F22" s="3" t="s">
        <v>291</v>
      </c>
      <c r="G22" s="3" t="s">
        <v>26</v>
      </c>
      <c r="H22" s="3" t="s">
        <v>109</v>
      </c>
    </row>
    <row r="23" spans="1:8" x14ac:dyDescent="0.2">
      <c r="A23" s="3">
        <v>402020006</v>
      </c>
      <c r="B23" s="4" t="s">
        <v>111</v>
      </c>
      <c r="C23" s="4" t="s">
        <v>112</v>
      </c>
      <c r="D23" s="3">
        <v>2</v>
      </c>
      <c r="E23" s="3" t="s">
        <v>16</v>
      </c>
      <c r="F23" s="3" t="s">
        <v>291</v>
      </c>
      <c r="G23" s="3" t="s">
        <v>26</v>
      </c>
      <c r="H23" s="3" t="s">
        <v>109</v>
      </c>
    </row>
    <row r="24" spans="1:8" x14ac:dyDescent="0.2">
      <c r="A24" s="3">
        <v>3080602001</v>
      </c>
      <c r="B24" s="4" t="s">
        <v>1790</v>
      </c>
      <c r="C24" s="4" t="s">
        <v>1791</v>
      </c>
      <c r="D24" s="3">
        <v>4</v>
      </c>
      <c r="E24" s="3" t="s">
        <v>16</v>
      </c>
      <c r="F24" s="3" t="s">
        <v>291</v>
      </c>
      <c r="G24" s="3" t="s">
        <v>26</v>
      </c>
      <c r="H24" s="3" t="s">
        <v>115</v>
      </c>
    </row>
    <row r="25" spans="1:8" x14ac:dyDescent="0.2">
      <c r="A25" s="3">
        <v>3060201007</v>
      </c>
      <c r="B25" s="4" t="s">
        <v>663</v>
      </c>
      <c r="C25" s="4" t="s">
        <v>1792</v>
      </c>
      <c r="D25" s="3">
        <v>1</v>
      </c>
      <c r="E25" s="3" t="s">
        <v>16</v>
      </c>
      <c r="F25" s="3" t="s">
        <v>289</v>
      </c>
      <c r="G25" s="3" t="s">
        <v>23</v>
      </c>
      <c r="H25" s="3" t="s">
        <v>132</v>
      </c>
    </row>
    <row r="26" spans="1:8" x14ac:dyDescent="0.2">
      <c r="A26" s="3">
        <v>3040502023</v>
      </c>
      <c r="B26" s="4" t="s">
        <v>136</v>
      </c>
      <c r="C26" s="4" t="s">
        <v>1793</v>
      </c>
      <c r="D26" s="3">
        <v>2</v>
      </c>
      <c r="E26" s="3" t="s">
        <v>16</v>
      </c>
      <c r="F26" s="3" t="s">
        <v>291</v>
      </c>
      <c r="G26" s="3" t="s">
        <v>26</v>
      </c>
      <c r="H26" s="3" t="s">
        <v>138</v>
      </c>
    </row>
    <row r="27" spans="1:8" x14ac:dyDescent="0.2">
      <c r="A27" s="3">
        <v>3990207001</v>
      </c>
      <c r="B27" s="4" t="s">
        <v>140</v>
      </c>
      <c r="C27" s="4" t="s">
        <v>141</v>
      </c>
      <c r="D27" s="3">
        <v>1</v>
      </c>
      <c r="E27" s="3" t="s">
        <v>16</v>
      </c>
      <c r="F27" s="3" t="s">
        <v>285</v>
      </c>
      <c r="G27" s="3" t="s">
        <v>142</v>
      </c>
      <c r="H27" s="3" t="s">
        <v>143</v>
      </c>
    </row>
    <row r="28" spans="1:8" x14ac:dyDescent="0.2">
      <c r="A28" s="3">
        <v>3990205001</v>
      </c>
      <c r="B28" s="4" t="s">
        <v>146</v>
      </c>
      <c r="C28" s="4" t="s">
        <v>147</v>
      </c>
      <c r="D28" s="3">
        <v>1</v>
      </c>
      <c r="E28" s="3" t="s">
        <v>16</v>
      </c>
      <c r="F28" s="3" t="s">
        <v>287</v>
      </c>
      <c r="G28" s="3" t="s">
        <v>148</v>
      </c>
      <c r="H28" s="3" t="s">
        <v>143</v>
      </c>
    </row>
    <row r="29" spans="1:8" x14ac:dyDescent="0.2">
      <c r="A29" s="3">
        <v>407020092</v>
      </c>
      <c r="B29" s="4" t="s">
        <v>680</v>
      </c>
      <c r="C29" s="4" t="s">
        <v>1794</v>
      </c>
      <c r="D29" s="3">
        <v>1</v>
      </c>
      <c r="E29" s="3" t="s">
        <v>16</v>
      </c>
      <c r="F29" s="3" t="s">
        <v>289</v>
      </c>
      <c r="G29" s="3" t="s">
        <v>23</v>
      </c>
      <c r="H29" s="3" t="s">
        <v>151</v>
      </c>
    </row>
    <row r="30" spans="1:8" x14ac:dyDescent="0.2">
      <c r="A30" s="3">
        <v>3050210005</v>
      </c>
      <c r="B30" s="4" t="s">
        <v>1795</v>
      </c>
      <c r="C30" s="4" t="s">
        <v>1796</v>
      </c>
      <c r="D30" s="3">
        <v>1</v>
      </c>
      <c r="E30" s="3" t="s">
        <v>16</v>
      </c>
      <c r="F30" s="3" t="s">
        <v>291</v>
      </c>
      <c r="G30" s="3" t="s">
        <v>26</v>
      </c>
      <c r="H30" s="3" t="s">
        <v>154</v>
      </c>
    </row>
    <row r="31" spans="1:8" x14ac:dyDescent="0.2">
      <c r="A31" s="3">
        <v>3060342003</v>
      </c>
      <c r="B31" s="4" t="s">
        <v>1636</v>
      </c>
      <c r="C31" s="4" t="s">
        <v>1797</v>
      </c>
      <c r="D31" s="3">
        <v>1</v>
      </c>
      <c r="E31" s="3" t="s">
        <v>16</v>
      </c>
      <c r="F31" s="3" t="s">
        <v>289</v>
      </c>
      <c r="G31" s="3" t="s">
        <v>23</v>
      </c>
      <c r="H31" s="3" t="s">
        <v>165</v>
      </c>
    </row>
    <row r="32" spans="1:8" x14ac:dyDescent="0.2">
      <c r="A32" s="3">
        <v>3060343003</v>
      </c>
      <c r="B32" s="4" t="s">
        <v>1638</v>
      </c>
      <c r="C32" s="4" t="s">
        <v>1797</v>
      </c>
      <c r="D32" s="3">
        <v>1</v>
      </c>
      <c r="E32" s="3" t="s">
        <v>16</v>
      </c>
      <c r="F32" s="3" t="s">
        <v>289</v>
      </c>
      <c r="G32" s="3" t="s">
        <v>23</v>
      </c>
      <c r="H32" s="3" t="s">
        <v>165</v>
      </c>
    </row>
    <row r="33" spans="1:8" x14ac:dyDescent="0.2">
      <c r="A33" s="3">
        <v>3060308001</v>
      </c>
      <c r="B33" s="4" t="s">
        <v>229</v>
      </c>
      <c r="C33" s="4" t="s">
        <v>1146</v>
      </c>
      <c r="D33" s="3">
        <v>1</v>
      </c>
      <c r="E33" s="3" t="s">
        <v>16</v>
      </c>
      <c r="F33" s="3" t="s">
        <v>289</v>
      </c>
      <c r="G33" s="3" t="s">
        <v>23</v>
      </c>
      <c r="H33" s="3" t="s">
        <v>165</v>
      </c>
    </row>
    <row r="34" spans="1:8" x14ac:dyDescent="0.2">
      <c r="A34" s="3">
        <v>3060310001</v>
      </c>
      <c r="B34" s="4" t="s">
        <v>171</v>
      </c>
      <c r="C34" s="4" t="s">
        <v>172</v>
      </c>
      <c r="D34" s="3">
        <v>1</v>
      </c>
      <c r="E34" s="3" t="s">
        <v>16</v>
      </c>
      <c r="F34" s="3" t="s">
        <v>289</v>
      </c>
      <c r="G34" s="3" t="s">
        <v>23</v>
      </c>
      <c r="H34" s="3" t="s">
        <v>173</v>
      </c>
    </row>
    <row r="35" spans="1:8" x14ac:dyDescent="0.2">
      <c r="A35" s="3">
        <v>3060311001</v>
      </c>
      <c r="B35" s="4" t="s">
        <v>174</v>
      </c>
      <c r="C35" s="4" t="s">
        <v>172</v>
      </c>
      <c r="D35" s="3">
        <v>1</v>
      </c>
      <c r="E35" s="3" t="s">
        <v>16</v>
      </c>
      <c r="F35" s="3" t="s">
        <v>289</v>
      </c>
      <c r="G35" s="3" t="s">
        <v>23</v>
      </c>
      <c r="H35" s="3" t="s">
        <v>173</v>
      </c>
    </row>
    <row r="36" spans="1:8" x14ac:dyDescent="0.2">
      <c r="A36" s="3">
        <v>3050304027</v>
      </c>
      <c r="B36" s="4" t="s">
        <v>181</v>
      </c>
      <c r="C36" s="4" t="s">
        <v>1798</v>
      </c>
      <c r="D36" s="3">
        <v>1</v>
      </c>
      <c r="E36" s="3" t="s">
        <v>16</v>
      </c>
      <c r="F36" s="3" t="s">
        <v>291</v>
      </c>
      <c r="G36" s="3" t="s">
        <v>26</v>
      </c>
      <c r="H36" s="3" t="s">
        <v>173</v>
      </c>
    </row>
    <row r="37" spans="1:8" x14ac:dyDescent="0.2">
      <c r="A37" s="3">
        <v>403010412</v>
      </c>
      <c r="B37" s="4" t="s">
        <v>684</v>
      </c>
      <c r="C37" s="4" t="s">
        <v>1799</v>
      </c>
      <c r="D37" s="3">
        <v>1</v>
      </c>
      <c r="E37" s="3" t="s">
        <v>16</v>
      </c>
      <c r="F37" s="3" t="s">
        <v>301</v>
      </c>
      <c r="G37" s="3" t="s">
        <v>32</v>
      </c>
      <c r="H37" s="3" t="s">
        <v>198</v>
      </c>
    </row>
    <row r="38" spans="1:8" x14ac:dyDescent="0.2">
      <c r="A38" s="3">
        <v>403010281</v>
      </c>
      <c r="B38" s="4" t="s">
        <v>684</v>
      </c>
      <c r="C38" s="4" t="s">
        <v>1800</v>
      </c>
      <c r="D38" s="3">
        <v>1</v>
      </c>
      <c r="E38" s="3" t="s">
        <v>16</v>
      </c>
      <c r="F38" s="3" t="s">
        <v>301</v>
      </c>
      <c r="G38" s="3" t="s">
        <v>32</v>
      </c>
      <c r="H38" s="3" t="s">
        <v>198</v>
      </c>
    </row>
    <row r="39" spans="1:8" x14ac:dyDescent="0.2">
      <c r="A39" s="3">
        <v>403010413</v>
      </c>
      <c r="B39" s="4" t="s">
        <v>1801</v>
      </c>
      <c r="C39" s="4" t="s">
        <v>1802</v>
      </c>
      <c r="D39" s="3">
        <v>1</v>
      </c>
      <c r="E39" s="3" t="s">
        <v>16</v>
      </c>
      <c r="F39" s="3" t="s">
        <v>301</v>
      </c>
      <c r="G39" s="3" t="s">
        <v>32</v>
      </c>
      <c r="H39" s="3" t="s">
        <v>198</v>
      </c>
    </row>
    <row r="40" spans="1:8" x14ac:dyDescent="0.2">
      <c r="A40" s="3">
        <v>3060333002</v>
      </c>
      <c r="B40" s="4" t="s">
        <v>227</v>
      </c>
      <c r="C40" s="4" t="s">
        <v>228</v>
      </c>
      <c r="D40" s="3">
        <v>1</v>
      </c>
      <c r="E40" s="3" t="s">
        <v>16</v>
      </c>
      <c r="F40" s="3" t="s">
        <v>289</v>
      </c>
      <c r="G40" s="3" t="s">
        <v>23</v>
      </c>
      <c r="H40" s="3" t="s">
        <v>226</v>
      </c>
    </row>
    <row r="41" spans="1:8" x14ac:dyDescent="0.2">
      <c r="A41" s="3">
        <v>3060335004</v>
      </c>
      <c r="B41" s="4" t="s">
        <v>233</v>
      </c>
      <c r="C41" s="4" t="s">
        <v>234</v>
      </c>
      <c r="D41" s="3">
        <v>1</v>
      </c>
      <c r="E41" s="3" t="s">
        <v>16</v>
      </c>
      <c r="F41" s="3" t="s">
        <v>289</v>
      </c>
      <c r="G41" s="3" t="s">
        <v>23</v>
      </c>
      <c r="H41" s="3" t="s">
        <v>226</v>
      </c>
    </row>
    <row r="42" spans="1:8" x14ac:dyDescent="0.2">
      <c r="A42" s="3">
        <v>3060309001</v>
      </c>
      <c r="B42" s="4" t="s">
        <v>252</v>
      </c>
      <c r="C42" s="4" t="s">
        <v>253</v>
      </c>
      <c r="D42" s="3">
        <v>1</v>
      </c>
      <c r="E42" s="3" t="s">
        <v>16</v>
      </c>
      <c r="F42" s="3" t="s">
        <v>289</v>
      </c>
      <c r="G42" s="3" t="s">
        <v>23</v>
      </c>
      <c r="H42" s="3" t="s">
        <v>254</v>
      </c>
    </row>
    <row r="43" spans="1:8" x14ac:dyDescent="0.2">
      <c r="A43" s="3">
        <v>3050303018</v>
      </c>
      <c r="B43" s="4" t="s">
        <v>245</v>
      </c>
      <c r="C43" s="4" t="s">
        <v>613</v>
      </c>
      <c r="D43" s="3">
        <v>1</v>
      </c>
      <c r="E43" s="3" t="s">
        <v>16</v>
      </c>
      <c r="F43" s="3" t="s">
        <v>291</v>
      </c>
      <c r="G43" s="3" t="s">
        <v>26</v>
      </c>
      <c r="H43" s="3" t="s">
        <v>254</v>
      </c>
    </row>
  </sheetData>
  <phoneticPr fontId="2" type="noConversion"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4BB9D-525C-4FB4-B7AB-CB059D5BA6EB}">
  <dimension ref="A1:H54"/>
  <sheetViews>
    <sheetView workbookViewId="0">
      <selection activeCell="K11" sqref="K11"/>
    </sheetView>
  </sheetViews>
  <sheetFormatPr defaultRowHeight="14.25" x14ac:dyDescent="0.2"/>
  <cols>
    <col min="1" max="1" width="12.75" customWidth="1"/>
    <col min="2" max="3" width="13.5" customWidth="1"/>
  </cols>
  <sheetData>
    <row r="1" spans="1:8" x14ac:dyDescent="0.2">
      <c r="A1" s="3" t="s">
        <v>1826</v>
      </c>
      <c r="B1" s="4"/>
      <c r="C1" s="4"/>
      <c r="D1" s="3"/>
      <c r="E1" s="3"/>
      <c r="F1" s="3"/>
      <c r="G1" s="3"/>
      <c r="H1" s="3"/>
    </row>
    <row r="2" spans="1:8" ht="28.5" x14ac:dyDescent="0.2">
      <c r="A2" s="1" t="s">
        <v>0</v>
      </c>
      <c r="B2" s="2" t="s">
        <v>1</v>
      </c>
      <c r="C2" s="2" t="s">
        <v>2</v>
      </c>
      <c r="D2" s="1" t="s">
        <v>4</v>
      </c>
      <c r="E2" s="1" t="s">
        <v>3</v>
      </c>
      <c r="F2" s="1" t="s">
        <v>5</v>
      </c>
      <c r="G2" s="1" t="s">
        <v>6</v>
      </c>
      <c r="H2" s="1" t="s">
        <v>7</v>
      </c>
    </row>
    <row r="3" spans="1:8" s="10" customFormat="1" x14ac:dyDescent="0.2">
      <c r="A3" s="8" t="s">
        <v>390</v>
      </c>
      <c r="B3" s="9" t="s">
        <v>8</v>
      </c>
      <c r="C3" s="9" t="s">
        <v>9</v>
      </c>
      <c r="D3" s="13">
        <f>0.408/0.94</f>
        <v>0.43404255319148938</v>
      </c>
      <c r="E3" s="8" t="s">
        <v>596</v>
      </c>
      <c r="F3" s="8" t="s">
        <v>283</v>
      </c>
      <c r="G3" s="8" t="s">
        <v>13</v>
      </c>
      <c r="H3" s="8" t="s">
        <v>12</v>
      </c>
    </row>
    <row r="4" spans="1:8" x14ac:dyDescent="0.2">
      <c r="A4" s="3">
        <v>403010385</v>
      </c>
      <c r="B4" s="4" t="s">
        <v>684</v>
      </c>
      <c r="C4" s="4" t="s">
        <v>1804</v>
      </c>
      <c r="D4" s="3">
        <v>2</v>
      </c>
      <c r="E4" s="3" t="s">
        <v>16</v>
      </c>
      <c r="F4" s="3" t="s">
        <v>301</v>
      </c>
      <c r="G4" s="3" t="s">
        <v>32</v>
      </c>
      <c r="H4" s="3" t="s">
        <v>306</v>
      </c>
    </row>
    <row r="5" spans="1:8" x14ac:dyDescent="0.2">
      <c r="A5" s="3">
        <v>403010384</v>
      </c>
      <c r="B5" s="4" t="s">
        <v>684</v>
      </c>
      <c r="C5" s="4" t="s">
        <v>1805</v>
      </c>
      <c r="D5" s="3">
        <v>1</v>
      </c>
      <c r="E5" s="3" t="s">
        <v>16</v>
      </c>
      <c r="F5" s="3" t="s">
        <v>301</v>
      </c>
      <c r="G5" s="3" t="s">
        <v>32</v>
      </c>
      <c r="H5" s="3" t="s">
        <v>306</v>
      </c>
    </row>
    <row r="6" spans="1:8" x14ac:dyDescent="0.2">
      <c r="A6" s="3">
        <v>402030048</v>
      </c>
      <c r="B6" s="4" t="s">
        <v>107</v>
      </c>
      <c r="C6" s="4" t="s">
        <v>837</v>
      </c>
      <c r="D6" s="3">
        <v>1</v>
      </c>
      <c r="E6" s="3" t="s">
        <v>16</v>
      </c>
      <c r="F6" s="3" t="s">
        <v>301</v>
      </c>
      <c r="G6" s="3" t="s">
        <v>32</v>
      </c>
      <c r="H6" s="3" t="s">
        <v>306</v>
      </c>
    </row>
    <row r="7" spans="1:8" x14ac:dyDescent="0.2">
      <c r="A7" s="3">
        <v>403030028</v>
      </c>
      <c r="B7" s="4" t="s">
        <v>366</v>
      </c>
      <c r="C7" s="4" t="s">
        <v>1806</v>
      </c>
      <c r="D7" s="3">
        <v>1</v>
      </c>
      <c r="E7" s="3" t="s">
        <v>16</v>
      </c>
      <c r="F7" s="3" t="s">
        <v>301</v>
      </c>
      <c r="G7" s="3" t="s">
        <v>32</v>
      </c>
      <c r="H7" s="3" t="s">
        <v>306</v>
      </c>
    </row>
    <row r="8" spans="1:8" x14ac:dyDescent="0.2">
      <c r="A8" s="3">
        <v>3050402034</v>
      </c>
      <c r="B8" s="4" t="s">
        <v>1807</v>
      </c>
      <c r="C8" s="4" t="s">
        <v>1808</v>
      </c>
      <c r="D8" s="3">
        <v>1</v>
      </c>
      <c r="E8" s="3" t="s">
        <v>16</v>
      </c>
      <c r="F8" s="3" t="s">
        <v>291</v>
      </c>
      <c r="G8" s="3" t="s">
        <v>26</v>
      </c>
      <c r="H8" s="3" t="s">
        <v>18</v>
      </c>
    </row>
    <row r="9" spans="1:8" x14ac:dyDescent="0.2">
      <c r="A9" s="3">
        <v>3050402035</v>
      </c>
      <c r="B9" s="4" t="s">
        <v>1809</v>
      </c>
      <c r="C9" s="4" t="s">
        <v>1808</v>
      </c>
      <c r="D9" s="3">
        <v>1</v>
      </c>
      <c r="E9" s="3" t="s">
        <v>16</v>
      </c>
      <c r="F9" s="3" t="s">
        <v>291</v>
      </c>
      <c r="G9" s="3" t="s">
        <v>26</v>
      </c>
      <c r="H9" s="3" t="s">
        <v>18</v>
      </c>
    </row>
    <row r="10" spans="1:8" x14ac:dyDescent="0.2">
      <c r="A10" s="3">
        <v>404020029</v>
      </c>
      <c r="B10" s="4" t="s">
        <v>30</v>
      </c>
      <c r="C10" s="4" t="s">
        <v>31</v>
      </c>
      <c r="D10" s="3">
        <v>1</v>
      </c>
      <c r="E10" s="3" t="s">
        <v>16</v>
      </c>
      <c r="F10" s="3" t="s">
        <v>301</v>
      </c>
      <c r="G10" s="3" t="s">
        <v>32</v>
      </c>
      <c r="H10" s="3" t="s">
        <v>33</v>
      </c>
    </row>
    <row r="11" spans="1:8" x14ac:dyDescent="0.2">
      <c r="A11" s="3">
        <v>401020368</v>
      </c>
      <c r="B11" s="4" t="s">
        <v>35</v>
      </c>
      <c r="C11" s="4" t="s">
        <v>1810</v>
      </c>
      <c r="D11" s="3">
        <v>1</v>
      </c>
      <c r="E11" s="3" t="s">
        <v>16</v>
      </c>
      <c r="F11" s="3" t="s">
        <v>301</v>
      </c>
      <c r="G11" s="3" t="s">
        <v>32</v>
      </c>
      <c r="H11" s="3" t="s">
        <v>33</v>
      </c>
    </row>
    <row r="12" spans="1:8" x14ac:dyDescent="0.2">
      <c r="A12" s="3">
        <v>3080101001</v>
      </c>
      <c r="B12" s="4" t="s">
        <v>411</v>
      </c>
      <c r="C12" s="4" t="s">
        <v>1601</v>
      </c>
      <c r="D12" s="3">
        <v>25</v>
      </c>
      <c r="E12" s="3" t="s">
        <v>16</v>
      </c>
      <c r="F12" s="3" t="s">
        <v>289</v>
      </c>
      <c r="G12" s="3" t="s">
        <v>23</v>
      </c>
      <c r="H12" s="3" t="s">
        <v>40</v>
      </c>
    </row>
    <row r="13" spans="1:8" x14ac:dyDescent="0.2">
      <c r="A13" s="3">
        <v>3080105028</v>
      </c>
      <c r="B13" s="4" t="s">
        <v>50</v>
      </c>
      <c r="C13" s="4" t="s">
        <v>1602</v>
      </c>
      <c r="D13" s="3">
        <v>4</v>
      </c>
      <c r="E13" s="3" t="s">
        <v>16</v>
      </c>
      <c r="F13" s="3" t="s">
        <v>289</v>
      </c>
      <c r="G13" s="3" t="s">
        <v>23</v>
      </c>
      <c r="H13" s="3" t="s">
        <v>40</v>
      </c>
    </row>
    <row r="14" spans="1:8" x14ac:dyDescent="0.2">
      <c r="A14" s="3">
        <v>3080105021</v>
      </c>
      <c r="B14" s="4" t="s">
        <v>50</v>
      </c>
      <c r="C14" s="4" t="s">
        <v>319</v>
      </c>
      <c r="D14" s="3">
        <v>4</v>
      </c>
      <c r="E14" s="3" t="s">
        <v>16</v>
      </c>
      <c r="F14" s="3" t="s">
        <v>291</v>
      </c>
      <c r="G14" s="3" t="s">
        <v>26</v>
      </c>
      <c r="H14" s="3" t="s">
        <v>40</v>
      </c>
    </row>
    <row r="15" spans="1:8" x14ac:dyDescent="0.2">
      <c r="A15" s="3">
        <v>3080105040</v>
      </c>
      <c r="B15" s="4" t="s">
        <v>50</v>
      </c>
      <c r="C15" s="4" t="s">
        <v>421</v>
      </c>
      <c r="D15" s="3">
        <v>2</v>
      </c>
      <c r="E15" s="3" t="s">
        <v>16</v>
      </c>
      <c r="F15" s="3" t="s">
        <v>291</v>
      </c>
      <c r="G15" s="3" t="s">
        <v>26</v>
      </c>
      <c r="H15" s="3" t="s">
        <v>40</v>
      </c>
    </row>
    <row r="16" spans="1:8" x14ac:dyDescent="0.2">
      <c r="A16" s="3">
        <v>3080105077</v>
      </c>
      <c r="B16" s="4" t="s">
        <v>50</v>
      </c>
      <c r="C16" s="4" t="s">
        <v>1603</v>
      </c>
      <c r="D16" s="3">
        <v>2</v>
      </c>
      <c r="E16" s="3" t="s">
        <v>16</v>
      </c>
      <c r="F16" s="3" t="s">
        <v>291</v>
      </c>
      <c r="G16" s="3" t="s">
        <v>26</v>
      </c>
      <c r="H16" s="3" t="s">
        <v>40</v>
      </c>
    </row>
    <row r="17" spans="1:8" x14ac:dyDescent="0.2">
      <c r="A17" s="3">
        <v>3080201016</v>
      </c>
      <c r="B17" s="4" t="s">
        <v>60</v>
      </c>
      <c r="C17" s="4" t="s">
        <v>1606</v>
      </c>
      <c r="D17" s="3">
        <v>5</v>
      </c>
      <c r="E17" s="3" t="s">
        <v>16</v>
      </c>
      <c r="F17" s="3" t="s">
        <v>289</v>
      </c>
      <c r="G17" s="3" t="s">
        <v>23</v>
      </c>
      <c r="H17" s="3" t="s">
        <v>40</v>
      </c>
    </row>
    <row r="18" spans="1:8" x14ac:dyDescent="0.2">
      <c r="A18" s="3">
        <v>3080106020</v>
      </c>
      <c r="B18" s="4" t="s">
        <v>66</v>
      </c>
      <c r="C18" s="4" t="s">
        <v>1811</v>
      </c>
      <c r="D18" s="3">
        <v>2</v>
      </c>
      <c r="E18" s="3" t="s">
        <v>16</v>
      </c>
      <c r="F18" s="3" t="s">
        <v>291</v>
      </c>
      <c r="G18" s="3" t="s">
        <v>26</v>
      </c>
      <c r="H18" s="3" t="s">
        <v>40</v>
      </c>
    </row>
    <row r="19" spans="1:8" x14ac:dyDescent="0.2">
      <c r="A19" s="3">
        <v>3080107257</v>
      </c>
      <c r="B19" s="4" t="s">
        <v>66</v>
      </c>
      <c r="C19" s="4" t="s">
        <v>1812</v>
      </c>
      <c r="D19" s="3">
        <v>2</v>
      </c>
      <c r="E19" s="3" t="s">
        <v>16</v>
      </c>
      <c r="F19" s="3" t="s">
        <v>291</v>
      </c>
      <c r="G19" s="3" t="s">
        <v>26</v>
      </c>
      <c r="H19" s="3" t="s">
        <v>40</v>
      </c>
    </row>
    <row r="20" spans="1:8" x14ac:dyDescent="0.2">
      <c r="A20" s="3">
        <v>3080106014</v>
      </c>
      <c r="B20" s="4" t="s">
        <v>66</v>
      </c>
      <c r="C20" s="4" t="s">
        <v>1608</v>
      </c>
      <c r="D20" s="3">
        <v>3</v>
      </c>
      <c r="E20" s="3" t="s">
        <v>16</v>
      </c>
      <c r="F20" s="3" t="s">
        <v>301</v>
      </c>
      <c r="G20" s="3" t="s">
        <v>32</v>
      </c>
      <c r="H20" s="3" t="s">
        <v>40</v>
      </c>
    </row>
    <row r="21" spans="1:8" x14ac:dyDescent="0.2">
      <c r="A21" s="3">
        <v>3080107265</v>
      </c>
      <c r="B21" s="4" t="s">
        <v>69</v>
      </c>
      <c r="C21" s="4" t="s">
        <v>1611</v>
      </c>
      <c r="D21" s="3">
        <v>2</v>
      </c>
      <c r="E21" s="3" t="s">
        <v>16</v>
      </c>
      <c r="F21" s="3" t="s">
        <v>289</v>
      </c>
      <c r="G21" s="3" t="s">
        <v>23</v>
      </c>
      <c r="H21" s="3" t="s">
        <v>40</v>
      </c>
    </row>
    <row r="22" spans="1:8" x14ac:dyDescent="0.2">
      <c r="A22" s="3">
        <v>3080107258</v>
      </c>
      <c r="B22" s="4" t="s">
        <v>69</v>
      </c>
      <c r="C22" s="4" t="s">
        <v>1813</v>
      </c>
      <c r="D22" s="3">
        <v>4</v>
      </c>
      <c r="E22" s="3" t="s">
        <v>16</v>
      </c>
      <c r="F22" s="3" t="s">
        <v>291</v>
      </c>
      <c r="G22" s="3" t="s">
        <v>26</v>
      </c>
      <c r="H22" s="3" t="s">
        <v>40</v>
      </c>
    </row>
    <row r="23" spans="1:8" x14ac:dyDescent="0.2">
      <c r="A23" s="3">
        <v>3080107066</v>
      </c>
      <c r="B23" s="4" t="s">
        <v>69</v>
      </c>
      <c r="C23" s="4" t="s">
        <v>1610</v>
      </c>
      <c r="D23" s="3">
        <v>4</v>
      </c>
      <c r="E23" s="3" t="s">
        <v>16</v>
      </c>
      <c r="F23" s="3" t="s">
        <v>289</v>
      </c>
      <c r="G23" s="3" t="s">
        <v>23</v>
      </c>
      <c r="H23" s="3" t="s">
        <v>40</v>
      </c>
    </row>
    <row r="24" spans="1:8" x14ac:dyDescent="0.2">
      <c r="A24" s="3">
        <v>3080107063</v>
      </c>
      <c r="B24" s="4" t="s">
        <v>69</v>
      </c>
      <c r="C24" s="4" t="s">
        <v>1612</v>
      </c>
      <c r="D24" s="3">
        <v>1</v>
      </c>
      <c r="E24" s="3" t="s">
        <v>16</v>
      </c>
      <c r="F24" s="3" t="s">
        <v>289</v>
      </c>
      <c r="G24" s="3" t="s">
        <v>23</v>
      </c>
      <c r="H24" s="3" t="s">
        <v>40</v>
      </c>
    </row>
    <row r="25" spans="1:8" x14ac:dyDescent="0.2">
      <c r="A25" s="3">
        <v>3080111019</v>
      </c>
      <c r="B25" s="4" t="s">
        <v>79</v>
      </c>
      <c r="C25" s="4" t="s">
        <v>1617</v>
      </c>
      <c r="D25" s="3">
        <v>1</v>
      </c>
      <c r="E25" s="3" t="s">
        <v>16</v>
      </c>
      <c r="F25" s="3" t="s">
        <v>289</v>
      </c>
      <c r="G25" s="3" t="s">
        <v>23</v>
      </c>
      <c r="H25" s="3" t="s">
        <v>40</v>
      </c>
    </row>
    <row r="26" spans="1:8" x14ac:dyDescent="0.2">
      <c r="A26" s="3">
        <v>3080111087</v>
      </c>
      <c r="B26" s="4" t="s">
        <v>79</v>
      </c>
      <c r="C26" s="4" t="s">
        <v>80</v>
      </c>
      <c r="D26" s="3">
        <v>16</v>
      </c>
      <c r="E26" s="3" t="s">
        <v>16</v>
      </c>
      <c r="F26" s="3" t="s">
        <v>291</v>
      </c>
      <c r="G26" s="3" t="s">
        <v>26</v>
      </c>
      <c r="H26" s="3" t="s">
        <v>40</v>
      </c>
    </row>
    <row r="27" spans="1:8" x14ac:dyDescent="0.2">
      <c r="A27" s="3">
        <v>3080111032</v>
      </c>
      <c r="B27" s="4" t="s">
        <v>79</v>
      </c>
      <c r="C27" s="4" t="s">
        <v>1618</v>
      </c>
      <c r="D27" s="3">
        <v>10</v>
      </c>
      <c r="E27" s="3" t="s">
        <v>16</v>
      </c>
      <c r="F27" s="3" t="s">
        <v>291</v>
      </c>
      <c r="G27" s="3" t="s">
        <v>26</v>
      </c>
      <c r="H27" s="3" t="s">
        <v>40</v>
      </c>
    </row>
    <row r="28" spans="1:8" x14ac:dyDescent="0.2">
      <c r="A28" s="3">
        <v>3080111077</v>
      </c>
      <c r="B28" s="4" t="s">
        <v>79</v>
      </c>
      <c r="C28" s="4" t="s">
        <v>1616</v>
      </c>
      <c r="D28" s="3">
        <v>1</v>
      </c>
      <c r="E28" s="3" t="s">
        <v>16</v>
      </c>
      <c r="F28" s="3" t="s">
        <v>289</v>
      </c>
      <c r="G28" s="3" t="s">
        <v>23</v>
      </c>
      <c r="H28" s="3" t="s">
        <v>40</v>
      </c>
    </row>
    <row r="29" spans="1:8" x14ac:dyDescent="0.2">
      <c r="A29" s="3">
        <v>3080111032</v>
      </c>
      <c r="B29" s="4" t="s">
        <v>79</v>
      </c>
      <c r="C29" s="4" t="s">
        <v>1618</v>
      </c>
      <c r="D29" s="3">
        <v>1</v>
      </c>
      <c r="E29" s="3" t="s">
        <v>16</v>
      </c>
      <c r="F29" s="3" t="s">
        <v>289</v>
      </c>
      <c r="G29" s="3" t="s">
        <v>23</v>
      </c>
      <c r="H29" s="3" t="s">
        <v>40</v>
      </c>
    </row>
    <row r="30" spans="1:8" x14ac:dyDescent="0.2">
      <c r="A30" s="3">
        <v>3080111039</v>
      </c>
      <c r="B30" s="4" t="s">
        <v>79</v>
      </c>
      <c r="C30" s="4" t="s">
        <v>1814</v>
      </c>
      <c r="D30" s="3">
        <v>2</v>
      </c>
      <c r="E30" s="3" t="s">
        <v>16</v>
      </c>
      <c r="F30" s="3" t="s">
        <v>291</v>
      </c>
      <c r="G30" s="3" t="s">
        <v>26</v>
      </c>
      <c r="H30" s="3" t="s">
        <v>40</v>
      </c>
    </row>
    <row r="31" spans="1:8" x14ac:dyDescent="0.2">
      <c r="A31" s="3">
        <v>407030099</v>
      </c>
      <c r="B31" s="4" t="s">
        <v>81</v>
      </c>
      <c r="C31" s="4" t="s">
        <v>1815</v>
      </c>
      <c r="D31" s="3">
        <v>1</v>
      </c>
      <c r="E31" s="3" t="s">
        <v>16</v>
      </c>
      <c r="F31" s="3" t="s">
        <v>301</v>
      </c>
      <c r="G31" s="3" t="s">
        <v>32</v>
      </c>
      <c r="H31" s="3" t="s">
        <v>40</v>
      </c>
    </row>
    <row r="32" spans="1:8" x14ac:dyDescent="0.2">
      <c r="A32" s="3">
        <v>3099980060</v>
      </c>
      <c r="B32" s="4" t="s">
        <v>1816</v>
      </c>
      <c r="C32" s="4" t="s">
        <v>1817</v>
      </c>
      <c r="D32" s="3">
        <v>1</v>
      </c>
      <c r="E32" s="3" t="s">
        <v>16</v>
      </c>
      <c r="F32" s="3" t="s">
        <v>301</v>
      </c>
      <c r="G32" s="3" t="s">
        <v>32</v>
      </c>
      <c r="H32" s="3" t="s">
        <v>103</v>
      </c>
    </row>
    <row r="33" spans="1:8" x14ac:dyDescent="0.2">
      <c r="A33" s="3">
        <v>3099990106</v>
      </c>
      <c r="B33" s="4" t="s">
        <v>104</v>
      </c>
      <c r="C33" s="4" t="s">
        <v>90</v>
      </c>
      <c r="D33" s="3">
        <v>1</v>
      </c>
      <c r="E33" s="3" t="s">
        <v>16</v>
      </c>
      <c r="F33" s="3" t="s">
        <v>291</v>
      </c>
      <c r="G33" s="3" t="s">
        <v>26</v>
      </c>
      <c r="H33" s="3" t="s">
        <v>103</v>
      </c>
    </row>
    <row r="34" spans="1:8" x14ac:dyDescent="0.2">
      <c r="A34" s="3">
        <v>3050210040</v>
      </c>
      <c r="B34" s="4" t="s">
        <v>1795</v>
      </c>
      <c r="C34" s="4" t="s">
        <v>1818</v>
      </c>
      <c r="D34" s="3">
        <v>1</v>
      </c>
      <c r="E34" s="3" t="s">
        <v>16</v>
      </c>
      <c r="F34" s="3" t="s">
        <v>291</v>
      </c>
      <c r="G34" s="3" t="s">
        <v>26</v>
      </c>
      <c r="H34" s="3" t="s">
        <v>132</v>
      </c>
    </row>
    <row r="35" spans="1:8" x14ac:dyDescent="0.2">
      <c r="A35" s="3">
        <v>3040502083</v>
      </c>
      <c r="B35" s="4" t="s">
        <v>136</v>
      </c>
      <c r="C35" s="4" t="s">
        <v>1819</v>
      </c>
      <c r="D35" s="3">
        <v>1</v>
      </c>
      <c r="E35" s="3" t="s">
        <v>16</v>
      </c>
      <c r="F35" s="3" t="s">
        <v>291</v>
      </c>
      <c r="G35" s="3" t="s">
        <v>26</v>
      </c>
      <c r="H35" s="3" t="s">
        <v>138</v>
      </c>
    </row>
    <row r="36" spans="1:8" x14ac:dyDescent="0.2">
      <c r="A36" s="3">
        <v>3040502084</v>
      </c>
      <c r="B36" s="4" t="s">
        <v>136</v>
      </c>
      <c r="C36" s="4" t="s">
        <v>1820</v>
      </c>
      <c r="D36" s="3">
        <v>1</v>
      </c>
      <c r="E36" s="3" t="s">
        <v>16</v>
      </c>
      <c r="F36" s="3" t="s">
        <v>291</v>
      </c>
      <c r="G36" s="3" t="s">
        <v>26</v>
      </c>
      <c r="H36" s="3" t="s">
        <v>138</v>
      </c>
    </row>
    <row r="37" spans="1:8" x14ac:dyDescent="0.2">
      <c r="A37" s="3">
        <v>407050044</v>
      </c>
      <c r="B37" s="4" t="s">
        <v>1321</v>
      </c>
      <c r="C37" s="4" t="s">
        <v>1821</v>
      </c>
      <c r="D37" s="3">
        <v>1</v>
      </c>
      <c r="E37" s="3" t="s">
        <v>16</v>
      </c>
      <c r="F37" s="3" t="s">
        <v>289</v>
      </c>
      <c r="G37" s="3" t="s">
        <v>23</v>
      </c>
      <c r="H37" s="3" t="s">
        <v>151</v>
      </c>
    </row>
    <row r="38" spans="1:8" x14ac:dyDescent="0.2">
      <c r="A38" s="3">
        <v>3060201052</v>
      </c>
      <c r="B38" s="4" t="s">
        <v>663</v>
      </c>
      <c r="C38" s="4" t="s">
        <v>1822</v>
      </c>
      <c r="D38" s="3">
        <v>1</v>
      </c>
      <c r="E38" s="3" t="s">
        <v>16</v>
      </c>
      <c r="F38" s="3" t="s">
        <v>289</v>
      </c>
      <c r="G38" s="3" t="s">
        <v>23</v>
      </c>
      <c r="H38" s="3" t="s">
        <v>154</v>
      </c>
    </row>
    <row r="39" spans="1:8" x14ac:dyDescent="0.2">
      <c r="A39" s="3">
        <v>3060206004</v>
      </c>
      <c r="B39" s="4" t="s">
        <v>1624</v>
      </c>
      <c r="C39" s="4" t="s">
        <v>1625</v>
      </c>
      <c r="D39" s="3">
        <v>1</v>
      </c>
      <c r="E39" s="3" t="s">
        <v>16</v>
      </c>
      <c r="F39" s="3" t="s">
        <v>289</v>
      </c>
      <c r="G39" s="3" t="s">
        <v>23</v>
      </c>
      <c r="H39" s="3" t="s">
        <v>154</v>
      </c>
    </row>
    <row r="40" spans="1:8" x14ac:dyDescent="0.2">
      <c r="A40" s="3">
        <v>3050305044</v>
      </c>
      <c r="B40" s="4" t="s">
        <v>1628</v>
      </c>
      <c r="C40" s="4" t="s">
        <v>1629</v>
      </c>
      <c r="D40" s="3">
        <v>2</v>
      </c>
      <c r="E40" s="3" t="s">
        <v>16</v>
      </c>
      <c r="F40" s="3" t="s">
        <v>291</v>
      </c>
      <c r="G40" s="3" t="s">
        <v>26</v>
      </c>
      <c r="H40" s="3" t="s">
        <v>165</v>
      </c>
    </row>
    <row r="41" spans="1:8" x14ac:dyDescent="0.2">
      <c r="A41" s="3">
        <v>3020701016</v>
      </c>
      <c r="B41" s="4" t="s">
        <v>1823</v>
      </c>
      <c r="C41" s="4" t="s">
        <v>1824</v>
      </c>
      <c r="D41" s="3">
        <v>2</v>
      </c>
      <c r="E41" s="3" t="s">
        <v>16</v>
      </c>
      <c r="F41" s="3" t="s">
        <v>291</v>
      </c>
      <c r="G41" s="3" t="s">
        <v>26</v>
      </c>
      <c r="H41" s="3" t="s">
        <v>165</v>
      </c>
    </row>
    <row r="42" spans="1:8" x14ac:dyDescent="0.2">
      <c r="A42" s="3">
        <v>3060342009</v>
      </c>
      <c r="B42" s="4" t="s">
        <v>1636</v>
      </c>
      <c r="C42" s="4" t="s">
        <v>1824</v>
      </c>
      <c r="D42" s="3">
        <v>1</v>
      </c>
      <c r="E42" s="3" t="s">
        <v>16</v>
      </c>
      <c r="F42" s="3" t="s">
        <v>289</v>
      </c>
      <c r="G42" s="3" t="s">
        <v>23</v>
      </c>
      <c r="H42" s="3" t="s">
        <v>173</v>
      </c>
    </row>
    <row r="43" spans="1:8" x14ac:dyDescent="0.2">
      <c r="A43" s="3">
        <v>3060343009</v>
      </c>
      <c r="B43" s="4" t="s">
        <v>1638</v>
      </c>
      <c r="C43" s="4" t="s">
        <v>1824</v>
      </c>
      <c r="D43" s="3">
        <v>1</v>
      </c>
      <c r="E43" s="3" t="s">
        <v>16</v>
      </c>
      <c r="F43" s="3" t="s">
        <v>289</v>
      </c>
      <c r="G43" s="3" t="s">
        <v>23</v>
      </c>
      <c r="H43" s="3" t="s">
        <v>173</v>
      </c>
    </row>
    <row r="44" spans="1:8" x14ac:dyDescent="0.2">
      <c r="A44" s="3">
        <v>3050305045</v>
      </c>
      <c r="B44" s="4" t="s">
        <v>1639</v>
      </c>
      <c r="C44" s="4" t="s">
        <v>653</v>
      </c>
      <c r="D44" s="3">
        <v>1</v>
      </c>
      <c r="E44" s="3" t="s">
        <v>16</v>
      </c>
      <c r="F44" s="3" t="s">
        <v>291</v>
      </c>
      <c r="G44" s="3" t="s">
        <v>26</v>
      </c>
      <c r="H44" s="3" t="s">
        <v>173</v>
      </c>
    </row>
    <row r="45" spans="1:8" x14ac:dyDescent="0.2">
      <c r="A45" s="3">
        <v>3050305046</v>
      </c>
      <c r="B45" s="4" t="s">
        <v>1640</v>
      </c>
      <c r="C45" s="4" t="s">
        <v>653</v>
      </c>
      <c r="D45" s="3">
        <v>1</v>
      </c>
      <c r="E45" s="3" t="s">
        <v>16</v>
      </c>
      <c r="F45" s="3" t="s">
        <v>291</v>
      </c>
      <c r="G45" s="3" t="s">
        <v>26</v>
      </c>
      <c r="H45" s="3" t="s">
        <v>173</v>
      </c>
    </row>
    <row r="46" spans="1:8" x14ac:dyDescent="0.2">
      <c r="A46" s="3">
        <v>3050304022</v>
      </c>
      <c r="B46" s="4" t="s">
        <v>181</v>
      </c>
      <c r="C46" s="4" t="s">
        <v>1631</v>
      </c>
      <c r="D46" s="3">
        <v>1</v>
      </c>
      <c r="E46" s="3" t="s">
        <v>16</v>
      </c>
      <c r="F46" s="3" t="s">
        <v>291</v>
      </c>
      <c r="G46" s="3" t="s">
        <v>26</v>
      </c>
      <c r="H46" s="3" t="s">
        <v>173</v>
      </c>
    </row>
    <row r="47" spans="1:8" x14ac:dyDescent="0.2">
      <c r="A47" s="3">
        <v>3050305047</v>
      </c>
      <c r="B47" s="4" t="s">
        <v>1641</v>
      </c>
      <c r="C47" s="4" t="s">
        <v>653</v>
      </c>
      <c r="D47" s="3">
        <v>1</v>
      </c>
      <c r="E47" s="3" t="s">
        <v>16</v>
      </c>
      <c r="F47" s="3" t="s">
        <v>291</v>
      </c>
      <c r="G47" s="3" t="s">
        <v>26</v>
      </c>
      <c r="H47" s="3" t="s">
        <v>173</v>
      </c>
    </row>
    <row r="48" spans="1:8" x14ac:dyDescent="0.2">
      <c r="A48" s="3">
        <v>3110207005</v>
      </c>
      <c r="B48" s="4" t="s">
        <v>140</v>
      </c>
      <c r="C48" s="4" t="s">
        <v>1642</v>
      </c>
      <c r="D48" s="3">
        <v>1</v>
      </c>
      <c r="E48" s="3" t="s">
        <v>16</v>
      </c>
      <c r="F48" s="3" t="s">
        <v>285</v>
      </c>
      <c r="G48" s="3" t="s">
        <v>142</v>
      </c>
      <c r="H48" s="3" t="s">
        <v>187</v>
      </c>
    </row>
    <row r="49" spans="1:8" x14ac:dyDescent="0.2">
      <c r="A49" s="3">
        <v>3110205007</v>
      </c>
      <c r="B49" s="4" t="s">
        <v>146</v>
      </c>
      <c r="C49" s="4" t="s">
        <v>1644</v>
      </c>
      <c r="D49" s="3">
        <v>1</v>
      </c>
      <c r="E49" s="3" t="s">
        <v>16</v>
      </c>
      <c r="F49" s="3" t="s">
        <v>287</v>
      </c>
      <c r="G49" s="3" t="s">
        <v>148</v>
      </c>
      <c r="H49" s="3" t="s">
        <v>187</v>
      </c>
    </row>
    <row r="50" spans="1:8" x14ac:dyDescent="0.2">
      <c r="A50" s="3">
        <v>3020701017</v>
      </c>
      <c r="B50" s="4" t="s">
        <v>1825</v>
      </c>
      <c r="C50" s="4" t="s">
        <v>1824</v>
      </c>
      <c r="D50" s="3">
        <v>2</v>
      </c>
      <c r="E50" s="3" t="s">
        <v>16</v>
      </c>
      <c r="F50" s="3" t="s">
        <v>291</v>
      </c>
      <c r="G50" s="3" t="s">
        <v>26</v>
      </c>
      <c r="H50" s="3" t="s">
        <v>226</v>
      </c>
    </row>
    <row r="51" spans="1:8" x14ac:dyDescent="0.2">
      <c r="A51" s="3">
        <v>3991601013</v>
      </c>
      <c r="B51" s="4" t="s">
        <v>585</v>
      </c>
      <c r="C51" s="4" t="s">
        <v>1671</v>
      </c>
      <c r="D51" s="3">
        <v>25</v>
      </c>
      <c r="E51" s="3" t="s">
        <v>16</v>
      </c>
      <c r="F51" s="3" t="s">
        <v>289</v>
      </c>
      <c r="G51" s="3" t="s">
        <v>23</v>
      </c>
      <c r="H51" s="3" t="s">
        <v>226</v>
      </c>
    </row>
    <row r="52" spans="1:8" x14ac:dyDescent="0.2">
      <c r="A52" s="3">
        <v>3060333019</v>
      </c>
      <c r="B52" s="4" t="s">
        <v>227</v>
      </c>
      <c r="C52" s="4" t="s">
        <v>1672</v>
      </c>
      <c r="D52" s="3">
        <v>1</v>
      </c>
      <c r="E52" s="3" t="s">
        <v>16</v>
      </c>
      <c r="F52" s="3" t="s">
        <v>289</v>
      </c>
      <c r="G52" s="3" t="s">
        <v>23</v>
      </c>
      <c r="H52" s="3" t="s">
        <v>254</v>
      </c>
    </row>
    <row r="53" spans="1:8" x14ac:dyDescent="0.2">
      <c r="A53" s="3">
        <v>3060335043</v>
      </c>
      <c r="B53" s="4" t="s">
        <v>233</v>
      </c>
      <c r="C53" s="4" t="s">
        <v>1672</v>
      </c>
      <c r="D53" s="3">
        <v>1</v>
      </c>
      <c r="E53" s="3" t="s">
        <v>16</v>
      </c>
      <c r="F53" s="3" t="s">
        <v>289</v>
      </c>
      <c r="G53" s="3" t="s">
        <v>23</v>
      </c>
      <c r="H53" s="3" t="s">
        <v>254</v>
      </c>
    </row>
    <row r="54" spans="1:8" x14ac:dyDescent="0.2">
      <c r="A54" s="3">
        <v>3050303034</v>
      </c>
      <c r="B54" s="4" t="s">
        <v>245</v>
      </c>
      <c r="C54" s="4" t="s">
        <v>1660</v>
      </c>
      <c r="D54" s="3">
        <v>1</v>
      </c>
      <c r="E54" s="3" t="s">
        <v>16</v>
      </c>
      <c r="F54" s="3" t="s">
        <v>291</v>
      </c>
      <c r="G54" s="3" t="s">
        <v>26</v>
      </c>
      <c r="H54" s="3" t="s">
        <v>254</v>
      </c>
    </row>
  </sheetData>
  <phoneticPr fontId="2" type="noConversion"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BF3EE-A8BA-495D-B637-2C6F291820A8}">
  <dimension ref="A1:H77"/>
  <sheetViews>
    <sheetView workbookViewId="0">
      <selection activeCell="D4" sqref="D4"/>
    </sheetView>
  </sheetViews>
  <sheetFormatPr defaultRowHeight="14.25" x14ac:dyDescent="0.2"/>
  <cols>
    <col min="1" max="1" width="14.25" customWidth="1"/>
    <col min="2" max="3" width="14.875" customWidth="1"/>
  </cols>
  <sheetData>
    <row r="1" spans="1:8" x14ac:dyDescent="0.2">
      <c r="A1" s="3" t="s">
        <v>1896</v>
      </c>
      <c r="B1" s="4"/>
      <c r="C1" s="4"/>
      <c r="D1" s="3"/>
      <c r="E1" s="3"/>
      <c r="F1" s="3"/>
      <c r="G1" s="3"/>
      <c r="H1" s="3"/>
    </row>
    <row r="2" spans="1:8" ht="28.5" x14ac:dyDescent="0.2">
      <c r="A2" s="1" t="s">
        <v>0</v>
      </c>
      <c r="B2" s="2" t="s">
        <v>1</v>
      </c>
      <c r="C2" s="2" t="s">
        <v>2</v>
      </c>
      <c r="D2" s="1" t="s">
        <v>4</v>
      </c>
      <c r="E2" s="1" t="s">
        <v>3</v>
      </c>
      <c r="F2" s="1" t="s">
        <v>5</v>
      </c>
      <c r="G2" s="1" t="s">
        <v>6</v>
      </c>
      <c r="H2" s="1" t="s">
        <v>7</v>
      </c>
    </row>
    <row r="3" spans="1:8" s="10" customFormat="1" x14ac:dyDescent="0.2">
      <c r="A3" s="8" t="s">
        <v>390</v>
      </c>
      <c r="B3" s="9" t="s">
        <v>8</v>
      </c>
      <c r="C3" s="9" t="s">
        <v>9</v>
      </c>
      <c r="D3" s="13">
        <v>0.25419999999999998</v>
      </c>
      <c r="E3" s="8" t="s">
        <v>596</v>
      </c>
      <c r="F3" s="8" t="s">
        <v>283</v>
      </c>
      <c r="G3" s="8" t="s">
        <v>13</v>
      </c>
      <c r="H3" s="8" t="s">
        <v>12</v>
      </c>
    </row>
    <row r="4" spans="1:8" x14ac:dyDescent="0.2">
      <c r="A4" s="3">
        <v>3010105002</v>
      </c>
      <c r="B4" s="4" t="s">
        <v>1827</v>
      </c>
      <c r="C4" s="4" t="s">
        <v>1828</v>
      </c>
      <c r="D4" s="3">
        <v>0.13</v>
      </c>
      <c r="E4" s="3" t="s">
        <v>10</v>
      </c>
      <c r="F4" s="3" t="s">
        <v>1829</v>
      </c>
      <c r="G4" s="3" t="s">
        <v>1830</v>
      </c>
      <c r="H4" s="3" t="s">
        <v>306</v>
      </c>
    </row>
    <row r="5" spans="1:8" x14ac:dyDescent="0.2">
      <c r="A5" s="3">
        <v>3030202010</v>
      </c>
      <c r="B5" s="4" t="s">
        <v>1831</v>
      </c>
      <c r="C5" s="4" t="s">
        <v>1832</v>
      </c>
      <c r="D5" s="3">
        <v>1</v>
      </c>
      <c r="E5" s="3" t="s">
        <v>16</v>
      </c>
      <c r="F5" s="3" t="s">
        <v>291</v>
      </c>
      <c r="G5" s="3" t="s">
        <v>26</v>
      </c>
      <c r="H5" s="3" t="s">
        <v>18</v>
      </c>
    </row>
    <row r="6" spans="1:8" x14ac:dyDescent="0.2">
      <c r="A6" s="3">
        <v>404110024</v>
      </c>
      <c r="B6" s="4" t="s">
        <v>504</v>
      </c>
      <c r="C6" s="4" t="s">
        <v>1833</v>
      </c>
      <c r="D6" s="3">
        <v>2</v>
      </c>
      <c r="E6" s="3" t="s">
        <v>16</v>
      </c>
      <c r="F6" s="3" t="s">
        <v>301</v>
      </c>
      <c r="G6" s="3" t="s">
        <v>32</v>
      </c>
      <c r="H6" s="3" t="s">
        <v>33</v>
      </c>
    </row>
    <row r="7" spans="1:8" x14ac:dyDescent="0.2">
      <c r="A7" s="3">
        <v>401020171</v>
      </c>
      <c r="B7" s="4" t="s">
        <v>35</v>
      </c>
      <c r="C7" s="4" t="s">
        <v>1834</v>
      </c>
      <c r="D7" s="3">
        <v>1</v>
      </c>
      <c r="E7" s="3" t="s">
        <v>16</v>
      </c>
      <c r="F7" s="3" t="s">
        <v>301</v>
      </c>
      <c r="G7" s="3" t="s">
        <v>32</v>
      </c>
      <c r="H7" s="3" t="s">
        <v>33</v>
      </c>
    </row>
    <row r="8" spans="1:8" x14ac:dyDescent="0.2">
      <c r="A8" s="3">
        <v>3080101002</v>
      </c>
      <c r="B8" s="4" t="s">
        <v>411</v>
      </c>
      <c r="C8" s="4" t="s">
        <v>413</v>
      </c>
      <c r="D8" s="3">
        <v>16</v>
      </c>
      <c r="E8" s="3" t="s">
        <v>16</v>
      </c>
      <c r="F8" s="3" t="s">
        <v>289</v>
      </c>
      <c r="G8" s="3" t="s">
        <v>23</v>
      </c>
      <c r="H8" s="3" t="s">
        <v>40</v>
      </c>
    </row>
    <row r="9" spans="1:8" x14ac:dyDescent="0.2">
      <c r="A9" s="3">
        <v>3080101007</v>
      </c>
      <c r="B9" s="4" t="s">
        <v>411</v>
      </c>
      <c r="C9" s="4" t="s">
        <v>1835</v>
      </c>
      <c r="D9" s="3">
        <v>1</v>
      </c>
      <c r="E9" s="3" t="s">
        <v>16</v>
      </c>
      <c r="F9" s="3" t="s">
        <v>1836</v>
      </c>
      <c r="G9" s="3" t="s">
        <v>1837</v>
      </c>
      <c r="H9" s="3" t="s">
        <v>40</v>
      </c>
    </row>
    <row r="10" spans="1:8" x14ac:dyDescent="0.2">
      <c r="A10" s="3">
        <v>3080101002</v>
      </c>
      <c r="B10" s="4" t="s">
        <v>411</v>
      </c>
      <c r="C10" s="4" t="s">
        <v>413</v>
      </c>
      <c r="D10" s="3">
        <v>12</v>
      </c>
      <c r="E10" s="3" t="s">
        <v>16</v>
      </c>
      <c r="F10" s="3" t="s">
        <v>291</v>
      </c>
      <c r="G10" s="3" t="s">
        <v>26</v>
      </c>
      <c r="H10" s="3" t="s">
        <v>40</v>
      </c>
    </row>
    <row r="11" spans="1:8" x14ac:dyDescent="0.2">
      <c r="A11" s="3">
        <v>3080104081</v>
      </c>
      <c r="B11" s="4" t="s">
        <v>45</v>
      </c>
      <c r="C11" s="4" t="s">
        <v>701</v>
      </c>
      <c r="D11" s="3">
        <v>6</v>
      </c>
      <c r="E11" s="3" t="s">
        <v>16</v>
      </c>
      <c r="F11" s="3" t="s">
        <v>291</v>
      </c>
      <c r="G11" s="3" t="s">
        <v>26</v>
      </c>
      <c r="H11" s="3" t="s">
        <v>40</v>
      </c>
    </row>
    <row r="12" spans="1:8" x14ac:dyDescent="0.2">
      <c r="A12" s="3">
        <v>3080104083</v>
      </c>
      <c r="B12" s="4" t="s">
        <v>45</v>
      </c>
      <c r="C12" s="4" t="s">
        <v>1838</v>
      </c>
      <c r="D12" s="3">
        <v>6</v>
      </c>
      <c r="E12" s="3" t="s">
        <v>16</v>
      </c>
      <c r="F12" s="3" t="s">
        <v>291</v>
      </c>
      <c r="G12" s="3" t="s">
        <v>26</v>
      </c>
      <c r="H12" s="3" t="s">
        <v>40</v>
      </c>
    </row>
    <row r="13" spans="1:8" x14ac:dyDescent="0.2">
      <c r="A13" s="3">
        <v>3080104087</v>
      </c>
      <c r="B13" s="4" t="s">
        <v>45</v>
      </c>
      <c r="C13" s="4" t="s">
        <v>1839</v>
      </c>
      <c r="D13" s="3">
        <v>3</v>
      </c>
      <c r="E13" s="3" t="s">
        <v>16</v>
      </c>
      <c r="F13" s="3" t="s">
        <v>1836</v>
      </c>
      <c r="G13" s="3" t="s">
        <v>1837</v>
      </c>
      <c r="H13" s="3" t="s">
        <v>40</v>
      </c>
    </row>
    <row r="14" spans="1:8" x14ac:dyDescent="0.2">
      <c r="A14" s="3">
        <v>3080104085</v>
      </c>
      <c r="B14" s="4" t="s">
        <v>45</v>
      </c>
      <c r="C14" s="4" t="s">
        <v>1840</v>
      </c>
      <c r="D14" s="3">
        <v>4</v>
      </c>
      <c r="E14" s="3" t="s">
        <v>16</v>
      </c>
      <c r="F14" s="3" t="s">
        <v>291</v>
      </c>
      <c r="G14" s="3" t="s">
        <v>26</v>
      </c>
      <c r="H14" s="3" t="s">
        <v>40</v>
      </c>
    </row>
    <row r="15" spans="1:8" x14ac:dyDescent="0.2">
      <c r="A15" s="3">
        <v>3080105036</v>
      </c>
      <c r="B15" s="4" t="s">
        <v>50</v>
      </c>
      <c r="C15" s="4" t="s">
        <v>1295</v>
      </c>
      <c r="D15" s="3">
        <v>24</v>
      </c>
      <c r="E15" s="3" t="s">
        <v>16</v>
      </c>
      <c r="F15" s="3" t="s">
        <v>291</v>
      </c>
      <c r="G15" s="3" t="s">
        <v>26</v>
      </c>
      <c r="H15" s="3" t="s">
        <v>40</v>
      </c>
    </row>
    <row r="16" spans="1:8" x14ac:dyDescent="0.2">
      <c r="A16" s="3">
        <v>3080105106</v>
      </c>
      <c r="B16" s="4" t="s">
        <v>50</v>
      </c>
      <c r="C16" s="4" t="s">
        <v>1420</v>
      </c>
      <c r="D16" s="3">
        <v>32</v>
      </c>
      <c r="E16" s="3" t="s">
        <v>16</v>
      </c>
      <c r="F16" s="3" t="s">
        <v>289</v>
      </c>
      <c r="G16" s="3" t="s">
        <v>23</v>
      </c>
      <c r="H16" s="3" t="s">
        <v>40</v>
      </c>
    </row>
    <row r="17" spans="1:8" x14ac:dyDescent="0.2">
      <c r="A17" s="3">
        <v>3080105021</v>
      </c>
      <c r="B17" s="4" t="s">
        <v>50</v>
      </c>
      <c r="C17" s="4" t="s">
        <v>319</v>
      </c>
      <c r="D17" s="3">
        <v>4</v>
      </c>
      <c r="E17" s="3" t="s">
        <v>16</v>
      </c>
      <c r="F17" s="3" t="s">
        <v>291</v>
      </c>
      <c r="G17" s="3" t="s">
        <v>26</v>
      </c>
      <c r="H17" s="3" t="s">
        <v>40</v>
      </c>
    </row>
    <row r="18" spans="1:8" x14ac:dyDescent="0.2">
      <c r="A18" s="3">
        <v>3080107279</v>
      </c>
      <c r="B18" s="4" t="s">
        <v>69</v>
      </c>
      <c r="C18" s="4" t="s">
        <v>1841</v>
      </c>
      <c r="D18" s="3">
        <v>4</v>
      </c>
      <c r="E18" s="3" t="s">
        <v>16</v>
      </c>
      <c r="F18" s="3" t="s">
        <v>291</v>
      </c>
      <c r="G18" s="3" t="s">
        <v>26</v>
      </c>
      <c r="H18" s="3" t="s">
        <v>40</v>
      </c>
    </row>
    <row r="19" spans="1:8" x14ac:dyDescent="0.2">
      <c r="A19" s="3">
        <v>3080107226</v>
      </c>
      <c r="B19" s="4" t="s">
        <v>69</v>
      </c>
      <c r="C19" s="4" t="s">
        <v>1842</v>
      </c>
      <c r="D19" s="3">
        <v>2</v>
      </c>
      <c r="E19" s="3" t="s">
        <v>16</v>
      </c>
      <c r="F19" s="3" t="s">
        <v>289</v>
      </c>
      <c r="G19" s="3" t="s">
        <v>23</v>
      </c>
      <c r="H19" s="3" t="s">
        <v>40</v>
      </c>
    </row>
    <row r="20" spans="1:8" x14ac:dyDescent="0.2">
      <c r="A20" s="3">
        <v>3080107227</v>
      </c>
      <c r="B20" s="4" t="s">
        <v>69</v>
      </c>
      <c r="C20" s="4" t="s">
        <v>1843</v>
      </c>
      <c r="D20" s="3">
        <v>3</v>
      </c>
      <c r="E20" s="3" t="s">
        <v>16</v>
      </c>
      <c r="F20" s="3" t="s">
        <v>1836</v>
      </c>
      <c r="G20" s="3" t="s">
        <v>1837</v>
      </c>
      <c r="H20" s="3" t="s">
        <v>40</v>
      </c>
    </row>
    <row r="21" spans="1:8" x14ac:dyDescent="0.2">
      <c r="A21" s="3">
        <v>3080107139</v>
      </c>
      <c r="B21" s="4" t="s">
        <v>69</v>
      </c>
      <c r="C21" s="4" t="s">
        <v>1844</v>
      </c>
      <c r="D21" s="3">
        <v>10</v>
      </c>
      <c r="E21" s="3" t="s">
        <v>16</v>
      </c>
      <c r="F21" s="3" t="s">
        <v>291</v>
      </c>
      <c r="G21" s="3" t="s">
        <v>26</v>
      </c>
      <c r="H21" s="3" t="s">
        <v>40</v>
      </c>
    </row>
    <row r="22" spans="1:8" x14ac:dyDescent="0.2">
      <c r="A22" s="3">
        <v>3080108033</v>
      </c>
      <c r="B22" s="4" t="s">
        <v>77</v>
      </c>
      <c r="C22" s="4" t="s">
        <v>438</v>
      </c>
      <c r="D22" s="3">
        <v>2</v>
      </c>
      <c r="E22" s="3" t="s">
        <v>16</v>
      </c>
      <c r="F22" s="3" t="s">
        <v>291</v>
      </c>
      <c r="G22" s="3" t="s">
        <v>26</v>
      </c>
      <c r="H22" s="3" t="s">
        <v>40</v>
      </c>
    </row>
    <row r="23" spans="1:8" x14ac:dyDescent="0.2">
      <c r="A23" s="3">
        <v>3080111060</v>
      </c>
      <c r="B23" s="4" t="s">
        <v>79</v>
      </c>
      <c r="C23" s="4" t="s">
        <v>1845</v>
      </c>
      <c r="D23" s="3">
        <v>15</v>
      </c>
      <c r="E23" s="3" t="s">
        <v>16</v>
      </c>
      <c r="F23" s="3" t="s">
        <v>291</v>
      </c>
      <c r="G23" s="3" t="s">
        <v>26</v>
      </c>
      <c r="H23" s="3" t="s">
        <v>40</v>
      </c>
    </row>
    <row r="24" spans="1:8" x14ac:dyDescent="0.2">
      <c r="A24" s="3">
        <v>3080111047</v>
      </c>
      <c r="B24" s="4" t="s">
        <v>79</v>
      </c>
      <c r="C24" s="4" t="s">
        <v>1435</v>
      </c>
      <c r="D24" s="3">
        <v>18</v>
      </c>
      <c r="E24" s="3" t="s">
        <v>16</v>
      </c>
      <c r="F24" s="3" t="s">
        <v>1836</v>
      </c>
      <c r="G24" s="3" t="s">
        <v>1837</v>
      </c>
      <c r="H24" s="3" t="s">
        <v>40</v>
      </c>
    </row>
    <row r="25" spans="1:8" x14ac:dyDescent="0.2">
      <c r="A25" s="3">
        <v>3080111071</v>
      </c>
      <c r="B25" s="4" t="s">
        <v>79</v>
      </c>
      <c r="C25" s="4" t="s">
        <v>1846</v>
      </c>
      <c r="D25" s="3">
        <v>3</v>
      </c>
      <c r="E25" s="3" t="s">
        <v>16</v>
      </c>
      <c r="F25" s="3" t="s">
        <v>291</v>
      </c>
      <c r="G25" s="3" t="s">
        <v>26</v>
      </c>
      <c r="H25" s="3" t="s">
        <v>40</v>
      </c>
    </row>
    <row r="26" spans="1:8" x14ac:dyDescent="0.2">
      <c r="A26" s="3">
        <v>407030116</v>
      </c>
      <c r="B26" s="4" t="s">
        <v>81</v>
      </c>
      <c r="C26" s="4" t="s">
        <v>1847</v>
      </c>
      <c r="D26" s="3">
        <v>1</v>
      </c>
      <c r="E26" s="3" t="s">
        <v>16</v>
      </c>
      <c r="F26" s="3" t="s">
        <v>301</v>
      </c>
      <c r="G26" s="3" t="s">
        <v>32</v>
      </c>
      <c r="H26" s="3" t="s">
        <v>40</v>
      </c>
    </row>
    <row r="27" spans="1:8" x14ac:dyDescent="0.2">
      <c r="A27" s="3">
        <v>3099990407</v>
      </c>
      <c r="B27" s="4" t="s">
        <v>1439</v>
      </c>
      <c r="C27" s="4" t="s">
        <v>1848</v>
      </c>
      <c r="D27" s="3">
        <v>1</v>
      </c>
      <c r="E27" s="3" t="s">
        <v>16</v>
      </c>
      <c r="F27" s="3" t="s">
        <v>289</v>
      </c>
      <c r="G27" s="3" t="s">
        <v>23</v>
      </c>
      <c r="H27" s="3" t="s">
        <v>103</v>
      </c>
    </row>
    <row r="28" spans="1:8" x14ac:dyDescent="0.2">
      <c r="A28" s="3">
        <v>3099990113</v>
      </c>
      <c r="B28" s="4" t="s">
        <v>104</v>
      </c>
      <c r="C28" s="4" t="s">
        <v>1441</v>
      </c>
      <c r="D28" s="3">
        <v>1</v>
      </c>
      <c r="E28" s="3" t="s">
        <v>16</v>
      </c>
      <c r="F28" s="3" t="s">
        <v>299</v>
      </c>
      <c r="G28" s="3" t="s">
        <v>106</v>
      </c>
      <c r="H28" s="3" t="s">
        <v>103</v>
      </c>
    </row>
    <row r="29" spans="1:8" x14ac:dyDescent="0.2">
      <c r="A29" s="3">
        <v>402010123</v>
      </c>
      <c r="B29" s="4" t="s">
        <v>882</v>
      </c>
      <c r="C29" s="4" t="s">
        <v>1849</v>
      </c>
      <c r="D29" s="3">
        <v>1</v>
      </c>
      <c r="E29" s="3" t="s">
        <v>16</v>
      </c>
      <c r="F29" s="3" t="s">
        <v>1850</v>
      </c>
      <c r="G29" s="3" t="s">
        <v>1851</v>
      </c>
      <c r="H29" s="3" t="s">
        <v>109</v>
      </c>
    </row>
    <row r="30" spans="1:8" x14ac:dyDescent="0.2">
      <c r="A30" s="3">
        <v>404090161</v>
      </c>
      <c r="B30" s="4" t="s">
        <v>1852</v>
      </c>
      <c r="C30" s="4" t="s">
        <v>1853</v>
      </c>
      <c r="D30" s="3">
        <v>1</v>
      </c>
      <c r="E30" s="3" t="s">
        <v>16</v>
      </c>
      <c r="F30" s="3" t="s">
        <v>301</v>
      </c>
      <c r="G30" s="3" t="s">
        <v>32</v>
      </c>
      <c r="H30" s="3" t="s">
        <v>109</v>
      </c>
    </row>
    <row r="31" spans="1:8" x14ac:dyDescent="0.2">
      <c r="A31" s="3">
        <v>404090162</v>
      </c>
      <c r="B31" s="4" t="s">
        <v>1852</v>
      </c>
      <c r="C31" s="4" t="s">
        <v>1854</v>
      </c>
      <c r="D31" s="3">
        <v>1</v>
      </c>
      <c r="E31" s="3" t="s">
        <v>16</v>
      </c>
      <c r="F31" s="3" t="s">
        <v>301</v>
      </c>
      <c r="G31" s="3" t="s">
        <v>32</v>
      </c>
      <c r="H31" s="3" t="s">
        <v>109</v>
      </c>
    </row>
    <row r="32" spans="1:8" x14ac:dyDescent="0.2">
      <c r="A32" s="3">
        <v>402030046</v>
      </c>
      <c r="B32" s="4" t="s">
        <v>107</v>
      </c>
      <c r="C32" s="4" t="s">
        <v>1855</v>
      </c>
      <c r="D32" s="3">
        <v>1</v>
      </c>
      <c r="E32" s="3" t="s">
        <v>16</v>
      </c>
      <c r="F32" s="3" t="s">
        <v>301</v>
      </c>
      <c r="G32" s="3" t="s">
        <v>32</v>
      </c>
      <c r="H32" s="3" t="s">
        <v>109</v>
      </c>
    </row>
    <row r="33" spans="1:8" x14ac:dyDescent="0.2">
      <c r="A33" s="3">
        <v>403030044</v>
      </c>
      <c r="B33" s="4" t="s">
        <v>801</v>
      </c>
      <c r="C33" s="4" t="s">
        <v>1856</v>
      </c>
      <c r="D33" s="3">
        <v>1</v>
      </c>
      <c r="E33" s="3" t="s">
        <v>16</v>
      </c>
      <c r="F33" s="3" t="s">
        <v>301</v>
      </c>
      <c r="G33" s="3" t="s">
        <v>32</v>
      </c>
      <c r="H33" s="3" t="s">
        <v>109</v>
      </c>
    </row>
    <row r="34" spans="1:8" x14ac:dyDescent="0.2">
      <c r="A34" s="3">
        <v>403030042</v>
      </c>
      <c r="B34" s="4" t="s">
        <v>801</v>
      </c>
      <c r="C34" s="4" t="s">
        <v>1857</v>
      </c>
      <c r="D34" s="3">
        <v>1</v>
      </c>
      <c r="E34" s="3" t="s">
        <v>16</v>
      </c>
      <c r="F34" s="3" t="s">
        <v>301</v>
      </c>
      <c r="G34" s="3" t="s">
        <v>32</v>
      </c>
      <c r="H34" s="3" t="s">
        <v>109</v>
      </c>
    </row>
    <row r="35" spans="1:8" x14ac:dyDescent="0.2">
      <c r="A35" s="3">
        <v>404090159</v>
      </c>
      <c r="B35" s="4" t="s">
        <v>30</v>
      </c>
      <c r="C35" s="4" t="s">
        <v>1858</v>
      </c>
      <c r="D35" s="3">
        <v>1</v>
      </c>
      <c r="E35" s="3" t="s">
        <v>16</v>
      </c>
      <c r="F35" s="3" t="s">
        <v>301</v>
      </c>
      <c r="G35" s="3" t="s">
        <v>32</v>
      </c>
      <c r="H35" s="3" t="s">
        <v>134</v>
      </c>
    </row>
    <row r="36" spans="1:8" x14ac:dyDescent="0.2">
      <c r="A36" s="3">
        <v>404090160</v>
      </c>
      <c r="B36" s="4" t="s">
        <v>30</v>
      </c>
      <c r="C36" s="4" t="s">
        <v>1859</v>
      </c>
      <c r="D36" s="3">
        <v>1</v>
      </c>
      <c r="E36" s="3" t="s">
        <v>16</v>
      </c>
      <c r="F36" s="3" t="s">
        <v>301</v>
      </c>
      <c r="G36" s="3" t="s">
        <v>32</v>
      </c>
      <c r="H36" s="3" t="s">
        <v>134</v>
      </c>
    </row>
    <row r="37" spans="1:8" x14ac:dyDescent="0.2">
      <c r="A37" s="3">
        <v>3040502077</v>
      </c>
      <c r="B37" s="4" t="s">
        <v>136</v>
      </c>
      <c r="C37" s="4" t="s">
        <v>1860</v>
      </c>
      <c r="D37" s="3">
        <v>1</v>
      </c>
      <c r="E37" s="3" t="s">
        <v>16</v>
      </c>
      <c r="F37" s="3" t="s">
        <v>293</v>
      </c>
      <c r="G37" s="3" t="s">
        <v>29</v>
      </c>
      <c r="H37" s="3" t="s">
        <v>138</v>
      </c>
    </row>
    <row r="38" spans="1:8" x14ac:dyDescent="0.2">
      <c r="A38" s="3">
        <v>3040502076</v>
      </c>
      <c r="B38" s="4" t="s">
        <v>136</v>
      </c>
      <c r="C38" s="4" t="s">
        <v>1861</v>
      </c>
      <c r="D38" s="3">
        <v>1</v>
      </c>
      <c r="E38" s="3" t="s">
        <v>16</v>
      </c>
      <c r="F38" s="3" t="s">
        <v>293</v>
      </c>
      <c r="G38" s="3" t="s">
        <v>29</v>
      </c>
      <c r="H38" s="3" t="s">
        <v>138</v>
      </c>
    </row>
    <row r="39" spans="1:8" x14ac:dyDescent="0.2">
      <c r="A39" s="3">
        <v>3990207001</v>
      </c>
      <c r="B39" s="4" t="s">
        <v>140</v>
      </c>
      <c r="C39" s="4" t="s">
        <v>141</v>
      </c>
      <c r="D39" s="3">
        <v>1</v>
      </c>
      <c r="E39" s="3" t="s">
        <v>16</v>
      </c>
      <c r="F39" s="3" t="s">
        <v>285</v>
      </c>
      <c r="G39" s="3" t="s">
        <v>142</v>
      </c>
      <c r="H39" s="3" t="s">
        <v>143</v>
      </c>
    </row>
    <row r="40" spans="1:8" x14ac:dyDescent="0.2">
      <c r="A40" s="3">
        <v>3990205004</v>
      </c>
      <c r="B40" s="4" t="s">
        <v>146</v>
      </c>
      <c r="C40" s="4" t="s">
        <v>1283</v>
      </c>
      <c r="D40" s="3">
        <v>1</v>
      </c>
      <c r="E40" s="3" t="s">
        <v>16</v>
      </c>
      <c r="F40" s="3" t="s">
        <v>287</v>
      </c>
      <c r="G40" s="3" t="s">
        <v>148</v>
      </c>
      <c r="H40" s="3" t="s">
        <v>143</v>
      </c>
    </row>
    <row r="41" spans="1:8" x14ac:dyDescent="0.2">
      <c r="A41" s="3">
        <v>3040205012</v>
      </c>
      <c r="B41" s="4" t="s">
        <v>1862</v>
      </c>
      <c r="C41" s="4" t="s">
        <v>1832</v>
      </c>
      <c r="D41" s="3">
        <v>1</v>
      </c>
      <c r="E41" s="3" t="s">
        <v>16</v>
      </c>
      <c r="F41" s="3" t="s">
        <v>1836</v>
      </c>
      <c r="G41" s="3" t="s">
        <v>1837</v>
      </c>
      <c r="H41" s="3" t="s">
        <v>154</v>
      </c>
    </row>
    <row r="42" spans="1:8" x14ac:dyDescent="0.2">
      <c r="A42" s="3">
        <v>3040205013</v>
      </c>
      <c r="B42" s="4" t="s">
        <v>1863</v>
      </c>
      <c r="C42" s="4" t="s">
        <v>1864</v>
      </c>
      <c r="D42" s="3">
        <v>1</v>
      </c>
      <c r="E42" s="3" t="s">
        <v>16</v>
      </c>
      <c r="F42" s="3" t="s">
        <v>1836</v>
      </c>
      <c r="G42" s="3" t="s">
        <v>1837</v>
      </c>
      <c r="H42" s="3" t="s">
        <v>154</v>
      </c>
    </row>
    <row r="43" spans="1:8" x14ac:dyDescent="0.2">
      <c r="A43" s="3">
        <v>3030305018</v>
      </c>
      <c r="B43" s="4" t="s">
        <v>1865</v>
      </c>
      <c r="C43" s="4" t="s">
        <v>1866</v>
      </c>
      <c r="D43" s="3">
        <v>1</v>
      </c>
      <c r="E43" s="3" t="s">
        <v>16</v>
      </c>
      <c r="F43" s="3" t="s">
        <v>295</v>
      </c>
      <c r="G43" s="3" t="s">
        <v>17</v>
      </c>
      <c r="H43" s="3" t="s">
        <v>165</v>
      </c>
    </row>
    <row r="44" spans="1:8" x14ac:dyDescent="0.2">
      <c r="A44" s="3">
        <v>3040329013</v>
      </c>
      <c r="B44" s="4" t="s">
        <v>1867</v>
      </c>
      <c r="C44" s="4" t="s">
        <v>1868</v>
      </c>
      <c r="D44" s="3">
        <v>1</v>
      </c>
      <c r="E44" s="3" t="s">
        <v>16</v>
      </c>
      <c r="F44" s="3" t="s">
        <v>1836</v>
      </c>
      <c r="G44" s="3" t="s">
        <v>1837</v>
      </c>
      <c r="H44" s="3" t="s">
        <v>165</v>
      </c>
    </row>
    <row r="45" spans="1:8" x14ac:dyDescent="0.2">
      <c r="A45" s="3">
        <v>3080501041</v>
      </c>
      <c r="B45" s="4" t="s">
        <v>1869</v>
      </c>
      <c r="C45" s="4" t="s">
        <v>1868</v>
      </c>
      <c r="D45" s="3">
        <v>1</v>
      </c>
      <c r="E45" s="3" t="s">
        <v>16</v>
      </c>
      <c r="F45" s="3" t="s">
        <v>1836</v>
      </c>
      <c r="G45" s="3" t="s">
        <v>1837</v>
      </c>
      <c r="H45" s="3" t="s">
        <v>165</v>
      </c>
    </row>
    <row r="46" spans="1:8" x14ac:dyDescent="0.2">
      <c r="A46" s="3">
        <v>3080501042</v>
      </c>
      <c r="B46" s="4" t="s">
        <v>1870</v>
      </c>
      <c r="C46" s="4" t="s">
        <v>1868</v>
      </c>
      <c r="D46" s="3">
        <v>1</v>
      </c>
      <c r="E46" s="3" t="s">
        <v>16</v>
      </c>
      <c r="F46" s="3" t="s">
        <v>1836</v>
      </c>
      <c r="G46" s="3" t="s">
        <v>1837</v>
      </c>
      <c r="H46" s="3" t="s">
        <v>165</v>
      </c>
    </row>
    <row r="47" spans="1:8" x14ac:dyDescent="0.2">
      <c r="A47" s="3">
        <v>3040330022</v>
      </c>
      <c r="B47" s="4" t="s">
        <v>1871</v>
      </c>
      <c r="C47" s="4" t="s">
        <v>1868</v>
      </c>
      <c r="D47" s="3">
        <v>1</v>
      </c>
      <c r="E47" s="3" t="s">
        <v>16</v>
      </c>
      <c r="F47" s="3" t="s">
        <v>1836</v>
      </c>
      <c r="G47" s="3" t="s">
        <v>1837</v>
      </c>
      <c r="H47" s="3" t="s">
        <v>165</v>
      </c>
    </row>
    <row r="48" spans="1:8" x14ac:dyDescent="0.2">
      <c r="A48" s="3">
        <v>3040330023</v>
      </c>
      <c r="B48" s="4" t="s">
        <v>1872</v>
      </c>
      <c r="C48" s="4" t="s">
        <v>1873</v>
      </c>
      <c r="D48" s="3">
        <v>1</v>
      </c>
      <c r="E48" s="3" t="s">
        <v>16</v>
      </c>
      <c r="F48" s="3" t="s">
        <v>1836</v>
      </c>
      <c r="G48" s="3" t="s">
        <v>1837</v>
      </c>
      <c r="H48" s="3" t="s">
        <v>165</v>
      </c>
    </row>
    <row r="49" spans="1:8" x14ac:dyDescent="0.2">
      <c r="A49" s="3">
        <v>3050303029</v>
      </c>
      <c r="B49" s="4" t="s">
        <v>245</v>
      </c>
      <c r="C49" s="4" t="s">
        <v>1866</v>
      </c>
      <c r="D49" s="3">
        <v>1</v>
      </c>
      <c r="E49" s="3" t="s">
        <v>16</v>
      </c>
      <c r="F49" s="3" t="s">
        <v>291</v>
      </c>
      <c r="G49" s="3" t="s">
        <v>26</v>
      </c>
      <c r="H49" s="3" t="s">
        <v>165</v>
      </c>
    </row>
    <row r="50" spans="1:8" x14ac:dyDescent="0.2">
      <c r="A50" s="3">
        <v>3010112013</v>
      </c>
      <c r="B50" s="4" t="s">
        <v>1483</v>
      </c>
      <c r="C50" s="4" t="s">
        <v>1484</v>
      </c>
      <c r="D50" s="3">
        <v>0.08</v>
      </c>
      <c r="E50" s="3" t="s">
        <v>10</v>
      </c>
      <c r="F50" s="3" t="s">
        <v>283</v>
      </c>
      <c r="G50" s="3" t="s">
        <v>13</v>
      </c>
      <c r="H50" s="3" t="s">
        <v>483</v>
      </c>
    </row>
    <row r="51" spans="1:8" x14ac:dyDescent="0.2">
      <c r="A51" s="3">
        <v>3040402070</v>
      </c>
      <c r="B51" s="4" t="s">
        <v>1874</v>
      </c>
      <c r="C51" s="4" t="s">
        <v>1875</v>
      </c>
      <c r="D51" s="3">
        <v>1</v>
      </c>
      <c r="E51" s="3" t="s">
        <v>16</v>
      </c>
      <c r="F51" s="3" t="s">
        <v>1836</v>
      </c>
      <c r="G51" s="3" t="s">
        <v>1837</v>
      </c>
      <c r="H51" s="3" t="s">
        <v>192</v>
      </c>
    </row>
    <row r="52" spans="1:8" x14ac:dyDescent="0.2">
      <c r="A52" s="3">
        <v>3040402071</v>
      </c>
      <c r="B52" s="4" t="s">
        <v>1876</v>
      </c>
      <c r="C52" s="4" t="s">
        <v>1875</v>
      </c>
      <c r="D52" s="3">
        <v>1</v>
      </c>
      <c r="E52" s="3" t="s">
        <v>16</v>
      </c>
      <c r="F52" s="3" t="s">
        <v>1836</v>
      </c>
      <c r="G52" s="3" t="s">
        <v>1837</v>
      </c>
      <c r="H52" s="3" t="s">
        <v>192</v>
      </c>
    </row>
    <row r="53" spans="1:8" x14ac:dyDescent="0.2">
      <c r="A53" s="3">
        <v>404100045</v>
      </c>
      <c r="B53" s="4" t="s">
        <v>1877</v>
      </c>
      <c r="C53" s="4" t="s">
        <v>1878</v>
      </c>
      <c r="D53" s="3">
        <v>2</v>
      </c>
      <c r="E53" s="3" t="s">
        <v>16</v>
      </c>
      <c r="F53" s="3" t="s">
        <v>301</v>
      </c>
      <c r="G53" s="3" t="s">
        <v>32</v>
      </c>
      <c r="H53" s="3" t="s">
        <v>198</v>
      </c>
    </row>
    <row r="54" spans="1:8" x14ac:dyDescent="0.2">
      <c r="A54" s="3">
        <v>403030036</v>
      </c>
      <c r="B54" s="4" t="s">
        <v>801</v>
      </c>
      <c r="C54" s="4" t="s">
        <v>1879</v>
      </c>
      <c r="D54" s="3">
        <v>2</v>
      </c>
      <c r="E54" s="3" t="s">
        <v>16</v>
      </c>
      <c r="F54" s="3" t="s">
        <v>301</v>
      </c>
      <c r="G54" s="3" t="s">
        <v>32</v>
      </c>
      <c r="H54" s="3" t="s">
        <v>198</v>
      </c>
    </row>
    <row r="55" spans="1:8" x14ac:dyDescent="0.2">
      <c r="A55" s="3">
        <v>401070022</v>
      </c>
      <c r="B55" s="4" t="s">
        <v>35</v>
      </c>
      <c r="C55" s="4" t="s">
        <v>203</v>
      </c>
      <c r="D55" s="3">
        <v>1</v>
      </c>
      <c r="E55" s="3" t="s">
        <v>16</v>
      </c>
      <c r="F55" s="3" t="s">
        <v>297</v>
      </c>
      <c r="G55" s="3" t="s">
        <v>204</v>
      </c>
      <c r="H55" s="3" t="s">
        <v>198</v>
      </c>
    </row>
    <row r="56" spans="1:8" x14ac:dyDescent="0.2">
      <c r="A56" s="3">
        <v>3040402069</v>
      </c>
      <c r="B56" s="4" t="s">
        <v>1880</v>
      </c>
      <c r="C56" s="4" t="s">
        <v>1875</v>
      </c>
      <c r="D56" s="3">
        <v>1</v>
      </c>
      <c r="E56" s="3" t="s">
        <v>16</v>
      </c>
      <c r="F56" s="3" t="s">
        <v>293</v>
      </c>
      <c r="G56" s="3" t="s">
        <v>29</v>
      </c>
      <c r="H56" s="3" t="s">
        <v>221</v>
      </c>
    </row>
    <row r="57" spans="1:8" x14ac:dyDescent="0.2">
      <c r="A57" s="3">
        <v>3040402068</v>
      </c>
      <c r="B57" s="4" t="s">
        <v>1881</v>
      </c>
      <c r="C57" s="4" t="s">
        <v>1875</v>
      </c>
      <c r="D57" s="3">
        <v>1</v>
      </c>
      <c r="E57" s="3" t="s">
        <v>16</v>
      </c>
      <c r="F57" s="3" t="s">
        <v>293</v>
      </c>
      <c r="G57" s="3" t="s">
        <v>29</v>
      </c>
      <c r="H57" s="3" t="s">
        <v>221</v>
      </c>
    </row>
    <row r="58" spans="1:8" x14ac:dyDescent="0.2">
      <c r="A58" s="3">
        <v>402050001</v>
      </c>
      <c r="B58" s="4" t="s">
        <v>522</v>
      </c>
      <c r="C58" s="4" t="s">
        <v>523</v>
      </c>
      <c r="D58" s="3">
        <v>1</v>
      </c>
      <c r="E58" s="3" t="s">
        <v>16</v>
      </c>
      <c r="F58" s="3" t="s">
        <v>301</v>
      </c>
      <c r="G58" s="3" t="s">
        <v>32</v>
      </c>
      <c r="H58" s="3" t="s">
        <v>524</v>
      </c>
    </row>
    <row r="59" spans="1:8" x14ac:dyDescent="0.2">
      <c r="A59" s="3">
        <v>407010168</v>
      </c>
      <c r="B59" s="4" t="s">
        <v>149</v>
      </c>
      <c r="C59" s="4" t="s">
        <v>1882</v>
      </c>
      <c r="D59" s="3">
        <v>1</v>
      </c>
      <c r="E59" s="3" t="s">
        <v>16</v>
      </c>
      <c r="F59" s="3" t="s">
        <v>301</v>
      </c>
      <c r="G59" s="3" t="s">
        <v>32</v>
      </c>
      <c r="H59" s="3" t="s">
        <v>524</v>
      </c>
    </row>
    <row r="60" spans="1:8" x14ac:dyDescent="0.2">
      <c r="A60" s="3">
        <v>3040327014</v>
      </c>
      <c r="B60" s="4" t="s">
        <v>1883</v>
      </c>
      <c r="C60" s="4" t="s">
        <v>1866</v>
      </c>
      <c r="D60" s="3">
        <v>1</v>
      </c>
      <c r="E60" s="3" t="s">
        <v>16</v>
      </c>
      <c r="F60" s="3" t="s">
        <v>1850</v>
      </c>
      <c r="G60" s="3" t="s">
        <v>1851</v>
      </c>
      <c r="H60" s="3" t="s">
        <v>226</v>
      </c>
    </row>
    <row r="61" spans="1:8" x14ac:dyDescent="0.2">
      <c r="A61" s="3">
        <v>3060333017</v>
      </c>
      <c r="B61" s="4" t="s">
        <v>227</v>
      </c>
      <c r="C61" s="4" t="s">
        <v>1884</v>
      </c>
      <c r="D61" s="3">
        <v>1</v>
      </c>
      <c r="E61" s="3" t="s">
        <v>16</v>
      </c>
      <c r="F61" s="3" t="s">
        <v>289</v>
      </c>
      <c r="G61" s="3" t="s">
        <v>23</v>
      </c>
      <c r="H61" s="3" t="s">
        <v>226</v>
      </c>
    </row>
    <row r="62" spans="1:8" x14ac:dyDescent="0.2">
      <c r="A62" s="3">
        <v>3060335025</v>
      </c>
      <c r="B62" s="4" t="s">
        <v>233</v>
      </c>
      <c r="C62" s="4" t="s">
        <v>1866</v>
      </c>
      <c r="D62" s="3">
        <v>1</v>
      </c>
      <c r="E62" s="3" t="s">
        <v>16</v>
      </c>
      <c r="F62" s="3" t="s">
        <v>289</v>
      </c>
      <c r="G62" s="3" t="s">
        <v>23</v>
      </c>
      <c r="H62" s="3" t="s">
        <v>226</v>
      </c>
    </row>
    <row r="63" spans="1:8" x14ac:dyDescent="0.2">
      <c r="A63" s="3">
        <v>3030101045</v>
      </c>
      <c r="B63" s="4" t="s">
        <v>1885</v>
      </c>
      <c r="C63" s="4" t="s">
        <v>1886</v>
      </c>
      <c r="D63" s="3">
        <v>1</v>
      </c>
      <c r="E63" s="3" t="s">
        <v>16</v>
      </c>
      <c r="F63" s="3" t="s">
        <v>295</v>
      </c>
      <c r="G63" s="3" t="s">
        <v>17</v>
      </c>
      <c r="H63" s="3" t="s">
        <v>226</v>
      </c>
    </row>
    <row r="64" spans="1:8" x14ac:dyDescent="0.2">
      <c r="A64" s="3">
        <v>3020101006</v>
      </c>
      <c r="B64" s="4" t="s">
        <v>239</v>
      </c>
      <c r="C64" s="4" t="s">
        <v>1887</v>
      </c>
      <c r="D64" s="3">
        <v>6</v>
      </c>
      <c r="E64" s="3" t="s">
        <v>16</v>
      </c>
      <c r="F64" s="3" t="s">
        <v>297</v>
      </c>
      <c r="G64" s="3" t="s">
        <v>204</v>
      </c>
      <c r="H64" s="3" t="s">
        <v>226</v>
      </c>
    </row>
    <row r="65" spans="1:8" x14ac:dyDescent="0.2">
      <c r="A65" s="3">
        <v>3040330021</v>
      </c>
      <c r="B65" s="4" t="s">
        <v>1888</v>
      </c>
      <c r="C65" s="4" t="s">
        <v>1889</v>
      </c>
      <c r="D65" s="3">
        <v>1</v>
      </c>
      <c r="E65" s="3" t="s">
        <v>16</v>
      </c>
      <c r="F65" s="3" t="s">
        <v>1836</v>
      </c>
      <c r="G65" s="3" t="s">
        <v>1837</v>
      </c>
      <c r="H65" s="3" t="s">
        <v>226</v>
      </c>
    </row>
    <row r="66" spans="1:8" x14ac:dyDescent="0.2">
      <c r="A66" s="3">
        <v>3040330019</v>
      </c>
      <c r="B66" s="4" t="s">
        <v>1890</v>
      </c>
      <c r="C66" s="4" t="s">
        <v>1866</v>
      </c>
      <c r="D66" s="3">
        <v>1</v>
      </c>
      <c r="E66" s="3" t="s">
        <v>16</v>
      </c>
      <c r="F66" s="3" t="s">
        <v>1836</v>
      </c>
      <c r="G66" s="3" t="s">
        <v>1837</v>
      </c>
      <c r="H66" s="3" t="s">
        <v>226</v>
      </c>
    </row>
    <row r="67" spans="1:8" x14ac:dyDescent="0.2">
      <c r="A67" s="3">
        <v>3060337007</v>
      </c>
      <c r="B67" s="4" t="s">
        <v>1524</v>
      </c>
      <c r="C67" s="4" t="s">
        <v>1520</v>
      </c>
      <c r="D67" s="3">
        <v>1</v>
      </c>
      <c r="E67" s="3" t="s">
        <v>16</v>
      </c>
      <c r="F67" s="3" t="s">
        <v>289</v>
      </c>
      <c r="G67" s="3" t="s">
        <v>23</v>
      </c>
      <c r="H67" s="3" t="s">
        <v>226</v>
      </c>
    </row>
    <row r="68" spans="1:8" x14ac:dyDescent="0.2">
      <c r="A68" s="3">
        <v>3060338004</v>
      </c>
      <c r="B68" s="4" t="s">
        <v>1478</v>
      </c>
      <c r="C68" s="4" t="s">
        <v>1891</v>
      </c>
      <c r="D68" s="3">
        <v>1</v>
      </c>
      <c r="E68" s="3" t="s">
        <v>16</v>
      </c>
      <c r="F68" s="3" t="s">
        <v>289</v>
      </c>
      <c r="G68" s="3" t="s">
        <v>23</v>
      </c>
      <c r="H68" s="3" t="s">
        <v>226</v>
      </c>
    </row>
    <row r="69" spans="1:8" x14ac:dyDescent="0.2">
      <c r="A69" s="3">
        <v>3040306020</v>
      </c>
      <c r="B69" s="4" t="s">
        <v>1892</v>
      </c>
      <c r="C69" s="4" t="s">
        <v>1893</v>
      </c>
      <c r="D69" s="3">
        <v>1</v>
      </c>
      <c r="E69" s="3" t="s">
        <v>16</v>
      </c>
      <c r="F69" s="3" t="s">
        <v>293</v>
      </c>
      <c r="G69" s="3" t="s">
        <v>29</v>
      </c>
      <c r="H69" s="3" t="s">
        <v>226</v>
      </c>
    </row>
    <row r="70" spans="1:8" x14ac:dyDescent="0.2">
      <c r="A70" s="3">
        <v>3040306019</v>
      </c>
      <c r="B70" s="4" t="s">
        <v>1892</v>
      </c>
      <c r="C70" s="4" t="s">
        <v>1894</v>
      </c>
      <c r="D70" s="3">
        <v>1</v>
      </c>
      <c r="E70" s="3" t="s">
        <v>16</v>
      </c>
      <c r="F70" s="3" t="s">
        <v>293</v>
      </c>
      <c r="G70" s="3" t="s">
        <v>29</v>
      </c>
      <c r="H70" s="3" t="s">
        <v>226</v>
      </c>
    </row>
    <row r="71" spans="1:8" x14ac:dyDescent="0.2">
      <c r="A71" s="3">
        <v>3050304021</v>
      </c>
      <c r="B71" s="4" t="s">
        <v>181</v>
      </c>
      <c r="C71" s="4" t="s">
        <v>1895</v>
      </c>
      <c r="D71" s="3">
        <v>1</v>
      </c>
      <c r="E71" s="3" t="s">
        <v>16</v>
      </c>
      <c r="F71" s="3" t="s">
        <v>291</v>
      </c>
      <c r="G71" s="3" t="s">
        <v>26</v>
      </c>
      <c r="H71" s="3" t="s">
        <v>226</v>
      </c>
    </row>
    <row r="72" spans="1:8" x14ac:dyDescent="0.2">
      <c r="A72" s="3">
        <v>3991601010</v>
      </c>
      <c r="B72" s="4" t="s">
        <v>585</v>
      </c>
      <c r="C72" s="4" t="s">
        <v>1472</v>
      </c>
      <c r="D72" s="3">
        <v>16</v>
      </c>
      <c r="E72" s="3" t="s">
        <v>16</v>
      </c>
      <c r="F72" s="3" t="s">
        <v>289</v>
      </c>
      <c r="G72" s="3" t="s">
        <v>23</v>
      </c>
      <c r="H72" s="3" t="s">
        <v>254</v>
      </c>
    </row>
    <row r="73" spans="1:8" x14ac:dyDescent="0.2">
      <c r="A73" s="3">
        <v>3991601010</v>
      </c>
      <c r="B73" s="4" t="s">
        <v>585</v>
      </c>
      <c r="C73" s="4" t="s">
        <v>1472</v>
      </c>
      <c r="D73" s="3">
        <v>12</v>
      </c>
      <c r="E73" s="3" t="s">
        <v>16</v>
      </c>
      <c r="F73" s="3" t="s">
        <v>291</v>
      </c>
      <c r="G73" s="3" t="s">
        <v>26</v>
      </c>
      <c r="H73" s="3" t="s">
        <v>254</v>
      </c>
    </row>
    <row r="74" spans="1:8" x14ac:dyDescent="0.2">
      <c r="A74" s="3">
        <v>3991601011</v>
      </c>
      <c r="B74" s="4" t="s">
        <v>1535</v>
      </c>
      <c r="C74" s="4" t="s">
        <v>1472</v>
      </c>
      <c r="D74" s="3">
        <v>16</v>
      </c>
      <c r="E74" s="3" t="s">
        <v>16</v>
      </c>
      <c r="F74" s="3" t="s">
        <v>289</v>
      </c>
      <c r="G74" s="3" t="s">
        <v>23</v>
      </c>
      <c r="H74" s="3" t="s">
        <v>254</v>
      </c>
    </row>
    <row r="75" spans="1:8" x14ac:dyDescent="0.2">
      <c r="A75" s="3">
        <v>3991601011</v>
      </c>
      <c r="B75" s="4" t="s">
        <v>1535</v>
      </c>
      <c r="C75" s="4" t="s">
        <v>1472</v>
      </c>
      <c r="D75" s="3">
        <v>12</v>
      </c>
      <c r="E75" s="3" t="s">
        <v>16</v>
      </c>
      <c r="F75" s="3" t="s">
        <v>291</v>
      </c>
      <c r="G75" s="3" t="s">
        <v>26</v>
      </c>
      <c r="H75" s="3" t="s">
        <v>254</v>
      </c>
    </row>
    <row r="76" spans="1:8" x14ac:dyDescent="0.2">
      <c r="A76" s="3">
        <v>3060321006</v>
      </c>
      <c r="B76" s="4" t="s">
        <v>1536</v>
      </c>
      <c r="C76" s="4" t="s">
        <v>1527</v>
      </c>
      <c r="D76" s="3">
        <v>1</v>
      </c>
      <c r="E76" s="3" t="s">
        <v>16</v>
      </c>
      <c r="F76" s="3" t="s">
        <v>289</v>
      </c>
      <c r="G76" s="3" t="s">
        <v>23</v>
      </c>
      <c r="H76" s="3" t="s">
        <v>254</v>
      </c>
    </row>
    <row r="77" spans="1:8" x14ac:dyDescent="0.2">
      <c r="A77" s="3">
        <v>3060321005</v>
      </c>
      <c r="B77" s="4" t="s">
        <v>1536</v>
      </c>
      <c r="C77" s="4" t="s">
        <v>1528</v>
      </c>
      <c r="D77" s="3">
        <v>1</v>
      </c>
      <c r="E77" s="3" t="s">
        <v>16</v>
      </c>
      <c r="F77" s="3" t="s">
        <v>289</v>
      </c>
      <c r="G77" s="3" t="s">
        <v>23</v>
      </c>
      <c r="H77" s="3" t="s">
        <v>254</v>
      </c>
    </row>
  </sheetData>
  <phoneticPr fontId="2" type="noConversion"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1EBBD-02F5-4623-B6DD-7B5939B214CA}">
  <dimension ref="A1:H162"/>
  <sheetViews>
    <sheetView workbookViewId="0">
      <selection activeCell="O20" sqref="O20"/>
    </sheetView>
  </sheetViews>
  <sheetFormatPr defaultRowHeight="14.25" x14ac:dyDescent="0.2"/>
  <cols>
    <col min="1" max="1" width="13.25" customWidth="1"/>
    <col min="2" max="3" width="13" customWidth="1"/>
  </cols>
  <sheetData>
    <row r="1" spans="1:8" x14ac:dyDescent="0.2">
      <c r="A1" s="3" t="s">
        <v>1923</v>
      </c>
      <c r="B1" s="4"/>
      <c r="C1" s="4"/>
      <c r="D1" s="3"/>
      <c r="E1" s="3"/>
      <c r="F1" s="3"/>
      <c r="G1" s="3"/>
      <c r="H1" s="3"/>
    </row>
    <row r="2" spans="1:8" ht="28.5" x14ac:dyDescent="0.2">
      <c r="A2" s="1" t="s">
        <v>0</v>
      </c>
      <c r="B2" s="2" t="s">
        <v>1</v>
      </c>
      <c r="C2" s="2" t="s">
        <v>2</v>
      </c>
      <c r="D2" s="1" t="s">
        <v>4</v>
      </c>
      <c r="E2" s="1" t="s">
        <v>3</v>
      </c>
      <c r="F2" s="1" t="s">
        <v>5</v>
      </c>
      <c r="G2" s="1" t="s">
        <v>6</v>
      </c>
      <c r="H2" s="1" t="s">
        <v>7</v>
      </c>
    </row>
    <row r="3" spans="1:8" s="10" customFormat="1" x14ac:dyDescent="0.2">
      <c r="A3" s="8" t="s">
        <v>390</v>
      </c>
      <c r="B3" s="9" t="s">
        <v>8</v>
      </c>
      <c r="C3" s="9" t="s">
        <v>9</v>
      </c>
      <c r="D3" s="13">
        <f>0.1107/0.94</f>
        <v>0.11776595744680853</v>
      </c>
      <c r="E3" s="8" t="s">
        <v>596</v>
      </c>
      <c r="F3" s="8" t="s">
        <v>283</v>
      </c>
      <c r="G3" s="8" t="s">
        <v>13</v>
      </c>
      <c r="H3" s="8" t="s">
        <v>12</v>
      </c>
    </row>
    <row r="4" spans="1:8" x14ac:dyDescent="0.2">
      <c r="A4" s="3">
        <v>3098980102</v>
      </c>
      <c r="B4" s="4" t="s">
        <v>1897</v>
      </c>
      <c r="C4" s="4" t="s">
        <v>1898</v>
      </c>
      <c r="D4" s="3">
        <v>1</v>
      </c>
      <c r="E4" s="3" t="s">
        <v>16</v>
      </c>
      <c r="F4" s="3" t="s">
        <v>291</v>
      </c>
      <c r="G4" s="3" t="s">
        <v>26</v>
      </c>
      <c r="H4" s="3" t="s">
        <v>393</v>
      </c>
    </row>
    <row r="5" spans="1:8" x14ac:dyDescent="0.2">
      <c r="A5" s="3">
        <v>3080503020</v>
      </c>
      <c r="B5" s="4" t="s">
        <v>14</v>
      </c>
      <c r="C5" s="4" t="s">
        <v>15</v>
      </c>
      <c r="D5" s="3">
        <v>2</v>
      </c>
      <c r="E5" s="3" t="s">
        <v>16</v>
      </c>
      <c r="F5" s="3" t="s">
        <v>295</v>
      </c>
      <c r="G5" s="3" t="s">
        <v>17</v>
      </c>
      <c r="H5" s="3" t="s">
        <v>18</v>
      </c>
    </row>
    <row r="6" spans="1:8" x14ac:dyDescent="0.2">
      <c r="A6" s="3">
        <v>3080503019</v>
      </c>
      <c r="B6" s="4" t="s">
        <v>14</v>
      </c>
      <c r="C6" s="4" t="s">
        <v>19</v>
      </c>
      <c r="D6" s="3">
        <v>4</v>
      </c>
      <c r="E6" s="3" t="s">
        <v>16</v>
      </c>
      <c r="F6" s="3" t="s">
        <v>295</v>
      </c>
      <c r="G6" s="3" t="s">
        <v>17</v>
      </c>
      <c r="H6" s="3" t="s">
        <v>18</v>
      </c>
    </row>
    <row r="7" spans="1:8" x14ac:dyDescent="0.2">
      <c r="A7" s="3">
        <v>3080503001</v>
      </c>
      <c r="B7" s="4" t="s">
        <v>14</v>
      </c>
      <c r="C7" s="4" t="s">
        <v>20</v>
      </c>
      <c r="D7" s="3">
        <v>4</v>
      </c>
      <c r="E7" s="3" t="s">
        <v>16</v>
      </c>
      <c r="F7" s="3" t="s">
        <v>295</v>
      </c>
      <c r="G7" s="3" t="s">
        <v>17</v>
      </c>
      <c r="H7" s="3" t="s">
        <v>18</v>
      </c>
    </row>
    <row r="8" spans="1:8" x14ac:dyDescent="0.2">
      <c r="A8" s="3">
        <v>3060503002</v>
      </c>
      <c r="B8" s="4" t="s">
        <v>21</v>
      </c>
      <c r="C8" s="4" t="s">
        <v>22</v>
      </c>
      <c r="D8" s="3">
        <v>1</v>
      </c>
      <c r="E8" s="3" t="s">
        <v>16</v>
      </c>
      <c r="F8" s="3" t="s">
        <v>289</v>
      </c>
      <c r="G8" s="3" t="s">
        <v>23</v>
      </c>
      <c r="H8" s="3" t="s">
        <v>18</v>
      </c>
    </row>
    <row r="9" spans="1:8" x14ac:dyDescent="0.2">
      <c r="A9" s="3">
        <v>3030215001</v>
      </c>
      <c r="B9" s="4" t="s">
        <v>24</v>
      </c>
      <c r="C9" s="4" t="s">
        <v>25</v>
      </c>
      <c r="D9" s="3">
        <v>2</v>
      </c>
      <c r="E9" s="3" t="s">
        <v>16</v>
      </c>
      <c r="F9" s="3" t="s">
        <v>291</v>
      </c>
      <c r="G9" s="3" t="s">
        <v>26</v>
      </c>
      <c r="H9" s="3" t="s">
        <v>18</v>
      </c>
    </row>
    <row r="10" spans="1:8" x14ac:dyDescent="0.2">
      <c r="A10" s="3">
        <v>3040208001</v>
      </c>
      <c r="B10" s="4" t="s">
        <v>27</v>
      </c>
      <c r="C10" s="4" t="s">
        <v>28</v>
      </c>
      <c r="D10" s="3">
        <v>2</v>
      </c>
      <c r="E10" s="3" t="s">
        <v>16</v>
      </c>
      <c r="F10" s="3" t="s">
        <v>293</v>
      </c>
      <c r="G10" s="3" t="s">
        <v>29</v>
      </c>
      <c r="H10" s="3" t="s">
        <v>18</v>
      </c>
    </row>
    <row r="11" spans="1:8" x14ac:dyDescent="0.2">
      <c r="A11" s="3">
        <v>406010001</v>
      </c>
      <c r="B11" s="4" t="s">
        <v>1899</v>
      </c>
      <c r="C11" s="4" t="s">
        <v>1900</v>
      </c>
      <c r="D11" s="3">
        <v>2</v>
      </c>
      <c r="E11" s="3" t="s">
        <v>16</v>
      </c>
      <c r="F11" s="3" t="s">
        <v>291</v>
      </c>
      <c r="G11" s="3" t="s">
        <v>26</v>
      </c>
      <c r="H11" s="3" t="s">
        <v>18</v>
      </c>
    </row>
    <row r="12" spans="1:8" x14ac:dyDescent="0.2">
      <c r="A12" s="3">
        <v>404020029</v>
      </c>
      <c r="B12" s="4" t="s">
        <v>30</v>
      </c>
      <c r="C12" s="4" t="s">
        <v>31</v>
      </c>
      <c r="D12" s="3">
        <v>2</v>
      </c>
      <c r="E12" s="3" t="s">
        <v>16</v>
      </c>
      <c r="F12" s="3" t="s">
        <v>301</v>
      </c>
      <c r="G12" s="3" t="s">
        <v>32</v>
      </c>
      <c r="H12" s="3" t="s">
        <v>33</v>
      </c>
    </row>
    <row r="13" spans="1:8" x14ac:dyDescent="0.2">
      <c r="A13" s="3">
        <v>401040029</v>
      </c>
      <c r="B13" s="4" t="s">
        <v>35</v>
      </c>
      <c r="C13" s="4" t="s">
        <v>1901</v>
      </c>
      <c r="D13" s="3">
        <v>1</v>
      </c>
      <c r="E13" s="3" t="s">
        <v>16</v>
      </c>
      <c r="F13" s="3" t="s">
        <v>291</v>
      </c>
      <c r="G13" s="3" t="s">
        <v>26</v>
      </c>
      <c r="H13" s="3" t="s">
        <v>33</v>
      </c>
    </row>
    <row r="14" spans="1:8" x14ac:dyDescent="0.2">
      <c r="A14" s="3">
        <v>3080102003</v>
      </c>
      <c r="B14" s="4" t="s">
        <v>38</v>
      </c>
      <c r="C14" s="4" t="s">
        <v>39</v>
      </c>
      <c r="D14" s="3">
        <v>1</v>
      </c>
      <c r="E14" s="3" t="s">
        <v>16</v>
      </c>
      <c r="F14" s="3" t="s">
        <v>289</v>
      </c>
      <c r="G14" s="3" t="s">
        <v>23</v>
      </c>
      <c r="H14" s="3" t="s">
        <v>40</v>
      </c>
    </row>
    <row r="15" spans="1:8" x14ac:dyDescent="0.2">
      <c r="A15" s="3">
        <v>3080401012</v>
      </c>
      <c r="B15" s="4" t="s">
        <v>41</v>
      </c>
      <c r="C15" s="4" t="s">
        <v>42</v>
      </c>
      <c r="D15" s="3">
        <v>3</v>
      </c>
      <c r="E15" s="3" t="s">
        <v>16</v>
      </c>
      <c r="F15" s="3" t="s">
        <v>291</v>
      </c>
      <c r="G15" s="3" t="s">
        <v>26</v>
      </c>
      <c r="H15" s="3" t="s">
        <v>40</v>
      </c>
    </row>
    <row r="16" spans="1:8" x14ac:dyDescent="0.2">
      <c r="A16" s="3">
        <v>3080401005</v>
      </c>
      <c r="B16" s="4" t="s">
        <v>41</v>
      </c>
      <c r="C16" s="4" t="s">
        <v>43</v>
      </c>
      <c r="D16" s="3">
        <v>12</v>
      </c>
      <c r="E16" s="3" t="s">
        <v>16</v>
      </c>
      <c r="F16" s="3" t="s">
        <v>291</v>
      </c>
      <c r="G16" s="3" t="s">
        <v>26</v>
      </c>
      <c r="H16" s="3" t="s">
        <v>40</v>
      </c>
    </row>
    <row r="17" spans="1:8" x14ac:dyDescent="0.2">
      <c r="A17" s="3">
        <v>3080401006</v>
      </c>
      <c r="B17" s="4" t="s">
        <v>41</v>
      </c>
      <c r="C17" s="4" t="s">
        <v>44</v>
      </c>
      <c r="D17" s="3">
        <v>1</v>
      </c>
      <c r="E17" s="3" t="s">
        <v>16</v>
      </c>
      <c r="F17" s="3" t="s">
        <v>295</v>
      </c>
      <c r="G17" s="3" t="s">
        <v>17</v>
      </c>
      <c r="H17" s="3" t="s">
        <v>40</v>
      </c>
    </row>
    <row r="18" spans="1:8" x14ac:dyDescent="0.2">
      <c r="A18" s="3">
        <v>3080104020</v>
      </c>
      <c r="B18" s="4" t="s">
        <v>45</v>
      </c>
      <c r="C18" s="4" t="s">
        <v>46</v>
      </c>
      <c r="D18" s="3">
        <v>4</v>
      </c>
      <c r="E18" s="3" t="s">
        <v>16</v>
      </c>
      <c r="F18" s="3" t="s">
        <v>291</v>
      </c>
      <c r="G18" s="3" t="s">
        <v>26</v>
      </c>
      <c r="H18" s="3" t="s">
        <v>40</v>
      </c>
    </row>
    <row r="19" spans="1:8" x14ac:dyDescent="0.2">
      <c r="A19" s="3">
        <v>3080104019</v>
      </c>
      <c r="B19" s="4" t="s">
        <v>45</v>
      </c>
      <c r="C19" s="4" t="s">
        <v>47</v>
      </c>
      <c r="D19" s="3">
        <v>2</v>
      </c>
      <c r="E19" s="3" t="s">
        <v>16</v>
      </c>
      <c r="F19" s="3" t="s">
        <v>291</v>
      </c>
      <c r="G19" s="3" t="s">
        <v>26</v>
      </c>
      <c r="H19" s="3" t="s">
        <v>40</v>
      </c>
    </row>
    <row r="20" spans="1:8" x14ac:dyDescent="0.2">
      <c r="A20" s="3">
        <v>3080104010</v>
      </c>
      <c r="B20" s="4" t="s">
        <v>45</v>
      </c>
      <c r="C20" s="4" t="s">
        <v>48</v>
      </c>
      <c r="D20" s="3">
        <v>4</v>
      </c>
      <c r="E20" s="3" t="s">
        <v>16</v>
      </c>
      <c r="F20" s="3" t="s">
        <v>291</v>
      </c>
      <c r="G20" s="3" t="s">
        <v>26</v>
      </c>
      <c r="H20" s="3" t="s">
        <v>40</v>
      </c>
    </row>
    <row r="21" spans="1:8" x14ac:dyDescent="0.2">
      <c r="A21" s="3">
        <v>3080104050</v>
      </c>
      <c r="B21" s="4" t="s">
        <v>45</v>
      </c>
      <c r="C21" s="4" t="s">
        <v>49</v>
      </c>
      <c r="D21" s="3">
        <v>4</v>
      </c>
      <c r="E21" s="3" t="s">
        <v>16</v>
      </c>
      <c r="F21" s="3" t="s">
        <v>295</v>
      </c>
      <c r="G21" s="3" t="s">
        <v>17</v>
      </c>
      <c r="H21" s="3" t="s">
        <v>40</v>
      </c>
    </row>
    <row r="22" spans="1:8" x14ac:dyDescent="0.2">
      <c r="A22" s="3">
        <v>3080105013</v>
      </c>
      <c r="B22" s="4" t="s">
        <v>50</v>
      </c>
      <c r="C22" s="4" t="s">
        <v>51</v>
      </c>
      <c r="D22" s="3">
        <v>12</v>
      </c>
      <c r="E22" s="3" t="s">
        <v>16</v>
      </c>
      <c r="F22" s="3" t="s">
        <v>293</v>
      </c>
      <c r="G22" s="3" t="s">
        <v>29</v>
      </c>
      <c r="H22" s="3" t="s">
        <v>40</v>
      </c>
    </row>
    <row r="23" spans="1:8" x14ac:dyDescent="0.2">
      <c r="A23" s="3">
        <v>3080105007</v>
      </c>
      <c r="B23" s="4" t="s">
        <v>50</v>
      </c>
      <c r="C23" s="4" t="s">
        <v>52</v>
      </c>
      <c r="D23" s="3">
        <v>2</v>
      </c>
      <c r="E23" s="3" t="s">
        <v>16</v>
      </c>
      <c r="F23" s="3" t="s">
        <v>289</v>
      </c>
      <c r="G23" s="3" t="s">
        <v>23</v>
      </c>
      <c r="H23" s="3" t="s">
        <v>40</v>
      </c>
    </row>
    <row r="24" spans="1:8" x14ac:dyDescent="0.2">
      <c r="A24" s="3">
        <v>3080105007</v>
      </c>
      <c r="B24" s="4" t="s">
        <v>50</v>
      </c>
      <c r="C24" s="4" t="s">
        <v>52</v>
      </c>
      <c r="D24" s="3">
        <v>2</v>
      </c>
      <c r="E24" s="3" t="s">
        <v>16</v>
      </c>
      <c r="F24" s="3" t="s">
        <v>293</v>
      </c>
      <c r="G24" s="3" t="s">
        <v>29</v>
      </c>
      <c r="H24" s="3" t="s">
        <v>40</v>
      </c>
    </row>
    <row r="25" spans="1:8" x14ac:dyDescent="0.2">
      <c r="A25" s="3">
        <v>3080105114</v>
      </c>
      <c r="B25" s="4" t="s">
        <v>50</v>
      </c>
      <c r="C25" s="4" t="s">
        <v>53</v>
      </c>
      <c r="D25" s="3">
        <v>4</v>
      </c>
      <c r="E25" s="3" t="s">
        <v>16</v>
      </c>
      <c r="F25" s="3" t="s">
        <v>289</v>
      </c>
      <c r="G25" s="3" t="s">
        <v>23</v>
      </c>
      <c r="H25" s="3" t="s">
        <v>40</v>
      </c>
    </row>
    <row r="26" spans="1:8" x14ac:dyDescent="0.2">
      <c r="A26" s="3">
        <v>3080105114</v>
      </c>
      <c r="B26" s="4" t="s">
        <v>50</v>
      </c>
      <c r="C26" s="4" t="s">
        <v>53</v>
      </c>
      <c r="D26" s="3">
        <v>4</v>
      </c>
      <c r="E26" s="3" t="s">
        <v>16</v>
      </c>
      <c r="F26" s="3" t="s">
        <v>289</v>
      </c>
      <c r="G26" s="3" t="s">
        <v>23</v>
      </c>
      <c r="H26" s="3" t="s">
        <v>40</v>
      </c>
    </row>
    <row r="27" spans="1:8" x14ac:dyDescent="0.2">
      <c r="A27" s="3">
        <v>3080105007</v>
      </c>
      <c r="B27" s="4" t="s">
        <v>50</v>
      </c>
      <c r="C27" s="4" t="s">
        <v>52</v>
      </c>
      <c r="D27" s="3">
        <v>16</v>
      </c>
      <c r="E27" s="3" t="s">
        <v>16</v>
      </c>
      <c r="F27" s="3" t="s">
        <v>293</v>
      </c>
      <c r="G27" s="3" t="s">
        <v>29</v>
      </c>
      <c r="H27" s="3" t="s">
        <v>40</v>
      </c>
    </row>
    <row r="28" spans="1:8" x14ac:dyDescent="0.2">
      <c r="A28" s="3">
        <v>3080105004</v>
      </c>
      <c r="B28" s="4" t="s">
        <v>50</v>
      </c>
      <c r="C28" s="4" t="s">
        <v>54</v>
      </c>
      <c r="D28" s="3">
        <v>1</v>
      </c>
      <c r="E28" s="3" t="s">
        <v>16</v>
      </c>
      <c r="F28" s="3" t="s">
        <v>289</v>
      </c>
      <c r="G28" s="3" t="s">
        <v>23</v>
      </c>
      <c r="H28" s="3" t="s">
        <v>40</v>
      </c>
    </row>
    <row r="29" spans="1:8" x14ac:dyDescent="0.2">
      <c r="A29" s="3">
        <v>3080105013</v>
      </c>
      <c r="B29" s="4" t="s">
        <v>50</v>
      </c>
      <c r="C29" s="4" t="s">
        <v>51</v>
      </c>
      <c r="D29" s="3">
        <v>2</v>
      </c>
      <c r="E29" s="3" t="s">
        <v>16</v>
      </c>
      <c r="F29" s="3" t="s">
        <v>291</v>
      </c>
      <c r="G29" s="3" t="s">
        <v>26</v>
      </c>
      <c r="H29" s="3" t="s">
        <v>40</v>
      </c>
    </row>
    <row r="30" spans="1:8" x14ac:dyDescent="0.2">
      <c r="A30" s="3">
        <v>3080105007</v>
      </c>
      <c r="B30" s="4" t="s">
        <v>50</v>
      </c>
      <c r="C30" s="4" t="s">
        <v>52</v>
      </c>
      <c r="D30" s="3">
        <v>8</v>
      </c>
      <c r="E30" s="3" t="s">
        <v>16</v>
      </c>
      <c r="F30" s="3" t="s">
        <v>289</v>
      </c>
      <c r="G30" s="3" t="s">
        <v>23</v>
      </c>
      <c r="H30" s="3" t="s">
        <v>40</v>
      </c>
    </row>
    <row r="31" spans="1:8" x14ac:dyDescent="0.2">
      <c r="A31" s="3">
        <v>3080502002</v>
      </c>
      <c r="B31" s="4" t="s">
        <v>55</v>
      </c>
      <c r="C31" s="4" t="s">
        <v>56</v>
      </c>
      <c r="D31" s="3">
        <v>4</v>
      </c>
      <c r="E31" s="3" t="s">
        <v>16</v>
      </c>
      <c r="F31" s="3" t="s">
        <v>293</v>
      </c>
      <c r="G31" s="3" t="s">
        <v>29</v>
      </c>
      <c r="H31" s="3" t="s">
        <v>40</v>
      </c>
    </row>
    <row r="32" spans="1:8" x14ac:dyDescent="0.2">
      <c r="A32" s="3">
        <v>3080501013</v>
      </c>
      <c r="B32" s="4" t="s">
        <v>57</v>
      </c>
      <c r="C32" s="4" t="s">
        <v>58</v>
      </c>
      <c r="D32" s="3">
        <v>2</v>
      </c>
      <c r="E32" s="3" t="s">
        <v>16</v>
      </c>
      <c r="F32" s="3" t="s">
        <v>293</v>
      </c>
      <c r="G32" s="3" t="s">
        <v>29</v>
      </c>
      <c r="H32" s="3" t="s">
        <v>40</v>
      </c>
    </row>
    <row r="33" spans="1:8" x14ac:dyDescent="0.2">
      <c r="A33" s="3">
        <v>3080501016</v>
      </c>
      <c r="B33" s="4" t="s">
        <v>57</v>
      </c>
      <c r="C33" s="4" t="s">
        <v>59</v>
      </c>
      <c r="D33" s="3">
        <v>2</v>
      </c>
      <c r="E33" s="3" t="s">
        <v>16</v>
      </c>
      <c r="F33" s="3" t="s">
        <v>293</v>
      </c>
      <c r="G33" s="3" t="s">
        <v>29</v>
      </c>
      <c r="H33" s="3" t="s">
        <v>40</v>
      </c>
    </row>
    <row r="34" spans="1:8" x14ac:dyDescent="0.2">
      <c r="A34" s="3">
        <v>3080201004</v>
      </c>
      <c r="B34" s="4" t="s">
        <v>60</v>
      </c>
      <c r="C34" s="4" t="s">
        <v>61</v>
      </c>
      <c r="D34" s="3">
        <v>4</v>
      </c>
      <c r="E34" s="3" t="s">
        <v>16</v>
      </c>
      <c r="F34" s="3" t="s">
        <v>295</v>
      </c>
      <c r="G34" s="3" t="s">
        <v>17</v>
      </c>
      <c r="H34" s="3" t="s">
        <v>40</v>
      </c>
    </row>
    <row r="35" spans="1:8" x14ac:dyDescent="0.2">
      <c r="A35" s="3">
        <v>3080201007</v>
      </c>
      <c r="B35" s="4" t="s">
        <v>60</v>
      </c>
      <c r="C35" s="4" t="s">
        <v>62</v>
      </c>
      <c r="D35" s="3">
        <v>1</v>
      </c>
      <c r="E35" s="3" t="s">
        <v>16</v>
      </c>
      <c r="F35" s="3" t="s">
        <v>295</v>
      </c>
      <c r="G35" s="3" t="s">
        <v>17</v>
      </c>
      <c r="H35" s="3" t="s">
        <v>40</v>
      </c>
    </row>
    <row r="36" spans="1:8" x14ac:dyDescent="0.2">
      <c r="A36" s="3">
        <v>3080201008</v>
      </c>
      <c r="B36" s="4" t="s">
        <v>60</v>
      </c>
      <c r="C36" s="4" t="s">
        <v>63</v>
      </c>
      <c r="D36" s="3">
        <v>1</v>
      </c>
      <c r="E36" s="3" t="s">
        <v>16</v>
      </c>
      <c r="F36" s="3" t="s">
        <v>295</v>
      </c>
      <c r="G36" s="3" t="s">
        <v>17</v>
      </c>
      <c r="H36" s="3" t="s">
        <v>40</v>
      </c>
    </row>
    <row r="37" spans="1:8" x14ac:dyDescent="0.2">
      <c r="A37" s="3">
        <v>3080201010</v>
      </c>
      <c r="B37" s="4" t="s">
        <v>60</v>
      </c>
      <c r="C37" s="4" t="s">
        <v>64</v>
      </c>
      <c r="D37" s="3">
        <v>1</v>
      </c>
      <c r="E37" s="3" t="s">
        <v>16</v>
      </c>
      <c r="F37" s="3" t="s">
        <v>295</v>
      </c>
      <c r="G37" s="3" t="s">
        <v>17</v>
      </c>
      <c r="H37" s="3" t="s">
        <v>40</v>
      </c>
    </row>
    <row r="38" spans="1:8" x14ac:dyDescent="0.2">
      <c r="A38" s="3">
        <v>3080201015</v>
      </c>
      <c r="B38" s="4" t="s">
        <v>60</v>
      </c>
      <c r="C38" s="4" t="s">
        <v>65</v>
      </c>
      <c r="D38" s="3">
        <v>2</v>
      </c>
      <c r="E38" s="3" t="s">
        <v>16</v>
      </c>
      <c r="F38" s="3" t="s">
        <v>295</v>
      </c>
      <c r="G38" s="3" t="s">
        <v>17</v>
      </c>
      <c r="H38" s="3" t="s">
        <v>40</v>
      </c>
    </row>
    <row r="39" spans="1:8" x14ac:dyDescent="0.2">
      <c r="A39" s="3">
        <v>3080106009</v>
      </c>
      <c r="B39" s="4" t="s">
        <v>66</v>
      </c>
      <c r="C39" s="4" t="s">
        <v>67</v>
      </c>
      <c r="D39" s="3">
        <v>1</v>
      </c>
      <c r="E39" s="3" t="s">
        <v>16</v>
      </c>
      <c r="F39" s="3" t="s">
        <v>295</v>
      </c>
      <c r="G39" s="3" t="s">
        <v>17</v>
      </c>
      <c r="H39" s="3" t="s">
        <v>40</v>
      </c>
    </row>
    <row r="40" spans="1:8" x14ac:dyDescent="0.2">
      <c r="A40" s="3">
        <v>3080106007</v>
      </c>
      <c r="B40" s="4" t="s">
        <v>66</v>
      </c>
      <c r="C40" s="4" t="s">
        <v>68</v>
      </c>
      <c r="D40" s="3">
        <v>1</v>
      </c>
      <c r="E40" s="3" t="s">
        <v>16</v>
      </c>
      <c r="F40" s="3" t="s">
        <v>295</v>
      </c>
      <c r="G40" s="3" t="s">
        <v>17</v>
      </c>
      <c r="H40" s="3" t="s">
        <v>40</v>
      </c>
    </row>
    <row r="41" spans="1:8" x14ac:dyDescent="0.2">
      <c r="A41" s="3">
        <v>3080107130</v>
      </c>
      <c r="B41" s="4" t="s">
        <v>69</v>
      </c>
      <c r="C41" s="4" t="s">
        <v>70</v>
      </c>
      <c r="D41" s="3">
        <v>4</v>
      </c>
      <c r="E41" s="3" t="s">
        <v>16</v>
      </c>
      <c r="F41" s="3" t="s">
        <v>293</v>
      </c>
      <c r="G41" s="3" t="s">
        <v>29</v>
      </c>
      <c r="H41" s="3" t="s">
        <v>40</v>
      </c>
    </row>
    <row r="42" spans="1:8" x14ac:dyDescent="0.2">
      <c r="A42" s="3">
        <v>3080107031</v>
      </c>
      <c r="B42" s="4" t="s">
        <v>69</v>
      </c>
      <c r="C42" s="4" t="s">
        <v>71</v>
      </c>
      <c r="D42" s="3">
        <v>2</v>
      </c>
      <c r="E42" s="3" t="s">
        <v>16</v>
      </c>
      <c r="F42" s="3" t="s">
        <v>295</v>
      </c>
      <c r="G42" s="3" t="s">
        <v>17</v>
      </c>
      <c r="H42" s="3" t="s">
        <v>40</v>
      </c>
    </row>
    <row r="43" spans="1:8" x14ac:dyDescent="0.2">
      <c r="A43" s="3">
        <v>3080107038</v>
      </c>
      <c r="B43" s="4" t="s">
        <v>69</v>
      </c>
      <c r="C43" s="4" t="s">
        <v>72</v>
      </c>
      <c r="D43" s="3">
        <v>2</v>
      </c>
      <c r="E43" s="3" t="s">
        <v>16</v>
      </c>
      <c r="F43" s="3" t="s">
        <v>289</v>
      </c>
      <c r="G43" s="3" t="s">
        <v>23</v>
      </c>
      <c r="H43" s="3" t="s">
        <v>40</v>
      </c>
    </row>
    <row r="44" spans="1:8" x14ac:dyDescent="0.2">
      <c r="A44" s="3">
        <v>3080107015</v>
      </c>
      <c r="B44" s="4" t="s">
        <v>69</v>
      </c>
      <c r="C44" s="4" t="s">
        <v>73</v>
      </c>
      <c r="D44" s="3">
        <v>6</v>
      </c>
      <c r="E44" s="3" t="s">
        <v>16</v>
      </c>
      <c r="F44" s="3" t="s">
        <v>291</v>
      </c>
      <c r="G44" s="3" t="s">
        <v>26</v>
      </c>
      <c r="H44" s="3" t="s">
        <v>40</v>
      </c>
    </row>
    <row r="45" spans="1:8" x14ac:dyDescent="0.2">
      <c r="A45" s="3">
        <v>3080107120</v>
      </c>
      <c r="B45" s="4" t="s">
        <v>69</v>
      </c>
      <c r="C45" s="4" t="s">
        <v>74</v>
      </c>
      <c r="D45" s="3">
        <v>1</v>
      </c>
      <c r="E45" s="3" t="s">
        <v>16</v>
      </c>
      <c r="F45" s="3" t="s">
        <v>295</v>
      </c>
      <c r="G45" s="3" t="s">
        <v>17</v>
      </c>
      <c r="H45" s="3" t="s">
        <v>40</v>
      </c>
    </row>
    <row r="46" spans="1:8" x14ac:dyDescent="0.2">
      <c r="A46" s="3">
        <v>3080107121</v>
      </c>
      <c r="B46" s="4" t="s">
        <v>69</v>
      </c>
      <c r="C46" s="4" t="s">
        <v>75</v>
      </c>
      <c r="D46" s="3">
        <v>1</v>
      </c>
      <c r="E46" s="3" t="s">
        <v>16</v>
      </c>
      <c r="F46" s="3" t="s">
        <v>295</v>
      </c>
      <c r="G46" s="3" t="s">
        <v>17</v>
      </c>
      <c r="H46" s="3" t="s">
        <v>40</v>
      </c>
    </row>
    <row r="47" spans="1:8" x14ac:dyDescent="0.2">
      <c r="A47" s="3">
        <v>3080107031</v>
      </c>
      <c r="B47" s="4" t="s">
        <v>69</v>
      </c>
      <c r="C47" s="4" t="s">
        <v>71</v>
      </c>
      <c r="D47" s="3">
        <v>4</v>
      </c>
      <c r="E47" s="3" t="s">
        <v>16</v>
      </c>
      <c r="F47" s="3" t="s">
        <v>295</v>
      </c>
      <c r="G47" s="3" t="s">
        <v>17</v>
      </c>
      <c r="H47" s="3" t="s">
        <v>40</v>
      </c>
    </row>
    <row r="48" spans="1:8" x14ac:dyDescent="0.2">
      <c r="A48" s="3">
        <v>3080107043</v>
      </c>
      <c r="B48" s="4" t="s">
        <v>69</v>
      </c>
      <c r="C48" s="4" t="s">
        <v>76</v>
      </c>
      <c r="D48" s="3">
        <v>2</v>
      </c>
      <c r="E48" s="3" t="s">
        <v>16</v>
      </c>
      <c r="F48" s="3" t="s">
        <v>293</v>
      </c>
      <c r="G48" s="3" t="s">
        <v>29</v>
      </c>
      <c r="H48" s="3" t="s">
        <v>40</v>
      </c>
    </row>
    <row r="49" spans="1:8" x14ac:dyDescent="0.2">
      <c r="A49" s="3">
        <v>3080108003</v>
      </c>
      <c r="B49" s="4" t="s">
        <v>77</v>
      </c>
      <c r="C49" s="4" t="s">
        <v>78</v>
      </c>
      <c r="D49" s="3">
        <v>1</v>
      </c>
      <c r="E49" s="3" t="s">
        <v>16</v>
      </c>
      <c r="F49" s="3" t="s">
        <v>295</v>
      </c>
      <c r="G49" s="3" t="s">
        <v>17</v>
      </c>
      <c r="H49" s="3" t="s">
        <v>40</v>
      </c>
    </row>
    <row r="50" spans="1:8" x14ac:dyDescent="0.2">
      <c r="A50" s="3">
        <v>3080111087</v>
      </c>
      <c r="B50" s="4" t="s">
        <v>79</v>
      </c>
      <c r="C50" s="4" t="s">
        <v>80</v>
      </c>
      <c r="D50" s="3">
        <v>18</v>
      </c>
      <c r="E50" s="3" t="s">
        <v>16</v>
      </c>
      <c r="F50" s="3" t="s">
        <v>291</v>
      </c>
      <c r="G50" s="3" t="s">
        <v>26</v>
      </c>
      <c r="H50" s="3" t="s">
        <v>40</v>
      </c>
    </row>
    <row r="51" spans="1:8" x14ac:dyDescent="0.2">
      <c r="A51" s="3">
        <v>407030034</v>
      </c>
      <c r="B51" s="4" t="s">
        <v>81</v>
      </c>
      <c r="C51" s="4" t="s">
        <v>82</v>
      </c>
      <c r="D51" s="3">
        <v>1</v>
      </c>
      <c r="E51" s="3" t="s">
        <v>16</v>
      </c>
      <c r="F51" s="3" t="s">
        <v>301</v>
      </c>
      <c r="G51" s="3" t="s">
        <v>32</v>
      </c>
      <c r="H51" s="3" t="s">
        <v>40</v>
      </c>
    </row>
    <row r="52" spans="1:8" x14ac:dyDescent="0.2">
      <c r="A52" s="3">
        <v>3080112015</v>
      </c>
      <c r="B52" s="4" t="s">
        <v>83</v>
      </c>
      <c r="C52" s="4" t="s">
        <v>84</v>
      </c>
      <c r="D52" s="3">
        <v>6</v>
      </c>
      <c r="E52" s="3" t="s">
        <v>16</v>
      </c>
      <c r="F52" s="3" t="s">
        <v>291</v>
      </c>
      <c r="G52" s="3" t="s">
        <v>26</v>
      </c>
      <c r="H52" s="3" t="s">
        <v>40</v>
      </c>
    </row>
    <row r="53" spans="1:8" x14ac:dyDescent="0.2">
      <c r="A53" s="3">
        <v>3080112003</v>
      </c>
      <c r="B53" s="4" t="s">
        <v>83</v>
      </c>
      <c r="C53" s="4" t="s">
        <v>85</v>
      </c>
      <c r="D53" s="3">
        <v>1</v>
      </c>
      <c r="E53" s="3" t="s">
        <v>16</v>
      </c>
      <c r="F53" s="3" t="s">
        <v>295</v>
      </c>
      <c r="G53" s="3" t="s">
        <v>17</v>
      </c>
      <c r="H53" s="3" t="s">
        <v>40</v>
      </c>
    </row>
    <row r="54" spans="1:8" x14ac:dyDescent="0.2">
      <c r="A54" s="3">
        <v>3080307001</v>
      </c>
      <c r="B54" s="4" t="s">
        <v>86</v>
      </c>
      <c r="C54" s="4" t="s">
        <v>87</v>
      </c>
      <c r="D54" s="3">
        <v>1</v>
      </c>
      <c r="E54" s="3" t="s">
        <v>16</v>
      </c>
      <c r="F54" s="3" t="s">
        <v>295</v>
      </c>
      <c r="G54" s="3" t="s">
        <v>17</v>
      </c>
      <c r="H54" s="3" t="s">
        <v>88</v>
      </c>
    </row>
    <row r="55" spans="1:8" x14ac:dyDescent="0.2">
      <c r="A55" s="3">
        <v>3080506001</v>
      </c>
      <c r="B55" s="4" t="s">
        <v>89</v>
      </c>
      <c r="C55" s="4" t="s">
        <v>90</v>
      </c>
      <c r="D55" s="3">
        <v>1</v>
      </c>
      <c r="E55" s="3" t="s">
        <v>16</v>
      </c>
      <c r="F55" s="3" t="s">
        <v>295</v>
      </c>
      <c r="G55" s="3" t="s">
        <v>17</v>
      </c>
      <c r="H55" s="3" t="s">
        <v>88</v>
      </c>
    </row>
    <row r="56" spans="1:8" x14ac:dyDescent="0.2">
      <c r="A56" s="3">
        <v>3030204002</v>
      </c>
      <c r="B56" s="4" t="s">
        <v>91</v>
      </c>
      <c r="C56" s="4" t="s">
        <v>92</v>
      </c>
      <c r="D56" s="3">
        <v>1</v>
      </c>
      <c r="E56" s="3" t="s">
        <v>16</v>
      </c>
      <c r="F56" s="3" t="s">
        <v>295</v>
      </c>
      <c r="G56" s="3" t="s">
        <v>17</v>
      </c>
      <c r="H56" s="3" t="s">
        <v>88</v>
      </c>
    </row>
    <row r="57" spans="1:8" x14ac:dyDescent="0.2">
      <c r="A57" s="3">
        <v>3030205002</v>
      </c>
      <c r="B57" s="4" t="s">
        <v>93</v>
      </c>
      <c r="C57" s="4" t="s">
        <v>94</v>
      </c>
      <c r="D57" s="3">
        <v>1</v>
      </c>
      <c r="E57" s="3" t="s">
        <v>16</v>
      </c>
      <c r="F57" s="3" t="s">
        <v>295</v>
      </c>
      <c r="G57" s="3" t="s">
        <v>17</v>
      </c>
      <c r="H57" s="3" t="s">
        <v>88</v>
      </c>
    </row>
    <row r="58" spans="1:8" x14ac:dyDescent="0.2">
      <c r="A58" s="3">
        <v>3030208001</v>
      </c>
      <c r="B58" s="4" t="s">
        <v>95</v>
      </c>
      <c r="C58" s="4" t="s">
        <v>96</v>
      </c>
      <c r="D58" s="3">
        <v>1</v>
      </c>
      <c r="E58" s="3" t="s">
        <v>16</v>
      </c>
      <c r="F58" s="3" t="s">
        <v>295</v>
      </c>
      <c r="G58" s="3" t="s">
        <v>17</v>
      </c>
      <c r="H58" s="3" t="s">
        <v>88</v>
      </c>
    </row>
    <row r="59" spans="1:8" x14ac:dyDescent="0.2">
      <c r="A59" s="3">
        <v>3030202005</v>
      </c>
      <c r="B59" s="4" t="s">
        <v>97</v>
      </c>
      <c r="C59" s="4" t="s">
        <v>94</v>
      </c>
      <c r="D59" s="3">
        <v>1</v>
      </c>
      <c r="E59" s="3" t="s">
        <v>16</v>
      </c>
      <c r="F59" s="3" t="s">
        <v>295</v>
      </c>
      <c r="G59" s="3" t="s">
        <v>17</v>
      </c>
      <c r="H59" s="3" t="s">
        <v>88</v>
      </c>
    </row>
    <row r="60" spans="1:8" x14ac:dyDescent="0.2">
      <c r="A60" s="3">
        <v>3080201009</v>
      </c>
      <c r="B60" s="4" t="s">
        <v>60</v>
      </c>
      <c r="C60" s="4" t="s">
        <v>98</v>
      </c>
      <c r="D60" s="3">
        <v>1</v>
      </c>
      <c r="E60" s="3" t="s">
        <v>16</v>
      </c>
      <c r="F60" s="3" t="s">
        <v>295</v>
      </c>
      <c r="G60" s="3" t="s">
        <v>17</v>
      </c>
      <c r="H60" s="3" t="s">
        <v>88</v>
      </c>
    </row>
    <row r="61" spans="1:8" x14ac:dyDescent="0.2">
      <c r="A61" s="3">
        <v>3050205001</v>
      </c>
      <c r="B61" s="4" t="s">
        <v>99</v>
      </c>
      <c r="C61" s="4" t="s">
        <v>100</v>
      </c>
      <c r="D61" s="3">
        <v>2</v>
      </c>
      <c r="E61" s="3" t="s">
        <v>16</v>
      </c>
      <c r="F61" s="3" t="s">
        <v>291</v>
      </c>
      <c r="G61" s="3" t="s">
        <v>26</v>
      </c>
      <c r="H61" s="3" t="s">
        <v>88</v>
      </c>
    </row>
    <row r="62" spans="1:8" x14ac:dyDescent="0.2">
      <c r="A62" s="3">
        <v>3099991203</v>
      </c>
      <c r="B62" s="4" t="s">
        <v>101</v>
      </c>
      <c r="C62" s="4" t="s">
        <v>102</v>
      </c>
      <c r="D62" s="3">
        <v>1</v>
      </c>
      <c r="E62" s="3" t="s">
        <v>16</v>
      </c>
      <c r="F62" s="3" t="s">
        <v>289</v>
      </c>
      <c r="G62" s="3" t="s">
        <v>23</v>
      </c>
      <c r="H62" s="3" t="s">
        <v>103</v>
      </c>
    </row>
    <row r="63" spans="1:8" x14ac:dyDescent="0.2">
      <c r="A63" s="3">
        <v>3099990225</v>
      </c>
      <c r="B63" s="4" t="s">
        <v>1902</v>
      </c>
      <c r="C63" s="4" t="s">
        <v>1903</v>
      </c>
      <c r="D63" s="3">
        <v>1</v>
      </c>
      <c r="E63" s="3" t="s">
        <v>16</v>
      </c>
      <c r="F63" s="3" t="s">
        <v>299</v>
      </c>
      <c r="G63" s="3" t="s">
        <v>106</v>
      </c>
      <c r="H63" s="3" t="s">
        <v>103</v>
      </c>
    </row>
    <row r="64" spans="1:8" x14ac:dyDescent="0.2">
      <c r="A64" s="3">
        <v>402030027</v>
      </c>
      <c r="B64" s="4" t="s">
        <v>107</v>
      </c>
      <c r="C64" s="4" t="s">
        <v>110</v>
      </c>
      <c r="D64" s="3">
        <v>1</v>
      </c>
      <c r="E64" s="3" t="s">
        <v>16</v>
      </c>
      <c r="F64" s="3" t="s">
        <v>291</v>
      </c>
      <c r="G64" s="3" t="s">
        <v>26</v>
      </c>
      <c r="H64" s="3" t="s">
        <v>109</v>
      </c>
    </row>
    <row r="65" spans="1:8" x14ac:dyDescent="0.2">
      <c r="A65" s="3">
        <v>402030029</v>
      </c>
      <c r="B65" s="4" t="s">
        <v>107</v>
      </c>
      <c r="C65" s="4" t="s">
        <v>108</v>
      </c>
      <c r="D65" s="3">
        <v>1</v>
      </c>
      <c r="E65" s="3" t="s">
        <v>16</v>
      </c>
      <c r="F65" s="3" t="s">
        <v>289</v>
      </c>
      <c r="G65" s="3" t="s">
        <v>23</v>
      </c>
      <c r="H65" s="3" t="s">
        <v>109</v>
      </c>
    </row>
    <row r="66" spans="1:8" x14ac:dyDescent="0.2">
      <c r="A66" s="3">
        <v>402020006</v>
      </c>
      <c r="B66" s="4" t="s">
        <v>111</v>
      </c>
      <c r="C66" s="4" t="s">
        <v>112</v>
      </c>
      <c r="D66" s="3">
        <v>2</v>
      </c>
      <c r="E66" s="3" t="s">
        <v>16</v>
      </c>
      <c r="F66" s="3" t="s">
        <v>293</v>
      </c>
      <c r="G66" s="3" t="s">
        <v>29</v>
      </c>
      <c r="H66" s="3" t="s">
        <v>109</v>
      </c>
    </row>
    <row r="67" spans="1:8" x14ac:dyDescent="0.2">
      <c r="A67" s="3">
        <v>3060209002</v>
      </c>
      <c r="B67" s="4" t="s">
        <v>113</v>
      </c>
      <c r="C67" s="4" t="s">
        <v>114</v>
      </c>
      <c r="D67" s="3">
        <v>2</v>
      </c>
      <c r="E67" s="3" t="s">
        <v>16</v>
      </c>
      <c r="F67" s="3" t="s">
        <v>289</v>
      </c>
      <c r="G67" s="3" t="s">
        <v>23</v>
      </c>
      <c r="H67" s="3" t="s">
        <v>115</v>
      </c>
    </row>
    <row r="68" spans="1:8" x14ac:dyDescent="0.2">
      <c r="A68" s="3">
        <v>3030204032</v>
      </c>
      <c r="B68" s="4" t="s">
        <v>116</v>
      </c>
      <c r="C68" s="4" t="s">
        <v>117</v>
      </c>
      <c r="D68" s="3">
        <v>1</v>
      </c>
      <c r="E68" s="3" t="s">
        <v>16</v>
      </c>
      <c r="F68" s="3" t="s">
        <v>295</v>
      </c>
      <c r="G68" s="3" t="s">
        <v>17</v>
      </c>
      <c r="H68" s="3" t="s">
        <v>115</v>
      </c>
    </row>
    <row r="69" spans="1:8" x14ac:dyDescent="0.2">
      <c r="A69" s="3">
        <v>3040113002</v>
      </c>
      <c r="B69" s="4" t="s">
        <v>118</v>
      </c>
      <c r="C69" s="4" t="s">
        <v>119</v>
      </c>
      <c r="D69" s="3">
        <v>2</v>
      </c>
      <c r="E69" s="3" t="s">
        <v>16</v>
      </c>
      <c r="F69" s="3" t="s">
        <v>293</v>
      </c>
      <c r="G69" s="3" t="s">
        <v>29</v>
      </c>
      <c r="H69" s="3" t="s">
        <v>115</v>
      </c>
    </row>
    <row r="70" spans="1:8" x14ac:dyDescent="0.2">
      <c r="A70" s="3">
        <v>3030204006</v>
      </c>
      <c r="B70" s="4" t="s">
        <v>120</v>
      </c>
      <c r="C70" s="4" t="s">
        <v>121</v>
      </c>
      <c r="D70" s="3">
        <v>2</v>
      </c>
      <c r="E70" s="3" t="s">
        <v>16</v>
      </c>
      <c r="F70" s="3" t="s">
        <v>295</v>
      </c>
      <c r="G70" s="3" t="s">
        <v>17</v>
      </c>
      <c r="H70" s="3" t="s">
        <v>115</v>
      </c>
    </row>
    <row r="71" spans="1:8" x14ac:dyDescent="0.2">
      <c r="A71" s="3">
        <v>3030204008</v>
      </c>
      <c r="B71" s="4" t="s">
        <v>122</v>
      </c>
      <c r="C71" s="4" t="s">
        <v>123</v>
      </c>
      <c r="D71" s="3">
        <v>1</v>
      </c>
      <c r="E71" s="3" t="s">
        <v>16</v>
      </c>
      <c r="F71" s="3" t="s">
        <v>291</v>
      </c>
      <c r="G71" s="3" t="s">
        <v>26</v>
      </c>
      <c r="H71" s="3" t="s">
        <v>115</v>
      </c>
    </row>
    <row r="72" spans="1:8" x14ac:dyDescent="0.2">
      <c r="A72" s="3">
        <v>3030204010</v>
      </c>
      <c r="B72" s="4" t="s">
        <v>124</v>
      </c>
      <c r="C72" s="4" t="s">
        <v>125</v>
      </c>
      <c r="D72" s="3">
        <v>1</v>
      </c>
      <c r="E72" s="3" t="s">
        <v>16</v>
      </c>
      <c r="F72" s="3" t="s">
        <v>295</v>
      </c>
      <c r="G72" s="3" t="s">
        <v>17</v>
      </c>
      <c r="H72" s="3" t="s">
        <v>115</v>
      </c>
    </row>
    <row r="73" spans="1:8" x14ac:dyDescent="0.2">
      <c r="A73" s="3">
        <v>3030204012</v>
      </c>
      <c r="B73" s="4" t="s">
        <v>126</v>
      </c>
      <c r="C73" s="4" t="s">
        <v>127</v>
      </c>
      <c r="D73" s="3">
        <v>1</v>
      </c>
      <c r="E73" s="3" t="s">
        <v>16</v>
      </c>
      <c r="F73" s="3" t="s">
        <v>295</v>
      </c>
      <c r="G73" s="3" t="s">
        <v>17</v>
      </c>
      <c r="H73" s="3" t="s">
        <v>115</v>
      </c>
    </row>
    <row r="74" spans="1:8" x14ac:dyDescent="0.2">
      <c r="A74" s="3">
        <v>3070104002</v>
      </c>
      <c r="B74" s="4" t="s">
        <v>128</v>
      </c>
      <c r="C74" s="4" t="s">
        <v>129</v>
      </c>
      <c r="D74" s="3">
        <v>2</v>
      </c>
      <c r="E74" s="3" t="s">
        <v>16</v>
      </c>
      <c r="F74" s="3" t="s">
        <v>293</v>
      </c>
      <c r="G74" s="3" t="s">
        <v>29</v>
      </c>
      <c r="H74" s="3" t="s">
        <v>115</v>
      </c>
    </row>
    <row r="75" spans="1:8" x14ac:dyDescent="0.2">
      <c r="A75" s="3">
        <v>3030404003</v>
      </c>
      <c r="B75" s="4" t="s">
        <v>130</v>
      </c>
      <c r="C75" s="4" t="s">
        <v>131</v>
      </c>
      <c r="D75" s="3">
        <v>2</v>
      </c>
      <c r="E75" s="3" t="s">
        <v>16</v>
      </c>
      <c r="F75" s="3" t="s">
        <v>291</v>
      </c>
      <c r="G75" s="3" t="s">
        <v>26</v>
      </c>
      <c r="H75" s="3" t="s">
        <v>132</v>
      </c>
    </row>
    <row r="76" spans="1:8" x14ac:dyDescent="0.2">
      <c r="A76" s="3">
        <v>404020073</v>
      </c>
      <c r="B76" s="4" t="s">
        <v>30</v>
      </c>
      <c r="C76" s="4" t="s">
        <v>135</v>
      </c>
      <c r="D76" s="3">
        <v>1</v>
      </c>
      <c r="E76" s="3" t="s">
        <v>16</v>
      </c>
      <c r="F76" s="3" t="s">
        <v>291</v>
      </c>
      <c r="G76" s="3" t="s">
        <v>26</v>
      </c>
      <c r="H76" s="3" t="s">
        <v>134</v>
      </c>
    </row>
    <row r="77" spans="1:8" x14ac:dyDescent="0.2">
      <c r="A77" s="3">
        <v>404040025</v>
      </c>
      <c r="B77" s="4" t="s">
        <v>30</v>
      </c>
      <c r="C77" s="4" t="s">
        <v>133</v>
      </c>
      <c r="D77" s="3">
        <v>2</v>
      </c>
      <c r="E77" s="3" t="s">
        <v>16</v>
      </c>
      <c r="F77" s="3" t="s">
        <v>291</v>
      </c>
      <c r="G77" s="3" t="s">
        <v>26</v>
      </c>
      <c r="H77" s="3" t="s">
        <v>134</v>
      </c>
    </row>
    <row r="78" spans="1:8" x14ac:dyDescent="0.2">
      <c r="A78" s="3">
        <v>3040502035</v>
      </c>
      <c r="B78" s="4" t="s">
        <v>136</v>
      </c>
      <c r="C78" s="4" t="s">
        <v>137</v>
      </c>
      <c r="D78" s="3">
        <v>2</v>
      </c>
      <c r="E78" s="3" t="s">
        <v>16</v>
      </c>
      <c r="F78" s="3" t="s">
        <v>293</v>
      </c>
      <c r="G78" s="3" t="s">
        <v>29</v>
      </c>
      <c r="H78" s="3" t="s">
        <v>138</v>
      </c>
    </row>
    <row r="79" spans="1:8" x14ac:dyDescent="0.2">
      <c r="A79" s="3">
        <v>3040502036</v>
      </c>
      <c r="B79" s="4" t="s">
        <v>136</v>
      </c>
      <c r="C79" s="4" t="s">
        <v>139</v>
      </c>
      <c r="D79" s="3">
        <v>2</v>
      </c>
      <c r="E79" s="3" t="s">
        <v>16</v>
      </c>
      <c r="F79" s="3" t="s">
        <v>293</v>
      </c>
      <c r="G79" s="3" t="s">
        <v>29</v>
      </c>
      <c r="H79" s="3" t="s">
        <v>138</v>
      </c>
    </row>
    <row r="80" spans="1:8" x14ac:dyDescent="0.2">
      <c r="A80" s="3">
        <v>3990207001</v>
      </c>
      <c r="B80" s="4" t="s">
        <v>140</v>
      </c>
      <c r="C80" s="4" t="s">
        <v>141</v>
      </c>
      <c r="D80" s="3">
        <v>1</v>
      </c>
      <c r="E80" s="3" t="s">
        <v>16</v>
      </c>
      <c r="F80" s="3" t="s">
        <v>285</v>
      </c>
      <c r="G80" s="3" t="s">
        <v>142</v>
      </c>
      <c r="H80" s="3" t="s">
        <v>143</v>
      </c>
    </row>
    <row r="81" spans="1:8" x14ac:dyDescent="0.2">
      <c r="A81" s="3">
        <v>3030301005</v>
      </c>
      <c r="B81" s="4" t="s">
        <v>144</v>
      </c>
      <c r="C81" s="4" t="s">
        <v>145</v>
      </c>
      <c r="D81" s="3">
        <v>3</v>
      </c>
      <c r="E81" s="3" t="s">
        <v>16</v>
      </c>
      <c r="F81" s="3" t="s">
        <v>291</v>
      </c>
      <c r="G81" s="3" t="s">
        <v>26</v>
      </c>
      <c r="H81" s="3" t="s">
        <v>143</v>
      </c>
    </row>
    <row r="82" spans="1:8" x14ac:dyDescent="0.2">
      <c r="A82" s="3">
        <v>3070103002</v>
      </c>
      <c r="B82" s="4" t="s">
        <v>152</v>
      </c>
      <c r="C82" s="4" t="s">
        <v>153</v>
      </c>
      <c r="D82" s="3">
        <v>1</v>
      </c>
      <c r="E82" s="3" t="s">
        <v>16</v>
      </c>
      <c r="F82" s="3" t="s">
        <v>289</v>
      </c>
      <c r="G82" s="3" t="s">
        <v>23</v>
      </c>
      <c r="H82" s="3" t="s">
        <v>154</v>
      </c>
    </row>
    <row r="83" spans="1:8" x14ac:dyDescent="0.2">
      <c r="A83" s="3">
        <v>3030203004</v>
      </c>
      <c r="B83" s="4" t="s">
        <v>155</v>
      </c>
      <c r="C83" s="4" t="s">
        <v>156</v>
      </c>
      <c r="D83" s="3">
        <v>1</v>
      </c>
      <c r="E83" s="3" t="s">
        <v>16</v>
      </c>
      <c r="F83" s="3" t="s">
        <v>295</v>
      </c>
      <c r="G83" s="3" t="s">
        <v>17</v>
      </c>
      <c r="H83" s="3" t="s">
        <v>154</v>
      </c>
    </row>
    <row r="84" spans="1:8" x14ac:dyDescent="0.2">
      <c r="A84" s="3">
        <v>3040211002</v>
      </c>
      <c r="B84" s="4" t="s">
        <v>157</v>
      </c>
      <c r="C84" s="4" t="s">
        <v>158</v>
      </c>
      <c r="D84" s="3">
        <v>2</v>
      </c>
      <c r="E84" s="3" t="s">
        <v>16</v>
      </c>
      <c r="F84" s="3" t="s">
        <v>293</v>
      </c>
      <c r="G84" s="3" t="s">
        <v>29</v>
      </c>
      <c r="H84" s="3" t="s">
        <v>154</v>
      </c>
    </row>
    <row r="85" spans="1:8" x14ac:dyDescent="0.2">
      <c r="A85" s="3">
        <v>3040217003</v>
      </c>
      <c r="B85" s="4" t="s">
        <v>159</v>
      </c>
      <c r="C85" s="4" t="s">
        <v>160</v>
      </c>
      <c r="D85" s="3">
        <v>2</v>
      </c>
      <c r="E85" s="3" t="s">
        <v>16</v>
      </c>
      <c r="F85" s="3" t="s">
        <v>293</v>
      </c>
      <c r="G85" s="3" t="s">
        <v>29</v>
      </c>
      <c r="H85" s="3" t="s">
        <v>154</v>
      </c>
    </row>
    <row r="86" spans="1:8" x14ac:dyDescent="0.2">
      <c r="A86" s="3">
        <v>3030310010</v>
      </c>
      <c r="B86" s="4" t="s">
        <v>161</v>
      </c>
      <c r="C86" s="4" t="s">
        <v>162</v>
      </c>
      <c r="D86" s="3">
        <v>1</v>
      </c>
      <c r="E86" s="3" t="s">
        <v>16</v>
      </c>
      <c r="F86" s="3" t="s">
        <v>295</v>
      </c>
      <c r="G86" s="3" t="s">
        <v>17</v>
      </c>
      <c r="H86" s="3" t="s">
        <v>154</v>
      </c>
    </row>
    <row r="87" spans="1:8" x14ac:dyDescent="0.2">
      <c r="A87" s="3">
        <v>3060308001</v>
      </c>
      <c r="B87" s="4" t="s">
        <v>229</v>
      </c>
      <c r="C87" s="4" t="s">
        <v>1146</v>
      </c>
      <c r="D87" s="3">
        <v>1</v>
      </c>
      <c r="E87" s="3" t="s">
        <v>16</v>
      </c>
      <c r="F87" s="3" t="s">
        <v>289</v>
      </c>
      <c r="G87" s="3" t="s">
        <v>23</v>
      </c>
      <c r="H87" s="3" t="s">
        <v>165</v>
      </c>
    </row>
    <row r="88" spans="1:8" x14ac:dyDescent="0.2">
      <c r="A88" s="3">
        <v>3060306001</v>
      </c>
      <c r="B88" s="4" t="s">
        <v>163</v>
      </c>
      <c r="C88" s="4" t="s">
        <v>164</v>
      </c>
      <c r="D88" s="3">
        <v>1</v>
      </c>
      <c r="E88" s="3" t="s">
        <v>16</v>
      </c>
      <c r="F88" s="3" t="s">
        <v>289</v>
      </c>
      <c r="G88" s="3" t="s">
        <v>23</v>
      </c>
      <c r="H88" s="3" t="s">
        <v>165</v>
      </c>
    </row>
    <row r="89" spans="1:8" x14ac:dyDescent="0.2">
      <c r="A89" s="3">
        <v>3030303067</v>
      </c>
      <c r="B89" s="4" t="s">
        <v>166</v>
      </c>
      <c r="C89" s="4" t="s">
        <v>167</v>
      </c>
      <c r="D89" s="3">
        <v>1</v>
      </c>
      <c r="E89" s="3" t="s">
        <v>16</v>
      </c>
      <c r="F89" s="3" t="s">
        <v>295</v>
      </c>
      <c r="G89" s="3" t="s">
        <v>17</v>
      </c>
      <c r="H89" s="3" t="s">
        <v>165</v>
      </c>
    </row>
    <row r="90" spans="1:8" x14ac:dyDescent="0.2">
      <c r="A90" s="3">
        <v>410010003</v>
      </c>
      <c r="B90" s="4" t="s">
        <v>1904</v>
      </c>
      <c r="C90" s="4" t="s">
        <v>1905</v>
      </c>
      <c r="D90" s="3">
        <v>1</v>
      </c>
      <c r="E90" s="3" t="s">
        <v>16</v>
      </c>
      <c r="F90" s="3" t="s">
        <v>301</v>
      </c>
      <c r="G90" s="3" t="s">
        <v>32</v>
      </c>
      <c r="H90" s="3" t="s">
        <v>1906</v>
      </c>
    </row>
    <row r="91" spans="1:8" x14ac:dyDescent="0.2">
      <c r="A91" s="3">
        <v>3010106010</v>
      </c>
      <c r="B91" s="4" t="s">
        <v>481</v>
      </c>
      <c r="C91" s="4" t="s">
        <v>482</v>
      </c>
      <c r="D91" s="3">
        <v>0.38</v>
      </c>
      <c r="E91" s="3" t="s">
        <v>10</v>
      </c>
      <c r="F91" s="3" t="s">
        <v>284</v>
      </c>
      <c r="G91" s="3" t="s">
        <v>11</v>
      </c>
      <c r="H91" s="3" t="s">
        <v>483</v>
      </c>
    </row>
    <row r="92" spans="1:8" x14ac:dyDescent="0.2">
      <c r="A92" s="3">
        <v>3040210001</v>
      </c>
      <c r="B92" s="4" t="s">
        <v>168</v>
      </c>
      <c r="C92" s="4" t="s">
        <v>169</v>
      </c>
      <c r="D92" s="3">
        <v>2</v>
      </c>
      <c r="E92" s="3" t="s">
        <v>16</v>
      </c>
      <c r="F92" s="3" t="s">
        <v>293</v>
      </c>
      <c r="G92" s="3" t="s">
        <v>29</v>
      </c>
      <c r="H92" s="3" t="s">
        <v>170</v>
      </c>
    </row>
    <row r="93" spans="1:8" x14ac:dyDescent="0.2">
      <c r="A93" s="3">
        <v>3060310001</v>
      </c>
      <c r="B93" s="4" t="s">
        <v>171</v>
      </c>
      <c r="C93" s="4" t="s">
        <v>172</v>
      </c>
      <c r="D93" s="3">
        <v>1</v>
      </c>
      <c r="E93" s="3" t="s">
        <v>16</v>
      </c>
      <c r="F93" s="3" t="s">
        <v>289</v>
      </c>
      <c r="G93" s="3" t="s">
        <v>23</v>
      </c>
      <c r="H93" s="3" t="s">
        <v>173</v>
      </c>
    </row>
    <row r="94" spans="1:8" x14ac:dyDescent="0.2">
      <c r="A94" s="3">
        <v>3060311001</v>
      </c>
      <c r="B94" s="4" t="s">
        <v>174</v>
      </c>
      <c r="C94" s="4" t="s">
        <v>172</v>
      </c>
      <c r="D94" s="3">
        <v>1</v>
      </c>
      <c r="E94" s="3" t="s">
        <v>16</v>
      </c>
      <c r="F94" s="3" t="s">
        <v>289</v>
      </c>
      <c r="G94" s="3" t="s">
        <v>23</v>
      </c>
      <c r="H94" s="3" t="s">
        <v>173</v>
      </c>
    </row>
    <row r="95" spans="1:8" x14ac:dyDescent="0.2">
      <c r="A95" s="3">
        <v>3030303003</v>
      </c>
      <c r="B95" s="4" t="s">
        <v>175</v>
      </c>
      <c r="C95" s="4" t="s">
        <v>176</v>
      </c>
      <c r="D95" s="3">
        <v>1</v>
      </c>
      <c r="E95" s="3" t="s">
        <v>16</v>
      </c>
      <c r="F95" s="3" t="s">
        <v>295</v>
      </c>
      <c r="G95" s="3" t="s">
        <v>17</v>
      </c>
      <c r="H95" s="3" t="s">
        <v>173</v>
      </c>
    </row>
    <row r="96" spans="1:8" x14ac:dyDescent="0.2">
      <c r="A96" s="3">
        <v>3030303005</v>
      </c>
      <c r="B96" s="4" t="s">
        <v>177</v>
      </c>
      <c r="C96" s="4" t="s">
        <v>176</v>
      </c>
      <c r="D96" s="3">
        <v>1</v>
      </c>
      <c r="E96" s="3" t="s">
        <v>16</v>
      </c>
      <c r="F96" s="3" t="s">
        <v>291</v>
      </c>
      <c r="G96" s="3" t="s">
        <v>26</v>
      </c>
      <c r="H96" s="3" t="s">
        <v>173</v>
      </c>
    </row>
    <row r="97" spans="1:8" x14ac:dyDescent="0.2">
      <c r="A97" s="3">
        <v>3030310007</v>
      </c>
      <c r="B97" s="4" t="s">
        <v>178</v>
      </c>
      <c r="C97" s="4" t="s">
        <v>179</v>
      </c>
      <c r="D97" s="3">
        <v>1</v>
      </c>
      <c r="E97" s="3" t="s">
        <v>16</v>
      </c>
      <c r="F97" s="3" t="s">
        <v>295</v>
      </c>
      <c r="G97" s="3" t="s">
        <v>17</v>
      </c>
      <c r="H97" s="3" t="s">
        <v>173</v>
      </c>
    </row>
    <row r="98" spans="1:8" x14ac:dyDescent="0.2">
      <c r="A98" s="3">
        <v>3030310009</v>
      </c>
      <c r="B98" s="4" t="s">
        <v>180</v>
      </c>
      <c r="C98" s="4" t="s">
        <v>179</v>
      </c>
      <c r="D98" s="3">
        <v>1</v>
      </c>
      <c r="E98" s="3" t="s">
        <v>16</v>
      </c>
      <c r="F98" s="3" t="s">
        <v>295</v>
      </c>
      <c r="G98" s="3" t="s">
        <v>17</v>
      </c>
      <c r="H98" s="3" t="s">
        <v>173</v>
      </c>
    </row>
    <row r="99" spans="1:8" x14ac:dyDescent="0.2">
      <c r="A99" s="3">
        <v>3020502023</v>
      </c>
      <c r="B99" s="4" t="s">
        <v>183</v>
      </c>
      <c r="C99" s="4" t="s">
        <v>184</v>
      </c>
      <c r="D99" s="3">
        <v>1</v>
      </c>
      <c r="E99" s="3" t="s">
        <v>16</v>
      </c>
      <c r="F99" s="3" t="s">
        <v>291</v>
      </c>
      <c r="G99" s="3" t="s">
        <v>26</v>
      </c>
      <c r="H99" s="3" t="s">
        <v>185</v>
      </c>
    </row>
    <row r="100" spans="1:8" x14ac:dyDescent="0.2">
      <c r="A100" s="3">
        <v>3990201003</v>
      </c>
      <c r="B100" s="4" t="s">
        <v>186</v>
      </c>
      <c r="C100" s="4" t="s">
        <v>94</v>
      </c>
      <c r="D100" s="3">
        <v>1</v>
      </c>
      <c r="E100" s="3" t="s">
        <v>16</v>
      </c>
      <c r="F100" s="3" t="s">
        <v>295</v>
      </c>
      <c r="G100" s="3" t="s">
        <v>17</v>
      </c>
      <c r="H100" s="3" t="s">
        <v>187</v>
      </c>
    </row>
    <row r="101" spans="1:8" x14ac:dyDescent="0.2">
      <c r="A101" s="3">
        <v>3990202003</v>
      </c>
      <c r="B101" s="4" t="s">
        <v>188</v>
      </c>
      <c r="C101" s="4" t="s">
        <v>94</v>
      </c>
      <c r="D101" s="3">
        <v>1</v>
      </c>
      <c r="E101" s="3" t="s">
        <v>16</v>
      </c>
      <c r="F101" s="3" t="s">
        <v>295</v>
      </c>
      <c r="G101" s="3" t="s">
        <v>17</v>
      </c>
      <c r="H101" s="3" t="s">
        <v>187</v>
      </c>
    </row>
    <row r="102" spans="1:8" x14ac:dyDescent="0.2">
      <c r="A102" s="3">
        <v>3990203001</v>
      </c>
      <c r="B102" s="4" t="s">
        <v>189</v>
      </c>
      <c r="C102" s="4" t="s">
        <v>94</v>
      </c>
      <c r="D102" s="3">
        <v>1</v>
      </c>
      <c r="E102" s="3" t="s">
        <v>16</v>
      </c>
      <c r="F102" s="3" t="s">
        <v>291</v>
      </c>
      <c r="G102" s="3" t="s">
        <v>26</v>
      </c>
      <c r="H102" s="3" t="s">
        <v>187</v>
      </c>
    </row>
    <row r="103" spans="1:8" x14ac:dyDescent="0.2">
      <c r="A103" s="3">
        <v>3030401002</v>
      </c>
      <c r="B103" s="4" t="s">
        <v>190</v>
      </c>
      <c r="C103" s="4" t="s">
        <v>191</v>
      </c>
      <c r="D103" s="3">
        <v>1</v>
      </c>
      <c r="E103" s="3" t="s">
        <v>16</v>
      </c>
      <c r="F103" s="3" t="s">
        <v>295</v>
      </c>
      <c r="G103" s="3" t="s">
        <v>17</v>
      </c>
      <c r="H103" s="3" t="s">
        <v>192</v>
      </c>
    </row>
    <row r="104" spans="1:8" x14ac:dyDescent="0.2">
      <c r="A104" s="3">
        <v>3040402001</v>
      </c>
      <c r="B104" s="4" t="s">
        <v>193</v>
      </c>
      <c r="C104" s="4" t="s">
        <v>194</v>
      </c>
      <c r="D104" s="3">
        <v>1</v>
      </c>
      <c r="E104" s="3" t="s">
        <v>16</v>
      </c>
      <c r="F104" s="3" t="s">
        <v>293</v>
      </c>
      <c r="G104" s="3" t="s">
        <v>29</v>
      </c>
      <c r="H104" s="3" t="s">
        <v>192</v>
      </c>
    </row>
    <row r="105" spans="1:8" x14ac:dyDescent="0.2">
      <c r="A105" s="3">
        <v>3040402002</v>
      </c>
      <c r="B105" s="4" t="s">
        <v>193</v>
      </c>
      <c r="C105" s="4" t="s">
        <v>195</v>
      </c>
      <c r="D105" s="3">
        <v>1</v>
      </c>
      <c r="E105" s="3" t="s">
        <v>16</v>
      </c>
      <c r="F105" s="3" t="s">
        <v>293</v>
      </c>
      <c r="G105" s="3" t="s">
        <v>29</v>
      </c>
      <c r="H105" s="3" t="s">
        <v>192</v>
      </c>
    </row>
    <row r="106" spans="1:8" x14ac:dyDescent="0.2">
      <c r="A106" s="3">
        <v>408010097</v>
      </c>
      <c r="B106" s="4" t="s">
        <v>1319</v>
      </c>
      <c r="C106" s="4" t="s">
        <v>1907</v>
      </c>
      <c r="D106" s="3">
        <v>1</v>
      </c>
      <c r="E106" s="3" t="s">
        <v>16</v>
      </c>
      <c r="F106" s="3" t="s">
        <v>291</v>
      </c>
      <c r="G106" s="3" t="s">
        <v>26</v>
      </c>
      <c r="H106" s="3" t="s">
        <v>1908</v>
      </c>
    </row>
    <row r="107" spans="1:8" x14ac:dyDescent="0.2">
      <c r="A107" s="3">
        <v>408030052</v>
      </c>
      <c r="B107" s="4" t="s">
        <v>1286</v>
      </c>
      <c r="C107" s="4" t="s">
        <v>1909</v>
      </c>
      <c r="D107" s="3">
        <v>1</v>
      </c>
      <c r="E107" s="3" t="s">
        <v>16</v>
      </c>
      <c r="F107" s="3" t="s">
        <v>291</v>
      </c>
      <c r="G107" s="3" t="s">
        <v>26</v>
      </c>
      <c r="H107" s="3" t="s">
        <v>1908</v>
      </c>
    </row>
    <row r="108" spans="1:8" x14ac:dyDescent="0.2">
      <c r="A108" s="3">
        <v>408040035</v>
      </c>
      <c r="B108" s="4" t="s">
        <v>1288</v>
      </c>
      <c r="C108" s="4" t="s">
        <v>1910</v>
      </c>
      <c r="D108" s="3">
        <v>1</v>
      </c>
      <c r="E108" s="3" t="s">
        <v>16</v>
      </c>
      <c r="F108" s="3" t="s">
        <v>291</v>
      </c>
      <c r="G108" s="3" t="s">
        <v>26</v>
      </c>
      <c r="H108" s="3" t="s">
        <v>1908</v>
      </c>
    </row>
    <row r="109" spans="1:8" x14ac:dyDescent="0.2">
      <c r="A109" s="3">
        <v>408050041</v>
      </c>
      <c r="B109" s="4" t="s">
        <v>810</v>
      </c>
      <c r="C109" s="4" t="s">
        <v>1911</v>
      </c>
      <c r="D109" s="3">
        <v>1</v>
      </c>
      <c r="E109" s="3" t="s">
        <v>16</v>
      </c>
      <c r="F109" s="3" t="s">
        <v>291</v>
      </c>
      <c r="G109" s="3" t="s">
        <v>26</v>
      </c>
      <c r="H109" s="3" t="s">
        <v>1908</v>
      </c>
    </row>
    <row r="110" spans="1:8" x14ac:dyDescent="0.2">
      <c r="A110" s="3">
        <v>403010056</v>
      </c>
      <c r="B110" s="4" t="s">
        <v>684</v>
      </c>
      <c r="C110" s="4" t="s">
        <v>1912</v>
      </c>
      <c r="D110" s="3">
        <v>2</v>
      </c>
      <c r="E110" s="3" t="s">
        <v>16</v>
      </c>
      <c r="F110" s="3" t="s">
        <v>291</v>
      </c>
      <c r="G110" s="3" t="s">
        <v>26</v>
      </c>
      <c r="H110" s="3" t="s">
        <v>198</v>
      </c>
    </row>
    <row r="111" spans="1:8" x14ac:dyDescent="0.2">
      <c r="A111" s="3">
        <v>403010199</v>
      </c>
      <c r="B111" s="4" t="s">
        <v>684</v>
      </c>
      <c r="C111" s="4" t="s">
        <v>1913</v>
      </c>
      <c r="D111" s="3">
        <v>1</v>
      </c>
      <c r="E111" s="3" t="s">
        <v>16</v>
      </c>
      <c r="F111" s="3" t="s">
        <v>291</v>
      </c>
      <c r="G111" s="3" t="s">
        <v>26</v>
      </c>
      <c r="H111" s="3" t="s">
        <v>198</v>
      </c>
    </row>
    <row r="112" spans="1:8" x14ac:dyDescent="0.2">
      <c r="A112" s="3">
        <v>403010155</v>
      </c>
      <c r="B112" s="4" t="s">
        <v>684</v>
      </c>
      <c r="C112" s="4" t="s">
        <v>1914</v>
      </c>
      <c r="D112" s="3">
        <v>1</v>
      </c>
      <c r="E112" s="3" t="s">
        <v>16</v>
      </c>
      <c r="F112" s="3" t="s">
        <v>291</v>
      </c>
      <c r="G112" s="3" t="s">
        <v>26</v>
      </c>
      <c r="H112" s="3" t="s">
        <v>198</v>
      </c>
    </row>
    <row r="113" spans="1:8" x14ac:dyDescent="0.2">
      <c r="A113" s="3">
        <v>403010367</v>
      </c>
      <c r="B113" s="4" t="s">
        <v>684</v>
      </c>
      <c r="C113" s="4" t="s">
        <v>1915</v>
      </c>
      <c r="D113" s="3">
        <v>1</v>
      </c>
      <c r="E113" s="3" t="s">
        <v>16</v>
      </c>
      <c r="F113" s="3" t="s">
        <v>301</v>
      </c>
      <c r="G113" s="3" t="s">
        <v>32</v>
      </c>
      <c r="H113" s="3" t="s">
        <v>198</v>
      </c>
    </row>
    <row r="114" spans="1:8" x14ac:dyDescent="0.2">
      <c r="A114" s="3">
        <v>404020035</v>
      </c>
      <c r="B114" s="4" t="s">
        <v>30</v>
      </c>
      <c r="C114" s="4" t="s">
        <v>199</v>
      </c>
      <c r="D114" s="3">
        <v>1</v>
      </c>
      <c r="E114" s="3" t="s">
        <v>16</v>
      </c>
      <c r="F114" s="3" t="s">
        <v>291</v>
      </c>
      <c r="G114" s="3" t="s">
        <v>26</v>
      </c>
      <c r="H114" s="3" t="s">
        <v>198</v>
      </c>
    </row>
    <row r="115" spans="1:8" x14ac:dyDescent="0.2">
      <c r="A115" s="3">
        <v>40901001</v>
      </c>
      <c r="B115" s="4" t="s">
        <v>801</v>
      </c>
      <c r="C115" s="4" t="s">
        <v>1916</v>
      </c>
      <c r="D115" s="3">
        <v>1</v>
      </c>
      <c r="E115" s="3" t="s">
        <v>16</v>
      </c>
      <c r="F115" s="3" t="s">
        <v>291</v>
      </c>
      <c r="G115" s="3" t="s">
        <v>26</v>
      </c>
      <c r="H115" s="3" t="s">
        <v>198</v>
      </c>
    </row>
    <row r="116" spans="1:8" x14ac:dyDescent="0.2">
      <c r="A116" s="3">
        <v>403030003</v>
      </c>
      <c r="B116" s="4" t="s">
        <v>366</v>
      </c>
      <c r="C116" s="4" t="s">
        <v>1670</v>
      </c>
      <c r="D116" s="3">
        <v>1</v>
      </c>
      <c r="E116" s="3" t="s">
        <v>16</v>
      </c>
      <c r="F116" s="3" t="s">
        <v>291</v>
      </c>
      <c r="G116" s="3" t="s">
        <v>26</v>
      </c>
      <c r="H116" s="3" t="s">
        <v>198</v>
      </c>
    </row>
    <row r="117" spans="1:8" x14ac:dyDescent="0.2">
      <c r="A117" s="3">
        <v>401070018</v>
      </c>
      <c r="B117" s="4" t="s">
        <v>35</v>
      </c>
      <c r="C117" s="4" t="s">
        <v>202</v>
      </c>
      <c r="D117" s="3">
        <v>1</v>
      </c>
      <c r="E117" s="3" t="s">
        <v>16</v>
      </c>
      <c r="F117" s="3" t="s">
        <v>291</v>
      </c>
      <c r="G117" s="3" t="s">
        <v>26</v>
      </c>
      <c r="H117" s="3" t="s">
        <v>198</v>
      </c>
    </row>
    <row r="118" spans="1:8" x14ac:dyDescent="0.2">
      <c r="A118" s="3">
        <v>401070022</v>
      </c>
      <c r="B118" s="4" t="s">
        <v>35</v>
      </c>
      <c r="C118" s="4" t="s">
        <v>203</v>
      </c>
      <c r="D118" s="3">
        <v>1</v>
      </c>
      <c r="E118" s="3" t="s">
        <v>16</v>
      </c>
      <c r="F118" s="3" t="s">
        <v>297</v>
      </c>
      <c r="G118" s="3" t="s">
        <v>204</v>
      </c>
      <c r="H118" s="3" t="s">
        <v>198</v>
      </c>
    </row>
    <row r="119" spans="1:8" x14ac:dyDescent="0.2">
      <c r="A119" s="3">
        <v>3020302013</v>
      </c>
      <c r="B119" s="4" t="s">
        <v>209</v>
      </c>
      <c r="C119" s="4" t="s">
        <v>210</v>
      </c>
      <c r="D119" s="3">
        <v>1</v>
      </c>
      <c r="E119" s="3" t="s">
        <v>16</v>
      </c>
      <c r="F119" s="3" t="s">
        <v>291</v>
      </c>
      <c r="G119" s="3" t="s">
        <v>26</v>
      </c>
      <c r="H119" s="3" t="s">
        <v>211</v>
      </c>
    </row>
    <row r="120" spans="1:8" x14ac:dyDescent="0.2">
      <c r="A120" s="3">
        <v>3992002001</v>
      </c>
      <c r="B120" s="4" t="s">
        <v>212</v>
      </c>
      <c r="C120" s="4" t="s">
        <v>213</v>
      </c>
      <c r="D120" s="3">
        <v>2</v>
      </c>
      <c r="E120" s="3" t="s">
        <v>16</v>
      </c>
      <c r="F120" s="3" t="s">
        <v>295</v>
      </c>
      <c r="G120" s="3" t="s">
        <v>17</v>
      </c>
      <c r="H120" s="3" t="s">
        <v>214</v>
      </c>
    </row>
    <row r="121" spans="1:8" x14ac:dyDescent="0.2">
      <c r="A121" s="3">
        <v>3992001001</v>
      </c>
      <c r="B121" s="4" t="s">
        <v>215</v>
      </c>
      <c r="C121" s="4" t="s">
        <v>213</v>
      </c>
      <c r="D121" s="3">
        <v>2</v>
      </c>
      <c r="E121" s="3" t="s">
        <v>16</v>
      </c>
      <c r="F121" s="3" t="s">
        <v>295</v>
      </c>
      <c r="G121" s="3" t="s">
        <v>17</v>
      </c>
      <c r="H121" s="3" t="s">
        <v>214</v>
      </c>
    </row>
    <row r="122" spans="1:8" x14ac:dyDescent="0.2">
      <c r="A122" s="3">
        <v>3030201004</v>
      </c>
      <c r="B122" s="4" t="s">
        <v>216</v>
      </c>
      <c r="C122" s="4" t="s">
        <v>213</v>
      </c>
      <c r="D122" s="3">
        <v>2</v>
      </c>
      <c r="E122" s="3" t="s">
        <v>16</v>
      </c>
      <c r="F122" s="3" t="s">
        <v>295</v>
      </c>
      <c r="G122" s="3" t="s">
        <v>17</v>
      </c>
      <c r="H122" s="3" t="s">
        <v>214</v>
      </c>
    </row>
    <row r="123" spans="1:8" x14ac:dyDescent="0.2">
      <c r="A123" s="3">
        <v>3030201005</v>
      </c>
      <c r="B123" s="4" t="s">
        <v>217</v>
      </c>
      <c r="C123" s="4" t="s">
        <v>218</v>
      </c>
      <c r="D123" s="3">
        <v>12</v>
      </c>
      <c r="E123" s="3" t="s">
        <v>16</v>
      </c>
      <c r="F123" s="3" t="s">
        <v>295</v>
      </c>
      <c r="G123" s="3" t="s">
        <v>17</v>
      </c>
      <c r="H123" s="3" t="s">
        <v>214</v>
      </c>
    </row>
    <row r="124" spans="1:8" x14ac:dyDescent="0.2">
      <c r="A124" s="3">
        <v>3030403001</v>
      </c>
      <c r="B124" s="4" t="s">
        <v>219</v>
      </c>
      <c r="C124" s="4" t="s">
        <v>220</v>
      </c>
      <c r="D124" s="3">
        <v>1</v>
      </c>
      <c r="E124" s="3" t="s">
        <v>16</v>
      </c>
      <c r="F124" s="3" t="s">
        <v>295</v>
      </c>
      <c r="G124" s="3" t="s">
        <v>17</v>
      </c>
      <c r="H124" s="3" t="s">
        <v>221</v>
      </c>
    </row>
    <row r="125" spans="1:8" x14ac:dyDescent="0.2">
      <c r="A125" s="3">
        <v>3050401001</v>
      </c>
      <c r="B125" s="4" t="s">
        <v>222</v>
      </c>
      <c r="C125" s="4" t="s">
        <v>223</v>
      </c>
      <c r="D125" s="3">
        <v>1</v>
      </c>
      <c r="E125" s="3" t="s">
        <v>16</v>
      </c>
      <c r="F125" s="3" t="s">
        <v>291</v>
      </c>
      <c r="G125" s="3" t="s">
        <v>26</v>
      </c>
      <c r="H125" s="3" t="s">
        <v>221</v>
      </c>
    </row>
    <row r="126" spans="1:8" x14ac:dyDescent="0.2">
      <c r="A126" s="3">
        <v>408040038</v>
      </c>
      <c r="B126" s="4" t="s">
        <v>1288</v>
      </c>
      <c r="C126" s="4" t="s">
        <v>1917</v>
      </c>
      <c r="D126" s="3">
        <v>1</v>
      </c>
      <c r="E126" s="3" t="s">
        <v>16</v>
      </c>
      <c r="F126" s="3" t="s">
        <v>301</v>
      </c>
      <c r="G126" s="3" t="s">
        <v>32</v>
      </c>
      <c r="H126" s="3" t="s">
        <v>524</v>
      </c>
    </row>
    <row r="127" spans="1:8" x14ac:dyDescent="0.2">
      <c r="A127" s="3">
        <v>408180001</v>
      </c>
      <c r="B127" s="4" t="s">
        <v>1918</v>
      </c>
      <c r="C127" s="4" t="s">
        <v>1919</v>
      </c>
      <c r="D127" s="3">
        <v>1</v>
      </c>
      <c r="E127" s="3" t="s">
        <v>16</v>
      </c>
      <c r="F127" s="3" t="s">
        <v>289</v>
      </c>
      <c r="G127" s="3" t="s">
        <v>23</v>
      </c>
      <c r="H127" s="3" t="s">
        <v>524</v>
      </c>
    </row>
    <row r="128" spans="1:8" x14ac:dyDescent="0.2">
      <c r="A128" s="3">
        <v>407010205</v>
      </c>
      <c r="B128" s="4" t="s">
        <v>149</v>
      </c>
      <c r="C128" s="4" t="s">
        <v>1920</v>
      </c>
      <c r="D128" s="3">
        <v>1</v>
      </c>
      <c r="E128" s="3" t="s">
        <v>16</v>
      </c>
      <c r="F128" s="3" t="s">
        <v>289</v>
      </c>
      <c r="G128" s="3" t="s">
        <v>23</v>
      </c>
      <c r="H128" s="3" t="s">
        <v>524</v>
      </c>
    </row>
    <row r="129" spans="1:8" x14ac:dyDescent="0.2">
      <c r="A129" s="3">
        <v>3060501005</v>
      </c>
      <c r="B129" s="4" t="s">
        <v>224</v>
      </c>
      <c r="C129" s="4" t="s">
        <v>225</v>
      </c>
      <c r="D129" s="3">
        <v>1</v>
      </c>
      <c r="E129" s="3" t="s">
        <v>16</v>
      </c>
      <c r="F129" s="3" t="s">
        <v>289</v>
      </c>
      <c r="G129" s="3" t="s">
        <v>23</v>
      </c>
      <c r="H129" s="3" t="s">
        <v>226</v>
      </c>
    </row>
    <row r="130" spans="1:8" x14ac:dyDescent="0.2">
      <c r="A130" s="3">
        <v>3060333002</v>
      </c>
      <c r="B130" s="4" t="s">
        <v>227</v>
      </c>
      <c r="C130" s="4" t="s">
        <v>228</v>
      </c>
      <c r="D130" s="3">
        <v>1</v>
      </c>
      <c r="E130" s="3" t="s">
        <v>16</v>
      </c>
      <c r="F130" s="3" t="s">
        <v>289</v>
      </c>
      <c r="G130" s="3" t="s">
        <v>23</v>
      </c>
      <c r="H130" s="3" t="s">
        <v>226</v>
      </c>
    </row>
    <row r="131" spans="1:8" x14ac:dyDescent="0.2">
      <c r="A131" s="3">
        <v>3060303001</v>
      </c>
      <c r="B131" s="4" t="s">
        <v>231</v>
      </c>
      <c r="C131" s="4" t="s">
        <v>232</v>
      </c>
      <c r="D131" s="3">
        <v>1</v>
      </c>
      <c r="E131" s="3" t="s">
        <v>16</v>
      </c>
      <c r="F131" s="3" t="s">
        <v>289</v>
      </c>
      <c r="G131" s="3" t="s">
        <v>23</v>
      </c>
      <c r="H131" s="3" t="s">
        <v>226</v>
      </c>
    </row>
    <row r="132" spans="1:8" x14ac:dyDescent="0.2">
      <c r="A132" s="3">
        <v>3060335004</v>
      </c>
      <c r="B132" s="4" t="s">
        <v>233</v>
      </c>
      <c r="C132" s="4" t="s">
        <v>234</v>
      </c>
      <c r="D132" s="3">
        <v>1</v>
      </c>
      <c r="E132" s="3" t="s">
        <v>16</v>
      </c>
      <c r="F132" s="3" t="s">
        <v>289</v>
      </c>
      <c r="G132" s="3" t="s">
        <v>23</v>
      </c>
      <c r="H132" s="3" t="s">
        <v>226</v>
      </c>
    </row>
    <row r="133" spans="1:8" x14ac:dyDescent="0.2">
      <c r="A133" s="3">
        <v>3030306008</v>
      </c>
      <c r="B133" s="4" t="s">
        <v>235</v>
      </c>
      <c r="C133" s="4" t="s">
        <v>236</v>
      </c>
      <c r="D133" s="3">
        <v>1</v>
      </c>
      <c r="E133" s="3" t="s">
        <v>16</v>
      </c>
      <c r="F133" s="3" t="s">
        <v>295</v>
      </c>
      <c r="G133" s="3" t="s">
        <v>17</v>
      </c>
      <c r="H133" s="3" t="s">
        <v>226</v>
      </c>
    </row>
    <row r="134" spans="1:8" x14ac:dyDescent="0.2">
      <c r="A134" s="3">
        <v>3030314001</v>
      </c>
      <c r="B134" s="4" t="s">
        <v>237</v>
      </c>
      <c r="C134" s="4" t="s">
        <v>238</v>
      </c>
      <c r="D134" s="3">
        <v>1</v>
      </c>
      <c r="E134" s="3" t="s">
        <v>16</v>
      </c>
      <c r="F134" s="3" t="s">
        <v>291</v>
      </c>
      <c r="G134" s="3" t="s">
        <v>26</v>
      </c>
      <c r="H134" s="3" t="s">
        <v>226</v>
      </c>
    </row>
    <row r="135" spans="1:8" x14ac:dyDescent="0.2">
      <c r="A135" s="3">
        <v>3020104001</v>
      </c>
      <c r="B135" s="4" t="s">
        <v>239</v>
      </c>
      <c r="C135" s="4" t="s">
        <v>240</v>
      </c>
      <c r="D135" s="3">
        <v>5</v>
      </c>
      <c r="E135" s="3" t="s">
        <v>16</v>
      </c>
      <c r="F135" s="3" t="s">
        <v>297</v>
      </c>
      <c r="G135" s="3" t="s">
        <v>204</v>
      </c>
      <c r="H135" s="3" t="s">
        <v>226</v>
      </c>
    </row>
    <row r="136" spans="1:8" x14ac:dyDescent="0.2">
      <c r="A136" s="3">
        <v>3030309028</v>
      </c>
      <c r="B136" s="4" t="s">
        <v>241</v>
      </c>
      <c r="C136" s="4" t="s">
        <v>242</v>
      </c>
      <c r="D136" s="3">
        <v>1</v>
      </c>
      <c r="E136" s="3" t="s">
        <v>16</v>
      </c>
      <c r="F136" s="3" t="s">
        <v>291</v>
      </c>
      <c r="G136" s="3" t="s">
        <v>26</v>
      </c>
      <c r="H136" s="3" t="s">
        <v>226</v>
      </c>
    </row>
    <row r="137" spans="1:8" x14ac:dyDescent="0.2">
      <c r="A137" s="3">
        <v>3030309026</v>
      </c>
      <c r="B137" s="4" t="s">
        <v>243</v>
      </c>
      <c r="C137" s="4" t="s">
        <v>242</v>
      </c>
      <c r="D137" s="3">
        <v>1</v>
      </c>
      <c r="E137" s="3" t="s">
        <v>16</v>
      </c>
      <c r="F137" s="3" t="s">
        <v>291</v>
      </c>
      <c r="G137" s="3" t="s">
        <v>26</v>
      </c>
      <c r="H137" s="3" t="s">
        <v>226</v>
      </c>
    </row>
    <row r="138" spans="1:8" x14ac:dyDescent="0.2">
      <c r="A138" s="3">
        <v>3050302012</v>
      </c>
      <c r="B138" s="4" t="s">
        <v>1921</v>
      </c>
      <c r="C138" s="4" t="s">
        <v>1922</v>
      </c>
      <c r="D138" s="3">
        <v>1</v>
      </c>
      <c r="E138" s="3" t="s">
        <v>16</v>
      </c>
      <c r="F138" s="3" t="s">
        <v>291</v>
      </c>
      <c r="G138" s="3" t="s">
        <v>26</v>
      </c>
      <c r="H138" s="3" t="s">
        <v>226</v>
      </c>
    </row>
    <row r="139" spans="1:8" x14ac:dyDescent="0.2">
      <c r="A139" s="3">
        <v>3030309027</v>
      </c>
      <c r="B139" s="4" t="s">
        <v>244</v>
      </c>
      <c r="C139" s="4" t="s">
        <v>242</v>
      </c>
      <c r="D139" s="3">
        <v>1</v>
      </c>
      <c r="E139" s="3" t="s">
        <v>16</v>
      </c>
      <c r="F139" s="3" t="s">
        <v>291</v>
      </c>
      <c r="G139" s="3" t="s">
        <v>26</v>
      </c>
      <c r="H139" s="3" t="s">
        <v>226</v>
      </c>
    </row>
    <row r="140" spans="1:8" x14ac:dyDescent="0.2">
      <c r="A140" s="3">
        <v>3050303002</v>
      </c>
      <c r="B140" s="4" t="s">
        <v>245</v>
      </c>
      <c r="C140" s="4" t="s">
        <v>246</v>
      </c>
      <c r="D140" s="3">
        <v>1</v>
      </c>
      <c r="E140" s="3" t="s">
        <v>16</v>
      </c>
      <c r="F140" s="3" t="s">
        <v>291</v>
      </c>
      <c r="G140" s="3" t="s">
        <v>26</v>
      </c>
      <c r="H140" s="3" t="s">
        <v>226</v>
      </c>
    </row>
    <row r="141" spans="1:8" x14ac:dyDescent="0.2">
      <c r="A141" s="3">
        <v>3080301002</v>
      </c>
      <c r="B141" s="4" t="s">
        <v>247</v>
      </c>
      <c r="C141" s="4" t="s">
        <v>248</v>
      </c>
      <c r="D141" s="3">
        <v>1</v>
      </c>
      <c r="E141" s="3" t="s">
        <v>16</v>
      </c>
      <c r="F141" s="3" t="s">
        <v>295</v>
      </c>
      <c r="G141" s="3" t="s">
        <v>17</v>
      </c>
      <c r="H141" s="3" t="s">
        <v>249</v>
      </c>
    </row>
    <row r="142" spans="1:8" x14ac:dyDescent="0.2">
      <c r="A142" s="3">
        <v>3080107026</v>
      </c>
      <c r="B142" s="4" t="s">
        <v>69</v>
      </c>
      <c r="C142" s="4" t="s">
        <v>250</v>
      </c>
      <c r="D142" s="3">
        <v>2</v>
      </c>
      <c r="E142" s="3" t="s">
        <v>16</v>
      </c>
      <c r="F142" s="3" t="s">
        <v>293</v>
      </c>
      <c r="G142" s="3" t="s">
        <v>29</v>
      </c>
      <c r="H142" s="3" t="s">
        <v>249</v>
      </c>
    </row>
    <row r="143" spans="1:8" x14ac:dyDescent="0.2">
      <c r="A143" s="3">
        <v>3080107017</v>
      </c>
      <c r="B143" s="4" t="s">
        <v>69</v>
      </c>
      <c r="C143" s="4" t="s">
        <v>251</v>
      </c>
      <c r="D143" s="3">
        <v>4</v>
      </c>
      <c r="E143" s="3" t="s">
        <v>16</v>
      </c>
      <c r="F143" s="3" t="s">
        <v>289</v>
      </c>
      <c r="G143" s="3" t="s">
        <v>23</v>
      </c>
      <c r="H143" s="3" t="s">
        <v>249</v>
      </c>
    </row>
    <row r="144" spans="1:8" x14ac:dyDescent="0.2">
      <c r="A144" s="3">
        <v>3080107017</v>
      </c>
      <c r="B144" s="4" t="s">
        <v>69</v>
      </c>
      <c r="C144" s="4" t="s">
        <v>251</v>
      </c>
      <c r="D144" s="3">
        <v>2</v>
      </c>
      <c r="E144" s="3" t="s">
        <v>16</v>
      </c>
      <c r="F144" s="3" t="s">
        <v>289</v>
      </c>
      <c r="G144" s="3" t="s">
        <v>23</v>
      </c>
      <c r="H144" s="3" t="s">
        <v>249</v>
      </c>
    </row>
    <row r="145" spans="1:8" x14ac:dyDescent="0.2">
      <c r="A145" s="3">
        <v>3080107017</v>
      </c>
      <c r="B145" s="4" t="s">
        <v>69</v>
      </c>
      <c r="C145" s="4" t="s">
        <v>251</v>
      </c>
      <c r="D145" s="3">
        <v>4</v>
      </c>
      <c r="E145" s="3" t="s">
        <v>16</v>
      </c>
      <c r="F145" s="3" t="s">
        <v>295</v>
      </c>
      <c r="G145" s="3" t="s">
        <v>17</v>
      </c>
      <c r="H145" s="3" t="s">
        <v>249</v>
      </c>
    </row>
    <row r="146" spans="1:8" x14ac:dyDescent="0.2">
      <c r="A146" s="3">
        <v>3060309001</v>
      </c>
      <c r="B146" s="4" t="s">
        <v>252</v>
      </c>
      <c r="C146" s="4" t="s">
        <v>253</v>
      </c>
      <c r="D146" s="3">
        <v>1</v>
      </c>
      <c r="E146" s="3" t="s">
        <v>16</v>
      </c>
      <c r="F146" s="3" t="s">
        <v>289</v>
      </c>
      <c r="G146" s="3" t="s">
        <v>23</v>
      </c>
      <c r="H146" s="3" t="s">
        <v>254</v>
      </c>
    </row>
    <row r="147" spans="1:8" x14ac:dyDescent="0.2">
      <c r="A147" s="3">
        <v>3060341001</v>
      </c>
      <c r="B147" s="4" t="s">
        <v>255</v>
      </c>
      <c r="C147" s="4" t="s">
        <v>256</v>
      </c>
      <c r="D147" s="3">
        <v>1</v>
      </c>
      <c r="E147" s="3" t="s">
        <v>16</v>
      </c>
      <c r="F147" s="3" t="s">
        <v>289</v>
      </c>
      <c r="G147" s="3" t="s">
        <v>23</v>
      </c>
      <c r="H147" s="3" t="s">
        <v>254</v>
      </c>
    </row>
    <row r="148" spans="1:8" x14ac:dyDescent="0.2">
      <c r="A148" s="3">
        <v>3030315001</v>
      </c>
      <c r="B148" s="4" t="s">
        <v>257</v>
      </c>
      <c r="C148" s="4" t="s">
        <v>258</v>
      </c>
      <c r="D148" s="3">
        <v>2</v>
      </c>
      <c r="E148" s="3" t="s">
        <v>16</v>
      </c>
      <c r="F148" s="3" t="s">
        <v>295</v>
      </c>
      <c r="G148" s="3" t="s">
        <v>17</v>
      </c>
      <c r="H148" s="3" t="s">
        <v>254</v>
      </c>
    </row>
    <row r="149" spans="1:8" x14ac:dyDescent="0.2">
      <c r="A149" s="3">
        <v>3030304002</v>
      </c>
      <c r="B149" s="4" t="s">
        <v>259</v>
      </c>
      <c r="C149" s="4" t="s">
        <v>258</v>
      </c>
      <c r="D149" s="3">
        <v>1</v>
      </c>
      <c r="E149" s="3" t="s">
        <v>16</v>
      </c>
      <c r="F149" s="3" t="s">
        <v>295</v>
      </c>
      <c r="G149" s="3" t="s">
        <v>17</v>
      </c>
      <c r="H149" s="3" t="s">
        <v>254</v>
      </c>
    </row>
    <row r="150" spans="1:8" x14ac:dyDescent="0.2">
      <c r="A150" s="3">
        <v>3030304004</v>
      </c>
      <c r="B150" s="4" t="s">
        <v>260</v>
      </c>
      <c r="C150" s="4" t="s">
        <v>258</v>
      </c>
      <c r="D150" s="3">
        <v>1</v>
      </c>
      <c r="E150" s="3" t="s">
        <v>16</v>
      </c>
      <c r="F150" s="3" t="s">
        <v>295</v>
      </c>
      <c r="G150" s="3" t="s">
        <v>17</v>
      </c>
      <c r="H150" s="3" t="s">
        <v>254</v>
      </c>
    </row>
    <row r="151" spans="1:8" x14ac:dyDescent="0.2">
      <c r="A151" s="3">
        <v>3030316001</v>
      </c>
      <c r="B151" s="4" t="s">
        <v>261</v>
      </c>
      <c r="C151" s="4" t="s">
        <v>262</v>
      </c>
      <c r="D151" s="3">
        <v>3</v>
      </c>
      <c r="E151" s="3" t="s">
        <v>16</v>
      </c>
      <c r="F151" s="3" t="s">
        <v>295</v>
      </c>
      <c r="G151" s="3" t="s">
        <v>17</v>
      </c>
      <c r="H151" s="3" t="s">
        <v>254</v>
      </c>
    </row>
    <row r="152" spans="1:8" x14ac:dyDescent="0.2">
      <c r="A152" s="3">
        <v>3040312007</v>
      </c>
      <c r="B152" s="4" t="s">
        <v>263</v>
      </c>
      <c r="C152" s="4" t="s">
        <v>264</v>
      </c>
      <c r="D152" s="3">
        <v>2</v>
      </c>
      <c r="E152" s="3" t="s">
        <v>16</v>
      </c>
      <c r="F152" s="3" t="s">
        <v>293</v>
      </c>
      <c r="G152" s="3" t="s">
        <v>29</v>
      </c>
      <c r="H152" s="3" t="s">
        <v>254</v>
      </c>
    </row>
    <row r="153" spans="1:8" x14ac:dyDescent="0.2">
      <c r="A153" s="3">
        <v>3040303001</v>
      </c>
      <c r="B153" s="4" t="s">
        <v>265</v>
      </c>
      <c r="C153" s="4" t="s">
        <v>266</v>
      </c>
      <c r="D153" s="3">
        <v>2</v>
      </c>
      <c r="E153" s="3" t="s">
        <v>16</v>
      </c>
      <c r="F153" s="3" t="s">
        <v>293</v>
      </c>
      <c r="G153" s="3" t="s">
        <v>29</v>
      </c>
      <c r="H153" s="3" t="s">
        <v>254</v>
      </c>
    </row>
    <row r="154" spans="1:8" x14ac:dyDescent="0.2">
      <c r="A154" s="3">
        <v>3040328002</v>
      </c>
      <c r="B154" s="4" t="s">
        <v>267</v>
      </c>
      <c r="C154" s="4" t="s">
        <v>268</v>
      </c>
      <c r="D154" s="3">
        <v>2</v>
      </c>
      <c r="E154" s="3" t="s">
        <v>16</v>
      </c>
      <c r="F154" s="3" t="s">
        <v>293</v>
      </c>
      <c r="G154" s="3" t="s">
        <v>29</v>
      </c>
      <c r="H154" s="3" t="s">
        <v>254</v>
      </c>
    </row>
    <row r="155" spans="1:8" x14ac:dyDescent="0.2">
      <c r="A155" s="3">
        <v>3040320003</v>
      </c>
      <c r="B155" s="4" t="s">
        <v>269</v>
      </c>
      <c r="C155" s="4" t="s">
        <v>270</v>
      </c>
      <c r="D155" s="3">
        <v>2</v>
      </c>
      <c r="E155" s="3" t="s">
        <v>16</v>
      </c>
      <c r="F155" s="3" t="s">
        <v>293</v>
      </c>
      <c r="G155" s="3" t="s">
        <v>29</v>
      </c>
      <c r="H155" s="3" t="s">
        <v>254</v>
      </c>
    </row>
    <row r="156" spans="1:8" x14ac:dyDescent="0.2">
      <c r="A156" s="3">
        <v>3040314001</v>
      </c>
      <c r="B156" s="4" t="s">
        <v>271</v>
      </c>
      <c r="C156" s="4" t="s">
        <v>272</v>
      </c>
      <c r="D156" s="3">
        <v>2</v>
      </c>
      <c r="E156" s="3" t="s">
        <v>16</v>
      </c>
      <c r="F156" s="3" t="s">
        <v>293</v>
      </c>
      <c r="G156" s="3" t="s">
        <v>29</v>
      </c>
      <c r="H156" s="3" t="s">
        <v>254</v>
      </c>
    </row>
    <row r="157" spans="1:8" x14ac:dyDescent="0.2">
      <c r="A157" s="3">
        <v>3030310004</v>
      </c>
      <c r="B157" s="4" t="s">
        <v>273</v>
      </c>
      <c r="C157" s="4" t="s">
        <v>274</v>
      </c>
      <c r="D157" s="3">
        <v>1</v>
      </c>
      <c r="E157" s="3" t="s">
        <v>16</v>
      </c>
      <c r="F157" s="3" t="s">
        <v>295</v>
      </c>
      <c r="G157" s="3" t="s">
        <v>17</v>
      </c>
      <c r="H157" s="3" t="s">
        <v>254</v>
      </c>
    </row>
    <row r="158" spans="1:8" x14ac:dyDescent="0.2">
      <c r="A158" s="3">
        <v>3030313004</v>
      </c>
      <c r="B158" s="4" t="s">
        <v>275</v>
      </c>
      <c r="C158" s="4" t="s">
        <v>258</v>
      </c>
      <c r="D158" s="3">
        <v>1</v>
      </c>
      <c r="E158" s="3" t="s">
        <v>16</v>
      </c>
      <c r="F158" s="3" t="s">
        <v>295</v>
      </c>
      <c r="G158" s="3" t="s">
        <v>17</v>
      </c>
      <c r="H158" s="3" t="s">
        <v>254</v>
      </c>
    </row>
    <row r="159" spans="1:8" x14ac:dyDescent="0.2">
      <c r="A159" s="3">
        <v>3080308001</v>
      </c>
      <c r="B159" s="4" t="s">
        <v>276</v>
      </c>
      <c r="C159" s="4" t="s">
        <v>258</v>
      </c>
      <c r="D159" s="3">
        <v>1</v>
      </c>
      <c r="E159" s="3" t="s">
        <v>16</v>
      </c>
      <c r="F159" s="3" t="s">
        <v>295</v>
      </c>
      <c r="G159" s="3" t="s">
        <v>17</v>
      </c>
      <c r="H159" s="3" t="s">
        <v>254</v>
      </c>
    </row>
    <row r="160" spans="1:8" x14ac:dyDescent="0.2">
      <c r="A160" s="3">
        <v>3040307001</v>
      </c>
      <c r="B160" s="4" t="s">
        <v>277</v>
      </c>
      <c r="C160" s="4" t="s">
        <v>278</v>
      </c>
      <c r="D160" s="3">
        <v>2</v>
      </c>
      <c r="E160" s="3" t="s">
        <v>16</v>
      </c>
      <c r="F160" s="3" t="s">
        <v>293</v>
      </c>
      <c r="G160" s="3" t="s">
        <v>29</v>
      </c>
      <c r="H160" s="3" t="s">
        <v>254</v>
      </c>
    </row>
    <row r="161" spans="1:8" x14ac:dyDescent="0.2">
      <c r="A161" s="3">
        <v>3030307007</v>
      </c>
      <c r="B161" s="4" t="s">
        <v>279</v>
      </c>
      <c r="C161" s="4" t="s">
        <v>280</v>
      </c>
      <c r="D161" s="3">
        <v>3</v>
      </c>
      <c r="E161" s="3" t="s">
        <v>16</v>
      </c>
      <c r="F161" s="3" t="s">
        <v>291</v>
      </c>
      <c r="G161" s="3" t="s">
        <v>26</v>
      </c>
      <c r="H161" s="3" t="s">
        <v>254</v>
      </c>
    </row>
    <row r="162" spans="1:8" x14ac:dyDescent="0.2">
      <c r="A162" s="3">
        <v>3030308009</v>
      </c>
      <c r="B162" s="4" t="s">
        <v>281</v>
      </c>
      <c r="C162" s="4" t="s">
        <v>282</v>
      </c>
      <c r="D162" s="3">
        <v>3</v>
      </c>
      <c r="E162" s="3" t="s">
        <v>16</v>
      </c>
      <c r="F162" s="3" t="s">
        <v>291</v>
      </c>
      <c r="G162" s="3" t="s">
        <v>26</v>
      </c>
      <c r="H162" s="3" t="s">
        <v>254</v>
      </c>
    </row>
  </sheetData>
  <phoneticPr fontId="2" type="noConversion"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9C97D-544B-4BCB-934D-1782BE3EBD7A}">
  <dimension ref="A1:H157"/>
  <sheetViews>
    <sheetView workbookViewId="0">
      <selection activeCell="L12" sqref="L12"/>
    </sheetView>
  </sheetViews>
  <sheetFormatPr defaultRowHeight="14.25" x14ac:dyDescent="0.2"/>
  <cols>
    <col min="1" max="1" width="12.25" customWidth="1"/>
    <col min="2" max="3" width="18.625" customWidth="1"/>
  </cols>
  <sheetData>
    <row r="1" spans="1:8" x14ac:dyDescent="0.2">
      <c r="A1" s="3" t="s">
        <v>1930</v>
      </c>
      <c r="B1" s="4"/>
      <c r="C1" s="4"/>
      <c r="D1" s="3"/>
      <c r="E1" s="3"/>
      <c r="F1" s="3"/>
      <c r="G1" s="3"/>
      <c r="H1" s="3"/>
    </row>
    <row r="2" spans="1:8" ht="28.5" x14ac:dyDescent="0.2">
      <c r="A2" s="1" t="s">
        <v>0</v>
      </c>
      <c r="B2" s="2" t="s">
        <v>1</v>
      </c>
      <c r="C2" s="2" t="s">
        <v>2</v>
      </c>
      <c r="D2" s="1" t="s">
        <v>4</v>
      </c>
      <c r="E2" s="1" t="s">
        <v>3</v>
      </c>
      <c r="F2" s="1" t="s">
        <v>5</v>
      </c>
      <c r="G2" s="1" t="s">
        <v>6</v>
      </c>
      <c r="H2" s="1" t="s">
        <v>7</v>
      </c>
    </row>
    <row r="3" spans="1:8" s="10" customFormat="1" x14ac:dyDescent="0.2">
      <c r="A3" s="8" t="s">
        <v>390</v>
      </c>
      <c r="B3" s="9" t="s">
        <v>8</v>
      </c>
      <c r="C3" s="9" t="s">
        <v>9</v>
      </c>
      <c r="D3" s="13">
        <f>0.1107/0.94</f>
        <v>0.11776595744680853</v>
      </c>
      <c r="E3" s="8" t="s">
        <v>596</v>
      </c>
      <c r="F3" s="8" t="s">
        <v>283</v>
      </c>
      <c r="G3" s="8" t="s">
        <v>13</v>
      </c>
      <c r="H3" s="8" t="s">
        <v>12</v>
      </c>
    </row>
    <row r="4" spans="1:8" x14ac:dyDescent="0.2">
      <c r="A4" s="3">
        <v>3098980102</v>
      </c>
      <c r="B4" s="4" t="s">
        <v>1897</v>
      </c>
      <c r="C4" s="4" t="s">
        <v>1898</v>
      </c>
      <c r="D4" s="3">
        <v>1</v>
      </c>
      <c r="E4" s="3" t="s">
        <v>16</v>
      </c>
      <c r="F4" s="3" t="s">
        <v>291</v>
      </c>
      <c r="G4" s="3" t="s">
        <v>26</v>
      </c>
      <c r="H4" s="3" t="s">
        <v>393</v>
      </c>
    </row>
    <row r="5" spans="1:8" x14ac:dyDescent="0.2">
      <c r="A5" s="3">
        <v>3080503020</v>
      </c>
      <c r="B5" s="4" t="s">
        <v>14</v>
      </c>
      <c r="C5" s="4" t="s">
        <v>15</v>
      </c>
      <c r="D5" s="3">
        <v>2</v>
      </c>
      <c r="E5" s="3" t="s">
        <v>16</v>
      </c>
      <c r="F5" s="3" t="s">
        <v>295</v>
      </c>
      <c r="G5" s="3" t="s">
        <v>17</v>
      </c>
      <c r="H5" s="3" t="s">
        <v>18</v>
      </c>
    </row>
    <row r="6" spans="1:8" x14ac:dyDescent="0.2">
      <c r="A6" s="3">
        <v>3080503019</v>
      </c>
      <c r="B6" s="4" t="s">
        <v>14</v>
      </c>
      <c r="C6" s="4" t="s">
        <v>19</v>
      </c>
      <c r="D6" s="3">
        <v>4</v>
      </c>
      <c r="E6" s="3" t="s">
        <v>16</v>
      </c>
      <c r="F6" s="3" t="s">
        <v>295</v>
      </c>
      <c r="G6" s="3" t="s">
        <v>17</v>
      </c>
      <c r="H6" s="3" t="s">
        <v>18</v>
      </c>
    </row>
    <row r="7" spans="1:8" x14ac:dyDescent="0.2">
      <c r="A7" s="3">
        <v>3080503001</v>
      </c>
      <c r="B7" s="4" t="s">
        <v>14</v>
      </c>
      <c r="C7" s="4" t="s">
        <v>20</v>
      </c>
      <c r="D7" s="3">
        <v>4</v>
      </c>
      <c r="E7" s="3" t="s">
        <v>16</v>
      </c>
      <c r="F7" s="3" t="s">
        <v>295</v>
      </c>
      <c r="G7" s="3" t="s">
        <v>17</v>
      </c>
      <c r="H7" s="3" t="s">
        <v>18</v>
      </c>
    </row>
    <row r="8" spans="1:8" x14ac:dyDescent="0.2">
      <c r="A8" s="3">
        <v>3060503002</v>
      </c>
      <c r="B8" s="4" t="s">
        <v>21</v>
      </c>
      <c r="C8" s="4" t="s">
        <v>22</v>
      </c>
      <c r="D8" s="3">
        <v>1</v>
      </c>
      <c r="E8" s="3" t="s">
        <v>16</v>
      </c>
      <c r="F8" s="3" t="s">
        <v>289</v>
      </c>
      <c r="G8" s="3" t="s">
        <v>23</v>
      </c>
      <c r="H8" s="3" t="s">
        <v>18</v>
      </c>
    </row>
    <row r="9" spans="1:8" x14ac:dyDescent="0.2">
      <c r="A9" s="3">
        <v>3030314005</v>
      </c>
      <c r="B9" s="4" t="s">
        <v>394</v>
      </c>
      <c r="C9" s="4" t="s">
        <v>395</v>
      </c>
      <c r="D9" s="3">
        <v>1</v>
      </c>
      <c r="E9" s="3" t="s">
        <v>16</v>
      </c>
      <c r="F9" s="3" t="s">
        <v>291</v>
      </c>
      <c r="G9" s="3" t="s">
        <v>26</v>
      </c>
      <c r="H9" s="3" t="s">
        <v>18</v>
      </c>
    </row>
    <row r="10" spans="1:8" x14ac:dyDescent="0.2">
      <c r="A10" s="3">
        <v>404020029</v>
      </c>
      <c r="B10" s="4" t="s">
        <v>30</v>
      </c>
      <c r="C10" s="4" t="s">
        <v>31</v>
      </c>
      <c r="D10" s="3">
        <v>3</v>
      </c>
      <c r="E10" s="3" t="s">
        <v>16</v>
      </c>
      <c r="F10" s="3" t="s">
        <v>301</v>
      </c>
      <c r="G10" s="3" t="s">
        <v>32</v>
      </c>
      <c r="H10" s="3" t="s">
        <v>33</v>
      </c>
    </row>
    <row r="11" spans="1:8" x14ac:dyDescent="0.2">
      <c r="A11" s="3">
        <v>404090273</v>
      </c>
      <c r="B11" s="4" t="s">
        <v>30</v>
      </c>
      <c r="C11" s="4" t="s">
        <v>1924</v>
      </c>
      <c r="D11" s="3">
        <v>1</v>
      </c>
      <c r="E11" s="3" t="s">
        <v>16</v>
      </c>
      <c r="F11" s="3" t="s">
        <v>301</v>
      </c>
      <c r="G11" s="3" t="s">
        <v>32</v>
      </c>
      <c r="H11" s="3" t="s">
        <v>33</v>
      </c>
    </row>
    <row r="12" spans="1:8" x14ac:dyDescent="0.2">
      <c r="A12" s="3">
        <v>401020257</v>
      </c>
      <c r="B12" s="4" t="s">
        <v>35</v>
      </c>
      <c r="C12" s="4" t="s">
        <v>1925</v>
      </c>
      <c r="D12" s="3">
        <v>1</v>
      </c>
      <c r="E12" s="3" t="s">
        <v>16</v>
      </c>
      <c r="F12" s="3" t="s">
        <v>301</v>
      </c>
      <c r="G12" s="3" t="s">
        <v>32</v>
      </c>
      <c r="H12" s="3" t="s">
        <v>33</v>
      </c>
    </row>
    <row r="13" spans="1:8" x14ac:dyDescent="0.2">
      <c r="A13" s="3">
        <v>401040463</v>
      </c>
      <c r="B13" s="4" t="s">
        <v>35</v>
      </c>
      <c r="C13" s="4" t="s">
        <v>1926</v>
      </c>
      <c r="D13" s="3">
        <v>1</v>
      </c>
      <c r="E13" s="3" t="s">
        <v>16</v>
      </c>
      <c r="F13" s="3" t="s">
        <v>291</v>
      </c>
      <c r="G13" s="3" t="s">
        <v>26</v>
      </c>
      <c r="H13" s="3" t="s">
        <v>33</v>
      </c>
    </row>
    <row r="14" spans="1:8" x14ac:dyDescent="0.2">
      <c r="A14" s="3">
        <v>3080102003</v>
      </c>
      <c r="B14" s="4" t="s">
        <v>38</v>
      </c>
      <c r="C14" s="4" t="s">
        <v>39</v>
      </c>
      <c r="D14" s="3">
        <v>1</v>
      </c>
      <c r="E14" s="3" t="s">
        <v>16</v>
      </c>
      <c r="F14" s="3" t="s">
        <v>289</v>
      </c>
      <c r="G14" s="3" t="s">
        <v>23</v>
      </c>
      <c r="H14" s="3" t="s">
        <v>40</v>
      </c>
    </row>
    <row r="15" spans="1:8" x14ac:dyDescent="0.2">
      <c r="A15" s="3">
        <v>3080401005</v>
      </c>
      <c r="B15" s="4" t="s">
        <v>41</v>
      </c>
      <c r="C15" s="4" t="s">
        <v>43</v>
      </c>
      <c r="D15" s="3">
        <v>12</v>
      </c>
      <c r="E15" s="3" t="s">
        <v>16</v>
      </c>
      <c r="F15" s="3" t="s">
        <v>291</v>
      </c>
      <c r="G15" s="3" t="s">
        <v>26</v>
      </c>
      <c r="H15" s="3" t="s">
        <v>40</v>
      </c>
    </row>
    <row r="16" spans="1:8" x14ac:dyDescent="0.2">
      <c r="A16" s="3">
        <v>3080401006</v>
      </c>
      <c r="B16" s="4" t="s">
        <v>41</v>
      </c>
      <c r="C16" s="4" t="s">
        <v>44</v>
      </c>
      <c r="D16" s="3">
        <v>1</v>
      </c>
      <c r="E16" s="3" t="s">
        <v>16</v>
      </c>
      <c r="F16" s="3" t="s">
        <v>295</v>
      </c>
      <c r="G16" s="3" t="s">
        <v>17</v>
      </c>
      <c r="H16" s="3" t="s">
        <v>40</v>
      </c>
    </row>
    <row r="17" spans="1:8" x14ac:dyDescent="0.2">
      <c r="A17" s="3">
        <v>3080104014</v>
      </c>
      <c r="B17" s="4" t="s">
        <v>45</v>
      </c>
      <c r="C17" s="4" t="s">
        <v>312</v>
      </c>
      <c r="D17" s="3">
        <v>2</v>
      </c>
      <c r="E17" s="3" t="s">
        <v>16</v>
      </c>
      <c r="F17" s="3" t="s">
        <v>293</v>
      </c>
      <c r="G17" s="3" t="s">
        <v>29</v>
      </c>
      <c r="H17" s="3" t="s">
        <v>40</v>
      </c>
    </row>
    <row r="18" spans="1:8" x14ac:dyDescent="0.2">
      <c r="A18" s="3">
        <v>3080104099</v>
      </c>
      <c r="B18" s="4" t="s">
        <v>45</v>
      </c>
      <c r="C18" s="4" t="s">
        <v>419</v>
      </c>
      <c r="D18" s="3">
        <v>2</v>
      </c>
      <c r="E18" s="3" t="s">
        <v>16</v>
      </c>
      <c r="F18" s="3" t="s">
        <v>291</v>
      </c>
      <c r="G18" s="3" t="s">
        <v>26</v>
      </c>
      <c r="H18" s="3" t="s">
        <v>40</v>
      </c>
    </row>
    <row r="19" spans="1:8" x14ac:dyDescent="0.2">
      <c r="A19" s="3">
        <v>3080104020</v>
      </c>
      <c r="B19" s="4" t="s">
        <v>45</v>
      </c>
      <c r="C19" s="4" t="s">
        <v>46</v>
      </c>
      <c r="D19" s="3">
        <v>4</v>
      </c>
      <c r="E19" s="3" t="s">
        <v>16</v>
      </c>
      <c r="F19" s="3" t="s">
        <v>291</v>
      </c>
      <c r="G19" s="3" t="s">
        <v>26</v>
      </c>
      <c r="H19" s="3" t="s">
        <v>40</v>
      </c>
    </row>
    <row r="20" spans="1:8" x14ac:dyDescent="0.2">
      <c r="A20" s="3">
        <v>3080104019</v>
      </c>
      <c r="B20" s="4" t="s">
        <v>45</v>
      </c>
      <c r="C20" s="4" t="s">
        <v>47</v>
      </c>
      <c r="D20" s="3">
        <v>2</v>
      </c>
      <c r="E20" s="3" t="s">
        <v>16</v>
      </c>
      <c r="F20" s="3" t="s">
        <v>291</v>
      </c>
      <c r="G20" s="3" t="s">
        <v>26</v>
      </c>
      <c r="H20" s="3" t="s">
        <v>40</v>
      </c>
    </row>
    <row r="21" spans="1:8" x14ac:dyDescent="0.2">
      <c r="A21" s="3">
        <v>3080104050</v>
      </c>
      <c r="B21" s="4" t="s">
        <v>45</v>
      </c>
      <c r="C21" s="4" t="s">
        <v>49</v>
      </c>
      <c r="D21" s="3">
        <v>4</v>
      </c>
      <c r="E21" s="3" t="s">
        <v>16</v>
      </c>
      <c r="F21" s="3" t="s">
        <v>295</v>
      </c>
      <c r="G21" s="3" t="s">
        <v>17</v>
      </c>
      <c r="H21" s="3" t="s">
        <v>40</v>
      </c>
    </row>
    <row r="22" spans="1:8" x14ac:dyDescent="0.2">
      <c r="A22" s="3">
        <v>3080105013</v>
      </c>
      <c r="B22" s="4" t="s">
        <v>50</v>
      </c>
      <c r="C22" s="4" t="s">
        <v>51</v>
      </c>
      <c r="D22" s="3">
        <v>12</v>
      </c>
      <c r="E22" s="3" t="s">
        <v>16</v>
      </c>
      <c r="F22" s="3" t="s">
        <v>293</v>
      </c>
      <c r="G22" s="3" t="s">
        <v>29</v>
      </c>
      <c r="H22" s="3" t="s">
        <v>40</v>
      </c>
    </row>
    <row r="23" spans="1:8" x14ac:dyDescent="0.2">
      <c r="A23" s="3">
        <v>3080105007</v>
      </c>
      <c r="B23" s="4" t="s">
        <v>50</v>
      </c>
      <c r="C23" s="4" t="s">
        <v>52</v>
      </c>
      <c r="D23" s="3">
        <v>2</v>
      </c>
      <c r="E23" s="3" t="s">
        <v>16</v>
      </c>
      <c r="F23" s="3" t="s">
        <v>289</v>
      </c>
      <c r="G23" s="3" t="s">
        <v>23</v>
      </c>
      <c r="H23" s="3" t="s">
        <v>40</v>
      </c>
    </row>
    <row r="24" spans="1:8" x14ac:dyDescent="0.2">
      <c r="A24" s="3">
        <v>3080105007</v>
      </c>
      <c r="B24" s="4" t="s">
        <v>50</v>
      </c>
      <c r="C24" s="4" t="s">
        <v>52</v>
      </c>
      <c r="D24" s="3">
        <v>2</v>
      </c>
      <c r="E24" s="3" t="s">
        <v>16</v>
      </c>
      <c r="F24" s="3" t="s">
        <v>293</v>
      </c>
      <c r="G24" s="3" t="s">
        <v>29</v>
      </c>
      <c r="H24" s="3" t="s">
        <v>40</v>
      </c>
    </row>
    <row r="25" spans="1:8" x14ac:dyDescent="0.2">
      <c r="A25" s="3">
        <v>3080105111</v>
      </c>
      <c r="B25" s="4" t="s">
        <v>50</v>
      </c>
      <c r="C25" s="4" t="s">
        <v>599</v>
      </c>
      <c r="D25" s="3">
        <v>4</v>
      </c>
      <c r="E25" s="3" t="s">
        <v>16</v>
      </c>
      <c r="F25" s="3" t="s">
        <v>291</v>
      </c>
      <c r="G25" s="3" t="s">
        <v>26</v>
      </c>
      <c r="H25" s="3" t="s">
        <v>40</v>
      </c>
    </row>
    <row r="26" spans="1:8" x14ac:dyDescent="0.2">
      <c r="A26" s="3">
        <v>3080105114</v>
      </c>
      <c r="B26" s="4" t="s">
        <v>50</v>
      </c>
      <c r="C26" s="4" t="s">
        <v>53</v>
      </c>
      <c r="D26" s="3">
        <v>4</v>
      </c>
      <c r="E26" s="3" t="s">
        <v>16</v>
      </c>
      <c r="F26" s="3" t="s">
        <v>289</v>
      </c>
      <c r="G26" s="3" t="s">
        <v>23</v>
      </c>
      <c r="H26" s="3" t="s">
        <v>40</v>
      </c>
    </row>
    <row r="27" spans="1:8" x14ac:dyDescent="0.2">
      <c r="A27" s="3">
        <v>3080105114</v>
      </c>
      <c r="B27" s="4" t="s">
        <v>50</v>
      </c>
      <c r="C27" s="4" t="s">
        <v>53</v>
      </c>
      <c r="D27" s="3">
        <v>4</v>
      </c>
      <c r="E27" s="3" t="s">
        <v>16</v>
      </c>
      <c r="F27" s="3" t="s">
        <v>289</v>
      </c>
      <c r="G27" s="3" t="s">
        <v>23</v>
      </c>
      <c r="H27" s="3" t="s">
        <v>40</v>
      </c>
    </row>
    <row r="28" spans="1:8" x14ac:dyDescent="0.2">
      <c r="A28" s="3">
        <v>3080105068</v>
      </c>
      <c r="B28" s="4" t="s">
        <v>50</v>
      </c>
      <c r="C28" s="4" t="s">
        <v>314</v>
      </c>
      <c r="D28" s="3">
        <v>10</v>
      </c>
      <c r="E28" s="3" t="s">
        <v>16</v>
      </c>
      <c r="F28" s="3" t="s">
        <v>293</v>
      </c>
      <c r="G28" s="3" t="s">
        <v>29</v>
      </c>
      <c r="H28" s="3" t="s">
        <v>40</v>
      </c>
    </row>
    <row r="29" spans="1:8" x14ac:dyDescent="0.2">
      <c r="A29" s="3">
        <v>3080105004</v>
      </c>
      <c r="B29" s="4" t="s">
        <v>50</v>
      </c>
      <c r="C29" s="4" t="s">
        <v>54</v>
      </c>
      <c r="D29" s="3">
        <v>1</v>
      </c>
      <c r="E29" s="3" t="s">
        <v>16</v>
      </c>
      <c r="F29" s="3" t="s">
        <v>289</v>
      </c>
      <c r="G29" s="3" t="s">
        <v>23</v>
      </c>
      <c r="H29" s="3" t="s">
        <v>40</v>
      </c>
    </row>
    <row r="30" spans="1:8" x14ac:dyDescent="0.2">
      <c r="A30" s="3">
        <v>3080105007</v>
      </c>
      <c r="B30" s="4" t="s">
        <v>50</v>
      </c>
      <c r="C30" s="4" t="s">
        <v>52</v>
      </c>
      <c r="D30" s="3">
        <v>8</v>
      </c>
      <c r="E30" s="3" t="s">
        <v>16</v>
      </c>
      <c r="F30" s="3" t="s">
        <v>289</v>
      </c>
      <c r="G30" s="3" t="s">
        <v>23</v>
      </c>
      <c r="H30" s="3" t="s">
        <v>40</v>
      </c>
    </row>
    <row r="31" spans="1:8" x14ac:dyDescent="0.2">
      <c r="A31" s="3">
        <v>3080502002</v>
      </c>
      <c r="B31" s="4" t="s">
        <v>55</v>
      </c>
      <c r="C31" s="4" t="s">
        <v>56</v>
      </c>
      <c r="D31" s="3">
        <v>4</v>
      </c>
      <c r="E31" s="3" t="s">
        <v>16</v>
      </c>
      <c r="F31" s="3" t="s">
        <v>293</v>
      </c>
      <c r="G31" s="3" t="s">
        <v>29</v>
      </c>
      <c r="H31" s="3" t="s">
        <v>40</v>
      </c>
    </row>
    <row r="32" spans="1:8" x14ac:dyDescent="0.2">
      <c r="A32" s="3">
        <v>3080501013</v>
      </c>
      <c r="B32" s="4" t="s">
        <v>57</v>
      </c>
      <c r="C32" s="4" t="s">
        <v>58</v>
      </c>
      <c r="D32" s="3">
        <v>2</v>
      </c>
      <c r="E32" s="3" t="s">
        <v>16</v>
      </c>
      <c r="F32" s="3" t="s">
        <v>293</v>
      </c>
      <c r="G32" s="3" t="s">
        <v>29</v>
      </c>
      <c r="H32" s="3" t="s">
        <v>40</v>
      </c>
    </row>
    <row r="33" spans="1:8" x14ac:dyDescent="0.2">
      <c r="A33" s="3">
        <v>3080201004</v>
      </c>
      <c r="B33" s="4" t="s">
        <v>60</v>
      </c>
      <c r="C33" s="4" t="s">
        <v>61</v>
      </c>
      <c r="D33" s="3">
        <v>4</v>
      </c>
      <c r="E33" s="3" t="s">
        <v>16</v>
      </c>
      <c r="F33" s="3" t="s">
        <v>295</v>
      </c>
      <c r="G33" s="3" t="s">
        <v>17</v>
      </c>
      <c r="H33" s="3" t="s">
        <v>40</v>
      </c>
    </row>
    <row r="34" spans="1:8" x14ac:dyDescent="0.2">
      <c r="A34" s="3">
        <v>3080201007</v>
      </c>
      <c r="B34" s="4" t="s">
        <v>60</v>
      </c>
      <c r="C34" s="4" t="s">
        <v>62</v>
      </c>
      <c r="D34" s="3">
        <v>1</v>
      </c>
      <c r="E34" s="3" t="s">
        <v>16</v>
      </c>
      <c r="F34" s="3" t="s">
        <v>295</v>
      </c>
      <c r="G34" s="3" t="s">
        <v>17</v>
      </c>
      <c r="H34" s="3" t="s">
        <v>40</v>
      </c>
    </row>
    <row r="35" spans="1:8" x14ac:dyDescent="0.2">
      <c r="A35" s="3">
        <v>3080201008</v>
      </c>
      <c r="B35" s="4" t="s">
        <v>60</v>
      </c>
      <c r="C35" s="4" t="s">
        <v>63</v>
      </c>
      <c r="D35" s="3">
        <v>1</v>
      </c>
      <c r="E35" s="3" t="s">
        <v>16</v>
      </c>
      <c r="F35" s="3" t="s">
        <v>295</v>
      </c>
      <c r="G35" s="3" t="s">
        <v>17</v>
      </c>
      <c r="H35" s="3" t="s">
        <v>40</v>
      </c>
    </row>
    <row r="36" spans="1:8" x14ac:dyDescent="0.2">
      <c r="A36" s="3">
        <v>3080201010</v>
      </c>
      <c r="B36" s="4" t="s">
        <v>60</v>
      </c>
      <c r="C36" s="4" t="s">
        <v>64</v>
      </c>
      <c r="D36" s="3">
        <v>1</v>
      </c>
      <c r="E36" s="3" t="s">
        <v>16</v>
      </c>
      <c r="F36" s="3" t="s">
        <v>295</v>
      </c>
      <c r="G36" s="3" t="s">
        <v>17</v>
      </c>
      <c r="H36" s="3" t="s">
        <v>40</v>
      </c>
    </row>
    <row r="37" spans="1:8" x14ac:dyDescent="0.2">
      <c r="A37" s="3">
        <v>3080201015</v>
      </c>
      <c r="B37" s="4" t="s">
        <v>60</v>
      </c>
      <c r="C37" s="4" t="s">
        <v>65</v>
      </c>
      <c r="D37" s="3">
        <v>2</v>
      </c>
      <c r="E37" s="3" t="s">
        <v>16</v>
      </c>
      <c r="F37" s="3" t="s">
        <v>295</v>
      </c>
      <c r="G37" s="3" t="s">
        <v>17</v>
      </c>
      <c r="H37" s="3" t="s">
        <v>40</v>
      </c>
    </row>
    <row r="38" spans="1:8" x14ac:dyDescent="0.2">
      <c r="A38" s="3">
        <v>3080106009</v>
      </c>
      <c r="B38" s="4" t="s">
        <v>66</v>
      </c>
      <c r="C38" s="4" t="s">
        <v>67</v>
      </c>
      <c r="D38" s="3">
        <v>1</v>
      </c>
      <c r="E38" s="3" t="s">
        <v>16</v>
      </c>
      <c r="F38" s="3" t="s">
        <v>295</v>
      </c>
      <c r="G38" s="3" t="s">
        <v>17</v>
      </c>
      <c r="H38" s="3" t="s">
        <v>40</v>
      </c>
    </row>
    <row r="39" spans="1:8" x14ac:dyDescent="0.2">
      <c r="A39" s="3">
        <v>3080106007</v>
      </c>
      <c r="B39" s="4" t="s">
        <v>66</v>
      </c>
      <c r="C39" s="4" t="s">
        <v>68</v>
      </c>
      <c r="D39" s="3">
        <v>1</v>
      </c>
      <c r="E39" s="3" t="s">
        <v>16</v>
      </c>
      <c r="F39" s="3" t="s">
        <v>295</v>
      </c>
      <c r="G39" s="3" t="s">
        <v>17</v>
      </c>
      <c r="H39" s="3" t="s">
        <v>40</v>
      </c>
    </row>
    <row r="40" spans="1:8" x14ac:dyDescent="0.2">
      <c r="A40" s="3">
        <v>3080107130</v>
      </c>
      <c r="B40" s="4" t="s">
        <v>69</v>
      </c>
      <c r="C40" s="4" t="s">
        <v>70</v>
      </c>
      <c r="D40" s="3">
        <v>4</v>
      </c>
      <c r="E40" s="3" t="s">
        <v>16</v>
      </c>
      <c r="F40" s="3" t="s">
        <v>293</v>
      </c>
      <c r="G40" s="3" t="s">
        <v>29</v>
      </c>
      <c r="H40" s="3" t="s">
        <v>40</v>
      </c>
    </row>
    <row r="41" spans="1:8" x14ac:dyDescent="0.2">
      <c r="A41" s="3">
        <v>3080107031</v>
      </c>
      <c r="B41" s="4" t="s">
        <v>69</v>
      </c>
      <c r="C41" s="4" t="s">
        <v>71</v>
      </c>
      <c r="D41" s="3">
        <v>2</v>
      </c>
      <c r="E41" s="3" t="s">
        <v>16</v>
      </c>
      <c r="F41" s="3" t="s">
        <v>295</v>
      </c>
      <c r="G41" s="3" t="s">
        <v>17</v>
      </c>
      <c r="H41" s="3" t="s">
        <v>40</v>
      </c>
    </row>
    <row r="42" spans="1:8" x14ac:dyDescent="0.2">
      <c r="A42" s="3">
        <v>3080107038</v>
      </c>
      <c r="B42" s="4" t="s">
        <v>69</v>
      </c>
      <c r="C42" s="4" t="s">
        <v>72</v>
      </c>
      <c r="D42" s="3">
        <v>2</v>
      </c>
      <c r="E42" s="3" t="s">
        <v>16</v>
      </c>
      <c r="F42" s="3" t="s">
        <v>289</v>
      </c>
      <c r="G42" s="3" t="s">
        <v>23</v>
      </c>
      <c r="H42" s="3" t="s">
        <v>40</v>
      </c>
    </row>
    <row r="43" spans="1:8" x14ac:dyDescent="0.2">
      <c r="A43" s="3">
        <v>3080107015</v>
      </c>
      <c r="B43" s="4" t="s">
        <v>69</v>
      </c>
      <c r="C43" s="4" t="s">
        <v>73</v>
      </c>
      <c r="D43" s="3">
        <v>6</v>
      </c>
      <c r="E43" s="3" t="s">
        <v>16</v>
      </c>
      <c r="F43" s="3" t="s">
        <v>291</v>
      </c>
      <c r="G43" s="3" t="s">
        <v>26</v>
      </c>
      <c r="H43" s="3" t="s">
        <v>40</v>
      </c>
    </row>
    <row r="44" spans="1:8" x14ac:dyDescent="0.2">
      <c r="A44" s="3">
        <v>3080107120</v>
      </c>
      <c r="B44" s="4" t="s">
        <v>69</v>
      </c>
      <c r="C44" s="4" t="s">
        <v>74</v>
      </c>
      <c r="D44" s="3">
        <v>1</v>
      </c>
      <c r="E44" s="3" t="s">
        <v>16</v>
      </c>
      <c r="F44" s="3" t="s">
        <v>295</v>
      </c>
      <c r="G44" s="3" t="s">
        <v>17</v>
      </c>
      <c r="H44" s="3" t="s">
        <v>40</v>
      </c>
    </row>
    <row r="45" spans="1:8" x14ac:dyDescent="0.2">
      <c r="A45" s="3">
        <v>3080107121</v>
      </c>
      <c r="B45" s="4" t="s">
        <v>69</v>
      </c>
      <c r="C45" s="4" t="s">
        <v>75</v>
      </c>
      <c r="D45" s="3">
        <v>1</v>
      </c>
      <c r="E45" s="3" t="s">
        <v>16</v>
      </c>
      <c r="F45" s="3" t="s">
        <v>295</v>
      </c>
      <c r="G45" s="3" t="s">
        <v>17</v>
      </c>
      <c r="H45" s="3" t="s">
        <v>40</v>
      </c>
    </row>
    <row r="46" spans="1:8" x14ac:dyDescent="0.2">
      <c r="A46" s="3">
        <v>3080107031</v>
      </c>
      <c r="B46" s="4" t="s">
        <v>69</v>
      </c>
      <c r="C46" s="4" t="s">
        <v>71</v>
      </c>
      <c r="D46" s="3">
        <v>4</v>
      </c>
      <c r="E46" s="3" t="s">
        <v>16</v>
      </c>
      <c r="F46" s="3" t="s">
        <v>295</v>
      </c>
      <c r="G46" s="3" t="s">
        <v>17</v>
      </c>
      <c r="H46" s="3" t="s">
        <v>40</v>
      </c>
    </row>
    <row r="47" spans="1:8" x14ac:dyDescent="0.2">
      <c r="A47" s="3">
        <v>3080108003</v>
      </c>
      <c r="B47" s="4" t="s">
        <v>77</v>
      </c>
      <c r="C47" s="4" t="s">
        <v>78</v>
      </c>
      <c r="D47" s="3">
        <v>1</v>
      </c>
      <c r="E47" s="3" t="s">
        <v>16</v>
      </c>
      <c r="F47" s="3" t="s">
        <v>295</v>
      </c>
      <c r="G47" s="3" t="s">
        <v>17</v>
      </c>
      <c r="H47" s="3" t="s">
        <v>40</v>
      </c>
    </row>
    <row r="48" spans="1:8" x14ac:dyDescent="0.2">
      <c r="A48" s="3">
        <v>3080111087</v>
      </c>
      <c r="B48" s="4" t="s">
        <v>79</v>
      </c>
      <c r="C48" s="4" t="s">
        <v>80</v>
      </c>
      <c r="D48" s="3">
        <v>18</v>
      </c>
      <c r="E48" s="3" t="s">
        <v>16</v>
      </c>
      <c r="F48" s="3" t="s">
        <v>291</v>
      </c>
      <c r="G48" s="3" t="s">
        <v>26</v>
      </c>
      <c r="H48" s="3" t="s">
        <v>40</v>
      </c>
    </row>
    <row r="49" spans="1:8" x14ac:dyDescent="0.2">
      <c r="A49" s="3">
        <v>407030034</v>
      </c>
      <c r="B49" s="4" t="s">
        <v>81</v>
      </c>
      <c r="C49" s="4" t="s">
        <v>82</v>
      </c>
      <c r="D49" s="3">
        <v>1</v>
      </c>
      <c r="E49" s="3" t="s">
        <v>16</v>
      </c>
      <c r="F49" s="3" t="s">
        <v>301</v>
      </c>
      <c r="G49" s="3" t="s">
        <v>32</v>
      </c>
      <c r="H49" s="3" t="s">
        <v>40</v>
      </c>
    </row>
    <row r="50" spans="1:8" x14ac:dyDescent="0.2">
      <c r="A50" s="3">
        <v>3080112015</v>
      </c>
      <c r="B50" s="4" t="s">
        <v>83</v>
      </c>
      <c r="C50" s="4" t="s">
        <v>84</v>
      </c>
      <c r="D50" s="3">
        <v>6</v>
      </c>
      <c r="E50" s="3" t="s">
        <v>16</v>
      </c>
      <c r="F50" s="3" t="s">
        <v>291</v>
      </c>
      <c r="G50" s="3" t="s">
        <v>26</v>
      </c>
      <c r="H50" s="3" t="s">
        <v>40</v>
      </c>
    </row>
    <row r="51" spans="1:8" x14ac:dyDescent="0.2">
      <c r="A51" s="3">
        <v>3080112003</v>
      </c>
      <c r="B51" s="4" t="s">
        <v>83</v>
      </c>
      <c r="C51" s="4" t="s">
        <v>85</v>
      </c>
      <c r="D51" s="3">
        <v>1</v>
      </c>
      <c r="E51" s="3" t="s">
        <v>16</v>
      </c>
      <c r="F51" s="3" t="s">
        <v>295</v>
      </c>
      <c r="G51" s="3" t="s">
        <v>17</v>
      </c>
      <c r="H51" s="3" t="s">
        <v>40</v>
      </c>
    </row>
    <row r="52" spans="1:8" x14ac:dyDescent="0.2">
      <c r="A52" s="3">
        <v>3080307001</v>
      </c>
      <c r="B52" s="4" t="s">
        <v>86</v>
      </c>
      <c r="C52" s="4" t="s">
        <v>87</v>
      </c>
      <c r="D52" s="3">
        <v>1</v>
      </c>
      <c r="E52" s="3" t="s">
        <v>16</v>
      </c>
      <c r="F52" s="3" t="s">
        <v>295</v>
      </c>
      <c r="G52" s="3" t="s">
        <v>17</v>
      </c>
      <c r="H52" s="3" t="s">
        <v>88</v>
      </c>
    </row>
    <row r="53" spans="1:8" x14ac:dyDescent="0.2">
      <c r="A53" s="3">
        <v>3080506001</v>
      </c>
      <c r="B53" s="4" t="s">
        <v>89</v>
      </c>
      <c r="C53" s="4" t="s">
        <v>90</v>
      </c>
      <c r="D53" s="3">
        <v>1</v>
      </c>
      <c r="E53" s="3" t="s">
        <v>16</v>
      </c>
      <c r="F53" s="3" t="s">
        <v>295</v>
      </c>
      <c r="G53" s="3" t="s">
        <v>17</v>
      </c>
      <c r="H53" s="3" t="s">
        <v>88</v>
      </c>
    </row>
    <row r="54" spans="1:8" x14ac:dyDescent="0.2">
      <c r="A54" s="3">
        <v>3030204002</v>
      </c>
      <c r="B54" s="4" t="s">
        <v>91</v>
      </c>
      <c r="C54" s="4" t="s">
        <v>92</v>
      </c>
      <c r="D54" s="3">
        <v>1</v>
      </c>
      <c r="E54" s="3" t="s">
        <v>16</v>
      </c>
      <c r="F54" s="3" t="s">
        <v>295</v>
      </c>
      <c r="G54" s="3" t="s">
        <v>17</v>
      </c>
      <c r="H54" s="3" t="s">
        <v>88</v>
      </c>
    </row>
    <row r="55" spans="1:8" x14ac:dyDescent="0.2">
      <c r="A55" s="3">
        <v>3030205002</v>
      </c>
      <c r="B55" s="4" t="s">
        <v>93</v>
      </c>
      <c r="C55" s="4" t="s">
        <v>94</v>
      </c>
      <c r="D55" s="3">
        <v>1</v>
      </c>
      <c r="E55" s="3" t="s">
        <v>16</v>
      </c>
      <c r="F55" s="3" t="s">
        <v>295</v>
      </c>
      <c r="G55" s="3" t="s">
        <v>17</v>
      </c>
      <c r="H55" s="3" t="s">
        <v>88</v>
      </c>
    </row>
    <row r="56" spans="1:8" x14ac:dyDescent="0.2">
      <c r="A56" s="3">
        <v>3030208001</v>
      </c>
      <c r="B56" s="4" t="s">
        <v>95</v>
      </c>
      <c r="C56" s="4" t="s">
        <v>96</v>
      </c>
      <c r="D56" s="3">
        <v>1</v>
      </c>
      <c r="E56" s="3" t="s">
        <v>16</v>
      </c>
      <c r="F56" s="3" t="s">
        <v>295</v>
      </c>
      <c r="G56" s="3" t="s">
        <v>17</v>
      </c>
      <c r="H56" s="3" t="s">
        <v>88</v>
      </c>
    </row>
    <row r="57" spans="1:8" x14ac:dyDescent="0.2">
      <c r="A57" s="3">
        <v>3030202005</v>
      </c>
      <c r="B57" s="4" t="s">
        <v>97</v>
      </c>
      <c r="C57" s="4" t="s">
        <v>94</v>
      </c>
      <c r="D57" s="3">
        <v>1</v>
      </c>
      <c r="E57" s="3" t="s">
        <v>16</v>
      </c>
      <c r="F57" s="3" t="s">
        <v>295</v>
      </c>
      <c r="G57" s="3" t="s">
        <v>17</v>
      </c>
      <c r="H57" s="3" t="s">
        <v>88</v>
      </c>
    </row>
    <row r="58" spans="1:8" x14ac:dyDescent="0.2">
      <c r="A58" s="3">
        <v>3080201009</v>
      </c>
      <c r="B58" s="4" t="s">
        <v>60</v>
      </c>
      <c r="C58" s="4" t="s">
        <v>98</v>
      </c>
      <c r="D58" s="3">
        <v>1</v>
      </c>
      <c r="E58" s="3" t="s">
        <v>16</v>
      </c>
      <c r="F58" s="3" t="s">
        <v>295</v>
      </c>
      <c r="G58" s="3" t="s">
        <v>17</v>
      </c>
      <c r="H58" s="3" t="s">
        <v>88</v>
      </c>
    </row>
    <row r="59" spans="1:8" x14ac:dyDescent="0.2">
      <c r="A59" s="3">
        <v>3050205001</v>
      </c>
      <c r="B59" s="4" t="s">
        <v>99</v>
      </c>
      <c r="C59" s="4" t="s">
        <v>100</v>
      </c>
      <c r="D59" s="3">
        <v>2</v>
      </c>
      <c r="E59" s="3" t="s">
        <v>16</v>
      </c>
      <c r="F59" s="3" t="s">
        <v>291</v>
      </c>
      <c r="G59" s="3" t="s">
        <v>26</v>
      </c>
      <c r="H59" s="3" t="s">
        <v>88</v>
      </c>
    </row>
    <row r="60" spans="1:8" x14ac:dyDescent="0.2">
      <c r="A60" s="3">
        <v>3099991203</v>
      </c>
      <c r="B60" s="4" t="s">
        <v>101</v>
      </c>
      <c r="C60" s="4" t="s">
        <v>102</v>
      </c>
      <c r="D60" s="3">
        <v>1</v>
      </c>
      <c r="E60" s="3" t="s">
        <v>16</v>
      </c>
      <c r="F60" s="3" t="s">
        <v>289</v>
      </c>
      <c r="G60" s="3" t="s">
        <v>23</v>
      </c>
      <c r="H60" s="3" t="s">
        <v>103</v>
      </c>
    </row>
    <row r="61" spans="1:8" x14ac:dyDescent="0.2">
      <c r="A61" s="3">
        <v>3099990225</v>
      </c>
      <c r="B61" s="4" t="s">
        <v>1902</v>
      </c>
      <c r="C61" s="4" t="s">
        <v>1903</v>
      </c>
      <c r="D61" s="3">
        <v>1</v>
      </c>
      <c r="E61" s="3" t="s">
        <v>16</v>
      </c>
      <c r="F61" s="3" t="s">
        <v>299</v>
      </c>
      <c r="G61" s="3" t="s">
        <v>106</v>
      </c>
      <c r="H61" s="3" t="s">
        <v>103</v>
      </c>
    </row>
    <row r="62" spans="1:8" x14ac:dyDescent="0.2">
      <c r="A62" s="3">
        <v>402010065</v>
      </c>
      <c r="B62" s="4" t="s">
        <v>882</v>
      </c>
      <c r="C62" s="4" t="s">
        <v>1927</v>
      </c>
      <c r="D62" s="3">
        <v>1</v>
      </c>
      <c r="E62" s="3" t="s">
        <v>16</v>
      </c>
      <c r="F62" s="3" t="s">
        <v>291</v>
      </c>
      <c r="G62" s="3" t="s">
        <v>26</v>
      </c>
      <c r="H62" s="3" t="s">
        <v>109</v>
      </c>
    </row>
    <row r="63" spans="1:8" x14ac:dyDescent="0.2">
      <c r="A63" s="3">
        <v>402030029</v>
      </c>
      <c r="B63" s="4" t="s">
        <v>107</v>
      </c>
      <c r="C63" s="4" t="s">
        <v>108</v>
      </c>
      <c r="D63" s="3">
        <v>1</v>
      </c>
      <c r="E63" s="3" t="s">
        <v>16</v>
      </c>
      <c r="F63" s="3" t="s">
        <v>289</v>
      </c>
      <c r="G63" s="3" t="s">
        <v>23</v>
      </c>
      <c r="H63" s="3" t="s">
        <v>109</v>
      </c>
    </row>
    <row r="64" spans="1:8" x14ac:dyDescent="0.2">
      <c r="A64" s="3">
        <v>402020006</v>
      </c>
      <c r="B64" s="4" t="s">
        <v>111</v>
      </c>
      <c r="C64" s="4" t="s">
        <v>112</v>
      </c>
      <c r="D64" s="3">
        <v>2</v>
      </c>
      <c r="E64" s="3" t="s">
        <v>16</v>
      </c>
      <c r="F64" s="3" t="s">
        <v>293</v>
      </c>
      <c r="G64" s="3" t="s">
        <v>29</v>
      </c>
      <c r="H64" s="3" t="s">
        <v>109</v>
      </c>
    </row>
    <row r="65" spans="1:8" x14ac:dyDescent="0.2">
      <c r="A65" s="3">
        <v>3060209002</v>
      </c>
      <c r="B65" s="4" t="s">
        <v>113</v>
      </c>
      <c r="C65" s="4" t="s">
        <v>114</v>
      </c>
      <c r="D65" s="3">
        <v>2</v>
      </c>
      <c r="E65" s="3" t="s">
        <v>16</v>
      </c>
      <c r="F65" s="3" t="s">
        <v>289</v>
      </c>
      <c r="G65" s="3" t="s">
        <v>23</v>
      </c>
      <c r="H65" s="3" t="s">
        <v>115</v>
      </c>
    </row>
    <row r="66" spans="1:8" x14ac:dyDescent="0.2">
      <c r="A66" s="3">
        <v>3030204032</v>
      </c>
      <c r="B66" s="4" t="s">
        <v>116</v>
      </c>
      <c r="C66" s="4" t="s">
        <v>117</v>
      </c>
      <c r="D66" s="3">
        <v>1</v>
      </c>
      <c r="E66" s="3" t="s">
        <v>16</v>
      </c>
      <c r="F66" s="3" t="s">
        <v>295</v>
      </c>
      <c r="G66" s="3" t="s">
        <v>17</v>
      </c>
      <c r="H66" s="3" t="s">
        <v>115</v>
      </c>
    </row>
    <row r="67" spans="1:8" x14ac:dyDescent="0.2">
      <c r="A67" s="3">
        <v>3040113002</v>
      </c>
      <c r="B67" s="4" t="s">
        <v>118</v>
      </c>
      <c r="C67" s="4" t="s">
        <v>119</v>
      </c>
      <c r="D67" s="3">
        <v>2</v>
      </c>
      <c r="E67" s="3" t="s">
        <v>16</v>
      </c>
      <c r="F67" s="3" t="s">
        <v>293</v>
      </c>
      <c r="G67" s="3" t="s">
        <v>29</v>
      </c>
      <c r="H67" s="3" t="s">
        <v>115</v>
      </c>
    </row>
    <row r="68" spans="1:8" x14ac:dyDescent="0.2">
      <c r="A68" s="3">
        <v>3040216001</v>
      </c>
      <c r="B68" s="4" t="s">
        <v>328</v>
      </c>
      <c r="C68" s="4" t="s">
        <v>329</v>
      </c>
      <c r="D68" s="3">
        <v>4</v>
      </c>
      <c r="E68" s="3" t="s">
        <v>16</v>
      </c>
      <c r="F68" s="3" t="s">
        <v>293</v>
      </c>
      <c r="G68" s="3" t="s">
        <v>29</v>
      </c>
      <c r="H68" s="3" t="s">
        <v>115</v>
      </c>
    </row>
    <row r="69" spans="1:8" x14ac:dyDescent="0.2">
      <c r="A69" s="3">
        <v>3030204006</v>
      </c>
      <c r="B69" s="4" t="s">
        <v>120</v>
      </c>
      <c r="C69" s="4" t="s">
        <v>121</v>
      </c>
      <c r="D69" s="3">
        <v>2</v>
      </c>
      <c r="E69" s="3" t="s">
        <v>16</v>
      </c>
      <c r="F69" s="3" t="s">
        <v>295</v>
      </c>
      <c r="G69" s="3" t="s">
        <v>17</v>
      </c>
      <c r="H69" s="3" t="s">
        <v>115</v>
      </c>
    </row>
    <row r="70" spans="1:8" x14ac:dyDescent="0.2">
      <c r="A70" s="3">
        <v>3030204008</v>
      </c>
      <c r="B70" s="4" t="s">
        <v>122</v>
      </c>
      <c r="C70" s="4" t="s">
        <v>123</v>
      </c>
      <c r="D70" s="3">
        <v>1</v>
      </c>
      <c r="E70" s="3" t="s">
        <v>16</v>
      </c>
      <c r="F70" s="3" t="s">
        <v>291</v>
      </c>
      <c r="G70" s="3" t="s">
        <v>26</v>
      </c>
      <c r="H70" s="3" t="s">
        <v>115</v>
      </c>
    </row>
    <row r="71" spans="1:8" x14ac:dyDescent="0.2">
      <c r="A71" s="3">
        <v>3030204010</v>
      </c>
      <c r="B71" s="4" t="s">
        <v>124</v>
      </c>
      <c r="C71" s="4" t="s">
        <v>125</v>
      </c>
      <c r="D71" s="3">
        <v>1</v>
      </c>
      <c r="E71" s="3" t="s">
        <v>16</v>
      </c>
      <c r="F71" s="3" t="s">
        <v>295</v>
      </c>
      <c r="G71" s="3" t="s">
        <v>17</v>
      </c>
      <c r="H71" s="3" t="s">
        <v>115</v>
      </c>
    </row>
    <row r="72" spans="1:8" x14ac:dyDescent="0.2">
      <c r="A72" s="3">
        <v>3030204012</v>
      </c>
      <c r="B72" s="4" t="s">
        <v>126</v>
      </c>
      <c r="C72" s="4" t="s">
        <v>127</v>
      </c>
      <c r="D72" s="3">
        <v>1</v>
      </c>
      <c r="E72" s="3" t="s">
        <v>16</v>
      </c>
      <c r="F72" s="3" t="s">
        <v>295</v>
      </c>
      <c r="G72" s="3" t="s">
        <v>17</v>
      </c>
      <c r="H72" s="3" t="s">
        <v>115</v>
      </c>
    </row>
    <row r="73" spans="1:8" x14ac:dyDescent="0.2">
      <c r="A73" s="3">
        <v>3030404003</v>
      </c>
      <c r="B73" s="4" t="s">
        <v>130</v>
      </c>
      <c r="C73" s="4" t="s">
        <v>131</v>
      </c>
      <c r="D73" s="3">
        <v>2</v>
      </c>
      <c r="E73" s="3" t="s">
        <v>16</v>
      </c>
      <c r="F73" s="3" t="s">
        <v>291</v>
      </c>
      <c r="G73" s="3" t="s">
        <v>26</v>
      </c>
      <c r="H73" s="3" t="s">
        <v>132</v>
      </c>
    </row>
    <row r="74" spans="1:8" x14ac:dyDescent="0.2">
      <c r="A74" s="3">
        <v>404040025</v>
      </c>
      <c r="B74" s="4" t="s">
        <v>30</v>
      </c>
      <c r="C74" s="4" t="s">
        <v>133</v>
      </c>
      <c r="D74" s="3">
        <v>2</v>
      </c>
      <c r="E74" s="3" t="s">
        <v>16</v>
      </c>
      <c r="F74" s="3" t="s">
        <v>291</v>
      </c>
      <c r="G74" s="3" t="s">
        <v>26</v>
      </c>
      <c r="H74" s="3" t="s">
        <v>134</v>
      </c>
    </row>
    <row r="75" spans="1:8" x14ac:dyDescent="0.2">
      <c r="A75" s="3">
        <v>3990207001</v>
      </c>
      <c r="B75" s="4" t="s">
        <v>140</v>
      </c>
      <c r="C75" s="4" t="s">
        <v>141</v>
      </c>
      <c r="D75" s="3">
        <v>1</v>
      </c>
      <c r="E75" s="3" t="s">
        <v>16</v>
      </c>
      <c r="F75" s="3" t="s">
        <v>285</v>
      </c>
      <c r="G75" s="3" t="s">
        <v>142</v>
      </c>
      <c r="H75" s="3" t="s">
        <v>143</v>
      </c>
    </row>
    <row r="76" spans="1:8" x14ac:dyDescent="0.2">
      <c r="A76" s="3">
        <v>3030301005</v>
      </c>
      <c r="B76" s="4" t="s">
        <v>144</v>
      </c>
      <c r="C76" s="4" t="s">
        <v>145</v>
      </c>
      <c r="D76" s="3">
        <v>2</v>
      </c>
      <c r="E76" s="3" t="s">
        <v>16</v>
      </c>
      <c r="F76" s="3" t="s">
        <v>291</v>
      </c>
      <c r="G76" s="3" t="s">
        <v>26</v>
      </c>
      <c r="H76" s="3" t="s">
        <v>143</v>
      </c>
    </row>
    <row r="77" spans="1:8" x14ac:dyDescent="0.2">
      <c r="A77" s="3">
        <v>407010093</v>
      </c>
      <c r="B77" s="4" t="s">
        <v>149</v>
      </c>
      <c r="C77" s="4" t="s">
        <v>604</v>
      </c>
      <c r="D77" s="3">
        <v>1</v>
      </c>
      <c r="E77" s="3" t="s">
        <v>16</v>
      </c>
      <c r="F77" s="3" t="s">
        <v>289</v>
      </c>
      <c r="G77" s="3" t="s">
        <v>23</v>
      </c>
      <c r="H77" s="3" t="s">
        <v>151</v>
      </c>
    </row>
    <row r="78" spans="1:8" x14ac:dyDescent="0.2">
      <c r="A78" s="3">
        <v>3070103002</v>
      </c>
      <c r="B78" s="4" t="s">
        <v>152</v>
      </c>
      <c r="C78" s="4" t="s">
        <v>153</v>
      </c>
      <c r="D78" s="3">
        <v>1</v>
      </c>
      <c r="E78" s="3" t="s">
        <v>16</v>
      </c>
      <c r="F78" s="3" t="s">
        <v>289</v>
      </c>
      <c r="G78" s="3" t="s">
        <v>23</v>
      </c>
      <c r="H78" s="3" t="s">
        <v>154</v>
      </c>
    </row>
    <row r="79" spans="1:8" x14ac:dyDescent="0.2">
      <c r="A79" s="3">
        <v>3030203004</v>
      </c>
      <c r="B79" s="4" t="s">
        <v>155</v>
      </c>
      <c r="C79" s="4" t="s">
        <v>156</v>
      </c>
      <c r="D79" s="3">
        <v>1</v>
      </c>
      <c r="E79" s="3" t="s">
        <v>16</v>
      </c>
      <c r="F79" s="3" t="s">
        <v>295</v>
      </c>
      <c r="G79" s="3" t="s">
        <v>17</v>
      </c>
      <c r="H79" s="3" t="s">
        <v>154</v>
      </c>
    </row>
    <row r="80" spans="1:8" x14ac:dyDescent="0.2">
      <c r="A80" s="3">
        <v>3040211002</v>
      </c>
      <c r="B80" s="4" t="s">
        <v>157</v>
      </c>
      <c r="C80" s="4" t="s">
        <v>158</v>
      </c>
      <c r="D80" s="3">
        <v>2</v>
      </c>
      <c r="E80" s="3" t="s">
        <v>16</v>
      </c>
      <c r="F80" s="3" t="s">
        <v>293</v>
      </c>
      <c r="G80" s="3" t="s">
        <v>29</v>
      </c>
      <c r="H80" s="3" t="s">
        <v>154</v>
      </c>
    </row>
    <row r="81" spans="1:8" x14ac:dyDescent="0.2">
      <c r="A81" s="3">
        <v>3040217003</v>
      </c>
      <c r="B81" s="4" t="s">
        <v>159</v>
      </c>
      <c r="C81" s="4" t="s">
        <v>160</v>
      </c>
      <c r="D81" s="3">
        <v>2</v>
      </c>
      <c r="E81" s="3" t="s">
        <v>16</v>
      </c>
      <c r="F81" s="3" t="s">
        <v>293</v>
      </c>
      <c r="G81" s="3" t="s">
        <v>29</v>
      </c>
      <c r="H81" s="3" t="s">
        <v>154</v>
      </c>
    </row>
    <row r="82" spans="1:8" x14ac:dyDescent="0.2">
      <c r="A82" s="3">
        <v>3030310010</v>
      </c>
      <c r="B82" s="4" t="s">
        <v>161</v>
      </c>
      <c r="C82" s="4" t="s">
        <v>162</v>
      </c>
      <c r="D82" s="3">
        <v>1</v>
      </c>
      <c r="E82" s="3" t="s">
        <v>16</v>
      </c>
      <c r="F82" s="3" t="s">
        <v>295</v>
      </c>
      <c r="G82" s="3" t="s">
        <v>17</v>
      </c>
      <c r="H82" s="3" t="s">
        <v>154</v>
      </c>
    </row>
    <row r="83" spans="1:8" x14ac:dyDescent="0.2">
      <c r="A83" s="3">
        <v>3060306001</v>
      </c>
      <c r="B83" s="4" t="s">
        <v>163</v>
      </c>
      <c r="C83" s="4" t="s">
        <v>164</v>
      </c>
      <c r="D83" s="3">
        <v>1</v>
      </c>
      <c r="E83" s="3" t="s">
        <v>16</v>
      </c>
      <c r="F83" s="3" t="s">
        <v>289</v>
      </c>
      <c r="G83" s="3" t="s">
        <v>23</v>
      </c>
      <c r="H83" s="3" t="s">
        <v>165</v>
      </c>
    </row>
    <row r="84" spans="1:8" x14ac:dyDescent="0.2">
      <c r="A84" s="3">
        <v>3110103002</v>
      </c>
      <c r="B84" s="4" t="s">
        <v>473</v>
      </c>
      <c r="C84" s="4" t="s">
        <v>474</v>
      </c>
      <c r="D84" s="3">
        <v>1</v>
      </c>
      <c r="E84" s="3" t="s">
        <v>16</v>
      </c>
      <c r="F84" s="3" t="s">
        <v>291</v>
      </c>
      <c r="G84" s="3" t="s">
        <v>26</v>
      </c>
      <c r="H84" s="3" t="s">
        <v>165</v>
      </c>
    </row>
    <row r="85" spans="1:8" x14ac:dyDescent="0.2">
      <c r="A85" s="3">
        <v>3030303067</v>
      </c>
      <c r="B85" s="4" t="s">
        <v>166</v>
      </c>
      <c r="C85" s="4" t="s">
        <v>167</v>
      </c>
      <c r="D85" s="3">
        <v>1</v>
      </c>
      <c r="E85" s="3" t="s">
        <v>16</v>
      </c>
      <c r="F85" s="3" t="s">
        <v>295</v>
      </c>
      <c r="G85" s="3" t="s">
        <v>17</v>
      </c>
      <c r="H85" s="3" t="s">
        <v>165</v>
      </c>
    </row>
    <row r="86" spans="1:8" x14ac:dyDescent="0.2">
      <c r="A86" s="3">
        <v>3010106010</v>
      </c>
      <c r="B86" s="4" t="s">
        <v>481</v>
      </c>
      <c r="C86" s="4" t="s">
        <v>482</v>
      </c>
      <c r="D86" s="3">
        <v>0.38</v>
      </c>
      <c r="E86" s="3" t="s">
        <v>10</v>
      </c>
      <c r="F86" s="3" t="s">
        <v>284</v>
      </c>
      <c r="G86" s="3" t="s">
        <v>11</v>
      </c>
      <c r="H86" s="3" t="s">
        <v>483</v>
      </c>
    </row>
    <row r="87" spans="1:8" x14ac:dyDescent="0.2">
      <c r="A87" s="3">
        <v>3060310001</v>
      </c>
      <c r="B87" s="4" t="s">
        <v>171</v>
      </c>
      <c r="C87" s="4" t="s">
        <v>172</v>
      </c>
      <c r="D87" s="3">
        <v>1</v>
      </c>
      <c r="E87" s="3" t="s">
        <v>16</v>
      </c>
      <c r="F87" s="3" t="s">
        <v>289</v>
      </c>
      <c r="G87" s="3" t="s">
        <v>23</v>
      </c>
      <c r="H87" s="3" t="s">
        <v>173</v>
      </c>
    </row>
    <row r="88" spans="1:8" x14ac:dyDescent="0.2">
      <c r="A88" s="3">
        <v>3060311001</v>
      </c>
      <c r="B88" s="4" t="s">
        <v>174</v>
      </c>
      <c r="C88" s="4" t="s">
        <v>172</v>
      </c>
      <c r="D88" s="3">
        <v>1</v>
      </c>
      <c r="E88" s="3" t="s">
        <v>16</v>
      </c>
      <c r="F88" s="3" t="s">
        <v>289</v>
      </c>
      <c r="G88" s="3" t="s">
        <v>23</v>
      </c>
      <c r="H88" s="3" t="s">
        <v>173</v>
      </c>
    </row>
    <row r="89" spans="1:8" x14ac:dyDescent="0.2">
      <c r="A89" s="3">
        <v>3030303003</v>
      </c>
      <c r="B89" s="4" t="s">
        <v>175</v>
      </c>
      <c r="C89" s="4" t="s">
        <v>176</v>
      </c>
      <c r="D89" s="3">
        <v>1</v>
      </c>
      <c r="E89" s="3" t="s">
        <v>16</v>
      </c>
      <c r="F89" s="3" t="s">
        <v>295</v>
      </c>
      <c r="G89" s="3" t="s">
        <v>17</v>
      </c>
      <c r="H89" s="3" t="s">
        <v>173</v>
      </c>
    </row>
    <row r="90" spans="1:8" x14ac:dyDescent="0.2">
      <c r="A90" s="3">
        <v>3030303005</v>
      </c>
      <c r="B90" s="4" t="s">
        <v>177</v>
      </c>
      <c r="C90" s="4" t="s">
        <v>176</v>
      </c>
      <c r="D90" s="3">
        <v>1</v>
      </c>
      <c r="E90" s="3" t="s">
        <v>16</v>
      </c>
      <c r="F90" s="3" t="s">
        <v>291</v>
      </c>
      <c r="G90" s="3" t="s">
        <v>26</v>
      </c>
      <c r="H90" s="3" t="s">
        <v>173</v>
      </c>
    </row>
    <row r="91" spans="1:8" x14ac:dyDescent="0.2">
      <c r="A91" s="3">
        <v>3040328006</v>
      </c>
      <c r="B91" s="4" t="s">
        <v>267</v>
      </c>
      <c r="C91" s="4" t="s">
        <v>605</v>
      </c>
      <c r="D91" s="3">
        <v>2</v>
      </c>
      <c r="E91" s="3" t="s">
        <v>16</v>
      </c>
      <c r="F91" s="3" t="s">
        <v>293</v>
      </c>
      <c r="G91" s="3" t="s">
        <v>29</v>
      </c>
      <c r="H91" s="3" t="s">
        <v>173</v>
      </c>
    </row>
    <row r="92" spans="1:8" x14ac:dyDescent="0.2">
      <c r="A92" s="3">
        <v>3040309001</v>
      </c>
      <c r="B92" s="4" t="s">
        <v>346</v>
      </c>
      <c r="C92" s="4" t="s">
        <v>347</v>
      </c>
      <c r="D92" s="3">
        <v>8</v>
      </c>
      <c r="E92" s="3" t="s">
        <v>16</v>
      </c>
      <c r="F92" s="3" t="s">
        <v>293</v>
      </c>
      <c r="G92" s="3" t="s">
        <v>29</v>
      </c>
      <c r="H92" s="3" t="s">
        <v>173</v>
      </c>
    </row>
    <row r="93" spans="1:8" x14ac:dyDescent="0.2">
      <c r="A93" s="3">
        <v>3030310007</v>
      </c>
      <c r="B93" s="4" t="s">
        <v>178</v>
      </c>
      <c r="C93" s="4" t="s">
        <v>179</v>
      </c>
      <c r="D93" s="3">
        <v>1</v>
      </c>
      <c r="E93" s="3" t="s">
        <v>16</v>
      </c>
      <c r="F93" s="3" t="s">
        <v>295</v>
      </c>
      <c r="G93" s="3" t="s">
        <v>17</v>
      </c>
      <c r="H93" s="3" t="s">
        <v>173</v>
      </c>
    </row>
    <row r="94" spans="1:8" x14ac:dyDescent="0.2">
      <c r="A94" s="3">
        <v>3030310009</v>
      </c>
      <c r="B94" s="4" t="s">
        <v>180</v>
      </c>
      <c r="C94" s="4" t="s">
        <v>179</v>
      </c>
      <c r="D94" s="3">
        <v>1</v>
      </c>
      <c r="E94" s="3" t="s">
        <v>16</v>
      </c>
      <c r="F94" s="3" t="s">
        <v>295</v>
      </c>
      <c r="G94" s="3" t="s">
        <v>17</v>
      </c>
      <c r="H94" s="3" t="s">
        <v>173</v>
      </c>
    </row>
    <row r="95" spans="1:8" x14ac:dyDescent="0.2">
      <c r="A95" s="3">
        <v>3020501014</v>
      </c>
      <c r="B95" s="4" t="s">
        <v>183</v>
      </c>
      <c r="C95" s="4" t="s">
        <v>350</v>
      </c>
      <c r="D95" s="3">
        <v>1</v>
      </c>
      <c r="E95" s="3" t="s">
        <v>16</v>
      </c>
      <c r="F95" s="3" t="s">
        <v>291</v>
      </c>
      <c r="G95" s="3" t="s">
        <v>26</v>
      </c>
      <c r="H95" s="3" t="s">
        <v>185</v>
      </c>
    </row>
    <row r="96" spans="1:8" x14ac:dyDescent="0.2">
      <c r="A96" s="3">
        <v>3990201009</v>
      </c>
      <c r="B96" s="4" t="s">
        <v>186</v>
      </c>
      <c r="C96" s="4" t="s">
        <v>606</v>
      </c>
      <c r="D96" s="3">
        <v>1</v>
      </c>
      <c r="E96" s="3" t="s">
        <v>16</v>
      </c>
      <c r="F96" s="3" t="s">
        <v>295</v>
      </c>
      <c r="G96" s="3" t="s">
        <v>17</v>
      </c>
      <c r="H96" s="3" t="s">
        <v>187</v>
      </c>
    </row>
    <row r="97" spans="1:8" x14ac:dyDescent="0.2">
      <c r="A97" s="3">
        <v>3990202008</v>
      </c>
      <c r="B97" s="4" t="s">
        <v>188</v>
      </c>
      <c r="C97" s="4" t="s">
        <v>606</v>
      </c>
      <c r="D97" s="3">
        <v>1</v>
      </c>
      <c r="E97" s="3" t="s">
        <v>16</v>
      </c>
      <c r="F97" s="3" t="s">
        <v>295</v>
      </c>
      <c r="G97" s="3" t="s">
        <v>17</v>
      </c>
      <c r="H97" s="3" t="s">
        <v>187</v>
      </c>
    </row>
    <row r="98" spans="1:8" x14ac:dyDescent="0.2">
      <c r="A98" s="3">
        <v>3990203004</v>
      </c>
      <c r="B98" s="4" t="s">
        <v>189</v>
      </c>
      <c r="C98" s="4" t="s">
        <v>606</v>
      </c>
      <c r="D98" s="3">
        <v>1</v>
      </c>
      <c r="E98" s="3" t="s">
        <v>16</v>
      </c>
      <c r="F98" s="3" t="s">
        <v>291</v>
      </c>
      <c r="G98" s="3" t="s">
        <v>26</v>
      </c>
      <c r="H98" s="3" t="s">
        <v>187</v>
      </c>
    </row>
    <row r="99" spans="1:8" x14ac:dyDescent="0.2">
      <c r="A99" s="3">
        <v>3030401002</v>
      </c>
      <c r="B99" s="4" t="s">
        <v>190</v>
      </c>
      <c r="C99" s="4" t="s">
        <v>191</v>
      </c>
      <c r="D99" s="3">
        <v>1</v>
      </c>
      <c r="E99" s="3" t="s">
        <v>16</v>
      </c>
      <c r="F99" s="3" t="s">
        <v>295</v>
      </c>
      <c r="G99" s="3" t="s">
        <v>17</v>
      </c>
      <c r="H99" s="3" t="s">
        <v>192</v>
      </c>
    </row>
    <row r="100" spans="1:8" x14ac:dyDescent="0.2">
      <c r="A100" s="3">
        <v>3040402001</v>
      </c>
      <c r="B100" s="4" t="s">
        <v>193</v>
      </c>
      <c r="C100" s="4" t="s">
        <v>194</v>
      </c>
      <c r="D100" s="3">
        <v>1</v>
      </c>
      <c r="E100" s="3" t="s">
        <v>16</v>
      </c>
      <c r="F100" s="3" t="s">
        <v>293</v>
      </c>
      <c r="G100" s="3" t="s">
        <v>29</v>
      </c>
      <c r="H100" s="3" t="s">
        <v>192</v>
      </c>
    </row>
    <row r="101" spans="1:8" x14ac:dyDescent="0.2">
      <c r="A101" s="3">
        <v>3040402002</v>
      </c>
      <c r="B101" s="4" t="s">
        <v>193</v>
      </c>
      <c r="C101" s="4" t="s">
        <v>195</v>
      </c>
      <c r="D101" s="3">
        <v>1</v>
      </c>
      <c r="E101" s="3" t="s">
        <v>16</v>
      </c>
      <c r="F101" s="3" t="s">
        <v>293</v>
      </c>
      <c r="G101" s="3" t="s">
        <v>29</v>
      </c>
      <c r="H101" s="3" t="s">
        <v>192</v>
      </c>
    </row>
    <row r="102" spans="1:8" x14ac:dyDescent="0.2">
      <c r="A102" s="3">
        <v>404060019</v>
      </c>
      <c r="B102" s="4" t="s">
        <v>30</v>
      </c>
      <c r="C102" s="4" t="s">
        <v>352</v>
      </c>
      <c r="D102" s="3">
        <v>1</v>
      </c>
      <c r="E102" s="3" t="s">
        <v>16</v>
      </c>
      <c r="F102" s="3" t="s">
        <v>291</v>
      </c>
      <c r="G102" s="3" t="s">
        <v>26</v>
      </c>
      <c r="H102" s="3" t="s">
        <v>198</v>
      </c>
    </row>
    <row r="103" spans="1:8" x14ac:dyDescent="0.2">
      <c r="A103" s="3">
        <v>404020035</v>
      </c>
      <c r="B103" s="4" t="s">
        <v>30</v>
      </c>
      <c r="C103" s="4" t="s">
        <v>199</v>
      </c>
      <c r="D103" s="3">
        <v>1</v>
      </c>
      <c r="E103" s="3" t="s">
        <v>16</v>
      </c>
      <c r="F103" s="3" t="s">
        <v>291</v>
      </c>
      <c r="G103" s="3" t="s">
        <v>26</v>
      </c>
      <c r="H103" s="3" t="s">
        <v>198</v>
      </c>
    </row>
    <row r="104" spans="1:8" x14ac:dyDescent="0.2">
      <c r="A104" s="3">
        <v>403030038</v>
      </c>
      <c r="B104" s="4" t="s">
        <v>801</v>
      </c>
      <c r="C104" s="4" t="s">
        <v>1928</v>
      </c>
      <c r="D104" s="3">
        <v>1</v>
      </c>
      <c r="E104" s="3" t="s">
        <v>16</v>
      </c>
      <c r="F104" s="3" t="s">
        <v>291</v>
      </c>
      <c r="G104" s="3" t="s">
        <v>26</v>
      </c>
      <c r="H104" s="3" t="s">
        <v>198</v>
      </c>
    </row>
    <row r="105" spans="1:8" x14ac:dyDescent="0.2">
      <c r="A105" s="3">
        <v>403030019</v>
      </c>
      <c r="B105" s="4" t="s">
        <v>801</v>
      </c>
      <c r="C105" s="4" t="s">
        <v>1151</v>
      </c>
      <c r="D105" s="3">
        <v>1</v>
      </c>
      <c r="E105" s="3" t="s">
        <v>16</v>
      </c>
      <c r="F105" s="3" t="s">
        <v>291</v>
      </c>
      <c r="G105" s="3" t="s">
        <v>26</v>
      </c>
      <c r="H105" s="3" t="s">
        <v>198</v>
      </c>
    </row>
    <row r="106" spans="1:8" x14ac:dyDescent="0.2">
      <c r="A106" s="3">
        <v>402020017</v>
      </c>
      <c r="B106" s="4" t="s">
        <v>801</v>
      </c>
      <c r="C106" s="4" t="s">
        <v>1929</v>
      </c>
      <c r="D106" s="3">
        <v>1</v>
      </c>
      <c r="E106" s="3" t="s">
        <v>16</v>
      </c>
      <c r="F106" s="3" t="s">
        <v>301</v>
      </c>
      <c r="G106" s="3" t="s">
        <v>32</v>
      </c>
      <c r="H106" s="3" t="s">
        <v>198</v>
      </c>
    </row>
    <row r="107" spans="1:8" x14ac:dyDescent="0.2">
      <c r="A107" s="3">
        <v>40901001</v>
      </c>
      <c r="B107" s="4" t="s">
        <v>801</v>
      </c>
      <c r="C107" s="4" t="s">
        <v>1916</v>
      </c>
      <c r="D107" s="3">
        <v>1</v>
      </c>
      <c r="E107" s="3" t="s">
        <v>16</v>
      </c>
      <c r="F107" s="3" t="s">
        <v>291</v>
      </c>
      <c r="G107" s="3" t="s">
        <v>26</v>
      </c>
      <c r="H107" s="3" t="s">
        <v>198</v>
      </c>
    </row>
    <row r="108" spans="1:8" x14ac:dyDescent="0.2">
      <c r="A108" s="3">
        <v>401070018</v>
      </c>
      <c r="B108" s="4" t="s">
        <v>35</v>
      </c>
      <c r="C108" s="4" t="s">
        <v>202</v>
      </c>
      <c r="D108" s="3">
        <v>1</v>
      </c>
      <c r="E108" s="3" t="s">
        <v>16</v>
      </c>
      <c r="F108" s="3" t="s">
        <v>291</v>
      </c>
      <c r="G108" s="3" t="s">
        <v>26</v>
      </c>
      <c r="H108" s="3" t="s">
        <v>198</v>
      </c>
    </row>
    <row r="109" spans="1:8" x14ac:dyDescent="0.2">
      <c r="A109" s="3">
        <v>401070022</v>
      </c>
      <c r="B109" s="4" t="s">
        <v>35</v>
      </c>
      <c r="C109" s="4" t="s">
        <v>203</v>
      </c>
      <c r="D109" s="3">
        <v>1</v>
      </c>
      <c r="E109" s="3" t="s">
        <v>16</v>
      </c>
      <c r="F109" s="3" t="s">
        <v>297</v>
      </c>
      <c r="G109" s="3" t="s">
        <v>204</v>
      </c>
      <c r="H109" s="3" t="s">
        <v>198</v>
      </c>
    </row>
    <row r="110" spans="1:8" x14ac:dyDescent="0.2">
      <c r="A110" s="3">
        <v>3992002001</v>
      </c>
      <c r="B110" s="4" t="s">
        <v>212</v>
      </c>
      <c r="C110" s="4" t="s">
        <v>213</v>
      </c>
      <c r="D110" s="3">
        <v>2</v>
      </c>
      <c r="E110" s="3" t="s">
        <v>16</v>
      </c>
      <c r="F110" s="3" t="s">
        <v>295</v>
      </c>
      <c r="G110" s="3" t="s">
        <v>17</v>
      </c>
      <c r="H110" s="3" t="s">
        <v>214</v>
      </c>
    </row>
    <row r="111" spans="1:8" x14ac:dyDescent="0.2">
      <c r="A111" s="3">
        <v>3992001001</v>
      </c>
      <c r="B111" s="4" t="s">
        <v>215</v>
      </c>
      <c r="C111" s="4" t="s">
        <v>213</v>
      </c>
      <c r="D111" s="3">
        <v>2</v>
      </c>
      <c r="E111" s="3" t="s">
        <v>16</v>
      </c>
      <c r="F111" s="3" t="s">
        <v>295</v>
      </c>
      <c r="G111" s="3" t="s">
        <v>17</v>
      </c>
      <c r="H111" s="3" t="s">
        <v>214</v>
      </c>
    </row>
    <row r="112" spans="1:8" x14ac:dyDescent="0.2">
      <c r="A112" s="3">
        <v>3030201004</v>
      </c>
      <c r="B112" s="4" t="s">
        <v>216</v>
      </c>
      <c r="C112" s="4" t="s">
        <v>213</v>
      </c>
      <c r="D112" s="3">
        <v>2</v>
      </c>
      <c r="E112" s="3" t="s">
        <v>16</v>
      </c>
      <c r="F112" s="3" t="s">
        <v>295</v>
      </c>
      <c r="G112" s="3" t="s">
        <v>17</v>
      </c>
      <c r="H112" s="3" t="s">
        <v>214</v>
      </c>
    </row>
    <row r="113" spans="1:8" x14ac:dyDescent="0.2">
      <c r="A113" s="3">
        <v>3049904001</v>
      </c>
      <c r="B113" s="4" t="s">
        <v>354</v>
      </c>
      <c r="C113" s="4" t="s">
        <v>355</v>
      </c>
      <c r="D113" s="3">
        <v>4</v>
      </c>
      <c r="E113" s="3" t="s">
        <v>16</v>
      </c>
      <c r="F113" s="3" t="s">
        <v>293</v>
      </c>
      <c r="G113" s="3" t="s">
        <v>29</v>
      </c>
      <c r="H113" s="3" t="s">
        <v>214</v>
      </c>
    </row>
    <row r="114" spans="1:8" x14ac:dyDescent="0.2">
      <c r="A114" s="3">
        <v>3049902005</v>
      </c>
      <c r="B114" s="4" t="s">
        <v>356</v>
      </c>
      <c r="C114" s="4" t="s">
        <v>357</v>
      </c>
      <c r="D114" s="3">
        <v>2</v>
      </c>
      <c r="E114" s="3" t="s">
        <v>16</v>
      </c>
      <c r="F114" s="3" t="s">
        <v>293</v>
      </c>
      <c r="G114" s="3" t="s">
        <v>29</v>
      </c>
      <c r="H114" s="3" t="s">
        <v>214</v>
      </c>
    </row>
    <row r="115" spans="1:8" x14ac:dyDescent="0.2">
      <c r="A115" s="3">
        <v>3030201005</v>
      </c>
      <c r="B115" s="4" t="s">
        <v>217</v>
      </c>
      <c r="C115" s="4" t="s">
        <v>218</v>
      </c>
      <c r="D115" s="3">
        <v>12</v>
      </c>
      <c r="E115" s="3" t="s">
        <v>16</v>
      </c>
      <c r="F115" s="3" t="s">
        <v>295</v>
      </c>
      <c r="G115" s="3" t="s">
        <v>17</v>
      </c>
      <c r="H115" s="3" t="s">
        <v>214</v>
      </c>
    </row>
    <row r="116" spans="1:8" x14ac:dyDescent="0.2">
      <c r="A116" s="3">
        <v>3030403001</v>
      </c>
      <c r="B116" s="4" t="s">
        <v>219</v>
      </c>
      <c r="C116" s="4" t="s">
        <v>220</v>
      </c>
      <c r="D116" s="3">
        <v>1</v>
      </c>
      <c r="E116" s="3" t="s">
        <v>16</v>
      </c>
      <c r="F116" s="3" t="s">
        <v>295</v>
      </c>
      <c r="G116" s="3" t="s">
        <v>17</v>
      </c>
      <c r="H116" s="3" t="s">
        <v>221</v>
      </c>
    </row>
    <row r="117" spans="1:8" x14ac:dyDescent="0.2">
      <c r="A117" s="3">
        <v>3020301001</v>
      </c>
      <c r="B117" s="4" t="s">
        <v>209</v>
      </c>
      <c r="C117" s="4" t="s">
        <v>365</v>
      </c>
      <c r="D117" s="3">
        <v>1</v>
      </c>
      <c r="E117" s="3" t="s">
        <v>16</v>
      </c>
      <c r="F117" s="3" t="s">
        <v>291</v>
      </c>
      <c r="G117" s="3" t="s">
        <v>26</v>
      </c>
      <c r="H117" s="3" t="s">
        <v>221</v>
      </c>
    </row>
    <row r="118" spans="1:8" x14ac:dyDescent="0.2">
      <c r="A118" s="3">
        <v>403030051</v>
      </c>
      <c r="B118" s="4" t="s">
        <v>366</v>
      </c>
      <c r="C118" s="4" t="s">
        <v>367</v>
      </c>
      <c r="D118" s="3">
        <v>3</v>
      </c>
      <c r="E118" s="3" t="s">
        <v>16</v>
      </c>
      <c r="F118" s="3" t="s">
        <v>301</v>
      </c>
      <c r="G118" s="3" t="s">
        <v>32</v>
      </c>
      <c r="H118" s="3" t="s">
        <v>221</v>
      </c>
    </row>
    <row r="119" spans="1:8" x14ac:dyDescent="0.2">
      <c r="A119" s="3">
        <v>403030005</v>
      </c>
      <c r="B119" s="4" t="s">
        <v>366</v>
      </c>
      <c r="C119" s="4" t="s">
        <v>368</v>
      </c>
      <c r="D119" s="3">
        <v>2</v>
      </c>
      <c r="E119" s="3" t="s">
        <v>16</v>
      </c>
      <c r="F119" s="3" t="s">
        <v>301</v>
      </c>
      <c r="G119" s="3" t="s">
        <v>32</v>
      </c>
      <c r="H119" s="3" t="s">
        <v>221</v>
      </c>
    </row>
    <row r="120" spans="1:8" x14ac:dyDescent="0.2">
      <c r="A120" s="3">
        <v>3050401001</v>
      </c>
      <c r="B120" s="4" t="s">
        <v>222</v>
      </c>
      <c r="C120" s="4" t="s">
        <v>223</v>
      </c>
      <c r="D120" s="3">
        <v>1</v>
      </c>
      <c r="E120" s="3" t="s">
        <v>16</v>
      </c>
      <c r="F120" s="3" t="s">
        <v>291</v>
      </c>
      <c r="G120" s="3" t="s">
        <v>26</v>
      </c>
      <c r="H120" s="3" t="s">
        <v>221</v>
      </c>
    </row>
    <row r="121" spans="1:8" x14ac:dyDescent="0.2">
      <c r="A121" s="3">
        <v>402050001</v>
      </c>
      <c r="B121" s="4" t="s">
        <v>522</v>
      </c>
      <c r="C121" s="4" t="s">
        <v>523</v>
      </c>
      <c r="D121" s="3">
        <v>1</v>
      </c>
      <c r="E121" s="3" t="s">
        <v>16</v>
      </c>
      <c r="F121" s="3" t="s">
        <v>289</v>
      </c>
      <c r="G121" s="3" t="s">
        <v>23</v>
      </c>
      <c r="H121" s="3" t="s">
        <v>524</v>
      </c>
    </row>
    <row r="122" spans="1:8" x14ac:dyDescent="0.2">
      <c r="A122" s="3">
        <v>3040502058</v>
      </c>
      <c r="B122" s="4" t="s">
        <v>136</v>
      </c>
      <c r="C122" s="4" t="s">
        <v>607</v>
      </c>
      <c r="D122" s="3">
        <v>1</v>
      </c>
      <c r="E122" s="3" t="s">
        <v>16</v>
      </c>
      <c r="F122" s="3" t="s">
        <v>293</v>
      </c>
      <c r="G122" s="3" t="s">
        <v>29</v>
      </c>
      <c r="H122" s="3" t="s">
        <v>370</v>
      </c>
    </row>
    <row r="123" spans="1:8" x14ac:dyDescent="0.2">
      <c r="A123" s="3">
        <v>3040502059</v>
      </c>
      <c r="B123" s="4" t="s">
        <v>136</v>
      </c>
      <c r="C123" s="4" t="s">
        <v>608</v>
      </c>
      <c r="D123" s="3">
        <v>1</v>
      </c>
      <c r="E123" s="3" t="s">
        <v>16</v>
      </c>
      <c r="F123" s="3" t="s">
        <v>293</v>
      </c>
      <c r="G123" s="3" t="s">
        <v>29</v>
      </c>
      <c r="H123" s="3" t="s">
        <v>370</v>
      </c>
    </row>
    <row r="124" spans="1:8" x14ac:dyDescent="0.2">
      <c r="A124" s="3">
        <v>3060501005</v>
      </c>
      <c r="B124" s="4" t="s">
        <v>224</v>
      </c>
      <c r="C124" s="4" t="s">
        <v>225</v>
      </c>
      <c r="D124" s="3">
        <v>1</v>
      </c>
      <c r="E124" s="3" t="s">
        <v>16</v>
      </c>
      <c r="F124" s="3" t="s">
        <v>289</v>
      </c>
      <c r="G124" s="3" t="s">
        <v>23</v>
      </c>
      <c r="H124" s="3" t="s">
        <v>226</v>
      </c>
    </row>
    <row r="125" spans="1:8" x14ac:dyDescent="0.2">
      <c r="A125" s="3">
        <v>3060333002</v>
      </c>
      <c r="B125" s="4" t="s">
        <v>227</v>
      </c>
      <c r="C125" s="4" t="s">
        <v>228</v>
      </c>
      <c r="D125" s="3">
        <v>1</v>
      </c>
      <c r="E125" s="3" t="s">
        <v>16</v>
      </c>
      <c r="F125" s="3" t="s">
        <v>289</v>
      </c>
      <c r="G125" s="3" t="s">
        <v>23</v>
      </c>
      <c r="H125" s="3" t="s">
        <v>226</v>
      </c>
    </row>
    <row r="126" spans="1:8" x14ac:dyDescent="0.2">
      <c r="A126" s="3">
        <v>3060308002</v>
      </c>
      <c r="B126" s="4" t="s">
        <v>229</v>
      </c>
      <c r="C126" s="4" t="s">
        <v>230</v>
      </c>
      <c r="D126" s="3">
        <v>1</v>
      </c>
      <c r="E126" s="3" t="s">
        <v>16</v>
      </c>
      <c r="F126" s="3" t="s">
        <v>289</v>
      </c>
      <c r="G126" s="3" t="s">
        <v>23</v>
      </c>
      <c r="H126" s="3" t="s">
        <v>226</v>
      </c>
    </row>
    <row r="127" spans="1:8" x14ac:dyDescent="0.2">
      <c r="A127" s="3">
        <v>3060303001</v>
      </c>
      <c r="B127" s="4" t="s">
        <v>231</v>
      </c>
      <c r="C127" s="4" t="s">
        <v>232</v>
      </c>
      <c r="D127" s="3">
        <v>1</v>
      </c>
      <c r="E127" s="3" t="s">
        <v>16</v>
      </c>
      <c r="F127" s="3" t="s">
        <v>289</v>
      </c>
      <c r="G127" s="3" t="s">
        <v>23</v>
      </c>
      <c r="H127" s="3" t="s">
        <v>226</v>
      </c>
    </row>
    <row r="128" spans="1:8" x14ac:dyDescent="0.2">
      <c r="A128" s="3">
        <v>3060335004</v>
      </c>
      <c r="B128" s="4" t="s">
        <v>233</v>
      </c>
      <c r="C128" s="4" t="s">
        <v>234</v>
      </c>
      <c r="D128" s="3">
        <v>1</v>
      </c>
      <c r="E128" s="3" t="s">
        <v>16</v>
      </c>
      <c r="F128" s="3" t="s">
        <v>289</v>
      </c>
      <c r="G128" s="3" t="s">
        <v>23</v>
      </c>
      <c r="H128" s="3" t="s">
        <v>226</v>
      </c>
    </row>
    <row r="129" spans="1:8" x14ac:dyDescent="0.2">
      <c r="A129" s="3">
        <v>3050305016</v>
      </c>
      <c r="B129" s="4" t="s">
        <v>527</v>
      </c>
      <c r="C129" s="4" t="s">
        <v>528</v>
      </c>
      <c r="D129" s="3">
        <v>1</v>
      </c>
      <c r="E129" s="3" t="s">
        <v>16</v>
      </c>
      <c r="F129" s="3" t="s">
        <v>291</v>
      </c>
      <c r="G129" s="3" t="s">
        <v>26</v>
      </c>
      <c r="H129" s="3" t="s">
        <v>226</v>
      </c>
    </row>
    <row r="130" spans="1:8" x14ac:dyDescent="0.2">
      <c r="A130" s="3">
        <v>3050305015</v>
      </c>
      <c r="B130" s="4" t="s">
        <v>529</v>
      </c>
      <c r="C130" s="4" t="s">
        <v>530</v>
      </c>
      <c r="D130" s="3">
        <v>1</v>
      </c>
      <c r="E130" s="3" t="s">
        <v>16</v>
      </c>
      <c r="F130" s="3" t="s">
        <v>291</v>
      </c>
      <c r="G130" s="3" t="s">
        <v>26</v>
      </c>
      <c r="H130" s="3" t="s">
        <v>226</v>
      </c>
    </row>
    <row r="131" spans="1:8" x14ac:dyDescent="0.2">
      <c r="A131" s="3">
        <v>3050306011</v>
      </c>
      <c r="B131" s="4" t="s">
        <v>531</v>
      </c>
      <c r="C131" s="4" t="s">
        <v>609</v>
      </c>
      <c r="D131" s="3">
        <v>1</v>
      </c>
      <c r="E131" s="3" t="s">
        <v>16</v>
      </c>
      <c r="F131" s="3" t="s">
        <v>291</v>
      </c>
      <c r="G131" s="3" t="s">
        <v>26</v>
      </c>
      <c r="H131" s="3" t="s">
        <v>226</v>
      </c>
    </row>
    <row r="132" spans="1:8" x14ac:dyDescent="0.2">
      <c r="A132" s="3">
        <v>3030306008</v>
      </c>
      <c r="B132" s="4" t="s">
        <v>235</v>
      </c>
      <c r="C132" s="4" t="s">
        <v>236</v>
      </c>
      <c r="D132" s="3">
        <v>1</v>
      </c>
      <c r="E132" s="3" t="s">
        <v>16</v>
      </c>
      <c r="F132" s="3" t="s">
        <v>295</v>
      </c>
      <c r="G132" s="3" t="s">
        <v>17</v>
      </c>
      <c r="H132" s="3" t="s">
        <v>226</v>
      </c>
    </row>
    <row r="133" spans="1:8" x14ac:dyDescent="0.2">
      <c r="A133" s="3">
        <v>3030314001</v>
      </c>
      <c r="B133" s="4" t="s">
        <v>237</v>
      </c>
      <c r="C133" s="4" t="s">
        <v>238</v>
      </c>
      <c r="D133" s="3">
        <v>1</v>
      </c>
      <c r="E133" s="3" t="s">
        <v>16</v>
      </c>
      <c r="F133" s="3" t="s">
        <v>291</v>
      </c>
      <c r="G133" s="3" t="s">
        <v>26</v>
      </c>
      <c r="H133" s="3" t="s">
        <v>226</v>
      </c>
    </row>
    <row r="134" spans="1:8" x14ac:dyDescent="0.2">
      <c r="A134" s="3">
        <v>3020101005</v>
      </c>
      <c r="B134" s="4" t="s">
        <v>239</v>
      </c>
      <c r="C134" s="4" t="s">
        <v>610</v>
      </c>
      <c r="D134" s="3">
        <v>5</v>
      </c>
      <c r="E134" s="3" t="s">
        <v>16</v>
      </c>
      <c r="F134" s="3" t="s">
        <v>297</v>
      </c>
      <c r="G134" s="3" t="s">
        <v>204</v>
      </c>
      <c r="H134" s="3" t="s">
        <v>226</v>
      </c>
    </row>
    <row r="135" spans="1:8" x14ac:dyDescent="0.2">
      <c r="A135" s="3">
        <v>3030303011</v>
      </c>
      <c r="B135" s="4" t="s">
        <v>611</v>
      </c>
      <c r="C135" s="4" t="s">
        <v>612</v>
      </c>
      <c r="D135" s="3">
        <v>2</v>
      </c>
      <c r="E135" s="3" t="s">
        <v>16</v>
      </c>
      <c r="F135" s="3" t="s">
        <v>291</v>
      </c>
      <c r="G135" s="3" t="s">
        <v>26</v>
      </c>
      <c r="H135" s="3" t="s">
        <v>226</v>
      </c>
    </row>
    <row r="136" spans="1:8" x14ac:dyDescent="0.2">
      <c r="A136" s="3">
        <v>3050302012</v>
      </c>
      <c r="B136" s="4" t="s">
        <v>1921</v>
      </c>
      <c r="C136" s="4" t="s">
        <v>1922</v>
      </c>
      <c r="D136" s="3">
        <v>1</v>
      </c>
      <c r="E136" s="3" t="s">
        <v>16</v>
      </c>
      <c r="F136" s="3" t="s">
        <v>291</v>
      </c>
      <c r="G136" s="3" t="s">
        <v>26</v>
      </c>
      <c r="H136" s="3" t="s">
        <v>226</v>
      </c>
    </row>
    <row r="137" spans="1:8" x14ac:dyDescent="0.2">
      <c r="A137" s="3">
        <v>3080401031</v>
      </c>
      <c r="B137" s="4" t="s">
        <v>41</v>
      </c>
      <c r="C137" s="4" t="s">
        <v>551</v>
      </c>
      <c r="D137" s="3">
        <v>1</v>
      </c>
      <c r="E137" s="3" t="s">
        <v>16</v>
      </c>
      <c r="F137" s="3" t="s">
        <v>291</v>
      </c>
      <c r="G137" s="3" t="s">
        <v>26</v>
      </c>
      <c r="H137" s="3" t="s">
        <v>249</v>
      </c>
    </row>
    <row r="138" spans="1:8" x14ac:dyDescent="0.2">
      <c r="A138" s="3">
        <v>3080301002</v>
      </c>
      <c r="B138" s="4" t="s">
        <v>247</v>
      </c>
      <c r="C138" s="4" t="s">
        <v>248</v>
      </c>
      <c r="D138" s="3">
        <v>1</v>
      </c>
      <c r="E138" s="3" t="s">
        <v>16</v>
      </c>
      <c r="F138" s="3" t="s">
        <v>295</v>
      </c>
      <c r="G138" s="3" t="s">
        <v>17</v>
      </c>
      <c r="H138" s="3" t="s">
        <v>249</v>
      </c>
    </row>
    <row r="139" spans="1:8" x14ac:dyDescent="0.2">
      <c r="A139" s="3">
        <v>3080107017</v>
      </c>
      <c r="B139" s="4" t="s">
        <v>69</v>
      </c>
      <c r="C139" s="4" t="s">
        <v>251</v>
      </c>
      <c r="D139" s="3">
        <v>4</v>
      </c>
      <c r="E139" s="3" t="s">
        <v>16</v>
      </c>
      <c r="F139" s="3" t="s">
        <v>289</v>
      </c>
      <c r="G139" s="3" t="s">
        <v>23</v>
      </c>
      <c r="H139" s="3" t="s">
        <v>249</v>
      </c>
    </row>
    <row r="140" spans="1:8" x14ac:dyDescent="0.2">
      <c r="A140" s="3">
        <v>3080107017</v>
      </c>
      <c r="B140" s="4" t="s">
        <v>69</v>
      </c>
      <c r="C140" s="4" t="s">
        <v>251</v>
      </c>
      <c r="D140" s="3">
        <v>2</v>
      </c>
      <c r="E140" s="3" t="s">
        <v>16</v>
      </c>
      <c r="F140" s="3" t="s">
        <v>289</v>
      </c>
      <c r="G140" s="3" t="s">
        <v>23</v>
      </c>
      <c r="H140" s="3" t="s">
        <v>249</v>
      </c>
    </row>
    <row r="141" spans="1:8" x14ac:dyDescent="0.2">
      <c r="A141" s="3">
        <v>3080107017</v>
      </c>
      <c r="B141" s="4" t="s">
        <v>69</v>
      </c>
      <c r="C141" s="4" t="s">
        <v>251</v>
      </c>
      <c r="D141" s="3">
        <v>4</v>
      </c>
      <c r="E141" s="3" t="s">
        <v>16</v>
      </c>
      <c r="F141" s="3" t="s">
        <v>295</v>
      </c>
      <c r="G141" s="3" t="s">
        <v>17</v>
      </c>
      <c r="H141" s="3" t="s">
        <v>249</v>
      </c>
    </row>
    <row r="142" spans="1:8" x14ac:dyDescent="0.2">
      <c r="A142" s="3">
        <v>3060309001</v>
      </c>
      <c r="B142" s="4" t="s">
        <v>252</v>
      </c>
      <c r="C142" s="4" t="s">
        <v>253</v>
      </c>
      <c r="D142" s="3">
        <v>1</v>
      </c>
      <c r="E142" s="3" t="s">
        <v>16</v>
      </c>
      <c r="F142" s="3" t="s">
        <v>289</v>
      </c>
      <c r="G142" s="3" t="s">
        <v>23</v>
      </c>
      <c r="H142" s="3" t="s">
        <v>254</v>
      </c>
    </row>
    <row r="143" spans="1:8" x14ac:dyDescent="0.2">
      <c r="A143" s="3">
        <v>3060341001</v>
      </c>
      <c r="B143" s="4" t="s">
        <v>255</v>
      </c>
      <c r="C143" s="4" t="s">
        <v>256</v>
      </c>
      <c r="D143" s="3">
        <v>1</v>
      </c>
      <c r="E143" s="3" t="s">
        <v>16</v>
      </c>
      <c r="F143" s="3" t="s">
        <v>289</v>
      </c>
      <c r="G143" s="3" t="s">
        <v>23</v>
      </c>
      <c r="H143" s="3" t="s">
        <v>254</v>
      </c>
    </row>
    <row r="144" spans="1:8" x14ac:dyDescent="0.2">
      <c r="A144" s="3">
        <v>3030315001</v>
      </c>
      <c r="B144" s="4" t="s">
        <v>257</v>
      </c>
      <c r="C144" s="4" t="s">
        <v>258</v>
      </c>
      <c r="D144" s="3">
        <v>2</v>
      </c>
      <c r="E144" s="3" t="s">
        <v>16</v>
      </c>
      <c r="F144" s="3" t="s">
        <v>295</v>
      </c>
      <c r="G144" s="3" t="s">
        <v>17</v>
      </c>
      <c r="H144" s="3" t="s">
        <v>254</v>
      </c>
    </row>
    <row r="145" spans="1:8" x14ac:dyDescent="0.2">
      <c r="A145" s="3">
        <v>3030304002</v>
      </c>
      <c r="B145" s="4" t="s">
        <v>259</v>
      </c>
      <c r="C145" s="4" t="s">
        <v>258</v>
      </c>
      <c r="D145" s="3">
        <v>1</v>
      </c>
      <c r="E145" s="3" t="s">
        <v>16</v>
      </c>
      <c r="F145" s="3" t="s">
        <v>295</v>
      </c>
      <c r="G145" s="3" t="s">
        <v>17</v>
      </c>
      <c r="H145" s="3" t="s">
        <v>254</v>
      </c>
    </row>
    <row r="146" spans="1:8" x14ac:dyDescent="0.2">
      <c r="A146" s="3">
        <v>3030304004</v>
      </c>
      <c r="B146" s="4" t="s">
        <v>260</v>
      </c>
      <c r="C146" s="4" t="s">
        <v>258</v>
      </c>
      <c r="D146" s="3">
        <v>1</v>
      </c>
      <c r="E146" s="3" t="s">
        <v>16</v>
      </c>
      <c r="F146" s="3" t="s">
        <v>295</v>
      </c>
      <c r="G146" s="3" t="s">
        <v>17</v>
      </c>
      <c r="H146" s="3" t="s">
        <v>254</v>
      </c>
    </row>
    <row r="147" spans="1:8" x14ac:dyDescent="0.2">
      <c r="A147" s="3">
        <v>3030316001</v>
      </c>
      <c r="B147" s="4" t="s">
        <v>261</v>
      </c>
      <c r="C147" s="4" t="s">
        <v>262</v>
      </c>
      <c r="D147" s="3">
        <v>3</v>
      </c>
      <c r="E147" s="3" t="s">
        <v>16</v>
      </c>
      <c r="F147" s="3" t="s">
        <v>295</v>
      </c>
      <c r="G147" s="3" t="s">
        <v>17</v>
      </c>
      <c r="H147" s="3" t="s">
        <v>254</v>
      </c>
    </row>
    <row r="148" spans="1:8" x14ac:dyDescent="0.2">
      <c r="A148" s="3">
        <v>3040312007</v>
      </c>
      <c r="B148" s="4" t="s">
        <v>263</v>
      </c>
      <c r="C148" s="4" t="s">
        <v>264</v>
      </c>
      <c r="D148" s="3">
        <v>2</v>
      </c>
      <c r="E148" s="3" t="s">
        <v>16</v>
      </c>
      <c r="F148" s="3" t="s">
        <v>293</v>
      </c>
      <c r="G148" s="3" t="s">
        <v>29</v>
      </c>
      <c r="H148" s="3" t="s">
        <v>254</v>
      </c>
    </row>
    <row r="149" spans="1:8" x14ac:dyDescent="0.2">
      <c r="A149" s="3">
        <v>3040303001</v>
      </c>
      <c r="B149" s="4" t="s">
        <v>265</v>
      </c>
      <c r="C149" s="4" t="s">
        <v>266</v>
      </c>
      <c r="D149" s="3">
        <v>2</v>
      </c>
      <c r="E149" s="3" t="s">
        <v>16</v>
      </c>
      <c r="F149" s="3" t="s">
        <v>293</v>
      </c>
      <c r="G149" s="3" t="s">
        <v>29</v>
      </c>
      <c r="H149" s="3" t="s">
        <v>254</v>
      </c>
    </row>
    <row r="150" spans="1:8" x14ac:dyDescent="0.2">
      <c r="A150" s="3">
        <v>3049902004</v>
      </c>
      <c r="B150" s="4" t="s">
        <v>383</v>
      </c>
      <c r="C150" s="4" t="s">
        <v>384</v>
      </c>
      <c r="D150" s="3">
        <v>2</v>
      </c>
      <c r="E150" s="3" t="s">
        <v>16</v>
      </c>
      <c r="F150" s="3" t="s">
        <v>293</v>
      </c>
      <c r="G150" s="3" t="s">
        <v>29</v>
      </c>
      <c r="H150" s="3" t="s">
        <v>254</v>
      </c>
    </row>
    <row r="151" spans="1:8" x14ac:dyDescent="0.2">
      <c r="A151" s="3">
        <v>3040326018</v>
      </c>
      <c r="B151" s="4" t="s">
        <v>385</v>
      </c>
      <c r="C151" s="4" t="s">
        <v>384</v>
      </c>
      <c r="D151" s="3">
        <v>2</v>
      </c>
      <c r="E151" s="3" t="s">
        <v>16</v>
      </c>
      <c r="F151" s="3" t="s">
        <v>293</v>
      </c>
      <c r="G151" s="3" t="s">
        <v>29</v>
      </c>
      <c r="H151" s="3" t="s">
        <v>254</v>
      </c>
    </row>
    <row r="152" spans="1:8" x14ac:dyDescent="0.2">
      <c r="A152" s="3">
        <v>3040320003</v>
      </c>
      <c r="B152" s="4" t="s">
        <v>269</v>
      </c>
      <c r="C152" s="4" t="s">
        <v>270</v>
      </c>
      <c r="D152" s="3">
        <v>2</v>
      </c>
      <c r="E152" s="3" t="s">
        <v>16</v>
      </c>
      <c r="F152" s="3" t="s">
        <v>293</v>
      </c>
      <c r="G152" s="3" t="s">
        <v>29</v>
      </c>
      <c r="H152" s="3" t="s">
        <v>254</v>
      </c>
    </row>
    <row r="153" spans="1:8" x14ac:dyDescent="0.2">
      <c r="A153" s="3">
        <v>3040314001</v>
      </c>
      <c r="B153" s="4" t="s">
        <v>271</v>
      </c>
      <c r="C153" s="4" t="s">
        <v>272</v>
      </c>
      <c r="D153" s="3">
        <v>2</v>
      </c>
      <c r="E153" s="3" t="s">
        <v>16</v>
      </c>
      <c r="F153" s="3" t="s">
        <v>293</v>
      </c>
      <c r="G153" s="3" t="s">
        <v>29</v>
      </c>
      <c r="H153" s="3" t="s">
        <v>254</v>
      </c>
    </row>
    <row r="154" spans="1:8" x14ac:dyDescent="0.2">
      <c r="A154" s="3">
        <v>3030310004</v>
      </c>
      <c r="B154" s="4" t="s">
        <v>273</v>
      </c>
      <c r="C154" s="4" t="s">
        <v>274</v>
      </c>
      <c r="D154" s="3">
        <v>1</v>
      </c>
      <c r="E154" s="3" t="s">
        <v>16</v>
      </c>
      <c r="F154" s="3" t="s">
        <v>295</v>
      </c>
      <c r="G154" s="3" t="s">
        <v>17</v>
      </c>
      <c r="H154" s="3" t="s">
        <v>254</v>
      </c>
    </row>
    <row r="155" spans="1:8" x14ac:dyDescent="0.2">
      <c r="A155" s="3">
        <v>3030313004</v>
      </c>
      <c r="B155" s="4" t="s">
        <v>275</v>
      </c>
      <c r="C155" s="4" t="s">
        <v>258</v>
      </c>
      <c r="D155" s="3">
        <v>1</v>
      </c>
      <c r="E155" s="3" t="s">
        <v>16</v>
      </c>
      <c r="F155" s="3" t="s">
        <v>295</v>
      </c>
      <c r="G155" s="3" t="s">
        <v>17</v>
      </c>
      <c r="H155" s="3" t="s">
        <v>254</v>
      </c>
    </row>
    <row r="156" spans="1:8" x14ac:dyDescent="0.2">
      <c r="A156" s="3">
        <v>3080308001</v>
      </c>
      <c r="B156" s="4" t="s">
        <v>276</v>
      </c>
      <c r="C156" s="4" t="s">
        <v>258</v>
      </c>
      <c r="D156" s="3">
        <v>1</v>
      </c>
      <c r="E156" s="3" t="s">
        <v>16</v>
      </c>
      <c r="F156" s="3" t="s">
        <v>295</v>
      </c>
      <c r="G156" s="3" t="s">
        <v>17</v>
      </c>
      <c r="H156" s="3" t="s">
        <v>254</v>
      </c>
    </row>
    <row r="157" spans="1:8" x14ac:dyDescent="0.2">
      <c r="A157" s="3">
        <v>3050303018</v>
      </c>
      <c r="B157" s="4" t="s">
        <v>245</v>
      </c>
      <c r="C157" s="4" t="s">
        <v>613</v>
      </c>
      <c r="D157" s="3">
        <v>1</v>
      </c>
      <c r="E157" s="3" t="s">
        <v>16</v>
      </c>
      <c r="F157" s="3" t="s">
        <v>291</v>
      </c>
      <c r="G157" s="3" t="s">
        <v>26</v>
      </c>
      <c r="H157" s="3" t="s">
        <v>254</v>
      </c>
    </row>
  </sheetData>
  <phoneticPr fontId="2" type="noConversion"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0E791-A90C-41E8-ADF0-F040B80DB376}">
  <dimension ref="A1:H172"/>
  <sheetViews>
    <sheetView workbookViewId="0">
      <selection activeCell="M21" sqref="M21"/>
    </sheetView>
  </sheetViews>
  <sheetFormatPr defaultRowHeight="14.25" x14ac:dyDescent="0.2"/>
  <cols>
    <col min="1" max="1" width="13.125" customWidth="1"/>
    <col min="2" max="3" width="16.25" customWidth="1"/>
  </cols>
  <sheetData>
    <row r="1" spans="1:8" x14ac:dyDescent="0.2">
      <c r="A1" s="3" t="s">
        <v>1931</v>
      </c>
      <c r="B1" s="4"/>
      <c r="C1" s="4"/>
      <c r="D1" s="3"/>
      <c r="E1" s="3"/>
      <c r="F1" s="3"/>
      <c r="G1" s="3"/>
      <c r="H1" s="3"/>
    </row>
    <row r="2" spans="1:8" ht="28.5" x14ac:dyDescent="0.2">
      <c r="A2" s="1" t="s">
        <v>0</v>
      </c>
      <c r="B2" s="2" t="s">
        <v>1</v>
      </c>
      <c r="C2" s="2" t="s">
        <v>2</v>
      </c>
      <c r="D2" s="1" t="s">
        <v>4</v>
      </c>
      <c r="E2" s="1" t="s">
        <v>3</v>
      </c>
      <c r="F2" s="1" t="s">
        <v>5</v>
      </c>
      <c r="G2" s="1" t="s">
        <v>6</v>
      </c>
      <c r="H2" s="1" t="s">
        <v>7</v>
      </c>
    </row>
    <row r="3" spans="1:8" s="10" customFormat="1" x14ac:dyDescent="0.2">
      <c r="A3" s="8" t="s">
        <v>390</v>
      </c>
      <c r="B3" s="9" t="s">
        <v>8</v>
      </c>
      <c r="C3" s="9" t="s">
        <v>9</v>
      </c>
      <c r="D3" s="13">
        <f>0.1457/0.94</f>
        <v>0.155</v>
      </c>
      <c r="E3" s="8" t="s">
        <v>596</v>
      </c>
      <c r="F3" s="8" t="s">
        <v>283</v>
      </c>
      <c r="G3" s="8" t="s">
        <v>13</v>
      </c>
      <c r="H3" s="8" t="s">
        <v>12</v>
      </c>
    </row>
    <row r="4" spans="1:8" x14ac:dyDescent="0.2">
      <c r="A4" s="3">
        <v>402030028</v>
      </c>
      <c r="B4" s="4" t="s">
        <v>107</v>
      </c>
      <c r="C4" s="4" t="s">
        <v>305</v>
      </c>
      <c r="D4" s="3">
        <v>1</v>
      </c>
      <c r="E4" s="3" t="s">
        <v>16</v>
      </c>
      <c r="F4" s="3" t="s">
        <v>289</v>
      </c>
      <c r="G4" s="3" t="s">
        <v>23</v>
      </c>
      <c r="H4" s="3" t="s">
        <v>306</v>
      </c>
    </row>
    <row r="5" spans="1:8" x14ac:dyDescent="0.2">
      <c r="A5" s="3">
        <v>3098980102</v>
      </c>
      <c r="B5" s="4" t="s">
        <v>1897</v>
      </c>
      <c r="C5" s="4" t="s">
        <v>1898</v>
      </c>
      <c r="D5" s="3">
        <v>1</v>
      </c>
      <c r="E5" s="3" t="s">
        <v>16</v>
      </c>
      <c r="F5" s="3" t="s">
        <v>291</v>
      </c>
      <c r="G5" s="3" t="s">
        <v>26</v>
      </c>
      <c r="H5" s="3" t="s">
        <v>393</v>
      </c>
    </row>
    <row r="6" spans="1:8" x14ac:dyDescent="0.2">
      <c r="A6" s="3">
        <v>3080503020</v>
      </c>
      <c r="B6" s="4" t="s">
        <v>14</v>
      </c>
      <c r="C6" s="4" t="s">
        <v>15</v>
      </c>
      <c r="D6" s="3">
        <v>2</v>
      </c>
      <c r="E6" s="3" t="s">
        <v>16</v>
      </c>
      <c r="F6" s="3" t="s">
        <v>295</v>
      </c>
      <c r="G6" s="3" t="s">
        <v>17</v>
      </c>
      <c r="H6" s="3" t="s">
        <v>18</v>
      </c>
    </row>
    <row r="7" spans="1:8" x14ac:dyDescent="0.2">
      <c r="A7" s="3">
        <v>3080503019</v>
      </c>
      <c r="B7" s="4" t="s">
        <v>14</v>
      </c>
      <c r="C7" s="4" t="s">
        <v>19</v>
      </c>
      <c r="D7" s="3">
        <v>4</v>
      </c>
      <c r="E7" s="3" t="s">
        <v>16</v>
      </c>
      <c r="F7" s="3" t="s">
        <v>295</v>
      </c>
      <c r="G7" s="3" t="s">
        <v>17</v>
      </c>
      <c r="H7" s="3" t="s">
        <v>18</v>
      </c>
    </row>
    <row r="8" spans="1:8" x14ac:dyDescent="0.2">
      <c r="A8" s="3">
        <v>3080503001</v>
      </c>
      <c r="B8" s="4" t="s">
        <v>14</v>
      </c>
      <c r="C8" s="4" t="s">
        <v>20</v>
      </c>
      <c r="D8" s="3">
        <v>4</v>
      </c>
      <c r="E8" s="3" t="s">
        <v>16</v>
      </c>
      <c r="F8" s="3" t="s">
        <v>295</v>
      </c>
      <c r="G8" s="3" t="s">
        <v>17</v>
      </c>
      <c r="H8" s="3" t="s">
        <v>18</v>
      </c>
    </row>
    <row r="9" spans="1:8" x14ac:dyDescent="0.2">
      <c r="A9" s="3">
        <v>3060503002</v>
      </c>
      <c r="B9" s="4" t="s">
        <v>21</v>
      </c>
      <c r="C9" s="4" t="s">
        <v>22</v>
      </c>
      <c r="D9" s="3">
        <v>1</v>
      </c>
      <c r="E9" s="3" t="s">
        <v>16</v>
      </c>
      <c r="F9" s="3" t="s">
        <v>289</v>
      </c>
      <c r="G9" s="3" t="s">
        <v>23</v>
      </c>
      <c r="H9" s="3" t="s">
        <v>18</v>
      </c>
    </row>
    <row r="10" spans="1:8" x14ac:dyDescent="0.2">
      <c r="A10" s="3">
        <v>3030314005</v>
      </c>
      <c r="B10" s="4" t="s">
        <v>394</v>
      </c>
      <c r="C10" s="4" t="s">
        <v>395</v>
      </c>
      <c r="D10" s="3">
        <v>1</v>
      </c>
      <c r="E10" s="3" t="s">
        <v>16</v>
      </c>
      <c r="F10" s="3" t="s">
        <v>291</v>
      </c>
      <c r="G10" s="3" t="s">
        <v>26</v>
      </c>
      <c r="H10" s="3" t="s">
        <v>18</v>
      </c>
    </row>
    <row r="11" spans="1:8" x14ac:dyDescent="0.2">
      <c r="A11" s="3">
        <v>401020084</v>
      </c>
      <c r="B11" s="4" t="s">
        <v>35</v>
      </c>
      <c r="C11" s="4" t="s">
        <v>309</v>
      </c>
      <c r="D11" s="3">
        <v>1</v>
      </c>
      <c r="E11" s="3" t="s">
        <v>16</v>
      </c>
      <c r="F11" s="3" t="s">
        <v>301</v>
      </c>
      <c r="G11" s="3" t="s">
        <v>32</v>
      </c>
      <c r="H11" s="3" t="s">
        <v>33</v>
      </c>
    </row>
    <row r="12" spans="1:8" x14ac:dyDescent="0.2">
      <c r="A12" s="3">
        <v>3080102003</v>
      </c>
      <c r="B12" s="4" t="s">
        <v>38</v>
      </c>
      <c r="C12" s="4" t="s">
        <v>39</v>
      </c>
      <c r="D12" s="3">
        <v>1</v>
      </c>
      <c r="E12" s="3" t="s">
        <v>16</v>
      </c>
      <c r="F12" s="3" t="s">
        <v>289</v>
      </c>
      <c r="G12" s="3" t="s">
        <v>23</v>
      </c>
      <c r="H12" s="3" t="s">
        <v>40</v>
      </c>
    </row>
    <row r="13" spans="1:8" x14ac:dyDescent="0.2">
      <c r="A13" s="3">
        <v>3080401005</v>
      </c>
      <c r="B13" s="4" t="s">
        <v>41</v>
      </c>
      <c r="C13" s="4" t="s">
        <v>43</v>
      </c>
      <c r="D13" s="3">
        <v>12</v>
      </c>
      <c r="E13" s="3" t="s">
        <v>16</v>
      </c>
      <c r="F13" s="3" t="s">
        <v>291</v>
      </c>
      <c r="G13" s="3" t="s">
        <v>26</v>
      </c>
      <c r="H13" s="3" t="s">
        <v>40</v>
      </c>
    </row>
    <row r="14" spans="1:8" x14ac:dyDescent="0.2">
      <c r="A14" s="3">
        <v>3080401006</v>
      </c>
      <c r="B14" s="4" t="s">
        <v>41</v>
      </c>
      <c r="C14" s="4" t="s">
        <v>44</v>
      </c>
      <c r="D14" s="3">
        <v>1</v>
      </c>
      <c r="E14" s="3" t="s">
        <v>16</v>
      </c>
      <c r="F14" s="3" t="s">
        <v>295</v>
      </c>
      <c r="G14" s="3" t="s">
        <v>17</v>
      </c>
      <c r="H14" s="3" t="s">
        <v>40</v>
      </c>
    </row>
    <row r="15" spans="1:8" x14ac:dyDescent="0.2">
      <c r="A15" s="3">
        <v>3080104014</v>
      </c>
      <c r="B15" s="4" t="s">
        <v>45</v>
      </c>
      <c r="C15" s="4" t="s">
        <v>312</v>
      </c>
      <c r="D15" s="3">
        <v>2</v>
      </c>
      <c r="E15" s="3" t="s">
        <v>16</v>
      </c>
      <c r="F15" s="3" t="s">
        <v>293</v>
      </c>
      <c r="G15" s="3" t="s">
        <v>29</v>
      </c>
      <c r="H15" s="3" t="s">
        <v>40</v>
      </c>
    </row>
    <row r="16" spans="1:8" x14ac:dyDescent="0.2">
      <c r="A16" s="3">
        <v>3080104099</v>
      </c>
      <c r="B16" s="4" t="s">
        <v>45</v>
      </c>
      <c r="C16" s="4" t="s">
        <v>419</v>
      </c>
      <c r="D16" s="3">
        <v>2</v>
      </c>
      <c r="E16" s="3" t="s">
        <v>16</v>
      </c>
      <c r="F16" s="3" t="s">
        <v>291</v>
      </c>
      <c r="G16" s="3" t="s">
        <v>26</v>
      </c>
      <c r="H16" s="3" t="s">
        <v>40</v>
      </c>
    </row>
    <row r="17" spans="1:8" x14ac:dyDescent="0.2">
      <c r="A17" s="3">
        <v>3080104020</v>
      </c>
      <c r="B17" s="4" t="s">
        <v>45</v>
      </c>
      <c r="C17" s="4" t="s">
        <v>46</v>
      </c>
      <c r="D17" s="3">
        <v>4</v>
      </c>
      <c r="E17" s="3" t="s">
        <v>16</v>
      </c>
      <c r="F17" s="3" t="s">
        <v>291</v>
      </c>
      <c r="G17" s="3" t="s">
        <v>26</v>
      </c>
      <c r="H17" s="3" t="s">
        <v>40</v>
      </c>
    </row>
    <row r="18" spans="1:8" x14ac:dyDescent="0.2">
      <c r="A18" s="3">
        <v>3080104019</v>
      </c>
      <c r="B18" s="4" t="s">
        <v>45</v>
      </c>
      <c r="C18" s="4" t="s">
        <v>47</v>
      </c>
      <c r="D18" s="3">
        <v>2</v>
      </c>
      <c r="E18" s="3" t="s">
        <v>16</v>
      </c>
      <c r="F18" s="3" t="s">
        <v>291</v>
      </c>
      <c r="G18" s="3" t="s">
        <v>26</v>
      </c>
      <c r="H18" s="3" t="s">
        <v>40</v>
      </c>
    </row>
    <row r="19" spans="1:8" x14ac:dyDescent="0.2">
      <c r="A19" s="3">
        <v>3080104050</v>
      </c>
      <c r="B19" s="4" t="s">
        <v>45</v>
      </c>
      <c r="C19" s="4" t="s">
        <v>49</v>
      </c>
      <c r="D19" s="3">
        <v>4</v>
      </c>
      <c r="E19" s="3" t="s">
        <v>16</v>
      </c>
      <c r="F19" s="3" t="s">
        <v>295</v>
      </c>
      <c r="G19" s="3" t="s">
        <v>17</v>
      </c>
      <c r="H19" s="3" t="s">
        <v>40</v>
      </c>
    </row>
    <row r="20" spans="1:8" x14ac:dyDescent="0.2">
      <c r="A20" s="3">
        <v>3080105013</v>
      </c>
      <c r="B20" s="4" t="s">
        <v>50</v>
      </c>
      <c r="C20" s="4" t="s">
        <v>51</v>
      </c>
      <c r="D20" s="3">
        <v>12</v>
      </c>
      <c r="E20" s="3" t="s">
        <v>16</v>
      </c>
      <c r="F20" s="3" t="s">
        <v>293</v>
      </c>
      <c r="G20" s="3" t="s">
        <v>29</v>
      </c>
      <c r="H20" s="3" t="s">
        <v>40</v>
      </c>
    </row>
    <row r="21" spans="1:8" x14ac:dyDescent="0.2">
      <c r="A21" s="3">
        <v>3080105121</v>
      </c>
      <c r="B21" s="4" t="s">
        <v>50</v>
      </c>
      <c r="C21" s="4" t="s">
        <v>316</v>
      </c>
      <c r="D21" s="3">
        <v>2</v>
      </c>
      <c r="E21" s="3" t="s">
        <v>16</v>
      </c>
      <c r="F21" s="3" t="s">
        <v>317</v>
      </c>
      <c r="G21" s="3" t="s">
        <v>318</v>
      </c>
      <c r="H21" s="3" t="s">
        <v>40</v>
      </c>
    </row>
    <row r="22" spans="1:8" x14ac:dyDescent="0.2">
      <c r="A22" s="3">
        <v>3080105007</v>
      </c>
      <c r="B22" s="4" t="s">
        <v>50</v>
      </c>
      <c r="C22" s="4" t="s">
        <v>52</v>
      </c>
      <c r="D22" s="3">
        <v>2</v>
      </c>
      <c r="E22" s="3" t="s">
        <v>16</v>
      </c>
      <c r="F22" s="3" t="s">
        <v>289</v>
      </c>
      <c r="G22" s="3" t="s">
        <v>23</v>
      </c>
      <c r="H22" s="3" t="s">
        <v>40</v>
      </c>
    </row>
    <row r="23" spans="1:8" x14ac:dyDescent="0.2">
      <c r="A23" s="3">
        <v>3080105007</v>
      </c>
      <c r="B23" s="4" t="s">
        <v>50</v>
      </c>
      <c r="C23" s="4" t="s">
        <v>52</v>
      </c>
      <c r="D23" s="3">
        <v>2</v>
      </c>
      <c r="E23" s="3" t="s">
        <v>16</v>
      </c>
      <c r="F23" s="3" t="s">
        <v>293</v>
      </c>
      <c r="G23" s="3" t="s">
        <v>29</v>
      </c>
      <c r="H23" s="3" t="s">
        <v>40</v>
      </c>
    </row>
    <row r="24" spans="1:8" x14ac:dyDescent="0.2">
      <c r="A24" s="3">
        <v>3080105111</v>
      </c>
      <c r="B24" s="4" t="s">
        <v>50</v>
      </c>
      <c r="C24" s="4" t="s">
        <v>599</v>
      </c>
      <c r="D24" s="3">
        <v>4</v>
      </c>
      <c r="E24" s="3" t="s">
        <v>16</v>
      </c>
      <c r="F24" s="3" t="s">
        <v>291</v>
      </c>
      <c r="G24" s="3" t="s">
        <v>26</v>
      </c>
      <c r="H24" s="3" t="s">
        <v>40</v>
      </c>
    </row>
    <row r="25" spans="1:8" x14ac:dyDescent="0.2">
      <c r="A25" s="3">
        <v>3080105114</v>
      </c>
      <c r="B25" s="4" t="s">
        <v>50</v>
      </c>
      <c r="C25" s="4" t="s">
        <v>53</v>
      </c>
      <c r="D25" s="3">
        <v>4</v>
      </c>
      <c r="E25" s="3" t="s">
        <v>16</v>
      </c>
      <c r="F25" s="3" t="s">
        <v>289</v>
      </c>
      <c r="G25" s="3" t="s">
        <v>23</v>
      </c>
      <c r="H25" s="3" t="s">
        <v>40</v>
      </c>
    </row>
    <row r="26" spans="1:8" x14ac:dyDescent="0.2">
      <c r="A26" s="3">
        <v>3080105114</v>
      </c>
      <c r="B26" s="4" t="s">
        <v>50</v>
      </c>
      <c r="C26" s="4" t="s">
        <v>53</v>
      </c>
      <c r="D26" s="3">
        <v>4</v>
      </c>
      <c r="E26" s="3" t="s">
        <v>16</v>
      </c>
      <c r="F26" s="3" t="s">
        <v>289</v>
      </c>
      <c r="G26" s="3" t="s">
        <v>23</v>
      </c>
      <c r="H26" s="3" t="s">
        <v>40</v>
      </c>
    </row>
    <row r="27" spans="1:8" x14ac:dyDescent="0.2">
      <c r="A27" s="3">
        <v>3080105068</v>
      </c>
      <c r="B27" s="4" t="s">
        <v>50</v>
      </c>
      <c r="C27" s="4" t="s">
        <v>314</v>
      </c>
      <c r="D27" s="3">
        <v>10</v>
      </c>
      <c r="E27" s="3" t="s">
        <v>16</v>
      </c>
      <c r="F27" s="3" t="s">
        <v>293</v>
      </c>
      <c r="G27" s="3" t="s">
        <v>29</v>
      </c>
      <c r="H27" s="3" t="s">
        <v>40</v>
      </c>
    </row>
    <row r="28" spans="1:8" x14ac:dyDescent="0.2">
      <c r="A28" s="3">
        <v>3080105021</v>
      </c>
      <c r="B28" s="4" t="s">
        <v>50</v>
      </c>
      <c r="C28" s="4" t="s">
        <v>319</v>
      </c>
      <c r="D28" s="3">
        <v>8</v>
      </c>
      <c r="E28" s="3" t="s">
        <v>16</v>
      </c>
      <c r="F28" s="3" t="s">
        <v>317</v>
      </c>
      <c r="G28" s="3" t="s">
        <v>318</v>
      </c>
      <c r="H28" s="3" t="s">
        <v>40</v>
      </c>
    </row>
    <row r="29" spans="1:8" x14ac:dyDescent="0.2">
      <c r="A29" s="3">
        <v>3080105007</v>
      </c>
      <c r="B29" s="4" t="s">
        <v>50</v>
      </c>
      <c r="C29" s="4" t="s">
        <v>52</v>
      </c>
      <c r="D29" s="3">
        <v>8</v>
      </c>
      <c r="E29" s="3" t="s">
        <v>16</v>
      </c>
      <c r="F29" s="3" t="s">
        <v>289</v>
      </c>
      <c r="G29" s="3" t="s">
        <v>23</v>
      </c>
      <c r="H29" s="3" t="s">
        <v>40</v>
      </c>
    </row>
    <row r="30" spans="1:8" x14ac:dyDescent="0.2">
      <c r="A30" s="3">
        <v>3080502002</v>
      </c>
      <c r="B30" s="4" t="s">
        <v>55</v>
      </c>
      <c r="C30" s="4" t="s">
        <v>56</v>
      </c>
      <c r="D30" s="3">
        <v>4</v>
      </c>
      <c r="E30" s="3" t="s">
        <v>16</v>
      </c>
      <c r="F30" s="3" t="s">
        <v>293</v>
      </c>
      <c r="G30" s="3" t="s">
        <v>29</v>
      </c>
      <c r="H30" s="3" t="s">
        <v>40</v>
      </c>
    </row>
    <row r="31" spans="1:8" x14ac:dyDescent="0.2">
      <c r="A31" s="3">
        <v>3080501013</v>
      </c>
      <c r="B31" s="4" t="s">
        <v>57</v>
      </c>
      <c r="C31" s="4" t="s">
        <v>58</v>
      </c>
      <c r="D31" s="3">
        <v>2</v>
      </c>
      <c r="E31" s="3" t="s">
        <v>16</v>
      </c>
      <c r="F31" s="3" t="s">
        <v>293</v>
      </c>
      <c r="G31" s="3" t="s">
        <v>29</v>
      </c>
      <c r="H31" s="3" t="s">
        <v>40</v>
      </c>
    </row>
    <row r="32" spans="1:8" x14ac:dyDescent="0.2">
      <c r="A32" s="3">
        <v>3080201004</v>
      </c>
      <c r="B32" s="4" t="s">
        <v>60</v>
      </c>
      <c r="C32" s="4" t="s">
        <v>61</v>
      </c>
      <c r="D32" s="3">
        <v>4</v>
      </c>
      <c r="E32" s="3" t="s">
        <v>16</v>
      </c>
      <c r="F32" s="3" t="s">
        <v>295</v>
      </c>
      <c r="G32" s="3" t="s">
        <v>17</v>
      </c>
      <c r="H32" s="3" t="s">
        <v>40</v>
      </c>
    </row>
    <row r="33" spans="1:8" x14ac:dyDescent="0.2">
      <c r="A33" s="3">
        <v>3080201012</v>
      </c>
      <c r="B33" s="4" t="s">
        <v>60</v>
      </c>
      <c r="C33" s="4" t="s">
        <v>320</v>
      </c>
      <c r="D33" s="3">
        <v>1</v>
      </c>
      <c r="E33" s="3" t="s">
        <v>16</v>
      </c>
      <c r="F33" s="3" t="s">
        <v>317</v>
      </c>
      <c r="G33" s="3" t="s">
        <v>318</v>
      </c>
      <c r="H33" s="3" t="s">
        <v>40</v>
      </c>
    </row>
    <row r="34" spans="1:8" x14ac:dyDescent="0.2">
      <c r="A34" s="3">
        <v>3080201007</v>
      </c>
      <c r="B34" s="4" t="s">
        <v>60</v>
      </c>
      <c r="C34" s="4" t="s">
        <v>62</v>
      </c>
      <c r="D34" s="3">
        <v>1</v>
      </c>
      <c r="E34" s="3" t="s">
        <v>16</v>
      </c>
      <c r="F34" s="3" t="s">
        <v>295</v>
      </c>
      <c r="G34" s="3" t="s">
        <v>17</v>
      </c>
      <c r="H34" s="3" t="s">
        <v>40</v>
      </c>
    </row>
    <row r="35" spans="1:8" x14ac:dyDescent="0.2">
      <c r="A35" s="3">
        <v>3080201008</v>
      </c>
      <c r="B35" s="4" t="s">
        <v>60</v>
      </c>
      <c r="C35" s="4" t="s">
        <v>63</v>
      </c>
      <c r="D35" s="3">
        <v>1</v>
      </c>
      <c r="E35" s="3" t="s">
        <v>16</v>
      </c>
      <c r="F35" s="3" t="s">
        <v>295</v>
      </c>
      <c r="G35" s="3" t="s">
        <v>17</v>
      </c>
      <c r="H35" s="3" t="s">
        <v>40</v>
      </c>
    </row>
    <row r="36" spans="1:8" x14ac:dyDescent="0.2">
      <c r="A36" s="3">
        <v>3080201010</v>
      </c>
      <c r="B36" s="4" t="s">
        <v>60</v>
      </c>
      <c r="C36" s="4" t="s">
        <v>64</v>
      </c>
      <c r="D36" s="3">
        <v>1</v>
      </c>
      <c r="E36" s="3" t="s">
        <v>16</v>
      </c>
      <c r="F36" s="3" t="s">
        <v>295</v>
      </c>
      <c r="G36" s="3" t="s">
        <v>17</v>
      </c>
      <c r="H36" s="3" t="s">
        <v>40</v>
      </c>
    </row>
    <row r="37" spans="1:8" x14ac:dyDescent="0.2">
      <c r="A37" s="3">
        <v>3080201015</v>
      </c>
      <c r="B37" s="4" t="s">
        <v>60</v>
      </c>
      <c r="C37" s="4" t="s">
        <v>65</v>
      </c>
      <c r="D37" s="3">
        <v>2</v>
      </c>
      <c r="E37" s="3" t="s">
        <v>16</v>
      </c>
      <c r="F37" s="3" t="s">
        <v>295</v>
      </c>
      <c r="G37" s="3" t="s">
        <v>17</v>
      </c>
      <c r="H37" s="3" t="s">
        <v>40</v>
      </c>
    </row>
    <row r="38" spans="1:8" x14ac:dyDescent="0.2">
      <c r="A38" s="3">
        <v>3080106009</v>
      </c>
      <c r="B38" s="4" t="s">
        <v>66</v>
      </c>
      <c r="C38" s="4" t="s">
        <v>67</v>
      </c>
      <c r="D38" s="3">
        <v>1</v>
      </c>
      <c r="E38" s="3" t="s">
        <v>16</v>
      </c>
      <c r="F38" s="3" t="s">
        <v>295</v>
      </c>
      <c r="G38" s="3" t="s">
        <v>17</v>
      </c>
      <c r="H38" s="3" t="s">
        <v>40</v>
      </c>
    </row>
    <row r="39" spans="1:8" x14ac:dyDescent="0.2">
      <c r="A39" s="3">
        <v>3080106007</v>
      </c>
      <c r="B39" s="4" t="s">
        <v>66</v>
      </c>
      <c r="C39" s="4" t="s">
        <v>68</v>
      </c>
      <c r="D39" s="3">
        <v>1</v>
      </c>
      <c r="E39" s="3" t="s">
        <v>16</v>
      </c>
      <c r="F39" s="3" t="s">
        <v>295</v>
      </c>
      <c r="G39" s="3" t="s">
        <v>17</v>
      </c>
      <c r="H39" s="3" t="s">
        <v>40</v>
      </c>
    </row>
    <row r="40" spans="1:8" x14ac:dyDescent="0.2">
      <c r="A40" s="3">
        <v>3080107059</v>
      </c>
      <c r="B40" s="4" t="s">
        <v>69</v>
      </c>
      <c r="C40" s="4" t="s">
        <v>321</v>
      </c>
      <c r="D40" s="3">
        <v>1</v>
      </c>
      <c r="E40" s="3" t="s">
        <v>16</v>
      </c>
      <c r="F40" s="3" t="s">
        <v>317</v>
      </c>
      <c r="G40" s="3" t="s">
        <v>318</v>
      </c>
      <c r="H40" s="3" t="s">
        <v>40</v>
      </c>
    </row>
    <row r="41" spans="1:8" x14ac:dyDescent="0.2">
      <c r="A41" s="3">
        <v>3080107130</v>
      </c>
      <c r="B41" s="4" t="s">
        <v>69</v>
      </c>
      <c r="C41" s="4" t="s">
        <v>70</v>
      </c>
      <c r="D41" s="3">
        <v>4</v>
      </c>
      <c r="E41" s="3" t="s">
        <v>16</v>
      </c>
      <c r="F41" s="3" t="s">
        <v>293</v>
      </c>
      <c r="G41" s="3" t="s">
        <v>29</v>
      </c>
      <c r="H41" s="3" t="s">
        <v>40</v>
      </c>
    </row>
    <row r="42" spans="1:8" x14ac:dyDescent="0.2">
      <c r="A42" s="3">
        <v>3080107031</v>
      </c>
      <c r="B42" s="4" t="s">
        <v>69</v>
      </c>
      <c r="C42" s="4" t="s">
        <v>71</v>
      </c>
      <c r="D42" s="3">
        <v>2</v>
      </c>
      <c r="E42" s="3" t="s">
        <v>16</v>
      </c>
      <c r="F42" s="3" t="s">
        <v>295</v>
      </c>
      <c r="G42" s="3" t="s">
        <v>17</v>
      </c>
      <c r="H42" s="3" t="s">
        <v>40</v>
      </c>
    </row>
    <row r="43" spans="1:8" x14ac:dyDescent="0.2">
      <c r="A43" s="3">
        <v>3080107015</v>
      </c>
      <c r="B43" s="4" t="s">
        <v>69</v>
      </c>
      <c r="C43" s="4" t="s">
        <v>73</v>
      </c>
      <c r="D43" s="3">
        <v>6</v>
      </c>
      <c r="E43" s="3" t="s">
        <v>16</v>
      </c>
      <c r="F43" s="3" t="s">
        <v>291</v>
      </c>
      <c r="G43" s="3" t="s">
        <v>26</v>
      </c>
      <c r="H43" s="3" t="s">
        <v>40</v>
      </c>
    </row>
    <row r="44" spans="1:8" x14ac:dyDescent="0.2">
      <c r="A44" s="3">
        <v>3080107014</v>
      </c>
      <c r="B44" s="4" t="s">
        <v>69</v>
      </c>
      <c r="C44" s="4" t="s">
        <v>322</v>
      </c>
      <c r="D44" s="3">
        <v>2</v>
      </c>
      <c r="E44" s="3" t="s">
        <v>16</v>
      </c>
      <c r="F44" s="3" t="s">
        <v>317</v>
      </c>
      <c r="G44" s="3" t="s">
        <v>318</v>
      </c>
      <c r="H44" s="3" t="s">
        <v>40</v>
      </c>
    </row>
    <row r="45" spans="1:8" x14ac:dyDescent="0.2">
      <c r="A45" s="3">
        <v>3080107038</v>
      </c>
      <c r="B45" s="4" t="s">
        <v>69</v>
      </c>
      <c r="C45" s="4" t="s">
        <v>72</v>
      </c>
      <c r="D45" s="3">
        <v>2</v>
      </c>
      <c r="E45" s="3" t="s">
        <v>16</v>
      </c>
      <c r="F45" s="3" t="s">
        <v>289</v>
      </c>
      <c r="G45" s="3" t="s">
        <v>23</v>
      </c>
      <c r="H45" s="3" t="s">
        <v>40</v>
      </c>
    </row>
    <row r="46" spans="1:8" x14ac:dyDescent="0.2">
      <c r="A46" s="3">
        <v>3080107120</v>
      </c>
      <c r="B46" s="4" t="s">
        <v>69</v>
      </c>
      <c r="C46" s="4" t="s">
        <v>74</v>
      </c>
      <c r="D46" s="3">
        <v>1</v>
      </c>
      <c r="E46" s="3" t="s">
        <v>16</v>
      </c>
      <c r="F46" s="3" t="s">
        <v>295</v>
      </c>
      <c r="G46" s="3" t="s">
        <v>17</v>
      </c>
      <c r="H46" s="3" t="s">
        <v>40</v>
      </c>
    </row>
    <row r="47" spans="1:8" x14ac:dyDescent="0.2">
      <c r="A47" s="3">
        <v>3080107121</v>
      </c>
      <c r="B47" s="4" t="s">
        <v>69</v>
      </c>
      <c r="C47" s="4" t="s">
        <v>75</v>
      </c>
      <c r="D47" s="3">
        <v>1</v>
      </c>
      <c r="E47" s="3" t="s">
        <v>16</v>
      </c>
      <c r="F47" s="3" t="s">
        <v>295</v>
      </c>
      <c r="G47" s="3" t="s">
        <v>17</v>
      </c>
      <c r="H47" s="3" t="s">
        <v>40</v>
      </c>
    </row>
    <row r="48" spans="1:8" x14ac:dyDescent="0.2">
      <c r="A48" s="3">
        <v>3080107031</v>
      </c>
      <c r="B48" s="4" t="s">
        <v>69</v>
      </c>
      <c r="C48" s="4" t="s">
        <v>71</v>
      </c>
      <c r="D48" s="3">
        <v>4</v>
      </c>
      <c r="E48" s="3" t="s">
        <v>16</v>
      </c>
      <c r="F48" s="3" t="s">
        <v>295</v>
      </c>
      <c r="G48" s="3" t="s">
        <v>17</v>
      </c>
      <c r="H48" s="3" t="s">
        <v>40</v>
      </c>
    </row>
    <row r="49" spans="1:8" x14ac:dyDescent="0.2">
      <c r="A49" s="3">
        <v>3080108019</v>
      </c>
      <c r="B49" s="4" t="s">
        <v>77</v>
      </c>
      <c r="C49" s="4" t="s">
        <v>325</v>
      </c>
      <c r="D49" s="3">
        <v>2</v>
      </c>
      <c r="E49" s="3" t="s">
        <v>16</v>
      </c>
      <c r="F49" s="3" t="s">
        <v>317</v>
      </c>
      <c r="G49" s="3" t="s">
        <v>318</v>
      </c>
      <c r="H49" s="3" t="s">
        <v>40</v>
      </c>
    </row>
    <row r="50" spans="1:8" x14ac:dyDescent="0.2">
      <c r="A50" s="3">
        <v>3080108003</v>
      </c>
      <c r="B50" s="4" t="s">
        <v>77</v>
      </c>
      <c r="C50" s="4" t="s">
        <v>78</v>
      </c>
      <c r="D50" s="3">
        <v>1</v>
      </c>
      <c r="E50" s="3" t="s">
        <v>16</v>
      </c>
      <c r="F50" s="3" t="s">
        <v>295</v>
      </c>
      <c r="G50" s="3" t="s">
        <v>17</v>
      </c>
      <c r="H50" s="3" t="s">
        <v>40</v>
      </c>
    </row>
    <row r="51" spans="1:8" x14ac:dyDescent="0.2">
      <c r="A51" s="3">
        <v>3080111087</v>
      </c>
      <c r="B51" s="4" t="s">
        <v>79</v>
      </c>
      <c r="C51" s="4" t="s">
        <v>80</v>
      </c>
      <c r="D51" s="3">
        <v>18</v>
      </c>
      <c r="E51" s="3" t="s">
        <v>16</v>
      </c>
      <c r="F51" s="3" t="s">
        <v>291</v>
      </c>
      <c r="G51" s="3" t="s">
        <v>26</v>
      </c>
      <c r="H51" s="3" t="s">
        <v>40</v>
      </c>
    </row>
    <row r="52" spans="1:8" x14ac:dyDescent="0.2">
      <c r="A52" s="3">
        <v>407030034</v>
      </c>
      <c r="B52" s="4" t="s">
        <v>81</v>
      </c>
      <c r="C52" s="4" t="s">
        <v>82</v>
      </c>
      <c r="D52" s="3">
        <v>1</v>
      </c>
      <c r="E52" s="3" t="s">
        <v>16</v>
      </c>
      <c r="F52" s="3" t="s">
        <v>301</v>
      </c>
      <c r="G52" s="3" t="s">
        <v>32</v>
      </c>
      <c r="H52" s="3" t="s">
        <v>40</v>
      </c>
    </row>
    <row r="53" spans="1:8" x14ac:dyDescent="0.2">
      <c r="A53" s="3">
        <v>3080112015</v>
      </c>
      <c r="B53" s="4" t="s">
        <v>83</v>
      </c>
      <c r="C53" s="4" t="s">
        <v>84</v>
      </c>
      <c r="D53" s="3">
        <v>6</v>
      </c>
      <c r="E53" s="3" t="s">
        <v>16</v>
      </c>
      <c r="F53" s="3" t="s">
        <v>291</v>
      </c>
      <c r="G53" s="3" t="s">
        <v>26</v>
      </c>
      <c r="H53" s="3" t="s">
        <v>40</v>
      </c>
    </row>
    <row r="54" spans="1:8" x14ac:dyDescent="0.2">
      <c r="A54" s="3">
        <v>3080112003</v>
      </c>
      <c r="B54" s="4" t="s">
        <v>83</v>
      </c>
      <c r="C54" s="4" t="s">
        <v>85</v>
      </c>
      <c r="D54" s="3">
        <v>1</v>
      </c>
      <c r="E54" s="3" t="s">
        <v>16</v>
      </c>
      <c r="F54" s="3" t="s">
        <v>295</v>
      </c>
      <c r="G54" s="3" t="s">
        <v>17</v>
      </c>
      <c r="H54" s="3" t="s">
        <v>40</v>
      </c>
    </row>
    <row r="55" spans="1:8" x14ac:dyDescent="0.2">
      <c r="A55" s="3">
        <v>3080307001</v>
      </c>
      <c r="B55" s="4" t="s">
        <v>86</v>
      </c>
      <c r="C55" s="4" t="s">
        <v>87</v>
      </c>
      <c r="D55" s="3">
        <v>1</v>
      </c>
      <c r="E55" s="3" t="s">
        <v>16</v>
      </c>
      <c r="F55" s="3" t="s">
        <v>295</v>
      </c>
      <c r="G55" s="3" t="s">
        <v>17</v>
      </c>
      <c r="H55" s="3" t="s">
        <v>88</v>
      </c>
    </row>
    <row r="56" spans="1:8" x14ac:dyDescent="0.2">
      <c r="A56" s="3">
        <v>3080506001</v>
      </c>
      <c r="B56" s="4" t="s">
        <v>89</v>
      </c>
      <c r="C56" s="4" t="s">
        <v>90</v>
      </c>
      <c r="D56" s="3">
        <v>1</v>
      </c>
      <c r="E56" s="3" t="s">
        <v>16</v>
      </c>
      <c r="F56" s="3" t="s">
        <v>295</v>
      </c>
      <c r="G56" s="3" t="s">
        <v>17</v>
      </c>
      <c r="H56" s="3" t="s">
        <v>88</v>
      </c>
    </row>
    <row r="57" spans="1:8" x14ac:dyDescent="0.2">
      <c r="A57" s="3">
        <v>3030204002</v>
      </c>
      <c r="B57" s="4" t="s">
        <v>91</v>
      </c>
      <c r="C57" s="4" t="s">
        <v>92</v>
      </c>
      <c r="D57" s="3">
        <v>1</v>
      </c>
      <c r="E57" s="3" t="s">
        <v>16</v>
      </c>
      <c r="F57" s="3" t="s">
        <v>295</v>
      </c>
      <c r="G57" s="3" t="s">
        <v>17</v>
      </c>
      <c r="H57" s="3" t="s">
        <v>88</v>
      </c>
    </row>
    <row r="58" spans="1:8" x14ac:dyDescent="0.2">
      <c r="A58" s="3">
        <v>3030205002</v>
      </c>
      <c r="B58" s="4" t="s">
        <v>93</v>
      </c>
      <c r="C58" s="4" t="s">
        <v>94</v>
      </c>
      <c r="D58" s="3">
        <v>1</v>
      </c>
      <c r="E58" s="3" t="s">
        <v>16</v>
      </c>
      <c r="F58" s="3" t="s">
        <v>295</v>
      </c>
      <c r="G58" s="3" t="s">
        <v>17</v>
      </c>
      <c r="H58" s="3" t="s">
        <v>88</v>
      </c>
    </row>
    <row r="59" spans="1:8" x14ac:dyDescent="0.2">
      <c r="A59" s="3">
        <v>3030208001</v>
      </c>
      <c r="B59" s="4" t="s">
        <v>95</v>
      </c>
      <c r="C59" s="4" t="s">
        <v>96</v>
      </c>
      <c r="D59" s="3">
        <v>1</v>
      </c>
      <c r="E59" s="3" t="s">
        <v>16</v>
      </c>
      <c r="F59" s="3" t="s">
        <v>295</v>
      </c>
      <c r="G59" s="3" t="s">
        <v>17</v>
      </c>
      <c r="H59" s="3" t="s">
        <v>88</v>
      </c>
    </row>
    <row r="60" spans="1:8" x14ac:dyDescent="0.2">
      <c r="A60" s="3">
        <v>3030202005</v>
      </c>
      <c r="B60" s="4" t="s">
        <v>97</v>
      </c>
      <c r="C60" s="4" t="s">
        <v>94</v>
      </c>
      <c r="D60" s="3">
        <v>1</v>
      </c>
      <c r="E60" s="3" t="s">
        <v>16</v>
      </c>
      <c r="F60" s="3" t="s">
        <v>295</v>
      </c>
      <c r="G60" s="3" t="s">
        <v>17</v>
      </c>
      <c r="H60" s="3" t="s">
        <v>88</v>
      </c>
    </row>
    <row r="61" spans="1:8" x14ac:dyDescent="0.2">
      <c r="A61" s="3">
        <v>3080201009</v>
      </c>
      <c r="B61" s="4" t="s">
        <v>60</v>
      </c>
      <c r="C61" s="4" t="s">
        <v>98</v>
      </c>
      <c r="D61" s="3">
        <v>1</v>
      </c>
      <c r="E61" s="3" t="s">
        <v>16</v>
      </c>
      <c r="F61" s="3" t="s">
        <v>295</v>
      </c>
      <c r="G61" s="3" t="s">
        <v>17</v>
      </c>
      <c r="H61" s="3" t="s">
        <v>88</v>
      </c>
    </row>
    <row r="62" spans="1:8" x14ac:dyDescent="0.2">
      <c r="A62" s="3">
        <v>3050205001</v>
      </c>
      <c r="B62" s="4" t="s">
        <v>99</v>
      </c>
      <c r="C62" s="4" t="s">
        <v>100</v>
      </c>
      <c r="D62" s="3">
        <v>2</v>
      </c>
      <c r="E62" s="3" t="s">
        <v>16</v>
      </c>
      <c r="F62" s="3" t="s">
        <v>291</v>
      </c>
      <c r="G62" s="3" t="s">
        <v>26</v>
      </c>
      <c r="H62" s="3" t="s">
        <v>88</v>
      </c>
    </row>
    <row r="63" spans="1:8" x14ac:dyDescent="0.2">
      <c r="A63" s="3">
        <v>3099991203</v>
      </c>
      <c r="B63" s="4" t="s">
        <v>101</v>
      </c>
      <c r="C63" s="4" t="s">
        <v>102</v>
      </c>
      <c r="D63" s="3">
        <v>1</v>
      </c>
      <c r="E63" s="3" t="s">
        <v>16</v>
      </c>
      <c r="F63" s="3" t="s">
        <v>289</v>
      </c>
      <c r="G63" s="3" t="s">
        <v>23</v>
      </c>
      <c r="H63" s="3" t="s">
        <v>103</v>
      </c>
    </row>
    <row r="64" spans="1:8" x14ac:dyDescent="0.2">
      <c r="A64" s="3">
        <v>3099990225</v>
      </c>
      <c r="B64" s="4" t="s">
        <v>1902</v>
      </c>
      <c r="C64" s="4" t="s">
        <v>1903</v>
      </c>
      <c r="D64" s="3">
        <v>1</v>
      </c>
      <c r="E64" s="3" t="s">
        <v>16</v>
      </c>
      <c r="F64" s="3" t="s">
        <v>299</v>
      </c>
      <c r="G64" s="3" t="s">
        <v>106</v>
      </c>
      <c r="H64" s="3" t="s">
        <v>103</v>
      </c>
    </row>
    <row r="65" spans="1:8" x14ac:dyDescent="0.2">
      <c r="A65" s="3">
        <v>402010065</v>
      </c>
      <c r="B65" s="4" t="s">
        <v>882</v>
      </c>
      <c r="C65" s="4" t="s">
        <v>1927</v>
      </c>
      <c r="D65" s="3">
        <v>1</v>
      </c>
      <c r="E65" s="3" t="s">
        <v>16</v>
      </c>
      <c r="F65" s="3" t="s">
        <v>291</v>
      </c>
      <c r="G65" s="3" t="s">
        <v>26</v>
      </c>
      <c r="H65" s="3" t="s">
        <v>109</v>
      </c>
    </row>
    <row r="66" spans="1:8" x14ac:dyDescent="0.2">
      <c r="A66" s="3">
        <v>404100009</v>
      </c>
      <c r="B66" s="4" t="s">
        <v>326</v>
      </c>
      <c r="C66" s="4" t="s">
        <v>327</v>
      </c>
      <c r="D66" s="3">
        <v>1</v>
      </c>
      <c r="E66" s="3" t="s">
        <v>16</v>
      </c>
      <c r="F66" s="3" t="s">
        <v>301</v>
      </c>
      <c r="G66" s="3" t="s">
        <v>32</v>
      </c>
      <c r="H66" s="3" t="s">
        <v>109</v>
      </c>
    </row>
    <row r="67" spans="1:8" x14ac:dyDescent="0.2">
      <c r="A67" s="3">
        <v>402020006</v>
      </c>
      <c r="B67" s="4" t="s">
        <v>111</v>
      </c>
      <c r="C67" s="4" t="s">
        <v>112</v>
      </c>
      <c r="D67" s="3">
        <v>2</v>
      </c>
      <c r="E67" s="3" t="s">
        <v>16</v>
      </c>
      <c r="F67" s="3" t="s">
        <v>293</v>
      </c>
      <c r="G67" s="3" t="s">
        <v>29</v>
      </c>
      <c r="H67" s="3" t="s">
        <v>109</v>
      </c>
    </row>
    <row r="68" spans="1:8" x14ac:dyDescent="0.2">
      <c r="A68" s="3">
        <v>404100028</v>
      </c>
      <c r="B68" s="4" t="s">
        <v>600</v>
      </c>
      <c r="C68" s="4" t="s">
        <v>601</v>
      </c>
      <c r="D68" s="3">
        <v>1</v>
      </c>
      <c r="E68" s="3" t="s">
        <v>16</v>
      </c>
      <c r="F68" s="3" t="s">
        <v>301</v>
      </c>
      <c r="G68" s="3" t="s">
        <v>32</v>
      </c>
      <c r="H68" s="3" t="s">
        <v>109</v>
      </c>
    </row>
    <row r="69" spans="1:8" x14ac:dyDescent="0.2">
      <c r="A69" s="3">
        <v>404100029</v>
      </c>
      <c r="B69" s="4" t="s">
        <v>600</v>
      </c>
      <c r="C69" s="4" t="s">
        <v>602</v>
      </c>
      <c r="D69" s="3">
        <v>1</v>
      </c>
      <c r="E69" s="3" t="s">
        <v>16</v>
      </c>
      <c r="F69" s="3" t="s">
        <v>301</v>
      </c>
      <c r="G69" s="3" t="s">
        <v>32</v>
      </c>
      <c r="H69" s="3" t="s">
        <v>109</v>
      </c>
    </row>
    <row r="70" spans="1:8" x14ac:dyDescent="0.2">
      <c r="A70" s="3">
        <v>3060209002</v>
      </c>
      <c r="B70" s="4" t="s">
        <v>113</v>
      </c>
      <c r="C70" s="4" t="s">
        <v>114</v>
      </c>
      <c r="D70" s="3">
        <v>2</v>
      </c>
      <c r="E70" s="3" t="s">
        <v>16</v>
      </c>
      <c r="F70" s="3" t="s">
        <v>289</v>
      </c>
      <c r="G70" s="3" t="s">
        <v>23</v>
      </c>
      <c r="H70" s="3" t="s">
        <v>115</v>
      </c>
    </row>
    <row r="71" spans="1:8" x14ac:dyDescent="0.2">
      <c r="A71" s="3">
        <v>3030204032</v>
      </c>
      <c r="B71" s="4" t="s">
        <v>116</v>
      </c>
      <c r="C71" s="4" t="s">
        <v>117</v>
      </c>
      <c r="D71" s="3">
        <v>1</v>
      </c>
      <c r="E71" s="3" t="s">
        <v>16</v>
      </c>
      <c r="F71" s="3" t="s">
        <v>295</v>
      </c>
      <c r="G71" s="3" t="s">
        <v>17</v>
      </c>
      <c r="H71" s="3" t="s">
        <v>115</v>
      </c>
    </row>
    <row r="72" spans="1:8" x14ac:dyDescent="0.2">
      <c r="A72" s="3">
        <v>3040113002</v>
      </c>
      <c r="B72" s="4" t="s">
        <v>118</v>
      </c>
      <c r="C72" s="4" t="s">
        <v>119</v>
      </c>
      <c r="D72" s="3">
        <v>2</v>
      </c>
      <c r="E72" s="3" t="s">
        <v>16</v>
      </c>
      <c r="F72" s="3" t="s">
        <v>293</v>
      </c>
      <c r="G72" s="3" t="s">
        <v>29</v>
      </c>
      <c r="H72" s="3" t="s">
        <v>115</v>
      </c>
    </row>
    <row r="73" spans="1:8" x14ac:dyDescent="0.2">
      <c r="A73" s="3">
        <v>3040216001</v>
      </c>
      <c r="B73" s="4" t="s">
        <v>328</v>
      </c>
      <c r="C73" s="4" t="s">
        <v>329</v>
      </c>
      <c r="D73" s="3">
        <v>4</v>
      </c>
      <c r="E73" s="3" t="s">
        <v>16</v>
      </c>
      <c r="F73" s="3" t="s">
        <v>293</v>
      </c>
      <c r="G73" s="3" t="s">
        <v>29</v>
      </c>
      <c r="H73" s="3" t="s">
        <v>115</v>
      </c>
    </row>
    <row r="74" spans="1:8" x14ac:dyDescent="0.2">
      <c r="A74" s="3">
        <v>3030204006</v>
      </c>
      <c r="B74" s="4" t="s">
        <v>120</v>
      </c>
      <c r="C74" s="4" t="s">
        <v>121</v>
      </c>
      <c r="D74" s="3">
        <v>2</v>
      </c>
      <c r="E74" s="3" t="s">
        <v>16</v>
      </c>
      <c r="F74" s="3" t="s">
        <v>295</v>
      </c>
      <c r="G74" s="3" t="s">
        <v>17</v>
      </c>
      <c r="H74" s="3" t="s">
        <v>115</v>
      </c>
    </row>
    <row r="75" spans="1:8" x14ac:dyDescent="0.2">
      <c r="A75" s="3">
        <v>3030204008</v>
      </c>
      <c r="B75" s="4" t="s">
        <v>122</v>
      </c>
      <c r="C75" s="4" t="s">
        <v>123</v>
      </c>
      <c r="D75" s="3">
        <v>1</v>
      </c>
      <c r="E75" s="3" t="s">
        <v>16</v>
      </c>
      <c r="F75" s="3" t="s">
        <v>291</v>
      </c>
      <c r="G75" s="3" t="s">
        <v>26</v>
      </c>
      <c r="H75" s="3" t="s">
        <v>115</v>
      </c>
    </row>
    <row r="76" spans="1:8" x14ac:dyDescent="0.2">
      <c r="A76" s="3">
        <v>3030204010</v>
      </c>
      <c r="B76" s="4" t="s">
        <v>124</v>
      </c>
      <c r="C76" s="4" t="s">
        <v>125</v>
      </c>
      <c r="D76" s="3">
        <v>1</v>
      </c>
      <c r="E76" s="3" t="s">
        <v>16</v>
      </c>
      <c r="F76" s="3" t="s">
        <v>295</v>
      </c>
      <c r="G76" s="3" t="s">
        <v>17</v>
      </c>
      <c r="H76" s="3" t="s">
        <v>115</v>
      </c>
    </row>
    <row r="77" spans="1:8" x14ac:dyDescent="0.2">
      <c r="A77" s="3">
        <v>3030204012</v>
      </c>
      <c r="B77" s="4" t="s">
        <v>126</v>
      </c>
      <c r="C77" s="4" t="s">
        <v>127</v>
      </c>
      <c r="D77" s="3">
        <v>1</v>
      </c>
      <c r="E77" s="3" t="s">
        <v>16</v>
      </c>
      <c r="F77" s="3" t="s">
        <v>295</v>
      </c>
      <c r="G77" s="3" t="s">
        <v>17</v>
      </c>
      <c r="H77" s="3" t="s">
        <v>115</v>
      </c>
    </row>
    <row r="78" spans="1:8" x14ac:dyDescent="0.2">
      <c r="A78" s="3">
        <v>3070104005</v>
      </c>
      <c r="B78" s="4" t="s">
        <v>128</v>
      </c>
      <c r="C78" s="4" t="s">
        <v>330</v>
      </c>
      <c r="D78" s="3">
        <v>1</v>
      </c>
      <c r="E78" s="3" t="s">
        <v>16</v>
      </c>
      <c r="F78" s="3" t="s">
        <v>317</v>
      </c>
      <c r="G78" s="3" t="s">
        <v>318</v>
      </c>
      <c r="H78" s="3" t="s">
        <v>115</v>
      </c>
    </row>
    <row r="79" spans="1:8" x14ac:dyDescent="0.2">
      <c r="A79" s="3">
        <v>3070104001</v>
      </c>
      <c r="B79" s="4" t="s">
        <v>331</v>
      </c>
      <c r="C79" s="4" t="s">
        <v>332</v>
      </c>
      <c r="D79" s="3">
        <v>1</v>
      </c>
      <c r="E79" s="3" t="s">
        <v>16</v>
      </c>
      <c r="F79" s="3" t="s">
        <v>317</v>
      </c>
      <c r="G79" s="3" t="s">
        <v>318</v>
      </c>
      <c r="H79" s="3" t="s">
        <v>115</v>
      </c>
    </row>
    <row r="80" spans="1:8" x14ac:dyDescent="0.2">
      <c r="A80" s="3">
        <v>3030404003</v>
      </c>
      <c r="B80" s="4" t="s">
        <v>130</v>
      </c>
      <c r="C80" s="4" t="s">
        <v>131</v>
      </c>
      <c r="D80" s="3">
        <v>2</v>
      </c>
      <c r="E80" s="3" t="s">
        <v>16</v>
      </c>
      <c r="F80" s="3" t="s">
        <v>291</v>
      </c>
      <c r="G80" s="3" t="s">
        <v>26</v>
      </c>
      <c r="H80" s="3" t="s">
        <v>132</v>
      </c>
    </row>
    <row r="81" spans="1:8" x14ac:dyDescent="0.2">
      <c r="A81" s="3">
        <v>404040025</v>
      </c>
      <c r="B81" s="4" t="s">
        <v>30</v>
      </c>
      <c r="C81" s="4" t="s">
        <v>133</v>
      </c>
      <c r="D81" s="3">
        <v>2</v>
      </c>
      <c r="E81" s="3" t="s">
        <v>16</v>
      </c>
      <c r="F81" s="3" t="s">
        <v>291</v>
      </c>
      <c r="G81" s="3" t="s">
        <v>26</v>
      </c>
      <c r="H81" s="3" t="s">
        <v>134</v>
      </c>
    </row>
    <row r="82" spans="1:8" x14ac:dyDescent="0.2">
      <c r="A82" s="3">
        <v>404020073</v>
      </c>
      <c r="B82" s="4" t="s">
        <v>30</v>
      </c>
      <c r="C82" s="4" t="s">
        <v>135</v>
      </c>
      <c r="D82" s="3">
        <v>1</v>
      </c>
      <c r="E82" s="3" t="s">
        <v>16</v>
      </c>
      <c r="F82" s="3" t="s">
        <v>291</v>
      </c>
      <c r="G82" s="3" t="s">
        <v>26</v>
      </c>
      <c r="H82" s="3" t="s">
        <v>134</v>
      </c>
    </row>
    <row r="83" spans="1:8" x14ac:dyDescent="0.2">
      <c r="A83" s="3">
        <v>401040093</v>
      </c>
      <c r="B83" s="4" t="s">
        <v>35</v>
      </c>
      <c r="C83" s="4" t="s">
        <v>619</v>
      </c>
      <c r="D83" s="3">
        <v>1</v>
      </c>
      <c r="E83" s="3" t="s">
        <v>16</v>
      </c>
      <c r="F83" s="3" t="s">
        <v>291</v>
      </c>
      <c r="G83" s="3" t="s">
        <v>26</v>
      </c>
      <c r="H83" s="3" t="s">
        <v>134</v>
      </c>
    </row>
    <row r="84" spans="1:8" x14ac:dyDescent="0.2">
      <c r="A84" s="3">
        <v>3990207001</v>
      </c>
      <c r="B84" s="4" t="s">
        <v>140</v>
      </c>
      <c r="C84" s="4" t="s">
        <v>141</v>
      </c>
      <c r="D84" s="3">
        <v>1</v>
      </c>
      <c r="E84" s="3" t="s">
        <v>16</v>
      </c>
      <c r="F84" s="3" t="s">
        <v>285</v>
      </c>
      <c r="G84" s="3" t="s">
        <v>142</v>
      </c>
      <c r="H84" s="3" t="s">
        <v>143</v>
      </c>
    </row>
    <row r="85" spans="1:8" x14ac:dyDescent="0.2">
      <c r="A85" s="3">
        <v>3030301005</v>
      </c>
      <c r="B85" s="4" t="s">
        <v>144</v>
      </c>
      <c r="C85" s="4" t="s">
        <v>145</v>
      </c>
      <c r="D85" s="3">
        <v>2</v>
      </c>
      <c r="E85" s="3" t="s">
        <v>16</v>
      </c>
      <c r="F85" s="3" t="s">
        <v>291</v>
      </c>
      <c r="G85" s="3" t="s">
        <v>26</v>
      </c>
      <c r="H85" s="3" t="s">
        <v>143</v>
      </c>
    </row>
    <row r="86" spans="1:8" x14ac:dyDescent="0.2">
      <c r="A86" s="3">
        <v>3990204002</v>
      </c>
      <c r="B86" s="4" t="s">
        <v>333</v>
      </c>
      <c r="C86" s="4" t="s">
        <v>334</v>
      </c>
      <c r="D86" s="3">
        <v>1</v>
      </c>
      <c r="E86" s="3" t="s">
        <v>16</v>
      </c>
      <c r="F86" s="3" t="s">
        <v>335</v>
      </c>
      <c r="G86" s="3" t="s">
        <v>336</v>
      </c>
      <c r="H86" s="3" t="s">
        <v>143</v>
      </c>
    </row>
    <row r="87" spans="1:8" x14ac:dyDescent="0.2">
      <c r="A87" s="3">
        <v>407010091</v>
      </c>
      <c r="B87" s="4" t="s">
        <v>149</v>
      </c>
      <c r="C87" s="4" t="s">
        <v>620</v>
      </c>
      <c r="D87" s="3">
        <v>1</v>
      </c>
      <c r="E87" s="3" t="s">
        <v>16</v>
      </c>
      <c r="F87" s="3" t="s">
        <v>289</v>
      </c>
      <c r="G87" s="3" t="s">
        <v>23</v>
      </c>
      <c r="H87" s="3" t="s">
        <v>151</v>
      </c>
    </row>
    <row r="88" spans="1:8" x14ac:dyDescent="0.2">
      <c r="A88" s="3">
        <v>3070103002</v>
      </c>
      <c r="B88" s="4" t="s">
        <v>152</v>
      </c>
      <c r="C88" s="4" t="s">
        <v>153</v>
      </c>
      <c r="D88" s="3">
        <v>1</v>
      </c>
      <c r="E88" s="3" t="s">
        <v>16</v>
      </c>
      <c r="F88" s="3" t="s">
        <v>289</v>
      </c>
      <c r="G88" s="3" t="s">
        <v>23</v>
      </c>
      <c r="H88" s="3" t="s">
        <v>154</v>
      </c>
    </row>
    <row r="89" spans="1:8" x14ac:dyDescent="0.2">
      <c r="A89" s="3">
        <v>3030203004</v>
      </c>
      <c r="B89" s="4" t="s">
        <v>155</v>
      </c>
      <c r="C89" s="4" t="s">
        <v>156</v>
      </c>
      <c r="D89" s="3">
        <v>1</v>
      </c>
      <c r="E89" s="3" t="s">
        <v>16</v>
      </c>
      <c r="F89" s="3" t="s">
        <v>295</v>
      </c>
      <c r="G89" s="3" t="s">
        <v>17</v>
      </c>
      <c r="H89" s="3" t="s">
        <v>154</v>
      </c>
    </row>
    <row r="90" spans="1:8" x14ac:dyDescent="0.2">
      <c r="A90" s="3">
        <v>3040211002</v>
      </c>
      <c r="B90" s="4" t="s">
        <v>157</v>
      </c>
      <c r="C90" s="4" t="s">
        <v>158</v>
      </c>
      <c r="D90" s="3">
        <v>2</v>
      </c>
      <c r="E90" s="3" t="s">
        <v>16</v>
      </c>
      <c r="F90" s="3" t="s">
        <v>293</v>
      </c>
      <c r="G90" s="3" t="s">
        <v>29</v>
      </c>
      <c r="H90" s="3" t="s">
        <v>154</v>
      </c>
    </row>
    <row r="91" spans="1:8" x14ac:dyDescent="0.2">
      <c r="A91" s="3">
        <v>3040217003</v>
      </c>
      <c r="B91" s="4" t="s">
        <v>159</v>
      </c>
      <c r="C91" s="4" t="s">
        <v>160</v>
      </c>
      <c r="D91" s="3">
        <v>2</v>
      </c>
      <c r="E91" s="3" t="s">
        <v>16</v>
      </c>
      <c r="F91" s="3" t="s">
        <v>293</v>
      </c>
      <c r="G91" s="3" t="s">
        <v>29</v>
      </c>
      <c r="H91" s="3" t="s">
        <v>154</v>
      </c>
    </row>
    <row r="92" spans="1:8" x14ac:dyDescent="0.2">
      <c r="A92" s="3">
        <v>3030310010</v>
      </c>
      <c r="B92" s="4" t="s">
        <v>161</v>
      </c>
      <c r="C92" s="4" t="s">
        <v>162</v>
      </c>
      <c r="D92" s="3">
        <v>1</v>
      </c>
      <c r="E92" s="3" t="s">
        <v>16</v>
      </c>
      <c r="F92" s="3" t="s">
        <v>295</v>
      </c>
      <c r="G92" s="3" t="s">
        <v>17</v>
      </c>
      <c r="H92" s="3" t="s">
        <v>154</v>
      </c>
    </row>
    <row r="93" spans="1:8" x14ac:dyDescent="0.2">
      <c r="A93" s="3">
        <v>3060306001</v>
      </c>
      <c r="B93" s="4" t="s">
        <v>163</v>
      </c>
      <c r="C93" s="4" t="s">
        <v>164</v>
      </c>
      <c r="D93" s="3">
        <v>1</v>
      </c>
      <c r="E93" s="3" t="s">
        <v>16</v>
      </c>
      <c r="F93" s="3" t="s">
        <v>289</v>
      </c>
      <c r="G93" s="3" t="s">
        <v>23</v>
      </c>
      <c r="H93" s="3" t="s">
        <v>165</v>
      </c>
    </row>
    <row r="94" spans="1:8" x14ac:dyDescent="0.2">
      <c r="A94" s="3">
        <v>3110103002</v>
      </c>
      <c r="B94" s="4" t="s">
        <v>473</v>
      </c>
      <c r="C94" s="4" t="s">
        <v>474</v>
      </c>
      <c r="D94" s="3">
        <v>1</v>
      </c>
      <c r="E94" s="3" t="s">
        <v>16</v>
      </c>
      <c r="F94" s="3" t="s">
        <v>291</v>
      </c>
      <c r="G94" s="3" t="s">
        <v>26</v>
      </c>
      <c r="H94" s="3" t="s">
        <v>165</v>
      </c>
    </row>
    <row r="95" spans="1:8" x14ac:dyDescent="0.2">
      <c r="A95" s="3">
        <v>3030303067</v>
      </c>
      <c r="B95" s="4" t="s">
        <v>166</v>
      </c>
      <c r="C95" s="4" t="s">
        <v>167</v>
      </c>
      <c r="D95" s="3">
        <v>1</v>
      </c>
      <c r="E95" s="3" t="s">
        <v>16</v>
      </c>
      <c r="F95" s="3" t="s">
        <v>295</v>
      </c>
      <c r="G95" s="3" t="s">
        <v>17</v>
      </c>
      <c r="H95" s="3" t="s">
        <v>165</v>
      </c>
    </row>
    <row r="96" spans="1:8" x14ac:dyDescent="0.2">
      <c r="A96" s="3">
        <v>3010106010</v>
      </c>
      <c r="B96" s="4" t="s">
        <v>481</v>
      </c>
      <c r="C96" s="4" t="s">
        <v>482</v>
      </c>
      <c r="D96" s="3">
        <v>0.38</v>
      </c>
      <c r="E96" s="3" t="s">
        <v>10</v>
      </c>
      <c r="F96" s="3" t="s">
        <v>284</v>
      </c>
      <c r="G96" s="3" t="s">
        <v>11</v>
      </c>
      <c r="H96" s="3" t="s">
        <v>483</v>
      </c>
    </row>
    <row r="97" spans="1:8" x14ac:dyDescent="0.2">
      <c r="A97" s="3">
        <v>3060310001</v>
      </c>
      <c r="B97" s="4" t="s">
        <v>171</v>
      </c>
      <c r="C97" s="4" t="s">
        <v>172</v>
      </c>
      <c r="D97" s="3">
        <v>1</v>
      </c>
      <c r="E97" s="3" t="s">
        <v>16</v>
      </c>
      <c r="F97" s="3" t="s">
        <v>289</v>
      </c>
      <c r="G97" s="3" t="s">
        <v>23</v>
      </c>
      <c r="H97" s="3" t="s">
        <v>173</v>
      </c>
    </row>
    <row r="98" spans="1:8" x14ac:dyDescent="0.2">
      <c r="A98" s="3">
        <v>3060311001</v>
      </c>
      <c r="B98" s="4" t="s">
        <v>174</v>
      </c>
      <c r="C98" s="4" t="s">
        <v>172</v>
      </c>
      <c r="D98" s="3">
        <v>1</v>
      </c>
      <c r="E98" s="3" t="s">
        <v>16</v>
      </c>
      <c r="F98" s="3" t="s">
        <v>289</v>
      </c>
      <c r="G98" s="3" t="s">
        <v>23</v>
      </c>
      <c r="H98" s="3" t="s">
        <v>173</v>
      </c>
    </row>
    <row r="99" spans="1:8" x14ac:dyDescent="0.2">
      <c r="A99" s="3">
        <v>3030303003</v>
      </c>
      <c r="B99" s="4" t="s">
        <v>175</v>
      </c>
      <c r="C99" s="4" t="s">
        <v>176</v>
      </c>
      <c r="D99" s="3">
        <v>1</v>
      </c>
      <c r="E99" s="3" t="s">
        <v>16</v>
      </c>
      <c r="F99" s="3" t="s">
        <v>295</v>
      </c>
      <c r="G99" s="3" t="s">
        <v>17</v>
      </c>
      <c r="H99" s="3" t="s">
        <v>173</v>
      </c>
    </row>
    <row r="100" spans="1:8" x14ac:dyDescent="0.2">
      <c r="A100" s="3">
        <v>3030303005</v>
      </c>
      <c r="B100" s="4" t="s">
        <v>177</v>
      </c>
      <c r="C100" s="4" t="s">
        <v>176</v>
      </c>
      <c r="D100" s="3">
        <v>1</v>
      </c>
      <c r="E100" s="3" t="s">
        <v>16</v>
      </c>
      <c r="F100" s="3" t="s">
        <v>291</v>
      </c>
      <c r="G100" s="3" t="s">
        <v>26</v>
      </c>
      <c r="H100" s="3" t="s">
        <v>173</v>
      </c>
    </row>
    <row r="101" spans="1:8" x14ac:dyDescent="0.2">
      <c r="A101" s="3">
        <v>3040328006</v>
      </c>
      <c r="B101" s="4" t="s">
        <v>267</v>
      </c>
      <c r="C101" s="4" t="s">
        <v>605</v>
      </c>
      <c r="D101" s="3">
        <v>2</v>
      </c>
      <c r="E101" s="3" t="s">
        <v>16</v>
      </c>
      <c r="F101" s="3" t="s">
        <v>293</v>
      </c>
      <c r="G101" s="3" t="s">
        <v>29</v>
      </c>
      <c r="H101" s="3" t="s">
        <v>173</v>
      </c>
    </row>
    <row r="102" spans="1:8" x14ac:dyDescent="0.2">
      <c r="A102" s="3">
        <v>3040309001</v>
      </c>
      <c r="B102" s="4" t="s">
        <v>346</v>
      </c>
      <c r="C102" s="4" t="s">
        <v>347</v>
      </c>
      <c r="D102" s="3">
        <v>8</v>
      </c>
      <c r="E102" s="3" t="s">
        <v>16</v>
      </c>
      <c r="F102" s="3" t="s">
        <v>293</v>
      </c>
      <c r="G102" s="3" t="s">
        <v>29</v>
      </c>
      <c r="H102" s="3" t="s">
        <v>173</v>
      </c>
    </row>
    <row r="103" spans="1:8" x14ac:dyDescent="0.2">
      <c r="A103" s="3">
        <v>3070201002</v>
      </c>
      <c r="B103" s="4" t="s">
        <v>348</v>
      </c>
      <c r="C103" s="4" t="s">
        <v>349</v>
      </c>
      <c r="D103" s="3">
        <v>1</v>
      </c>
      <c r="E103" s="3" t="s">
        <v>16</v>
      </c>
      <c r="F103" s="3" t="s">
        <v>317</v>
      </c>
      <c r="G103" s="3" t="s">
        <v>318</v>
      </c>
      <c r="H103" s="3" t="s">
        <v>173</v>
      </c>
    </row>
    <row r="104" spans="1:8" x14ac:dyDescent="0.2">
      <c r="A104" s="3">
        <v>3030310007</v>
      </c>
      <c r="B104" s="4" t="s">
        <v>178</v>
      </c>
      <c r="C104" s="4" t="s">
        <v>179</v>
      </c>
      <c r="D104" s="3">
        <v>1</v>
      </c>
      <c r="E104" s="3" t="s">
        <v>16</v>
      </c>
      <c r="F104" s="3" t="s">
        <v>295</v>
      </c>
      <c r="G104" s="3" t="s">
        <v>17</v>
      </c>
      <c r="H104" s="3" t="s">
        <v>173</v>
      </c>
    </row>
    <row r="105" spans="1:8" x14ac:dyDescent="0.2">
      <c r="A105" s="3">
        <v>3030310009</v>
      </c>
      <c r="B105" s="4" t="s">
        <v>180</v>
      </c>
      <c r="C105" s="4" t="s">
        <v>179</v>
      </c>
      <c r="D105" s="3">
        <v>1</v>
      </c>
      <c r="E105" s="3" t="s">
        <v>16</v>
      </c>
      <c r="F105" s="3" t="s">
        <v>295</v>
      </c>
      <c r="G105" s="3" t="s">
        <v>17</v>
      </c>
      <c r="H105" s="3" t="s">
        <v>173</v>
      </c>
    </row>
    <row r="106" spans="1:8" x14ac:dyDescent="0.2">
      <c r="A106" s="3">
        <v>3020501014</v>
      </c>
      <c r="B106" s="4" t="s">
        <v>183</v>
      </c>
      <c r="C106" s="4" t="s">
        <v>350</v>
      </c>
      <c r="D106" s="3">
        <v>1</v>
      </c>
      <c r="E106" s="3" t="s">
        <v>16</v>
      </c>
      <c r="F106" s="3" t="s">
        <v>291</v>
      </c>
      <c r="G106" s="3" t="s">
        <v>26</v>
      </c>
      <c r="H106" s="3" t="s">
        <v>185</v>
      </c>
    </row>
    <row r="107" spans="1:8" x14ac:dyDescent="0.2">
      <c r="A107" s="3">
        <v>3990201009</v>
      </c>
      <c r="B107" s="4" t="s">
        <v>186</v>
      </c>
      <c r="C107" s="4" t="s">
        <v>606</v>
      </c>
      <c r="D107" s="3">
        <v>1</v>
      </c>
      <c r="E107" s="3" t="s">
        <v>16</v>
      </c>
      <c r="F107" s="3" t="s">
        <v>295</v>
      </c>
      <c r="G107" s="3" t="s">
        <v>17</v>
      </c>
      <c r="H107" s="3" t="s">
        <v>187</v>
      </c>
    </row>
    <row r="108" spans="1:8" x14ac:dyDescent="0.2">
      <c r="A108" s="3">
        <v>3990202008</v>
      </c>
      <c r="B108" s="4" t="s">
        <v>188</v>
      </c>
      <c r="C108" s="4" t="s">
        <v>606</v>
      </c>
      <c r="D108" s="3">
        <v>1</v>
      </c>
      <c r="E108" s="3" t="s">
        <v>16</v>
      </c>
      <c r="F108" s="3" t="s">
        <v>295</v>
      </c>
      <c r="G108" s="3" t="s">
        <v>17</v>
      </c>
      <c r="H108" s="3" t="s">
        <v>187</v>
      </c>
    </row>
    <row r="109" spans="1:8" x14ac:dyDescent="0.2">
      <c r="A109" s="3">
        <v>3990203004</v>
      </c>
      <c r="B109" s="4" t="s">
        <v>189</v>
      </c>
      <c r="C109" s="4" t="s">
        <v>606</v>
      </c>
      <c r="D109" s="3">
        <v>1</v>
      </c>
      <c r="E109" s="3" t="s">
        <v>16</v>
      </c>
      <c r="F109" s="3" t="s">
        <v>291</v>
      </c>
      <c r="G109" s="3" t="s">
        <v>26</v>
      </c>
      <c r="H109" s="3" t="s">
        <v>187</v>
      </c>
    </row>
    <row r="110" spans="1:8" x14ac:dyDescent="0.2">
      <c r="A110" s="3">
        <v>3030401002</v>
      </c>
      <c r="B110" s="4" t="s">
        <v>190</v>
      </c>
      <c r="C110" s="4" t="s">
        <v>191</v>
      </c>
      <c r="D110" s="3">
        <v>1</v>
      </c>
      <c r="E110" s="3" t="s">
        <v>16</v>
      </c>
      <c r="F110" s="3" t="s">
        <v>295</v>
      </c>
      <c r="G110" s="3" t="s">
        <v>17</v>
      </c>
      <c r="H110" s="3" t="s">
        <v>192</v>
      </c>
    </row>
    <row r="111" spans="1:8" x14ac:dyDescent="0.2">
      <c r="A111" s="3">
        <v>3040402001</v>
      </c>
      <c r="B111" s="4" t="s">
        <v>193</v>
      </c>
      <c r="C111" s="4" t="s">
        <v>194</v>
      </c>
      <c r="D111" s="3">
        <v>1</v>
      </c>
      <c r="E111" s="3" t="s">
        <v>16</v>
      </c>
      <c r="F111" s="3" t="s">
        <v>293</v>
      </c>
      <c r="G111" s="3" t="s">
        <v>29</v>
      </c>
      <c r="H111" s="3" t="s">
        <v>192</v>
      </c>
    </row>
    <row r="112" spans="1:8" x14ac:dyDescent="0.2">
      <c r="A112" s="3">
        <v>3040402002</v>
      </c>
      <c r="B112" s="4" t="s">
        <v>193</v>
      </c>
      <c r="C112" s="4" t="s">
        <v>195</v>
      </c>
      <c r="D112" s="3">
        <v>1</v>
      </c>
      <c r="E112" s="3" t="s">
        <v>16</v>
      </c>
      <c r="F112" s="3" t="s">
        <v>293</v>
      </c>
      <c r="G112" s="3" t="s">
        <v>29</v>
      </c>
      <c r="H112" s="3" t="s">
        <v>192</v>
      </c>
    </row>
    <row r="113" spans="1:8" x14ac:dyDescent="0.2">
      <c r="A113" s="3">
        <v>404100024</v>
      </c>
      <c r="B113" s="4" t="s">
        <v>196</v>
      </c>
      <c r="C113" s="4" t="s">
        <v>621</v>
      </c>
      <c r="D113" s="3">
        <v>1</v>
      </c>
      <c r="E113" s="3" t="s">
        <v>16</v>
      </c>
      <c r="F113" s="3" t="s">
        <v>301</v>
      </c>
      <c r="G113" s="3" t="s">
        <v>32</v>
      </c>
      <c r="H113" s="3" t="s">
        <v>198</v>
      </c>
    </row>
    <row r="114" spans="1:8" x14ac:dyDescent="0.2">
      <c r="A114" s="3">
        <v>404060019</v>
      </c>
      <c r="B114" s="4" t="s">
        <v>30</v>
      </c>
      <c r="C114" s="4" t="s">
        <v>352</v>
      </c>
      <c r="D114" s="3">
        <v>1</v>
      </c>
      <c r="E114" s="3" t="s">
        <v>16</v>
      </c>
      <c r="F114" s="3" t="s">
        <v>291</v>
      </c>
      <c r="G114" s="3" t="s">
        <v>26</v>
      </c>
      <c r="H114" s="3" t="s">
        <v>198</v>
      </c>
    </row>
    <row r="115" spans="1:8" x14ac:dyDescent="0.2">
      <c r="A115" s="3">
        <v>404020035</v>
      </c>
      <c r="B115" s="4" t="s">
        <v>30</v>
      </c>
      <c r="C115" s="4" t="s">
        <v>199</v>
      </c>
      <c r="D115" s="3">
        <v>1</v>
      </c>
      <c r="E115" s="3" t="s">
        <v>16</v>
      </c>
      <c r="F115" s="3" t="s">
        <v>291</v>
      </c>
      <c r="G115" s="3" t="s">
        <v>26</v>
      </c>
      <c r="H115" s="3" t="s">
        <v>198</v>
      </c>
    </row>
    <row r="116" spans="1:8" x14ac:dyDescent="0.2">
      <c r="A116" s="3">
        <v>404100031</v>
      </c>
      <c r="B116" s="4" t="s">
        <v>200</v>
      </c>
      <c r="C116" s="4" t="s">
        <v>622</v>
      </c>
      <c r="D116" s="3">
        <v>1</v>
      </c>
      <c r="E116" s="3" t="s">
        <v>16</v>
      </c>
      <c r="F116" s="3" t="s">
        <v>301</v>
      </c>
      <c r="G116" s="3" t="s">
        <v>32</v>
      </c>
      <c r="H116" s="3" t="s">
        <v>198</v>
      </c>
    </row>
    <row r="117" spans="1:8" x14ac:dyDescent="0.2">
      <c r="A117" s="3">
        <v>40901001</v>
      </c>
      <c r="B117" s="4" t="s">
        <v>801</v>
      </c>
      <c r="C117" s="4" t="s">
        <v>1916</v>
      </c>
      <c r="D117" s="3">
        <v>1</v>
      </c>
      <c r="E117" s="3" t="s">
        <v>16</v>
      </c>
      <c r="F117" s="3" t="s">
        <v>291</v>
      </c>
      <c r="G117" s="3" t="s">
        <v>26</v>
      </c>
      <c r="H117" s="3" t="s">
        <v>198</v>
      </c>
    </row>
    <row r="118" spans="1:8" x14ac:dyDescent="0.2">
      <c r="A118" s="3">
        <v>401070018</v>
      </c>
      <c r="B118" s="4" t="s">
        <v>35</v>
      </c>
      <c r="C118" s="4" t="s">
        <v>202</v>
      </c>
      <c r="D118" s="3">
        <v>1</v>
      </c>
      <c r="E118" s="3" t="s">
        <v>16</v>
      </c>
      <c r="F118" s="3" t="s">
        <v>291</v>
      </c>
      <c r="G118" s="3" t="s">
        <v>26</v>
      </c>
      <c r="H118" s="3" t="s">
        <v>198</v>
      </c>
    </row>
    <row r="119" spans="1:8" x14ac:dyDescent="0.2">
      <c r="A119" s="3">
        <v>3992002001</v>
      </c>
      <c r="B119" s="4" t="s">
        <v>212</v>
      </c>
      <c r="C119" s="4" t="s">
        <v>213</v>
      </c>
      <c r="D119" s="3">
        <v>2</v>
      </c>
      <c r="E119" s="3" t="s">
        <v>16</v>
      </c>
      <c r="F119" s="3" t="s">
        <v>295</v>
      </c>
      <c r="G119" s="3" t="s">
        <v>17</v>
      </c>
      <c r="H119" s="3" t="s">
        <v>214</v>
      </c>
    </row>
    <row r="120" spans="1:8" x14ac:dyDescent="0.2">
      <c r="A120" s="3">
        <v>3992001001</v>
      </c>
      <c r="B120" s="4" t="s">
        <v>215</v>
      </c>
      <c r="C120" s="4" t="s">
        <v>213</v>
      </c>
      <c r="D120" s="3">
        <v>2</v>
      </c>
      <c r="E120" s="3" t="s">
        <v>16</v>
      </c>
      <c r="F120" s="3" t="s">
        <v>295</v>
      </c>
      <c r="G120" s="3" t="s">
        <v>17</v>
      </c>
      <c r="H120" s="3" t="s">
        <v>214</v>
      </c>
    </row>
    <row r="121" spans="1:8" x14ac:dyDescent="0.2">
      <c r="A121" s="3">
        <v>3030201004</v>
      </c>
      <c r="B121" s="4" t="s">
        <v>216</v>
      </c>
      <c r="C121" s="4" t="s">
        <v>213</v>
      </c>
      <c r="D121" s="3">
        <v>2</v>
      </c>
      <c r="E121" s="3" t="s">
        <v>16</v>
      </c>
      <c r="F121" s="3" t="s">
        <v>295</v>
      </c>
      <c r="G121" s="3" t="s">
        <v>17</v>
      </c>
      <c r="H121" s="3" t="s">
        <v>214</v>
      </c>
    </row>
    <row r="122" spans="1:8" x14ac:dyDescent="0.2">
      <c r="A122" s="3">
        <v>3049904001</v>
      </c>
      <c r="B122" s="4" t="s">
        <v>354</v>
      </c>
      <c r="C122" s="4" t="s">
        <v>355</v>
      </c>
      <c r="D122" s="3">
        <v>4</v>
      </c>
      <c r="E122" s="3" t="s">
        <v>16</v>
      </c>
      <c r="F122" s="3" t="s">
        <v>293</v>
      </c>
      <c r="G122" s="3" t="s">
        <v>29</v>
      </c>
      <c r="H122" s="3" t="s">
        <v>214</v>
      </c>
    </row>
    <row r="123" spans="1:8" x14ac:dyDescent="0.2">
      <c r="A123" s="3">
        <v>3049902005</v>
      </c>
      <c r="B123" s="4" t="s">
        <v>356</v>
      </c>
      <c r="C123" s="4" t="s">
        <v>357</v>
      </c>
      <c r="D123" s="3">
        <v>2</v>
      </c>
      <c r="E123" s="3" t="s">
        <v>16</v>
      </c>
      <c r="F123" s="3" t="s">
        <v>293</v>
      </c>
      <c r="G123" s="3" t="s">
        <v>29</v>
      </c>
      <c r="H123" s="3" t="s">
        <v>214</v>
      </c>
    </row>
    <row r="124" spans="1:8" x14ac:dyDescent="0.2">
      <c r="A124" s="3">
        <v>3030201005</v>
      </c>
      <c r="B124" s="4" t="s">
        <v>217</v>
      </c>
      <c r="C124" s="4" t="s">
        <v>218</v>
      </c>
      <c r="D124" s="3">
        <v>12</v>
      </c>
      <c r="E124" s="3" t="s">
        <v>16</v>
      </c>
      <c r="F124" s="3" t="s">
        <v>295</v>
      </c>
      <c r="G124" s="3" t="s">
        <v>17</v>
      </c>
      <c r="H124" s="3" t="s">
        <v>214</v>
      </c>
    </row>
    <row r="125" spans="1:8" x14ac:dyDescent="0.2">
      <c r="A125" s="3">
        <v>3070105007</v>
      </c>
      <c r="B125" s="4" t="s">
        <v>360</v>
      </c>
      <c r="C125" s="4" t="s">
        <v>361</v>
      </c>
      <c r="D125" s="3">
        <v>1</v>
      </c>
      <c r="E125" s="3" t="s">
        <v>16</v>
      </c>
      <c r="F125" s="3" t="s">
        <v>317</v>
      </c>
      <c r="G125" s="3" t="s">
        <v>318</v>
      </c>
      <c r="H125" s="3" t="s">
        <v>214</v>
      </c>
    </row>
    <row r="126" spans="1:8" x14ac:dyDescent="0.2">
      <c r="A126" s="3">
        <v>3070105008</v>
      </c>
      <c r="B126" s="4" t="s">
        <v>362</v>
      </c>
      <c r="C126" s="4" t="s">
        <v>361</v>
      </c>
      <c r="D126" s="3">
        <v>1</v>
      </c>
      <c r="E126" s="3" t="s">
        <v>16</v>
      </c>
      <c r="F126" s="3" t="s">
        <v>317</v>
      </c>
      <c r="G126" s="3" t="s">
        <v>318</v>
      </c>
      <c r="H126" s="3" t="s">
        <v>214</v>
      </c>
    </row>
    <row r="127" spans="1:8" x14ac:dyDescent="0.2">
      <c r="A127" s="3">
        <v>3030403001</v>
      </c>
      <c r="B127" s="4" t="s">
        <v>219</v>
      </c>
      <c r="C127" s="4" t="s">
        <v>220</v>
      </c>
      <c r="D127" s="3">
        <v>1</v>
      </c>
      <c r="E127" s="3" t="s">
        <v>16</v>
      </c>
      <c r="F127" s="3" t="s">
        <v>295</v>
      </c>
      <c r="G127" s="3" t="s">
        <v>17</v>
      </c>
      <c r="H127" s="3" t="s">
        <v>221</v>
      </c>
    </row>
    <row r="128" spans="1:8" x14ac:dyDescent="0.2">
      <c r="A128" s="3">
        <v>3020301001</v>
      </c>
      <c r="B128" s="4" t="s">
        <v>209</v>
      </c>
      <c r="C128" s="4" t="s">
        <v>365</v>
      </c>
      <c r="D128" s="3">
        <v>1</v>
      </c>
      <c r="E128" s="3" t="s">
        <v>16</v>
      </c>
      <c r="F128" s="3" t="s">
        <v>291</v>
      </c>
      <c r="G128" s="3" t="s">
        <v>26</v>
      </c>
      <c r="H128" s="3" t="s">
        <v>221</v>
      </c>
    </row>
    <row r="129" spans="1:8" x14ac:dyDescent="0.2">
      <c r="A129" s="3">
        <v>403030051</v>
      </c>
      <c r="B129" s="4" t="s">
        <v>366</v>
      </c>
      <c r="C129" s="4" t="s">
        <v>367</v>
      </c>
      <c r="D129" s="3">
        <v>3</v>
      </c>
      <c r="E129" s="3" t="s">
        <v>16</v>
      </c>
      <c r="F129" s="3" t="s">
        <v>301</v>
      </c>
      <c r="G129" s="3" t="s">
        <v>32</v>
      </c>
      <c r="H129" s="3" t="s">
        <v>221</v>
      </c>
    </row>
    <row r="130" spans="1:8" x14ac:dyDescent="0.2">
      <c r="A130" s="3">
        <v>403030005</v>
      </c>
      <c r="B130" s="4" t="s">
        <v>366</v>
      </c>
      <c r="C130" s="4" t="s">
        <v>368</v>
      </c>
      <c r="D130" s="3">
        <v>2</v>
      </c>
      <c r="E130" s="3" t="s">
        <v>16</v>
      </c>
      <c r="F130" s="3" t="s">
        <v>301</v>
      </c>
      <c r="G130" s="3" t="s">
        <v>32</v>
      </c>
      <c r="H130" s="3" t="s">
        <v>221</v>
      </c>
    </row>
    <row r="131" spans="1:8" x14ac:dyDescent="0.2">
      <c r="A131" s="3">
        <v>3050401001</v>
      </c>
      <c r="B131" s="4" t="s">
        <v>222</v>
      </c>
      <c r="C131" s="4" t="s">
        <v>223</v>
      </c>
      <c r="D131" s="3">
        <v>1</v>
      </c>
      <c r="E131" s="3" t="s">
        <v>16</v>
      </c>
      <c r="F131" s="3" t="s">
        <v>291</v>
      </c>
      <c r="G131" s="3" t="s">
        <v>26</v>
      </c>
      <c r="H131" s="3" t="s">
        <v>221</v>
      </c>
    </row>
    <row r="132" spans="1:8" x14ac:dyDescent="0.2">
      <c r="A132" s="3">
        <v>402050001</v>
      </c>
      <c r="B132" s="4" t="s">
        <v>522</v>
      </c>
      <c r="C132" s="4" t="s">
        <v>523</v>
      </c>
      <c r="D132" s="3">
        <v>1</v>
      </c>
      <c r="E132" s="3" t="s">
        <v>16</v>
      </c>
      <c r="F132" s="3" t="s">
        <v>289</v>
      </c>
      <c r="G132" s="3" t="s">
        <v>23</v>
      </c>
      <c r="H132" s="3" t="s">
        <v>524</v>
      </c>
    </row>
    <row r="133" spans="1:8" x14ac:dyDescent="0.2">
      <c r="A133" s="3">
        <v>3040502058</v>
      </c>
      <c r="B133" s="4" t="s">
        <v>136</v>
      </c>
      <c r="C133" s="4" t="s">
        <v>607</v>
      </c>
      <c r="D133" s="3">
        <v>1</v>
      </c>
      <c r="E133" s="3" t="s">
        <v>16</v>
      </c>
      <c r="F133" s="3" t="s">
        <v>293</v>
      </c>
      <c r="G133" s="3" t="s">
        <v>29</v>
      </c>
      <c r="H133" s="3" t="s">
        <v>370</v>
      </c>
    </row>
    <row r="134" spans="1:8" x14ac:dyDescent="0.2">
      <c r="A134" s="3">
        <v>3040502059</v>
      </c>
      <c r="B134" s="4" t="s">
        <v>136</v>
      </c>
      <c r="C134" s="4" t="s">
        <v>608</v>
      </c>
      <c r="D134" s="3">
        <v>1</v>
      </c>
      <c r="E134" s="3" t="s">
        <v>16</v>
      </c>
      <c r="F134" s="3" t="s">
        <v>293</v>
      </c>
      <c r="G134" s="3" t="s">
        <v>29</v>
      </c>
      <c r="H134" s="3" t="s">
        <v>370</v>
      </c>
    </row>
    <row r="135" spans="1:8" x14ac:dyDescent="0.2">
      <c r="A135" s="3">
        <v>3060501005</v>
      </c>
      <c r="B135" s="4" t="s">
        <v>224</v>
      </c>
      <c r="C135" s="4" t="s">
        <v>225</v>
      </c>
      <c r="D135" s="3">
        <v>1</v>
      </c>
      <c r="E135" s="3" t="s">
        <v>16</v>
      </c>
      <c r="F135" s="3" t="s">
        <v>289</v>
      </c>
      <c r="G135" s="3" t="s">
        <v>23</v>
      </c>
      <c r="H135" s="3" t="s">
        <v>226</v>
      </c>
    </row>
    <row r="136" spans="1:8" x14ac:dyDescent="0.2">
      <c r="A136" s="3">
        <v>3060333002</v>
      </c>
      <c r="B136" s="4" t="s">
        <v>227</v>
      </c>
      <c r="C136" s="4" t="s">
        <v>228</v>
      </c>
      <c r="D136" s="3">
        <v>1</v>
      </c>
      <c r="E136" s="3" t="s">
        <v>16</v>
      </c>
      <c r="F136" s="3" t="s">
        <v>289</v>
      </c>
      <c r="G136" s="3" t="s">
        <v>23</v>
      </c>
      <c r="H136" s="3" t="s">
        <v>226</v>
      </c>
    </row>
    <row r="137" spans="1:8" x14ac:dyDescent="0.2">
      <c r="A137" s="3">
        <v>3060303001</v>
      </c>
      <c r="B137" s="4" t="s">
        <v>231</v>
      </c>
      <c r="C137" s="4" t="s">
        <v>232</v>
      </c>
      <c r="D137" s="3">
        <v>1</v>
      </c>
      <c r="E137" s="3" t="s">
        <v>16</v>
      </c>
      <c r="F137" s="3" t="s">
        <v>289</v>
      </c>
      <c r="G137" s="3" t="s">
        <v>23</v>
      </c>
      <c r="H137" s="3" t="s">
        <v>226</v>
      </c>
    </row>
    <row r="138" spans="1:8" x14ac:dyDescent="0.2">
      <c r="A138" s="3">
        <v>3060335004</v>
      </c>
      <c r="B138" s="4" t="s">
        <v>233</v>
      </c>
      <c r="C138" s="4" t="s">
        <v>234</v>
      </c>
      <c r="D138" s="3">
        <v>1</v>
      </c>
      <c r="E138" s="3" t="s">
        <v>16</v>
      </c>
      <c r="F138" s="3" t="s">
        <v>289</v>
      </c>
      <c r="G138" s="3" t="s">
        <v>23</v>
      </c>
      <c r="H138" s="3" t="s">
        <v>226</v>
      </c>
    </row>
    <row r="139" spans="1:8" x14ac:dyDescent="0.2">
      <c r="A139" s="3">
        <v>3050305016</v>
      </c>
      <c r="B139" s="4" t="s">
        <v>527</v>
      </c>
      <c r="C139" s="4" t="s">
        <v>528</v>
      </c>
      <c r="D139" s="3">
        <v>1</v>
      </c>
      <c r="E139" s="3" t="s">
        <v>16</v>
      </c>
      <c r="F139" s="3" t="s">
        <v>291</v>
      </c>
      <c r="G139" s="3" t="s">
        <v>26</v>
      </c>
      <c r="H139" s="3" t="s">
        <v>226</v>
      </c>
    </row>
    <row r="140" spans="1:8" x14ac:dyDescent="0.2">
      <c r="A140" s="3">
        <v>3050305015</v>
      </c>
      <c r="B140" s="4" t="s">
        <v>529</v>
      </c>
      <c r="C140" s="4" t="s">
        <v>530</v>
      </c>
      <c r="D140" s="3">
        <v>1</v>
      </c>
      <c r="E140" s="3" t="s">
        <v>16</v>
      </c>
      <c r="F140" s="3" t="s">
        <v>291</v>
      </c>
      <c r="G140" s="3" t="s">
        <v>26</v>
      </c>
      <c r="H140" s="3" t="s">
        <v>226</v>
      </c>
    </row>
    <row r="141" spans="1:8" x14ac:dyDescent="0.2">
      <c r="A141" s="3">
        <v>3050306011</v>
      </c>
      <c r="B141" s="4" t="s">
        <v>531</v>
      </c>
      <c r="C141" s="4" t="s">
        <v>609</v>
      </c>
      <c r="D141" s="3">
        <v>1</v>
      </c>
      <c r="E141" s="3" t="s">
        <v>16</v>
      </c>
      <c r="F141" s="3" t="s">
        <v>291</v>
      </c>
      <c r="G141" s="3" t="s">
        <v>26</v>
      </c>
      <c r="H141" s="3" t="s">
        <v>226</v>
      </c>
    </row>
    <row r="142" spans="1:8" x14ac:dyDescent="0.2">
      <c r="A142" s="3">
        <v>3030306008</v>
      </c>
      <c r="B142" s="4" t="s">
        <v>235</v>
      </c>
      <c r="C142" s="4" t="s">
        <v>236</v>
      </c>
      <c r="D142" s="3">
        <v>1</v>
      </c>
      <c r="E142" s="3" t="s">
        <v>16</v>
      </c>
      <c r="F142" s="3" t="s">
        <v>295</v>
      </c>
      <c r="G142" s="3" t="s">
        <v>17</v>
      </c>
      <c r="H142" s="3" t="s">
        <v>226</v>
      </c>
    </row>
    <row r="143" spans="1:8" x14ac:dyDescent="0.2">
      <c r="A143" s="3">
        <v>3030314001</v>
      </c>
      <c r="B143" s="4" t="s">
        <v>237</v>
      </c>
      <c r="C143" s="4" t="s">
        <v>238</v>
      </c>
      <c r="D143" s="3">
        <v>1</v>
      </c>
      <c r="E143" s="3" t="s">
        <v>16</v>
      </c>
      <c r="F143" s="3" t="s">
        <v>291</v>
      </c>
      <c r="G143" s="3" t="s">
        <v>26</v>
      </c>
      <c r="H143" s="3" t="s">
        <v>226</v>
      </c>
    </row>
    <row r="144" spans="1:8" x14ac:dyDescent="0.2">
      <c r="A144" s="3">
        <v>3020101005</v>
      </c>
      <c r="B144" s="4" t="s">
        <v>239</v>
      </c>
      <c r="C144" s="4" t="s">
        <v>610</v>
      </c>
      <c r="D144" s="3">
        <v>5</v>
      </c>
      <c r="E144" s="3" t="s">
        <v>16</v>
      </c>
      <c r="F144" s="3" t="s">
        <v>297</v>
      </c>
      <c r="G144" s="3" t="s">
        <v>204</v>
      </c>
      <c r="H144" s="3" t="s">
        <v>226</v>
      </c>
    </row>
    <row r="145" spans="1:8" x14ac:dyDescent="0.2">
      <c r="A145" s="3">
        <v>3030303011</v>
      </c>
      <c r="B145" s="4" t="s">
        <v>611</v>
      </c>
      <c r="C145" s="4" t="s">
        <v>612</v>
      </c>
      <c r="D145" s="3">
        <v>2</v>
      </c>
      <c r="E145" s="3" t="s">
        <v>16</v>
      </c>
      <c r="F145" s="3" t="s">
        <v>291</v>
      </c>
      <c r="G145" s="3" t="s">
        <v>26</v>
      </c>
      <c r="H145" s="3" t="s">
        <v>226</v>
      </c>
    </row>
    <row r="146" spans="1:8" x14ac:dyDescent="0.2">
      <c r="A146" s="3">
        <v>3070205004</v>
      </c>
      <c r="B146" s="4" t="s">
        <v>372</v>
      </c>
      <c r="C146" s="4" t="s">
        <v>266</v>
      </c>
      <c r="D146" s="3">
        <v>1</v>
      </c>
      <c r="E146" s="3" t="s">
        <v>16</v>
      </c>
      <c r="F146" s="3" t="s">
        <v>317</v>
      </c>
      <c r="G146" s="3" t="s">
        <v>318</v>
      </c>
      <c r="H146" s="3" t="s">
        <v>226</v>
      </c>
    </row>
    <row r="147" spans="1:8" x14ac:dyDescent="0.2">
      <c r="A147" s="3">
        <v>3070211002</v>
      </c>
      <c r="B147" s="4" t="s">
        <v>373</v>
      </c>
      <c r="C147" s="4" t="s">
        <v>374</v>
      </c>
      <c r="D147" s="3">
        <v>1</v>
      </c>
      <c r="E147" s="3" t="s">
        <v>16</v>
      </c>
      <c r="F147" s="3" t="s">
        <v>317</v>
      </c>
      <c r="G147" s="3" t="s">
        <v>318</v>
      </c>
      <c r="H147" s="3" t="s">
        <v>226</v>
      </c>
    </row>
    <row r="148" spans="1:8" x14ac:dyDescent="0.2">
      <c r="A148" s="3">
        <v>3070216001</v>
      </c>
      <c r="B148" s="4" t="s">
        <v>375</v>
      </c>
      <c r="C148" s="4" t="s">
        <v>376</v>
      </c>
      <c r="D148" s="3">
        <v>1</v>
      </c>
      <c r="E148" s="3" t="s">
        <v>16</v>
      </c>
      <c r="F148" s="3" t="s">
        <v>317</v>
      </c>
      <c r="G148" s="3" t="s">
        <v>318</v>
      </c>
      <c r="H148" s="3" t="s">
        <v>226</v>
      </c>
    </row>
    <row r="149" spans="1:8" x14ac:dyDescent="0.2">
      <c r="A149" s="3">
        <v>3070212001</v>
      </c>
      <c r="B149" s="4" t="s">
        <v>377</v>
      </c>
      <c r="C149" s="4" t="s">
        <v>378</v>
      </c>
      <c r="D149" s="3">
        <v>1</v>
      </c>
      <c r="E149" s="3" t="s">
        <v>16</v>
      </c>
      <c r="F149" s="3" t="s">
        <v>317</v>
      </c>
      <c r="G149" s="3" t="s">
        <v>318</v>
      </c>
      <c r="H149" s="3" t="s">
        <v>226</v>
      </c>
    </row>
    <row r="150" spans="1:8" x14ac:dyDescent="0.2">
      <c r="A150" s="3">
        <v>3070210001</v>
      </c>
      <c r="B150" s="4" t="s">
        <v>379</v>
      </c>
      <c r="C150" s="4" t="s">
        <v>280</v>
      </c>
      <c r="D150" s="3">
        <v>1</v>
      </c>
      <c r="E150" s="3" t="s">
        <v>16</v>
      </c>
      <c r="F150" s="3" t="s">
        <v>317</v>
      </c>
      <c r="G150" s="3" t="s">
        <v>318</v>
      </c>
      <c r="H150" s="3" t="s">
        <v>226</v>
      </c>
    </row>
    <row r="151" spans="1:8" x14ac:dyDescent="0.2">
      <c r="A151" s="3">
        <v>3050302012</v>
      </c>
      <c r="B151" s="4" t="s">
        <v>1921</v>
      </c>
      <c r="C151" s="4" t="s">
        <v>1922</v>
      </c>
      <c r="D151" s="3">
        <v>1</v>
      </c>
      <c r="E151" s="3" t="s">
        <v>16</v>
      </c>
      <c r="F151" s="3" t="s">
        <v>291</v>
      </c>
      <c r="G151" s="3" t="s">
        <v>26</v>
      </c>
      <c r="H151" s="3" t="s">
        <v>226</v>
      </c>
    </row>
    <row r="152" spans="1:8" x14ac:dyDescent="0.2">
      <c r="A152" s="3">
        <v>3080401031</v>
      </c>
      <c r="B152" s="4" t="s">
        <v>41</v>
      </c>
      <c r="C152" s="4" t="s">
        <v>551</v>
      </c>
      <c r="D152" s="3">
        <v>1</v>
      </c>
      <c r="E152" s="3" t="s">
        <v>16</v>
      </c>
      <c r="F152" s="3" t="s">
        <v>291</v>
      </c>
      <c r="G152" s="3" t="s">
        <v>26</v>
      </c>
      <c r="H152" s="3" t="s">
        <v>249</v>
      </c>
    </row>
    <row r="153" spans="1:8" x14ac:dyDescent="0.2">
      <c r="A153" s="3">
        <v>3080301002</v>
      </c>
      <c r="B153" s="4" t="s">
        <v>247</v>
      </c>
      <c r="C153" s="4" t="s">
        <v>248</v>
      </c>
      <c r="D153" s="3">
        <v>1</v>
      </c>
      <c r="E153" s="3" t="s">
        <v>16</v>
      </c>
      <c r="F153" s="3" t="s">
        <v>295</v>
      </c>
      <c r="G153" s="3" t="s">
        <v>17</v>
      </c>
      <c r="H153" s="3" t="s">
        <v>249</v>
      </c>
    </row>
    <row r="154" spans="1:8" x14ac:dyDescent="0.2">
      <c r="A154" s="3">
        <v>3080107017</v>
      </c>
      <c r="B154" s="4" t="s">
        <v>69</v>
      </c>
      <c r="C154" s="4" t="s">
        <v>251</v>
      </c>
      <c r="D154" s="3">
        <v>4</v>
      </c>
      <c r="E154" s="3" t="s">
        <v>16</v>
      </c>
      <c r="F154" s="3" t="s">
        <v>289</v>
      </c>
      <c r="G154" s="3" t="s">
        <v>23</v>
      </c>
      <c r="H154" s="3" t="s">
        <v>249</v>
      </c>
    </row>
    <row r="155" spans="1:8" x14ac:dyDescent="0.2">
      <c r="A155" s="3">
        <v>3080107017</v>
      </c>
      <c r="B155" s="4" t="s">
        <v>69</v>
      </c>
      <c r="C155" s="4" t="s">
        <v>251</v>
      </c>
      <c r="D155" s="3">
        <v>2</v>
      </c>
      <c r="E155" s="3" t="s">
        <v>16</v>
      </c>
      <c r="F155" s="3" t="s">
        <v>289</v>
      </c>
      <c r="G155" s="3" t="s">
        <v>23</v>
      </c>
      <c r="H155" s="3" t="s">
        <v>249</v>
      </c>
    </row>
    <row r="156" spans="1:8" x14ac:dyDescent="0.2">
      <c r="A156" s="3">
        <v>3080107017</v>
      </c>
      <c r="B156" s="4" t="s">
        <v>69</v>
      </c>
      <c r="C156" s="4" t="s">
        <v>251</v>
      </c>
      <c r="D156" s="3">
        <v>4</v>
      </c>
      <c r="E156" s="3" t="s">
        <v>16</v>
      </c>
      <c r="F156" s="3" t="s">
        <v>295</v>
      </c>
      <c r="G156" s="3" t="s">
        <v>17</v>
      </c>
      <c r="H156" s="3" t="s">
        <v>249</v>
      </c>
    </row>
    <row r="157" spans="1:8" x14ac:dyDescent="0.2">
      <c r="A157" s="3">
        <v>3060341001</v>
      </c>
      <c r="B157" s="4" t="s">
        <v>255</v>
      </c>
      <c r="C157" s="4" t="s">
        <v>256</v>
      </c>
      <c r="D157" s="3">
        <v>1</v>
      </c>
      <c r="E157" s="3" t="s">
        <v>16</v>
      </c>
      <c r="F157" s="3" t="s">
        <v>289</v>
      </c>
      <c r="G157" s="3" t="s">
        <v>23</v>
      </c>
      <c r="H157" s="3" t="s">
        <v>254</v>
      </c>
    </row>
    <row r="158" spans="1:8" x14ac:dyDescent="0.2">
      <c r="A158" s="3">
        <v>3030315001</v>
      </c>
      <c r="B158" s="4" t="s">
        <v>257</v>
      </c>
      <c r="C158" s="4" t="s">
        <v>258</v>
      </c>
      <c r="D158" s="3">
        <v>2</v>
      </c>
      <c r="E158" s="3" t="s">
        <v>16</v>
      </c>
      <c r="F158" s="3" t="s">
        <v>295</v>
      </c>
      <c r="G158" s="3" t="s">
        <v>17</v>
      </c>
      <c r="H158" s="3" t="s">
        <v>254</v>
      </c>
    </row>
    <row r="159" spans="1:8" x14ac:dyDescent="0.2">
      <c r="A159" s="3">
        <v>3030304002</v>
      </c>
      <c r="B159" s="4" t="s">
        <v>259</v>
      </c>
      <c r="C159" s="4" t="s">
        <v>258</v>
      </c>
      <c r="D159" s="3">
        <v>1</v>
      </c>
      <c r="E159" s="3" t="s">
        <v>16</v>
      </c>
      <c r="F159" s="3" t="s">
        <v>295</v>
      </c>
      <c r="G159" s="3" t="s">
        <v>17</v>
      </c>
      <c r="H159" s="3" t="s">
        <v>254</v>
      </c>
    </row>
    <row r="160" spans="1:8" x14ac:dyDescent="0.2">
      <c r="A160" s="3">
        <v>3030304004</v>
      </c>
      <c r="B160" s="4" t="s">
        <v>260</v>
      </c>
      <c r="C160" s="4" t="s">
        <v>258</v>
      </c>
      <c r="D160" s="3">
        <v>1</v>
      </c>
      <c r="E160" s="3" t="s">
        <v>16</v>
      </c>
      <c r="F160" s="3" t="s">
        <v>295</v>
      </c>
      <c r="G160" s="3" t="s">
        <v>17</v>
      </c>
      <c r="H160" s="3" t="s">
        <v>254</v>
      </c>
    </row>
    <row r="161" spans="1:8" x14ac:dyDescent="0.2">
      <c r="A161" s="3">
        <v>3030316001</v>
      </c>
      <c r="B161" s="4" t="s">
        <v>261</v>
      </c>
      <c r="C161" s="4" t="s">
        <v>262</v>
      </c>
      <c r="D161" s="3">
        <v>3</v>
      </c>
      <c r="E161" s="3" t="s">
        <v>16</v>
      </c>
      <c r="F161" s="3" t="s">
        <v>295</v>
      </c>
      <c r="G161" s="3" t="s">
        <v>17</v>
      </c>
      <c r="H161" s="3" t="s">
        <v>254</v>
      </c>
    </row>
    <row r="162" spans="1:8" x14ac:dyDescent="0.2">
      <c r="A162" s="3">
        <v>3040312007</v>
      </c>
      <c r="B162" s="4" t="s">
        <v>263</v>
      </c>
      <c r="C162" s="4" t="s">
        <v>264</v>
      </c>
      <c r="D162" s="3">
        <v>2</v>
      </c>
      <c r="E162" s="3" t="s">
        <v>16</v>
      </c>
      <c r="F162" s="3" t="s">
        <v>293</v>
      </c>
      <c r="G162" s="3" t="s">
        <v>29</v>
      </c>
      <c r="H162" s="3" t="s">
        <v>254</v>
      </c>
    </row>
    <row r="163" spans="1:8" x14ac:dyDescent="0.2">
      <c r="A163" s="3">
        <v>3040303001</v>
      </c>
      <c r="B163" s="4" t="s">
        <v>265</v>
      </c>
      <c r="C163" s="4" t="s">
        <v>266</v>
      </c>
      <c r="D163" s="3">
        <v>2</v>
      </c>
      <c r="E163" s="3" t="s">
        <v>16</v>
      </c>
      <c r="F163" s="3" t="s">
        <v>293</v>
      </c>
      <c r="G163" s="3" t="s">
        <v>29</v>
      </c>
      <c r="H163" s="3" t="s">
        <v>254</v>
      </c>
    </row>
    <row r="164" spans="1:8" x14ac:dyDescent="0.2">
      <c r="A164" s="3">
        <v>3049902004</v>
      </c>
      <c r="B164" s="4" t="s">
        <v>383</v>
      </c>
      <c r="C164" s="4" t="s">
        <v>384</v>
      </c>
      <c r="D164" s="3">
        <v>2</v>
      </c>
      <c r="E164" s="3" t="s">
        <v>16</v>
      </c>
      <c r="F164" s="3" t="s">
        <v>293</v>
      </c>
      <c r="G164" s="3" t="s">
        <v>29</v>
      </c>
      <c r="H164" s="3" t="s">
        <v>254</v>
      </c>
    </row>
    <row r="165" spans="1:8" x14ac:dyDescent="0.2">
      <c r="A165" s="3">
        <v>3040326018</v>
      </c>
      <c r="B165" s="4" t="s">
        <v>385</v>
      </c>
      <c r="C165" s="4" t="s">
        <v>384</v>
      </c>
      <c r="D165" s="3">
        <v>2</v>
      </c>
      <c r="E165" s="3" t="s">
        <v>16</v>
      </c>
      <c r="F165" s="3" t="s">
        <v>293</v>
      </c>
      <c r="G165" s="3" t="s">
        <v>29</v>
      </c>
      <c r="H165" s="3" t="s">
        <v>254</v>
      </c>
    </row>
    <row r="166" spans="1:8" x14ac:dyDescent="0.2">
      <c r="A166" s="3">
        <v>3040320003</v>
      </c>
      <c r="B166" s="4" t="s">
        <v>269</v>
      </c>
      <c r="C166" s="4" t="s">
        <v>270</v>
      </c>
      <c r="D166" s="3">
        <v>2</v>
      </c>
      <c r="E166" s="3" t="s">
        <v>16</v>
      </c>
      <c r="F166" s="3" t="s">
        <v>293</v>
      </c>
      <c r="G166" s="3" t="s">
        <v>29</v>
      </c>
      <c r="H166" s="3" t="s">
        <v>254</v>
      </c>
    </row>
    <row r="167" spans="1:8" x14ac:dyDescent="0.2">
      <c r="A167" s="3">
        <v>3040314001</v>
      </c>
      <c r="B167" s="4" t="s">
        <v>271</v>
      </c>
      <c r="C167" s="4" t="s">
        <v>272</v>
      </c>
      <c r="D167" s="3">
        <v>2</v>
      </c>
      <c r="E167" s="3" t="s">
        <v>16</v>
      </c>
      <c r="F167" s="3" t="s">
        <v>293</v>
      </c>
      <c r="G167" s="3" t="s">
        <v>29</v>
      </c>
      <c r="H167" s="3" t="s">
        <v>254</v>
      </c>
    </row>
    <row r="168" spans="1:8" x14ac:dyDescent="0.2">
      <c r="A168" s="3">
        <v>3030310004</v>
      </c>
      <c r="B168" s="4" t="s">
        <v>273</v>
      </c>
      <c r="C168" s="4" t="s">
        <v>274</v>
      </c>
      <c r="D168" s="3">
        <v>1</v>
      </c>
      <c r="E168" s="3" t="s">
        <v>16</v>
      </c>
      <c r="F168" s="3" t="s">
        <v>295</v>
      </c>
      <c r="G168" s="3" t="s">
        <v>17</v>
      </c>
      <c r="H168" s="3" t="s">
        <v>254</v>
      </c>
    </row>
    <row r="169" spans="1:8" x14ac:dyDescent="0.2">
      <c r="A169" s="3">
        <v>3030313004</v>
      </c>
      <c r="B169" s="4" t="s">
        <v>275</v>
      </c>
      <c r="C169" s="4" t="s">
        <v>258</v>
      </c>
      <c r="D169" s="3">
        <v>1</v>
      </c>
      <c r="E169" s="3" t="s">
        <v>16</v>
      </c>
      <c r="F169" s="3" t="s">
        <v>295</v>
      </c>
      <c r="G169" s="3" t="s">
        <v>17</v>
      </c>
      <c r="H169" s="3" t="s">
        <v>254</v>
      </c>
    </row>
    <row r="170" spans="1:8" x14ac:dyDescent="0.2">
      <c r="A170" s="3">
        <v>3080308001</v>
      </c>
      <c r="B170" s="4" t="s">
        <v>276</v>
      </c>
      <c r="C170" s="4" t="s">
        <v>258</v>
      </c>
      <c r="D170" s="3">
        <v>1</v>
      </c>
      <c r="E170" s="3" t="s">
        <v>16</v>
      </c>
      <c r="F170" s="3" t="s">
        <v>295</v>
      </c>
      <c r="G170" s="3" t="s">
        <v>17</v>
      </c>
      <c r="H170" s="3" t="s">
        <v>254</v>
      </c>
    </row>
    <row r="171" spans="1:8" x14ac:dyDescent="0.2">
      <c r="A171" s="3">
        <v>3070202019</v>
      </c>
      <c r="B171" s="4" t="s">
        <v>388</v>
      </c>
      <c r="C171" s="4" t="s">
        <v>389</v>
      </c>
      <c r="D171" s="3">
        <v>1</v>
      </c>
      <c r="E171" s="3" t="s">
        <v>16</v>
      </c>
      <c r="F171" s="3" t="s">
        <v>317</v>
      </c>
      <c r="G171" s="3" t="s">
        <v>318</v>
      </c>
      <c r="H171" s="3" t="s">
        <v>254</v>
      </c>
    </row>
    <row r="172" spans="1:8" x14ac:dyDescent="0.2">
      <c r="A172" s="3">
        <v>3050303018</v>
      </c>
      <c r="B172" s="4" t="s">
        <v>245</v>
      </c>
      <c r="C172" s="4" t="s">
        <v>613</v>
      </c>
      <c r="D172" s="3">
        <v>1</v>
      </c>
      <c r="E172" s="3" t="s">
        <v>16</v>
      </c>
      <c r="F172" s="3" t="s">
        <v>291</v>
      </c>
      <c r="G172" s="3" t="s">
        <v>26</v>
      </c>
      <c r="H172" s="3" t="s">
        <v>254</v>
      </c>
    </row>
  </sheetData>
  <phoneticPr fontId="2" type="noConversion"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2792A-1F97-41AE-9AED-9FA0A8F39F7C}">
  <dimension ref="A1:H201"/>
  <sheetViews>
    <sheetView workbookViewId="0">
      <selection activeCell="A3" sqref="A3:XFD3"/>
    </sheetView>
  </sheetViews>
  <sheetFormatPr defaultRowHeight="14.25" x14ac:dyDescent="0.2"/>
  <cols>
    <col min="1" max="1" width="14.5" customWidth="1"/>
    <col min="2" max="3" width="16" customWidth="1"/>
  </cols>
  <sheetData>
    <row r="1" spans="1:8" x14ac:dyDescent="0.2">
      <c r="A1" s="3" t="s">
        <v>1934</v>
      </c>
      <c r="B1" s="4"/>
      <c r="C1" s="4"/>
      <c r="D1" s="3"/>
      <c r="E1" s="3"/>
      <c r="F1" s="3"/>
      <c r="G1" s="3"/>
      <c r="H1" s="3"/>
    </row>
    <row r="2" spans="1:8" ht="28.5" x14ac:dyDescent="0.2">
      <c r="A2" s="1" t="s">
        <v>0</v>
      </c>
      <c r="B2" s="2" t="s">
        <v>1</v>
      </c>
      <c r="C2" s="2" t="s">
        <v>2</v>
      </c>
      <c r="D2" s="1" t="s">
        <v>4</v>
      </c>
      <c r="E2" s="1" t="s">
        <v>3</v>
      </c>
      <c r="F2" s="1" t="s">
        <v>5</v>
      </c>
      <c r="G2" s="1" t="s">
        <v>6</v>
      </c>
      <c r="H2" s="1" t="s">
        <v>7</v>
      </c>
    </row>
    <row r="3" spans="1:8" s="10" customFormat="1" x14ac:dyDescent="0.2">
      <c r="A3" s="8" t="s">
        <v>390</v>
      </c>
      <c r="B3" s="9" t="s">
        <v>8</v>
      </c>
      <c r="C3" s="9" t="s">
        <v>9</v>
      </c>
      <c r="D3" s="13">
        <f>0.1457/0.94</f>
        <v>0.155</v>
      </c>
      <c r="E3" s="8" t="s">
        <v>596</v>
      </c>
      <c r="F3" s="8" t="s">
        <v>283</v>
      </c>
      <c r="G3" s="8" t="s">
        <v>13</v>
      </c>
      <c r="H3" s="8" t="s">
        <v>12</v>
      </c>
    </row>
    <row r="4" spans="1:8" x14ac:dyDescent="0.2">
      <c r="A4" s="3">
        <v>402030028</v>
      </c>
      <c r="B4" s="4" t="s">
        <v>107</v>
      </c>
      <c r="C4" s="4" t="s">
        <v>305</v>
      </c>
      <c r="D4" s="3">
        <v>1</v>
      </c>
      <c r="E4" s="3" t="s">
        <v>16</v>
      </c>
      <c r="F4" s="3" t="s">
        <v>289</v>
      </c>
      <c r="G4" s="3" t="s">
        <v>23</v>
      </c>
      <c r="H4" s="3" t="s">
        <v>306</v>
      </c>
    </row>
    <row r="5" spans="1:8" x14ac:dyDescent="0.2">
      <c r="A5" s="3">
        <v>3099980014</v>
      </c>
      <c r="B5" s="4" t="s">
        <v>391</v>
      </c>
      <c r="C5" s="4" t="s">
        <v>392</v>
      </c>
      <c r="D5" s="3">
        <v>1</v>
      </c>
      <c r="E5" s="3" t="s">
        <v>16</v>
      </c>
      <c r="F5" s="3" t="s">
        <v>291</v>
      </c>
      <c r="G5" s="3" t="s">
        <v>26</v>
      </c>
      <c r="H5" s="3" t="s">
        <v>393</v>
      </c>
    </row>
    <row r="6" spans="1:8" x14ac:dyDescent="0.2">
      <c r="A6" s="3">
        <v>3098980102</v>
      </c>
      <c r="B6" s="4" t="s">
        <v>1897</v>
      </c>
      <c r="C6" s="4" t="s">
        <v>1898</v>
      </c>
      <c r="D6" s="3">
        <v>1</v>
      </c>
      <c r="E6" s="3" t="s">
        <v>16</v>
      </c>
      <c r="F6" s="3" t="s">
        <v>291</v>
      </c>
      <c r="G6" s="3" t="s">
        <v>26</v>
      </c>
      <c r="H6" s="3" t="s">
        <v>393</v>
      </c>
    </row>
    <row r="7" spans="1:8" x14ac:dyDescent="0.2">
      <c r="A7" s="3">
        <v>3060503002</v>
      </c>
      <c r="B7" s="4" t="s">
        <v>21</v>
      </c>
      <c r="C7" s="4" t="s">
        <v>22</v>
      </c>
      <c r="D7" s="3">
        <v>1</v>
      </c>
      <c r="E7" s="3" t="s">
        <v>16</v>
      </c>
      <c r="F7" s="3" t="s">
        <v>289</v>
      </c>
      <c r="G7" s="3" t="s">
        <v>23</v>
      </c>
      <c r="H7" s="3" t="s">
        <v>18</v>
      </c>
    </row>
    <row r="8" spans="1:8" x14ac:dyDescent="0.2">
      <c r="A8" s="3">
        <v>3030314005</v>
      </c>
      <c r="B8" s="4" t="s">
        <v>394</v>
      </c>
      <c r="C8" s="4" t="s">
        <v>395</v>
      </c>
      <c r="D8" s="3">
        <v>1</v>
      </c>
      <c r="E8" s="3" t="s">
        <v>16</v>
      </c>
      <c r="F8" s="3" t="s">
        <v>291</v>
      </c>
      <c r="G8" s="3" t="s">
        <v>26</v>
      </c>
      <c r="H8" s="3" t="s">
        <v>18</v>
      </c>
    </row>
    <row r="9" spans="1:8" x14ac:dyDescent="0.2">
      <c r="A9" s="3">
        <v>3030210001</v>
      </c>
      <c r="B9" s="4" t="s">
        <v>396</v>
      </c>
      <c r="C9" s="4" t="s">
        <v>397</v>
      </c>
      <c r="D9" s="3">
        <v>1</v>
      </c>
      <c r="E9" s="3" t="s">
        <v>16</v>
      </c>
      <c r="F9" s="3" t="s">
        <v>295</v>
      </c>
      <c r="G9" s="3" t="s">
        <v>17</v>
      </c>
      <c r="H9" s="3" t="s">
        <v>18</v>
      </c>
    </row>
    <row r="10" spans="1:8" x14ac:dyDescent="0.2">
      <c r="A10" s="3">
        <v>3080301001</v>
      </c>
      <c r="B10" s="4" t="s">
        <v>247</v>
      </c>
      <c r="C10" s="4" t="s">
        <v>398</v>
      </c>
      <c r="D10" s="3">
        <v>1</v>
      </c>
      <c r="E10" s="3" t="s">
        <v>16</v>
      </c>
      <c r="F10" s="3" t="s">
        <v>295</v>
      </c>
      <c r="G10" s="3" t="s">
        <v>17</v>
      </c>
      <c r="H10" s="3" t="s">
        <v>18</v>
      </c>
    </row>
    <row r="11" spans="1:8" x14ac:dyDescent="0.2">
      <c r="A11" s="3">
        <v>3040201001</v>
      </c>
      <c r="B11" s="4" t="s">
        <v>399</v>
      </c>
      <c r="C11" s="4" t="s">
        <v>400</v>
      </c>
      <c r="D11" s="3">
        <v>2</v>
      </c>
      <c r="E11" s="3" t="s">
        <v>16</v>
      </c>
      <c r="F11" s="3" t="s">
        <v>293</v>
      </c>
      <c r="G11" s="3" t="s">
        <v>29</v>
      </c>
      <c r="H11" s="3" t="s">
        <v>18</v>
      </c>
    </row>
    <row r="12" spans="1:8" x14ac:dyDescent="0.2">
      <c r="A12" s="3">
        <v>3030202002</v>
      </c>
      <c r="B12" s="4" t="s">
        <v>401</v>
      </c>
      <c r="C12" s="4" t="s">
        <v>402</v>
      </c>
      <c r="D12" s="3">
        <v>1</v>
      </c>
      <c r="E12" s="3" t="s">
        <v>16</v>
      </c>
      <c r="F12" s="3" t="s">
        <v>295</v>
      </c>
      <c r="G12" s="3" t="s">
        <v>17</v>
      </c>
      <c r="H12" s="3" t="s">
        <v>18</v>
      </c>
    </row>
    <row r="13" spans="1:8" x14ac:dyDescent="0.2">
      <c r="A13" s="3">
        <v>3030202003</v>
      </c>
      <c r="B13" s="4" t="s">
        <v>403</v>
      </c>
      <c r="C13" s="4" t="s">
        <v>404</v>
      </c>
      <c r="D13" s="3">
        <v>1</v>
      </c>
      <c r="E13" s="3" t="s">
        <v>16</v>
      </c>
      <c r="F13" s="3" t="s">
        <v>295</v>
      </c>
      <c r="G13" s="3" t="s">
        <v>17</v>
      </c>
      <c r="H13" s="3" t="s">
        <v>18</v>
      </c>
    </row>
    <row r="14" spans="1:8" x14ac:dyDescent="0.2">
      <c r="A14" s="3">
        <v>3030212001</v>
      </c>
      <c r="B14" s="4" t="s">
        <v>405</v>
      </c>
      <c r="C14" s="4" t="s">
        <v>406</v>
      </c>
      <c r="D14" s="3">
        <v>1</v>
      </c>
      <c r="E14" s="3" t="s">
        <v>16</v>
      </c>
      <c r="F14" s="3" t="s">
        <v>295</v>
      </c>
      <c r="G14" s="3" t="s">
        <v>17</v>
      </c>
      <c r="H14" s="3" t="s">
        <v>18</v>
      </c>
    </row>
    <row r="15" spans="1:8" x14ac:dyDescent="0.2">
      <c r="A15" s="3">
        <v>3030206003</v>
      </c>
      <c r="B15" s="4" t="s">
        <v>407</v>
      </c>
      <c r="C15" s="4" t="s">
        <v>408</v>
      </c>
      <c r="D15" s="3">
        <v>1</v>
      </c>
      <c r="E15" s="3" t="s">
        <v>16</v>
      </c>
      <c r="F15" s="3" t="s">
        <v>295</v>
      </c>
      <c r="G15" s="3" t="s">
        <v>17</v>
      </c>
      <c r="H15" s="3" t="s">
        <v>18</v>
      </c>
    </row>
    <row r="16" spans="1:8" x14ac:dyDescent="0.2">
      <c r="A16" s="3">
        <v>404020072</v>
      </c>
      <c r="B16" s="4" t="s">
        <v>30</v>
      </c>
      <c r="C16" s="4" t="s">
        <v>308</v>
      </c>
      <c r="D16" s="3">
        <v>1</v>
      </c>
      <c r="E16" s="3" t="s">
        <v>16</v>
      </c>
      <c r="F16" s="3" t="s">
        <v>291</v>
      </c>
      <c r="G16" s="3" t="s">
        <v>26</v>
      </c>
      <c r="H16" s="3" t="s">
        <v>33</v>
      </c>
    </row>
    <row r="17" spans="1:8" x14ac:dyDescent="0.2">
      <c r="A17" s="3">
        <v>401020103</v>
      </c>
      <c r="B17" s="4" t="s">
        <v>35</v>
      </c>
      <c r="C17" s="4" t="s">
        <v>595</v>
      </c>
      <c r="D17" s="3">
        <v>1</v>
      </c>
      <c r="E17" s="3" t="s">
        <v>16</v>
      </c>
      <c r="F17" s="3" t="s">
        <v>301</v>
      </c>
      <c r="G17" s="3" t="s">
        <v>32</v>
      </c>
      <c r="H17" s="3" t="s">
        <v>33</v>
      </c>
    </row>
    <row r="18" spans="1:8" x14ac:dyDescent="0.2">
      <c r="A18" s="3">
        <v>401040087</v>
      </c>
      <c r="B18" s="4" t="s">
        <v>35</v>
      </c>
      <c r="C18" s="4" t="s">
        <v>410</v>
      </c>
      <c r="D18" s="3">
        <v>1</v>
      </c>
      <c r="E18" s="3" t="s">
        <v>16</v>
      </c>
      <c r="F18" s="3" t="s">
        <v>293</v>
      </c>
      <c r="G18" s="3" t="s">
        <v>29</v>
      </c>
      <c r="H18" s="3" t="s">
        <v>33</v>
      </c>
    </row>
    <row r="19" spans="1:8" x14ac:dyDescent="0.2">
      <c r="A19" s="3">
        <v>3080101015</v>
      </c>
      <c r="B19" s="4" t="s">
        <v>411</v>
      </c>
      <c r="C19" s="4" t="s">
        <v>412</v>
      </c>
      <c r="D19" s="3">
        <v>2</v>
      </c>
      <c r="E19" s="3" t="s">
        <v>16</v>
      </c>
      <c r="F19" s="3" t="s">
        <v>293</v>
      </c>
      <c r="G19" s="3" t="s">
        <v>29</v>
      </c>
      <c r="H19" s="3" t="s">
        <v>40</v>
      </c>
    </row>
    <row r="20" spans="1:8" x14ac:dyDescent="0.2">
      <c r="A20" s="3">
        <v>3080101002</v>
      </c>
      <c r="B20" s="4" t="s">
        <v>411</v>
      </c>
      <c r="C20" s="4" t="s">
        <v>413</v>
      </c>
      <c r="D20" s="3">
        <v>2</v>
      </c>
      <c r="E20" s="3" t="s">
        <v>16</v>
      </c>
      <c r="F20" s="3" t="s">
        <v>291</v>
      </c>
      <c r="G20" s="3" t="s">
        <v>26</v>
      </c>
      <c r="H20" s="3" t="s">
        <v>40</v>
      </c>
    </row>
    <row r="21" spans="1:8" x14ac:dyDescent="0.2">
      <c r="A21" s="3">
        <v>3080102003</v>
      </c>
      <c r="B21" s="4" t="s">
        <v>38</v>
      </c>
      <c r="C21" s="4" t="s">
        <v>39</v>
      </c>
      <c r="D21" s="3">
        <v>1</v>
      </c>
      <c r="E21" s="3" t="s">
        <v>16</v>
      </c>
      <c r="F21" s="3" t="s">
        <v>289</v>
      </c>
      <c r="G21" s="3" t="s">
        <v>23</v>
      </c>
      <c r="H21" s="3" t="s">
        <v>40</v>
      </c>
    </row>
    <row r="22" spans="1:8" x14ac:dyDescent="0.2">
      <c r="A22" s="3">
        <v>3080401064</v>
      </c>
      <c r="B22" s="4" t="s">
        <v>41</v>
      </c>
      <c r="C22" s="4" t="s">
        <v>414</v>
      </c>
      <c r="D22" s="3">
        <v>1</v>
      </c>
      <c r="E22" s="3" t="s">
        <v>16</v>
      </c>
      <c r="F22" s="3" t="s">
        <v>295</v>
      </c>
      <c r="G22" s="3" t="s">
        <v>17</v>
      </c>
      <c r="H22" s="3" t="s">
        <v>40</v>
      </c>
    </row>
    <row r="23" spans="1:8" x14ac:dyDescent="0.2">
      <c r="A23" s="3">
        <v>3080401014</v>
      </c>
      <c r="B23" s="4" t="s">
        <v>41</v>
      </c>
      <c r="C23" s="4" t="s">
        <v>417</v>
      </c>
      <c r="D23" s="3">
        <v>4</v>
      </c>
      <c r="E23" s="3" t="s">
        <v>16</v>
      </c>
      <c r="F23" s="3" t="s">
        <v>291</v>
      </c>
      <c r="G23" s="3" t="s">
        <v>26</v>
      </c>
      <c r="H23" s="3" t="s">
        <v>40</v>
      </c>
    </row>
    <row r="24" spans="1:8" x14ac:dyDescent="0.2">
      <c r="A24" s="3">
        <v>3080401016</v>
      </c>
      <c r="B24" s="4" t="s">
        <v>41</v>
      </c>
      <c r="C24" s="4" t="s">
        <v>415</v>
      </c>
      <c r="D24" s="3">
        <v>1</v>
      </c>
      <c r="E24" s="3" t="s">
        <v>16</v>
      </c>
      <c r="F24" s="3" t="s">
        <v>295</v>
      </c>
      <c r="G24" s="3" t="s">
        <v>17</v>
      </c>
      <c r="H24" s="3" t="s">
        <v>40</v>
      </c>
    </row>
    <row r="25" spans="1:8" x14ac:dyDescent="0.2">
      <c r="A25" s="3">
        <v>3080401007</v>
      </c>
      <c r="B25" s="4" t="s">
        <v>41</v>
      </c>
      <c r="C25" s="4" t="s">
        <v>416</v>
      </c>
      <c r="D25" s="3">
        <v>2</v>
      </c>
      <c r="E25" s="3" t="s">
        <v>16</v>
      </c>
      <c r="F25" s="3" t="s">
        <v>293</v>
      </c>
      <c r="G25" s="3" t="s">
        <v>29</v>
      </c>
      <c r="H25" s="3" t="s">
        <v>40</v>
      </c>
    </row>
    <row r="26" spans="1:8" x14ac:dyDescent="0.2">
      <c r="A26" s="3">
        <v>3080104018</v>
      </c>
      <c r="B26" s="4" t="s">
        <v>45</v>
      </c>
      <c r="C26" s="4" t="s">
        <v>418</v>
      </c>
      <c r="D26" s="3">
        <v>2</v>
      </c>
      <c r="E26" s="3" t="s">
        <v>16</v>
      </c>
      <c r="F26" s="3" t="s">
        <v>293</v>
      </c>
      <c r="G26" s="3" t="s">
        <v>29</v>
      </c>
      <c r="H26" s="3" t="s">
        <v>40</v>
      </c>
    </row>
    <row r="27" spans="1:8" x14ac:dyDescent="0.2">
      <c r="A27" s="3">
        <v>3080104099</v>
      </c>
      <c r="B27" s="4" t="s">
        <v>45</v>
      </c>
      <c r="C27" s="4" t="s">
        <v>419</v>
      </c>
      <c r="D27" s="3">
        <v>2</v>
      </c>
      <c r="E27" s="3" t="s">
        <v>16</v>
      </c>
      <c r="F27" s="3" t="s">
        <v>291</v>
      </c>
      <c r="G27" s="3" t="s">
        <v>26</v>
      </c>
      <c r="H27" s="3" t="s">
        <v>40</v>
      </c>
    </row>
    <row r="28" spans="1:8" x14ac:dyDescent="0.2">
      <c r="A28" s="3">
        <v>3080105121</v>
      </c>
      <c r="B28" s="4" t="s">
        <v>50</v>
      </c>
      <c r="C28" s="4" t="s">
        <v>316</v>
      </c>
      <c r="D28" s="3">
        <v>2</v>
      </c>
      <c r="E28" s="3" t="s">
        <v>16</v>
      </c>
      <c r="F28" s="3" t="s">
        <v>317</v>
      </c>
      <c r="G28" s="3" t="s">
        <v>318</v>
      </c>
      <c r="H28" s="3" t="s">
        <v>40</v>
      </c>
    </row>
    <row r="29" spans="1:8" x14ac:dyDescent="0.2">
      <c r="A29" s="3">
        <v>3080105040</v>
      </c>
      <c r="B29" s="4" t="s">
        <v>50</v>
      </c>
      <c r="C29" s="4" t="s">
        <v>421</v>
      </c>
      <c r="D29" s="3">
        <v>12</v>
      </c>
      <c r="E29" s="3" t="s">
        <v>16</v>
      </c>
      <c r="F29" s="3" t="s">
        <v>293</v>
      </c>
      <c r="G29" s="3" t="s">
        <v>29</v>
      </c>
      <c r="H29" s="3" t="s">
        <v>40</v>
      </c>
    </row>
    <row r="30" spans="1:8" x14ac:dyDescent="0.2">
      <c r="A30" s="3">
        <v>3080105015</v>
      </c>
      <c r="B30" s="4" t="s">
        <v>50</v>
      </c>
      <c r="C30" s="4" t="s">
        <v>422</v>
      </c>
      <c r="D30" s="3">
        <v>8</v>
      </c>
      <c r="E30" s="3" t="s">
        <v>16</v>
      </c>
      <c r="F30" s="3" t="s">
        <v>293</v>
      </c>
      <c r="G30" s="3" t="s">
        <v>29</v>
      </c>
      <c r="H30" s="3" t="s">
        <v>40</v>
      </c>
    </row>
    <row r="31" spans="1:8" x14ac:dyDescent="0.2">
      <c r="A31" s="3">
        <v>3080105024</v>
      </c>
      <c r="B31" s="4" t="s">
        <v>50</v>
      </c>
      <c r="C31" s="4" t="s">
        <v>420</v>
      </c>
      <c r="D31" s="3">
        <v>8</v>
      </c>
      <c r="E31" s="3" t="s">
        <v>16</v>
      </c>
      <c r="F31" s="3" t="s">
        <v>289</v>
      </c>
      <c r="G31" s="3" t="s">
        <v>23</v>
      </c>
      <c r="H31" s="3" t="s">
        <v>40</v>
      </c>
    </row>
    <row r="32" spans="1:8" x14ac:dyDescent="0.2">
      <c r="A32" s="3">
        <v>3080105114</v>
      </c>
      <c r="B32" s="4" t="s">
        <v>50</v>
      </c>
      <c r="C32" s="4" t="s">
        <v>53</v>
      </c>
      <c r="D32" s="3">
        <v>4</v>
      </c>
      <c r="E32" s="3" t="s">
        <v>16</v>
      </c>
      <c r="F32" s="3" t="s">
        <v>289</v>
      </c>
      <c r="G32" s="3" t="s">
        <v>23</v>
      </c>
      <c r="H32" s="3" t="s">
        <v>40</v>
      </c>
    </row>
    <row r="33" spans="1:8" x14ac:dyDescent="0.2">
      <c r="A33" s="3">
        <v>3080105114</v>
      </c>
      <c r="B33" s="4" t="s">
        <v>50</v>
      </c>
      <c r="C33" s="4" t="s">
        <v>53</v>
      </c>
      <c r="D33" s="3">
        <v>4</v>
      </c>
      <c r="E33" s="3" t="s">
        <v>16</v>
      </c>
      <c r="F33" s="3" t="s">
        <v>289</v>
      </c>
      <c r="G33" s="3" t="s">
        <v>23</v>
      </c>
      <c r="H33" s="3" t="s">
        <v>40</v>
      </c>
    </row>
    <row r="34" spans="1:8" x14ac:dyDescent="0.2">
      <c r="A34" s="3">
        <v>3080105088</v>
      </c>
      <c r="B34" s="4" t="s">
        <v>50</v>
      </c>
      <c r="C34" s="4" t="s">
        <v>423</v>
      </c>
      <c r="D34" s="3">
        <v>2</v>
      </c>
      <c r="E34" s="3" t="s">
        <v>16</v>
      </c>
      <c r="F34" s="3" t="s">
        <v>293</v>
      </c>
      <c r="G34" s="3" t="s">
        <v>29</v>
      </c>
      <c r="H34" s="3" t="s">
        <v>40</v>
      </c>
    </row>
    <row r="35" spans="1:8" x14ac:dyDescent="0.2">
      <c r="A35" s="3">
        <v>3080104055</v>
      </c>
      <c r="B35" s="4" t="s">
        <v>50</v>
      </c>
      <c r="C35" s="4" t="s">
        <v>425</v>
      </c>
      <c r="D35" s="3">
        <v>2</v>
      </c>
      <c r="E35" s="3" t="s">
        <v>16</v>
      </c>
      <c r="F35" s="3" t="s">
        <v>291</v>
      </c>
      <c r="G35" s="3" t="s">
        <v>26</v>
      </c>
      <c r="H35" s="3" t="s">
        <v>40</v>
      </c>
    </row>
    <row r="36" spans="1:8" x14ac:dyDescent="0.2">
      <c r="A36" s="3">
        <v>3080105040</v>
      </c>
      <c r="B36" s="4" t="s">
        <v>50</v>
      </c>
      <c r="C36" s="4" t="s">
        <v>421</v>
      </c>
      <c r="D36" s="3">
        <v>2</v>
      </c>
      <c r="E36" s="3" t="s">
        <v>16</v>
      </c>
      <c r="F36" s="3" t="s">
        <v>291</v>
      </c>
      <c r="G36" s="3" t="s">
        <v>26</v>
      </c>
      <c r="H36" s="3" t="s">
        <v>40</v>
      </c>
    </row>
    <row r="37" spans="1:8" x14ac:dyDescent="0.2">
      <c r="A37" s="3">
        <v>3080105008</v>
      </c>
      <c r="B37" s="4" t="s">
        <v>50</v>
      </c>
      <c r="C37" s="4" t="s">
        <v>424</v>
      </c>
      <c r="D37" s="3">
        <v>8</v>
      </c>
      <c r="E37" s="3" t="s">
        <v>16</v>
      </c>
      <c r="F37" s="3" t="s">
        <v>293</v>
      </c>
      <c r="G37" s="3" t="s">
        <v>29</v>
      </c>
      <c r="H37" s="3" t="s">
        <v>40</v>
      </c>
    </row>
    <row r="38" spans="1:8" x14ac:dyDescent="0.2">
      <c r="A38" s="3">
        <v>3080105021</v>
      </c>
      <c r="B38" s="4" t="s">
        <v>50</v>
      </c>
      <c r="C38" s="4" t="s">
        <v>319</v>
      </c>
      <c r="D38" s="3">
        <v>8</v>
      </c>
      <c r="E38" s="3" t="s">
        <v>16</v>
      </c>
      <c r="F38" s="3" t="s">
        <v>317</v>
      </c>
      <c r="G38" s="3" t="s">
        <v>318</v>
      </c>
      <c r="H38" s="3" t="s">
        <v>40</v>
      </c>
    </row>
    <row r="39" spans="1:8" x14ac:dyDescent="0.2">
      <c r="A39" s="3">
        <v>3080105007</v>
      </c>
      <c r="B39" s="4" t="s">
        <v>50</v>
      </c>
      <c r="C39" s="4" t="s">
        <v>52</v>
      </c>
      <c r="D39" s="3">
        <v>10</v>
      </c>
      <c r="E39" s="3" t="s">
        <v>16</v>
      </c>
      <c r="F39" s="3" t="s">
        <v>289</v>
      </c>
      <c r="G39" s="3" t="s">
        <v>23</v>
      </c>
      <c r="H39" s="3" t="s">
        <v>40</v>
      </c>
    </row>
    <row r="40" spans="1:8" x14ac:dyDescent="0.2">
      <c r="A40" s="3">
        <v>3080502003</v>
      </c>
      <c r="B40" s="4" t="s">
        <v>55</v>
      </c>
      <c r="C40" s="4" t="s">
        <v>426</v>
      </c>
      <c r="D40" s="3">
        <v>2</v>
      </c>
      <c r="E40" s="3" t="s">
        <v>16</v>
      </c>
      <c r="F40" s="3" t="s">
        <v>291</v>
      </c>
      <c r="G40" s="3" t="s">
        <v>26</v>
      </c>
      <c r="H40" s="3" t="s">
        <v>40</v>
      </c>
    </row>
    <row r="41" spans="1:8" x14ac:dyDescent="0.2">
      <c r="A41" s="3">
        <v>3080201005</v>
      </c>
      <c r="B41" s="4" t="s">
        <v>60</v>
      </c>
      <c r="C41" s="4" t="s">
        <v>427</v>
      </c>
      <c r="D41" s="3">
        <v>1</v>
      </c>
      <c r="E41" s="3" t="s">
        <v>16</v>
      </c>
      <c r="F41" s="3" t="s">
        <v>291</v>
      </c>
      <c r="G41" s="3" t="s">
        <v>26</v>
      </c>
      <c r="H41" s="3" t="s">
        <v>40</v>
      </c>
    </row>
    <row r="42" spans="1:8" x14ac:dyDescent="0.2">
      <c r="A42" s="3">
        <v>3080201006</v>
      </c>
      <c r="B42" s="4" t="s">
        <v>60</v>
      </c>
      <c r="C42" s="4" t="s">
        <v>428</v>
      </c>
      <c r="D42" s="3">
        <v>1</v>
      </c>
      <c r="E42" s="3" t="s">
        <v>16</v>
      </c>
      <c r="F42" s="3" t="s">
        <v>291</v>
      </c>
      <c r="G42" s="3" t="s">
        <v>26</v>
      </c>
      <c r="H42" s="3" t="s">
        <v>40</v>
      </c>
    </row>
    <row r="43" spans="1:8" x14ac:dyDescent="0.2">
      <c r="A43" s="3">
        <v>3080201012</v>
      </c>
      <c r="B43" s="4" t="s">
        <v>60</v>
      </c>
      <c r="C43" s="4" t="s">
        <v>320</v>
      </c>
      <c r="D43" s="3">
        <v>1</v>
      </c>
      <c r="E43" s="3" t="s">
        <v>16</v>
      </c>
      <c r="F43" s="3" t="s">
        <v>317</v>
      </c>
      <c r="G43" s="3" t="s">
        <v>318</v>
      </c>
      <c r="H43" s="3" t="s">
        <v>40</v>
      </c>
    </row>
    <row r="44" spans="1:8" x14ac:dyDescent="0.2">
      <c r="A44" s="3">
        <v>3080107059</v>
      </c>
      <c r="B44" s="4" t="s">
        <v>69</v>
      </c>
      <c r="C44" s="4" t="s">
        <v>321</v>
      </c>
      <c r="D44" s="3">
        <v>1</v>
      </c>
      <c r="E44" s="3" t="s">
        <v>16</v>
      </c>
      <c r="F44" s="3" t="s">
        <v>317</v>
      </c>
      <c r="G44" s="3" t="s">
        <v>318</v>
      </c>
      <c r="H44" s="3" t="s">
        <v>40</v>
      </c>
    </row>
    <row r="45" spans="1:8" x14ac:dyDescent="0.2">
      <c r="A45" s="3">
        <v>3080107308</v>
      </c>
      <c r="B45" s="4" t="s">
        <v>69</v>
      </c>
      <c r="C45" s="4" t="s">
        <v>433</v>
      </c>
      <c r="D45" s="3">
        <v>2</v>
      </c>
      <c r="E45" s="3" t="s">
        <v>16</v>
      </c>
      <c r="F45" s="3" t="s">
        <v>291</v>
      </c>
      <c r="G45" s="3" t="s">
        <v>26</v>
      </c>
      <c r="H45" s="3" t="s">
        <v>40</v>
      </c>
    </row>
    <row r="46" spans="1:8" x14ac:dyDescent="0.2">
      <c r="A46" s="3">
        <v>3080107305</v>
      </c>
      <c r="B46" s="4" t="s">
        <v>69</v>
      </c>
      <c r="C46" s="4" t="s">
        <v>434</v>
      </c>
      <c r="D46" s="3">
        <v>2</v>
      </c>
      <c r="E46" s="3" t="s">
        <v>16</v>
      </c>
      <c r="F46" s="3" t="s">
        <v>291</v>
      </c>
      <c r="G46" s="3" t="s">
        <v>26</v>
      </c>
      <c r="H46" s="3" t="s">
        <v>40</v>
      </c>
    </row>
    <row r="47" spans="1:8" x14ac:dyDescent="0.2">
      <c r="A47" s="3">
        <v>3080107034</v>
      </c>
      <c r="B47" s="4" t="s">
        <v>69</v>
      </c>
      <c r="C47" s="4" t="s">
        <v>429</v>
      </c>
      <c r="D47" s="3">
        <v>2</v>
      </c>
      <c r="E47" s="3" t="s">
        <v>16</v>
      </c>
      <c r="F47" s="3" t="s">
        <v>295</v>
      </c>
      <c r="G47" s="3" t="s">
        <v>17</v>
      </c>
      <c r="H47" s="3" t="s">
        <v>40</v>
      </c>
    </row>
    <row r="48" spans="1:8" x14ac:dyDescent="0.2">
      <c r="A48" s="3">
        <v>3080107160</v>
      </c>
      <c r="B48" s="4" t="s">
        <v>69</v>
      </c>
      <c r="C48" s="4" t="s">
        <v>432</v>
      </c>
      <c r="D48" s="3">
        <v>4</v>
      </c>
      <c r="E48" s="3" t="s">
        <v>16</v>
      </c>
      <c r="F48" s="3" t="s">
        <v>293</v>
      </c>
      <c r="G48" s="3" t="s">
        <v>29</v>
      </c>
      <c r="H48" s="3" t="s">
        <v>40</v>
      </c>
    </row>
    <row r="49" spans="1:8" x14ac:dyDescent="0.2">
      <c r="A49" s="3">
        <v>3080107072</v>
      </c>
      <c r="B49" s="4" t="s">
        <v>69</v>
      </c>
      <c r="C49" s="4" t="s">
        <v>435</v>
      </c>
      <c r="D49" s="3">
        <v>4</v>
      </c>
      <c r="E49" s="3" t="s">
        <v>16</v>
      </c>
      <c r="F49" s="3" t="s">
        <v>291</v>
      </c>
      <c r="G49" s="3" t="s">
        <v>26</v>
      </c>
      <c r="H49" s="3" t="s">
        <v>40</v>
      </c>
    </row>
    <row r="50" spans="1:8" x14ac:dyDescent="0.2">
      <c r="A50" s="3">
        <v>3080107094</v>
      </c>
      <c r="B50" s="4" t="s">
        <v>69</v>
      </c>
      <c r="C50" s="4" t="s">
        <v>436</v>
      </c>
      <c r="D50" s="3">
        <v>2</v>
      </c>
      <c r="E50" s="3" t="s">
        <v>16</v>
      </c>
      <c r="F50" s="3" t="s">
        <v>291</v>
      </c>
      <c r="G50" s="3" t="s">
        <v>26</v>
      </c>
      <c r="H50" s="3" t="s">
        <v>40</v>
      </c>
    </row>
    <row r="51" spans="1:8" x14ac:dyDescent="0.2">
      <c r="A51" s="3">
        <v>3080107034</v>
      </c>
      <c r="B51" s="4" t="s">
        <v>69</v>
      </c>
      <c r="C51" s="4" t="s">
        <v>429</v>
      </c>
      <c r="D51" s="3">
        <v>6</v>
      </c>
      <c r="E51" s="3" t="s">
        <v>16</v>
      </c>
      <c r="F51" s="3" t="s">
        <v>295</v>
      </c>
      <c r="G51" s="3" t="s">
        <v>17</v>
      </c>
      <c r="H51" s="3" t="s">
        <v>40</v>
      </c>
    </row>
    <row r="52" spans="1:8" x14ac:dyDescent="0.2">
      <c r="A52" s="3">
        <v>3080107002</v>
      </c>
      <c r="B52" s="4" t="s">
        <v>69</v>
      </c>
      <c r="C52" s="4" t="s">
        <v>430</v>
      </c>
      <c r="D52" s="3">
        <v>4</v>
      </c>
      <c r="E52" s="3" t="s">
        <v>16</v>
      </c>
      <c r="F52" s="3" t="s">
        <v>295</v>
      </c>
      <c r="G52" s="3" t="s">
        <v>17</v>
      </c>
      <c r="H52" s="3" t="s">
        <v>40</v>
      </c>
    </row>
    <row r="53" spans="1:8" x14ac:dyDescent="0.2">
      <c r="A53" s="3">
        <v>3080107052</v>
      </c>
      <c r="B53" s="4" t="s">
        <v>69</v>
      </c>
      <c r="C53" s="4" t="s">
        <v>431</v>
      </c>
      <c r="D53" s="3">
        <v>1</v>
      </c>
      <c r="E53" s="3" t="s">
        <v>16</v>
      </c>
      <c r="F53" s="3" t="s">
        <v>295</v>
      </c>
      <c r="G53" s="3" t="s">
        <v>17</v>
      </c>
      <c r="H53" s="3" t="s">
        <v>40</v>
      </c>
    </row>
    <row r="54" spans="1:8" x14ac:dyDescent="0.2">
      <c r="A54" s="3">
        <v>3080107014</v>
      </c>
      <c r="B54" s="4" t="s">
        <v>69</v>
      </c>
      <c r="C54" s="4" t="s">
        <v>322</v>
      </c>
      <c r="D54" s="3">
        <v>2</v>
      </c>
      <c r="E54" s="3" t="s">
        <v>16</v>
      </c>
      <c r="F54" s="3" t="s">
        <v>317</v>
      </c>
      <c r="G54" s="3" t="s">
        <v>318</v>
      </c>
      <c r="H54" s="3" t="s">
        <v>40</v>
      </c>
    </row>
    <row r="55" spans="1:8" x14ac:dyDescent="0.2">
      <c r="A55" s="3">
        <v>3080107038</v>
      </c>
      <c r="B55" s="4" t="s">
        <v>69</v>
      </c>
      <c r="C55" s="4" t="s">
        <v>72</v>
      </c>
      <c r="D55" s="3">
        <v>2</v>
      </c>
      <c r="E55" s="3" t="s">
        <v>16</v>
      </c>
      <c r="F55" s="3" t="s">
        <v>289</v>
      </c>
      <c r="G55" s="3" t="s">
        <v>23</v>
      </c>
      <c r="H55" s="3" t="s">
        <v>40</v>
      </c>
    </row>
    <row r="56" spans="1:8" x14ac:dyDescent="0.2">
      <c r="A56" s="3">
        <v>3080108033</v>
      </c>
      <c r="B56" s="4" t="s">
        <v>77</v>
      </c>
      <c r="C56" s="4" t="s">
        <v>438</v>
      </c>
      <c r="D56" s="3">
        <v>4</v>
      </c>
      <c r="E56" s="3" t="s">
        <v>16</v>
      </c>
      <c r="F56" s="3" t="s">
        <v>291</v>
      </c>
      <c r="G56" s="3" t="s">
        <v>26</v>
      </c>
      <c r="H56" s="3" t="s">
        <v>40</v>
      </c>
    </row>
    <row r="57" spans="1:8" x14ac:dyDescent="0.2">
      <c r="A57" s="3">
        <v>3080108025</v>
      </c>
      <c r="B57" s="4" t="s">
        <v>77</v>
      </c>
      <c r="C57" s="4" t="s">
        <v>437</v>
      </c>
      <c r="D57" s="3">
        <v>7</v>
      </c>
      <c r="E57" s="3" t="s">
        <v>16</v>
      </c>
      <c r="F57" s="3" t="s">
        <v>295</v>
      </c>
      <c r="G57" s="3" t="s">
        <v>17</v>
      </c>
      <c r="H57" s="3" t="s">
        <v>40</v>
      </c>
    </row>
    <row r="58" spans="1:8" x14ac:dyDescent="0.2">
      <c r="A58" s="3">
        <v>3080108019</v>
      </c>
      <c r="B58" s="4" t="s">
        <v>77</v>
      </c>
      <c r="C58" s="4" t="s">
        <v>325</v>
      </c>
      <c r="D58" s="3">
        <v>2</v>
      </c>
      <c r="E58" s="3" t="s">
        <v>16</v>
      </c>
      <c r="F58" s="3" t="s">
        <v>317</v>
      </c>
      <c r="G58" s="3" t="s">
        <v>318</v>
      </c>
      <c r="H58" s="3" t="s">
        <v>40</v>
      </c>
    </row>
    <row r="59" spans="1:8" x14ac:dyDescent="0.2">
      <c r="A59" s="3">
        <v>3080403001</v>
      </c>
      <c r="B59" s="4" t="s">
        <v>439</v>
      </c>
      <c r="C59" s="4" t="s">
        <v>440</v>
      </c>
      <c r="D59" s="3">
        <v>1</v>
      </c>
      <c r="E59" s="3" t="s">
        <v>16</v>
      </c>
      <c r="F59" s="3" t="s">
        <v>295</v>
      </c>
      <c r="G59" s="3" t="s">
        <v>17</v>
      </c>
      <c r="H59" s="3" t="s">
        <v>40</v>
      </c>
    </row>
    <row r="60" spans="1:8" x14ac:dyDescent="0.2">
      <c r="A60" s="3">
        <v>3080109002</v>
      </c>
      <c r="B60" s="4" t="s">
        <v>441</v>
      </c>
      <c r="C60" s="4" t="s">
        <v>442</v>
      </c>
      <c r="D60" s="3">
        <v>2</v>
      </c>
      <c r="E60" s="3" t="s">
        <v>16</v>
      </c>
      <c r="F60" s="3" t="s">
        <v>295</v>
      </c>
      <c r="G60" s="3" t="s">
        <v>17</v>
      </c>
      <c r="H60" s="3" t="s">
        <v>40</v>
      </c>
    </row>
    <row r="61" spans="1:8" x14ac:dyDescent="0.2">
      <c r="A61" s="3">
        <v>3080111087</v>
      </c>
      <c r="B61" s="4" t="s">
        <v>79</v>
      </c>
      <c r="C61" s="4" t="s">
        <v>80</v>
      </c>
      <c r="D61" s="3">
        <v>20</v>
      </c>
      <c r="E61" s="3" t="s">
        <v>16</v>
      </c>
      <c r="F61" s="3" t="s">
        <v>291</v>
      </c>
      <c r="G61" s="3" t="s">
        <v>26</v>
      </c>
      <c r="H61" s="3" t="s">
        <v>40</v>
      </c>
    </row>
    <row r="62" spans="1:8" x14ac:dyDescent="0.2">
      <c r="A62" s="3">
        <v>3080111015</v>
      </c>
      <c r="B62" s="4" t="s">
        <v>79</v>
      </c>
      <c r="C62" s="4" t="s">
        <v>446</v>
      </c>
      <c r="D62" s="3">
        <v>4</v>
      </c>
      <c r="E62" s="3" t="s">
        <v>16</v>
      </c>
      <c r="F62" s="3" t="s">
        <v>291</v>
      </c>
      <c r="G62" s="3" t="s">
        <v>26</v>
      </c>
      <c r="H62" s="3" t="s">
        <v>40</v>
      </c>
    </row>
    <row r="63" spans="1:8" x14ac:dyDescent="0.2">
      <c r="A63" s="3">
        <v>3080111012</v>
      </c>
      <c r="B63" s="4" t="s">
        <v>79</v>
      </c>
      <c r="C63" s="4" t="s">
        <v>443</v>
      </c>
      <c r="D63" s="3">
        <v>2</v>
      </c>
      <c r="E63" s="3" t="s">
        <v>16</v>
      </c>
      <c r="F63" s="3" t="s">
        <v>295</v>
      </c>
      <c r="G63" s="3" t="s">
        <v>17</v>
      </c>
      <c r="H63" s="3" t="s">
        <v>40</v>
      </c>
    </row>
    <row r="64" spans="1:8" x14ac:dyDescent="0.2">
      <c r="A64" s="3">
        <v>3080111006</v>
      </c>
      <c r="B64" s="4" t="s">
        <v>79</v>
      </c>
      <c r="C64" s="4" t="s">
        <v>444</v>
      </c>
      <c r="D64" s="3">
        <v>1</v>
      </c>
      <c r="E64" s="3" t="s">
        <v>16</v>
      </c>
      <c r="F64" s="3" t="s">
        <v>295</v>
      </c>
      <c r="G64" s="3" t="s">
        <v>17</v>
      </c>
      <c r="H64" s="3" t="s">
        <v>40</v>
      </c>
    </row>
    <row r="65" spans="1:8" x14ac:dyDescent="0.2">
      <c r="A65" s="3">
        <v>3080111004</v>
      </c>
      <c r="B65" s="4" t="s">
        <v>79</v>
      </c>
      <c r="C65" s="4" t="s">
        <v>445</v>
      </c>
      <c r="D65" s="3">
        <v>2</v>
      </c>
      <c r="E65" s="3" t="s">
        <v>16</v>
      </c>
      <c r="F65" s="3" t="s">
        <v>293</v>
      </c>
      <c r="G65" s="3" t="s">
        <v>29</v>
      </c>
      <c r="H65" s="3" t="s">
        <v>40</v>
      </c>
    </row>
    <row r="66" spans="1:8" x14ac:dyDescent="0.2">
      <c r="A66" s="3">
        <v>407030038</v>
      </c>
      <c r="B66" s="4" t="s">
        <v>81</v>
      </c>
      <c r="C66" s="4" t="s">
        <v>447</v>
      </c>
      <c r="D66" s="3">
        <v>1</v>
      </c>
      <c r="E66" s="3" t="s">
        <v>16</v>
      </c>
      <c r="F66" s="3" t="s">
        <v>301</v>
      </c>
      <c r="G66" s="3" t="s">
        <v>32</v>
      </c>
      <c r="H66" s="3" t="s">
        <v>40</v>
      </c>
    </row>
    <row r="67" spans="1:8" x14ac:dyDescent="0.2">
      <c r="A67" s="3">
        <v>3099991203</v>
      </c>
      <c r="B67" s="4" t="s">
        <v>101</v>
      </c>
      <c r="C67" s="4" t="s">
        <v>102</v>
      </c>
      <c r="D67" s="3">
        <v>1</v>
      </c>
      <c r="E67" s="3" t="s">
        <v>16</v>
      </c>
      <c r="F67" s="3" t="s">
        <v>289</v>
      </c>
      <c r="G67" s="3" t="s">
        <v>23</v>
      </c>
      <c r="H67" s="3" t="s">
        <v>103</v>
      </c>
    </row>
    <row r="68" spans="1:8" x14ac:dyDescent="0.2">
      <c r="A68" s="3">
        <v>3099990209</v>
      </c>
      <c r="B68" s="4" t="s">
        <v>1902</v>
      </c>
      <c r="C68" s="4" t="s">
        <v>1932</v>
      </c>
      <c r="D68" s="3">
        <v>1</v>
      </c>
      <c r="E68" s="3" t="s">
        <v>16</v>
      </c>
      <c r="F68" s="3" t="s">
        <v>299</v>
      </c>
      <c r="G68" s="3" t="s">
        <v>106</v>
      </c>
      <c r="H68" s="3" t="s">
        <v>103</v>
      </c>
    </row>
    <row r="69" spans="1:8" x14ac:dyDescent="0.2">
      <c r="A69" s="3">
        <v>402010065</v>
      </c>
      <c r="B69" s="4" t="s">
        <v>882</v>
      </c>
      <c r="C69" s="4" t="s">
        <v>1927</v>
      </c>
      <c r="D69" s="3">
        <v>1</v>
      </c>
      <c r="E69" s="3" t="s">
        <v>16</v>
      </c>
      <c r="F69" s="3" t="s">
        <v>291</v>
      </c>
      <c r="G69" s="3" t="s">
        <v>26</v>
      </c>
      <c r="H69" s="3" t="s">
        <v>109</v>
      </c>
    </row>
    <row r="70" spans="1:8" x14ac:dyDescent="0.2">
      <c r="A70" s="3">
        <v>402020002</v>
      </c>
      <c r="B70" s="4" t="s">
        <v>111</v>
      </c>
      <c r="C70" s="4" t="s">
        <v>452</v>
      </c>
      <c r="D70" s="3">
        <v>2</v>
      </c>
      <c r="E70" s="3" t="s">
        <v>16</v>
      </c>
      <c r="F70" s="3" t="s">
        <v>293</v>
      </c>
      <c r="G70" s="3" t="s">
        <v>29</v>
      </c>
      <c r="H70" s="3" t="s">
        <v>109</v>
      </c>
    </row>
    <row r="71" spans="1:8" x14ac:dyDescent="0.2">
      <c r="A71" s="3">
        <v>3060209002</v>
      </c>
      <c r="B71" s="4" t="s">
        <v>113</v>
      </c>
      <c r="C71" s="4" t="s">
        <v>114</v>
      </c>
      <c r="D71" s="3">
        <v>2</v>
      </c>
      <c r="E71" s="3" t="s">
        <v>16</v>
      </c>
      <c r="F71" s="3" t="s">
        <v>289</v>
      </c>
      <c r="G71" s="3" t="s">
        <v>23</v>
      </c>
      <c r="H71" s="3" t="s">
        <v>115</v>
      </c>
    </row>
    <row r="72" spans="1:8" x14ac:dyDescent="0.2">
      <c r="A72" s="3">
        <v>3040216001</v>
      </c>
      <c r="B72" s="4" t="s">
        <v>328</v>
      </c>
      <c r="C72" s="4" t="s">
        <v>329</v>
      </c>
      <c r="D72" s="3">
        <v>4</v>
      </c>
      <c r="E72" s="3" t="s">
        <v>16</v>
      </c>
      <c r="F72" s="3" t="s">
        <v>293</v>
      </c>
      <c r="G72" s="3" t="s">
        <v>29</v>
      </c>
      <c r="H72" s="3" t="s">
        <v>115</v>
      </c>
    </row>
    <row r="73" spans="1:8" x14ac:dyDescent="0.2">
      <c r="A73" s="3">
        <v>3030204017</v>
      </c>
      <c r="B73" s="4" t="s">
        <v>453</v>
      </c>
      <c r="C73" s="4" t="s">
        <v>454</v>
      </c>
      <c r="D73" s="3">
        <v>1</v>
      </c>
      <c r="E73" s="3" t="s">
        <v>16</v>
      </c>
      <c r="F73" s="3" t="s">
        <v>295</v>
      </c>
      <c r="G73" s="3" t="s">
        <v>17</v>
      </c>
      <c r="H73" s="3" t="s">
        <v>115</v>
      </c>
    </row>
    <row r="74" spans="1:8" x14ac:dyDescent="0.2">
      <c r="A74" s="3">
        <v>3030204005</v>
      </c>
      <c r="B74" s="4" t="s">
        <v>455</v>
      </c>
      <c r="C74" s="4" t="s">
        <v>456</v>
      </c>
      <c r="D74" s="3">
        <v>1</v>
      </c>
      <c r="E74" s="3" t="s">
        <v>16</v>
      </c>
      <c r="F74" s="3" t="s">
        <v>295</v>
      </c>
      <c r="G74" s="3" t="s">
        <v>17</v>
      </c>
      <c r="H74" s="3" t="s">
        <v>115</v>
      </c>
    </row>
    <row r="75" spans="1:8" x14ac:dyDescent="0.2">
      <c r="A75" s="3">
        <v>3050203003</v>
      </c>
      <c r="B75" s="4" t="s">
        <v>120</v>
      </c>
      <c r="C75" s="4" t="s">
        <v>457</v>
      </c>
      <c r="D75" s="3">
        <v>2</v>
      </c>
      <c r="E75" s="3" t="s">
        <v>16</v>
      </c>
      <c r="F75" s="3" t="s">
        <v>291</v>
      </c>
      <c r="G75" s="3" t="s">
        <v>26</v>
      </c>
      <c r="H75" s="3" t="s">
        <v>115</v>
      </c>
    </row>
    <row r="76" spans="1:8" x14ac:dyDescent="0.2">
      <c r="A76" s="3">
        <v>3030204008</v>
      </c>
      <c r="B76" s="4" t="s">
        <v>122</v>
      </c>
      <c r="C76" s="4" t="s">
        <v>123</v>
      </c>
      <c r="D76" s="3">
        <v>1</v>
      </c>
      <c r="E76" s="3" t="s">
        <v>16</v>
      </c>
      <c r="F76" s="3" t="s">
        <v>291</v>
      </c>
      <c r="G76" s="3" t="s">
        <v>26</v>
      </c>
      <c r="H76" s="3" t="s">
        <v>115</v>
      </c>
    </row>
    <row r="77" spans="1:8" x14ac:dyDescent="0.2">
      <c r="A77" s="3">
        <v>3070104005</v>
      </c>
      <c r="B77" s="4" t="s">
        <v>128</v>
      </c>
      <c r="C77" s="4" t="s">
        <v>330</v>
      </c>
      <c r="D77" s="3">
        <v>1</v>
      </c>
      <c r="E77" s="3" t="s">
        <v>16</v>
      </c>
      <c r="F77" s="3" t="s">
        <v>317</v>
      </c>
      <c r="G77" s="3" t="s">
        <v>318</v>
      </c>
      <c r="H77" s="3" t="s">
        <v>115</v>
      </c>
    </row>
    <row r="78" spans="1:8" x14ac:dyDescent="0.2">
      <c r="A78" s="3">
        <v>3070104001</v>
      </c>
      <c r="B78" s="4" t="s">
        <v>331</v>
      </c>
      <c r="C78" s="4" t="s">
        <v>332</v>
      </c>
      <c r="D78" s="3">
        <v>1</v>
      </c>
      <c r="E78" s="3" t="s">
        <v>16</v>
      </c>
      <c r="F78" s="3" t="s">
        <v>317</v>
      </c>
      <c r="G78" s="3" t="s">
        <v>318</v>
      </c>
      <c r="H78" s="3" t="s">
        <v>115</v>
      </c>
    </row>
    <row r="79" spans="1:8" x14ac:dyDescent="0.2">
      <c r="A79" s="3">
        <v>3030206001</v>
      </c>
      <c r="B79" s="4" t="s">
        <v>458</v>
      </c>
      <c r="C79" s="4" t="s">
        <v>404</v>
      </c>
      <c r="D79" s="3">
        <v>1</v>
      </c>
      <c r="E79" s="3" t="s">
        <v>16</v>
      </c>
      <c r="F79" s="3" t="s">
        <v>295</v>
      </c>
      <c r="G79" s="3" t="s">
        <v>17</v>
      </c>
      <c r="H79" s="3" t="s">
        <v>132</v>
      </c>
    </row>
    <row r="80" spans="1:8" x14ac:dyDescent="0.2">
      <c r="A80" s="3">
        <v>3040502051</v>
      </c>
      <c r="B80" s="4" t="s">
        <v>136</v>
      </c>
      <c r="C80" s="4" t="s">
        <v>459</v>
      </c>
      <c r="D80" s="3">
        <v>2</v>
      </c>
      <c r="E80" s="3" t="s">
        <v>16</v>
      </c>
      <c r="F80" s="3" t="s">
        <v>293</v>
      </c>
      <c r="G80" s="3" t="s">
        <v>29</v>
      </c>
      <c r="H80" s="3" t="s">
        <v>138</v>
      </c>
    </row>
    <row r="81" spans="1:8" x14ac:dyDescent="0.2">
      <c r="A81" s="3">
        <v>3990207001</v>
      </c>
      <c r="B81" s="4" t="s">
        <v>140</v>
      </c>
      <c r="C81" s="4" t="s">
        <v>141</v>
      </c>
      <c r="D81" s="3">
        <v>1</v>
      </c>
      <c r="E81" s="3" t="s">
        <v>16</v>
      </c>
      <c r="F81" s="3" t="s">
        <v>285</v>
      </c>
      <c r="G81" s="3" t="s">
        <v>142</v>
      </c>
      <c r="H81" s="3" t="s">
        <v>143</v>
      </c>
    </row>
    <row r="82" spans="1:8" x14ac:dyDescent="0.2">
      <c r="A82" s="3">
        <v>3030301005</v>
      </c>
      <c r="B82" s="4" t="s">
        <v>144</v>
      </c>
      <c r="C82" s="4" t="s">
        <v>145</v>
      </c>
      <c r="D82" s="3">
        <v>2</v>
      </c>
      <c r="E82" s="3" t="s">
        <v>16</v>
      </c>
      <c r="F82" s="3" t="s">
        <v>291</v>
      </c>
      <c r="G82" s="3" t="s">
        <v>26</v>
      </c>
      <c r="H82" s="3" t="s">
        <v>143</v>
      </c>
    </row>
    <row r="83" spans="1:8" x14ac:dyDescent="0.2">
      <c r="A83" s="3">
        <v>3990204002</v>
      </c>
      <c r="B83" s="4" t="s">
        <v>333</v>
      </c>
      <c r="C83" s="4" t="s">
        <v>334</v>
      </c>
      <c r="D83" s="3">
        <v>1</v>
      </c>
      <c r="E83" s="3" t="s">
        <v>16</v>
      </c>
      <c r="F83" s="3" t="s">
        <v>335</v>
      </c>
      <c r="G83" s="3" t="s">
        <v>336</v>
      </c>
      <c r="H83" s="3" t="s">
        <v>143</v>
      </c>
    </row>
    <row r="84" spans="1:8" x14ac:dyDescent="0.2">
      <c r="A84" s="3">
        <v>408090008</v>
      </c>
      <c r="B84" s="4" t="s">
        <v>461</v>
      </c>
      <c r="C84" s="4" t="s">
        <v>462</v>
      </c>
      <c r="D84" s="3">
        <v>1</v>
      </c>
      <c r="E84" s="3" t="s">
        <v>16</v>
      </c>
      <c r="F84" s="3" t="s">
        <v>293</v>
      </c>
      <c r="G84" s="3" t="s">
        <v>29</v>
      </c>
      <c r="H84" s="3" t="s">
        <v>151</v>
      </c>
    </row>
    <row r="85" spans="1:8" x14ac:dyDescent="0.2">
      <c r="A85" s="3">
        <v>408090007</v>
      </c>
      <c r="B85" s="4" t="s">
        <v>463</v>
      </c>
      <c r="C85" s="4" t="s">
        <v>464</v>
      </c>
      <c r="D85" s="3">
        <v>1</v>
      </c>
      <c r="E85" s="3" t="s">
        <v>16</v>
      </c>
      <c r="F85" s="3" t="s">
        <v>293</v>
      </c>
      <c r="G85" s="3" t="s">
        <v>29</v>
      </c>
      <c r="H85" s="3" t="s">
        <v>151</v>
      </c>
    </row>
    <row r="86" spans="1:8" x14ac:dyDescent="0.2">
      <c r="A86" s="3">
        <v>407010061</v>
      </c>
      <c r="B86" s="4" t="s">
        <v>149</v>
      </c>
      <c r="C86" s="4" t="s">
        <v>591</v>
      </c>
      <c r="D86" s="3">
        <v>1</v>
      </c>
      <c r="E86" s="3" t="s">
        <v>16</v>
      </c>
      <c r="F86" s="3" t="s">
        <v>289</v>
      </c>
      <c r="G86" s="3" t="s">
        <v>23</v>
      </c>
      <c r="H86" s="3" t="s">
        <v>151</v>
      </c>
    </row>
    <row r="87" spans="1:8" x14ac:dyDescent="0.2">
      <c r="A87" s="3">
        <v>3070103002</v>
      </c>
      <c r="B87" s="4" t="s">
        <v>152</v>
      </c>
      <c r="C87" s="4" t="s">
        <v>153</v>
      </c>
      <c r="D87" s="3">
        <v>1</v>
      </c>
      <c r="E87" s="3" t="s">
        <v>16</v>
      </c>
      <c r="F87" s="3" t="s">
        <v>289</v>
      </c>
      <c r="G87" s="3" t="s">
        <v>23</v>
      </c>
      <c r="H87" s="3" t="s">
        <v>154</v>
      </c>
    </row>
    <row r="88" spans="1:8" x14ac:dyDescent="0.2">
      <c r="A88" s="3">
        <v>3080507001</v>
      </c>
      <c r="B88" s="4" t="s">
        <v>466</v>
      </c>
      <c r="C88" s="4" t="s">
        <v>467</v>
      </c>
      <c r="D88" s="3">
        <v>4</v>
      </c>
      <c r="E88" s="3" t="s">
        <v>16</v>
      </c>
      <c r="F88" s="3" t="s">
        <v>291</v>
      </c>
      <c r="G88" s="3" t="s">
        <v>26</v>
      </c>
      <c r="H88" s="3" t="s">
        <v>154</v>
      </c>
    </row>
    <row r="89" spans="1:8" x14ac:dyDescent="0.2">
      <c r="A89" s="3">
        <v>3030301010</v>
      </c>
      <c r="B89" s="4" t="s">
        <v>468</v>
      </c>
      <c r="C89" s="4" t="s">
        <v>469</v>
      </c>
      <c r="D89" s="3">
        <v>4</v>
      </c>
      <c r="E89" s="3" t="s">
        <v>16</v>
      </c>
      <c r="F89" s="3" t="s">
        <v>295</v>
      </c>
      <c r="G89" s="3" t="s">
        <v>17</v>
      </c>
      <c r="H89" s="3" t="s">
        <v>165</v>
      </c>
    </row>
    <row r="90" spans="1:8" x14ac:dyDescent="0.2">
      <c r="A90" s="3">
        <v>3060347005</v>
      </c>
      <c r="B90" s="4" t="s">
        <v>470</v>
      </c>
      <c r="C90" s="4" t="s">
        <v>471</v>
      </c>
      <c r="D90" s="3">
        <v>1</v>
      </c>
      <c r="E90" s="3" t="s">
        <v>16</v>
      </c>
      <c r="F90" s="3" t="s">
        <v>291</v>
      </c>
      <c r="G90" s="3" t="s">
        <v>26</v>
      </c>
      <c r="H90" s="3" t="s">
        <v>165</v>
      </c>
    </row>
    <row r="91" spans="1:8" x14ac:dyDescent="0.2">
      <c r="A91" s="3">
        <v>3060347006</v>
      </c>
      <c r="B91" s="4" t="s">
        <v>470</v>
      </c>
      <c r="C91" s="4" t="s">
        <v>472</v>
      </c>
      <c r="D91" s="3">
        <v>1</v>
      </c>
      <c r="E91" s="3" t="s">
        <v>16</v>
      </c>
      <c r="F91" s="3" t="s">
        <v>291</v>
      </c>
      <c r="G91" s="3" t="s">
        <v>26</v>
      </c>
      <c r="H91" s="3" t="s">
        <v>165</v>
      </c>
    </row>
    <row r="92" spans="1:8" x14ac:dyDescent="0.2">
      <c r="A92" s="3">
        <v>3060306001</v>
      </c>
      <c r="B92" s="4" t="s">
        <v>163</v>
      </c>
      <c r="C92" s="4" t="s">
        <v>164</v>
      </c>
      <c r="D92" s="3">
        <v>1</v>
      </c>
      <c r="E92" s="3" t="s">
        <v>16</v>
      </c>
      <c r="F92" s="3" t="s">
        <v>289</v>
      </c>
      <c r="G92" s="3" t="s">
        <v>23</v>
      </c>
      <c r="H92" s="3" t="s">
        <v>165</v>
      </c>
    </row>
    <row r="93" spans="1:8" x14ac:dyDescent="0.2">
      <c r="A93" s="3">
        <v>3110103002</v>
      </c>
      <c r="B93" s="4" t="s">
        <v>473</v>
      </c>
      <c r="C93" s="4" t="s">
        <v>474</v>
      </c>
      <c r="D93" s="3">
        <v>1</v>
      </c>
      <c r="E93" s="3" t="s">
        <v>16</v>
      </c>
      <c r="F93" s="3" t="s">
        <v>291</v>
      </c>
      <c r="G93" s="3" t="s">
        <v>26</v>
      </c>
      <c r="H93" s="3" t="s">
        <v>165</v>
      </c>
    </row>
    <row r="94" spans="1:8" x14ac:dyDescent="0.2">
      <c r="A94" s="3">
        <v>3030316006</v>
      </c>
      <c r="B94" s="4" t="s">
        <v>475</v>
      </c>
      <c r="C94" s="4" t="s">
        <v>476</v>
      </c>
      <c r="D94" s="3">
        <v>1</v>
      </c>
      <c r="E94" s="3" t="s">
        <v>16</v>
      </c>
      <c r="F94" s="3" t="s">
        <v>295</v>
      </c>
      <c r="G94" s="3" t="s">
        <v>17</v>
      </c>
      <c r="H94" s="3" t="s">
        <v>165</v>
      </c>
    </row>
    <row r="95" spans="1:8" x14ac:dyDescent="0.2">
      <c r="A95" s="3">
        <v>3030314007</v>
      </c>
      <c r="B95" s="4" t="s">
        <v>477</v>
      </c>
      <c r="C95" s="4" t="s">
        <v>478</v>
      </c>
      <c r="D95" s="3">
        <v>1</v>
      </c>
      <c r="E95" s="3" t="s">
        <v>16</v>
      </c>
      <c r="F95" s="3" t="s">
        <v>291</v>
      </c>
      <c r="G95" s="3" t="s">
        <v>26</v>
      </c>
      <c r="H95" s="3" t="s">
        <v>165</v>
      </c>
    </row>
    <row r="96" spans="1:8" x14ac:dyDescent="0.2">
      <c r="A96" s="3">
        <v>3030308013</v>
      </c>
      <c r="B96" s="4" t="s">
        <v>479</v>
      </c>
      <c r="C96" s="4" t="s">
        <v>478</v>
      </c>
      <c r="D96" s="3">
        <v>1</v>
      </c>
      <c r="E96" s="3" t="s">
        <v>16</v>
      </c>
      <c r="F96" s="3" t="s">
        <v>291</v>
      </c>
      <c r="G96" s="3" t="s">
        <v>26</v>
      </c>
      <c r="H96" s="3" t="s">
        <v>165</v>
      </c>
    </row>
    <row r="97" spans="1:8" x14ac:dyDescent="0.2">
      <c r="A97" s="3">
        <v>3050310030</v>
      </c>
      <c r="B97" s="4" t="s">
        <v>480</v>
      </c>
      <c r="C97" s="4" t="s">
        <v>469</v>
      </c>
      <c r="D97" s="3">
        <v>2</v>
      </c>
      <c r="E97" s="3" t="s">
        <v>16</v>
      </c>
      <c r="F97" s="3" t="s">
        <v>291</v>
      </c>
      <c r="G97" s="3" t="s">
        <v>26</v>
      </c>
      <c r="H97" s="3" t="s">
        <v>165</v>
      </c>
    </row>
    <row r="98" spans="1:8" x14ac:dyDescent="0.2">
      <c r="A98" s="3">
        <v>3010106010</v>
      </c>
      <c r="B98" s="4" t="s">
        <v>481</v>
      </c>
      <c r="C98" s="4" t="s">
        <v>482</v>
      </c>
      <c r="D98" s="3">
        <v>0.38</v>
      </c>
      <c r="E98" s="3" t="s">
        <v>10</v>
      </c>
      <c r="F98" s="3" t="s">
        <v>284</v>
      </c>
      <c r="G98" s="3" t="s">
        <v>11</v>
      </c>
      <c r="H98" s="3" t="s">
        <v>483</v>
      </c>
    </row>
    <row r="99" spans="1:8" x14ac:dyDescent="0.2">
      <c r="A99" s="3">
        <v>3060310001</v>
      </c>
      <c r="B99" s="4" t="s">
        <v>171</v>
      </c>
      <c r="C99" s="4" t="s">
        <v>172</v>
      </c>
      <c r="D99" s="3">
        <v>1</v>
      </c>
      <c r="E99" s="3" t="s">
        <v>16</v>
      </c>
      <c r="F99" s="3" t="s">
        <v>289</v>
      </c>
      <c r="G99" s="3" t="s">
        <v>23</v>
      </c>
      <c r="H99" s="3" t="s">
        <v>173</v>
      </c>
    </row>
    <row r="100" spans="1:8" x14ac:dyDescent="0.2">
      <c r="A100" s="3">
        <v>3060311001</v>
      </c>
      <c r="B100" s="4" t="s">
        <v>174</v>
      </c>
      <c r="C100" s="4" t="s">
        <v>172</v>
      </c>
      <c r="D100" s="3">
        <v>1</v>
      </c>
      <c r="E100" s="3" t="s">
        <v>16</v>
      </c>
      <c r="F100" s="3" t="s">
        <v>289</v>
      </c>
      <c r="G100" s="3" t="s">
        <v>23</v>
      </c>
      <c r="H100" s="3" t="s">
        <v>173</v>
      </c>
    </row>
    <row r="101" spans="1:8" x14ac:dyDescent="0.2">
      <c r="A101" s="3">
        <v>3050305013</v>
      </c>
      <c r="B101" s="4" t="s">
        <v>484</v>
      </c>
      <c r="C101" s="4" t="s">
        <v>485</v>
      </c>
      <c r="D101" s="3">
        <v>1</v>
      </c>
      <c r="E101" s="3" t="s">
        <v>16</v>
      </c>
      <c r="F101" s="3" t="s">
        <v>291</v>
      </c>
      <c r="G101" s="3" t="s">
        <v>26</v>
      </c>
      <c r="H101" s="3" t="s">
        <v>173</v>
      </c>
    </row>
    <row r="102" spans="1:8" x14ac:dyDescent="0.2">
      <c r="A102" s="3">
        <v>3040305002</v>
      </c>
      <c r="B102" s="4" t="s">
        <v>486</v>
      </c>
      <c r="C102" s="4" t="s">
        <v>487</v>
      </c>
      <c r="D102" s="3">
        <v>2</v>
      </c>
      <c r="E102" s="3" t="s">
        <v>16</v>
      </c>
      <c r="F102" s="3" t="s">
        <v>293</v>
      </c>
      <c r="G102" s="3" t="s">
        <v>29</v>
      </c>
      <c r="H102" s="3" t="s">
        <v>173</v>
      </c>
    </row>
    <row r="103" spans="1:8" x14ac:dyDescent="0.2">
      <c r="A103" s="3">
        <v>3040313002</v>
      </c>
      <c r="B103" s="4" t="s">
        <v>488</v>
      </c>
      <c r="C103" s="4" t="s">
        <v>489</v>
      </c>
      <c r="D103" s="3">
        <v>8</v>
      </c>
      <c r="E103" s="3" t="s">
        <v>16</v>
      </c>
      <c r="F103" s="3" t="s">
        <v>293</v>
      </c>
      <c r="G103" s="3" t="s">
        <v>29</v>
      </c>
      <c r="H103" s="3" t="s">
        <v>173</v>
      </c>
    </row>
    <row r="104" spans="1:8" x14ac:dyDescent="0.2">
      <c r="A104" s="3">
        <v>3040321001</v>
      </c>
      <c r="B104" s="4" t="s">
        <v>490</v>
      </c>
      <c r="C104" s="4" t="s">
        <v>347</v>
      </c>
      <c r="D104" s="3">
        <v>8</v>
      </c>
      <c r="E104" s="3" t="s">
        <v>16</v>
      </c>
      <c r="F104" s="3" t="s">
        <v>293</v>
      </c>
      <c r="G104" s="3" t="s">
        <v>29</v>
      </c>
      <c r="H104" s="3" t="s">
        <v>173</v>
      </c>
    </row>
    <row r="105" spans="1:8" x14ac:dyDescent="0.2">
      <c r="A105" s="3">
        <v>3040309001</v>
      </c>
      <c r="B105" s="4" t="s">
        <v>346</v>
      </c>
      <c r="C105" s="4" t="s">
        <v>347</v>
      </c>
      <c r="D105" s="3">
        <v>4</v>
      </c>
      <c r="E105" s="3" t="s">
        <v>16</v>
      </c>
      <c r="F105" s="3" t="s">
        <v>293</v>
      </c>
      <c r="G105" s="3" t="s">
        <v>29</v>
      </c>
      <c r="H105" s="3" t="s">
        <v>173</v>
      </c>
    </row>
    <row r="106" spans="1:8" x14ac:dyDescent="0.2">
      <c r="A106" s="3">
        <v>3070201002</v>
      </c>
      <c r="B106" s="4" t="s">
        <v>348</v>
      </c>
      <c r="C106" s="4" t="s">
        <v>349</v>
      </c>
      <c r="D106" s="3">
        <v>1</v>
      </c>
      <c r="E106" s="3" t="s">
        <v>16</v>
      </c>
      <c r="F106" s="3" t="s">
        <v>317</v>
      </c>
      <c r="G106" s="3" t="s">
        <v>318</v>
      </c>
      <c r="H106" s="3" t="s">
        <v>173</v>
      </c>
    </row>
    <row r="107" spans="1:8" x14ac:dyDescent="0.2">
      <c r="A107" s="3">
        <v>3050302006</v>
      </c>
      <c r="B107" s="4" t="s">
        <v>1921</v>
      </c>
      <c r="C107" s="4" t="s">
        <v>1933</v>
      </c>
      <c r="D107" s="3">
        <v>1</v>
      </c>
      <c r="E107" s="3" t="s">
        <v>16</v>
      </c>
      <c r="F107" s="3" t="s">
        <v>291</v>
      </c>
      <c r="G107" s="3" t="s">
        <v>26</v>
      </c>
      <c r="H107" s="3" t="s">
        <v>173</v>
      </c>
    </row>
    <row r="108" spans="1:8" x14ac:dyDescent="0.2">
      <c r="A108" s="3">
        <v>3020501014</v>
      </c>
      <c r="B108" s="4" t="s">
        <v>183</v>
      </c>
      <c r="C108" s="4" t="s">
        <v>350</v>
      </c>
      <c r="D108" s="3">
        <v>1</v>
      </c>
      <c r="E108" s="3" t="s">
        <v>16</v>
      </c>
      <c r="F108" s="3" t="s">
        <v>291</v>
      </c>
      <c r="G108" s="3" t="s">
        <v>26</v>
      </c>
      <c r="H108" s="3" t="s">
        <v>185</v>
      </c>
    </row>
    <row r="109" spans="1:8" x14ac:dyDescent="0.2">
      <c r="A109" s="3">
        <v>3030204003</v>
      </c>
      <c r="B109" s="4" t="s">
        <v>492</v>
      </c>
      <c r="C109" s="4" t="s">
        <v>493</v>
      </c>
      <c r="D109" s="3">
        <v>2</v>
      </c>
      <c r="E109" s="3" t="s">
        <v>16</v>
      </c>
      <c r="F109" s="3" t="s">
        <v>295</v>
      </c>
      <c r="G109" s="3" t="s">
        <v>17</v>
      </c>
      <c r="H109" s="3" t="s">
        <v>494</v>
      </c>
    </row>
    <row r="110" spans="1:8" x14ac:dyDescent="0.2">
      <c r="A110" s="3">
        <v>3990201008</v>
      </c>
      <c r="B110" s="4" t="s">
        <v>186</v>
      </c>
      <c r="C110" s="4" t="s">
        <v>495</v>
      </c>
      <c r="D110" s="3">
        <v>1</v>
      </c>
      <c r="E110" s="3" t="s">
        <v>16</v>
      </c>
      <c r="F110" s="3" t="s">
        <v>295</v>
      </c>
      <c r="G110" s="3" t="s">
        <v>17</v>
      </c>
      <c r="H110" s="3" t="s">
        <v>187</v>
      </c>
    </row>
    <row r="111" spans="1:8" x14ac:dyDescent="0.2">
      <c r="A111" s="3">
        <v>3990202007</v>
      </c>
      <c r="B111" s="4" t="s">
        <v>188</v>
      </c>
      <c r="C111" s="4" t="s">
        <v>495</v>
      </c>
      <c r="D111" s="3">
        <v>1</v>
      </c>
      <c r="E111" s="3" t="s">
        <v>16</v>
      </c>
      <c r="F111" s="3" t="s">
        <v>295</v>
      </c>
      <c r="G111" s="3" t="s">
        <v>17</v>
      </c>
      <c r="H111" s="3" t="s">
        <v>187</v>
      </c>
    </row>
    <row r="112" spans="1:8" x14ac:dyDescent="0.2">
      <c r="A112" s="3">
        <v>3990203002</v>
      </c>
      <c r="B112" s="4" t="s">
        <v>189</v>
      </c>
      <c r="C112" s="4" t="s">
        <v>495</v>
      </c>
      <c r="D112" s="3">
        <v>1</v>
      </c>
      <c r="E112" s="3" t="s">
        <v>16</v>
      </c>
      <c r="F112" s="3" t="s">
        <v>295</v>
      </c>
      <c r="G112" s="3" t="s">
        <v>17</v>
      </c>
      <c r="H112" s="3" t="s">
        <v>187</v>
      </c>
    </row>
    <row r="113" spans="1:8" x14ac:dyDescent="0.2">
      <c r="A113" s="3">
        <v>3050405001</v>
      </c>
      <c r="B113" s="4" t="s">
        <v>496</v>
      </c>
      <c r="C113" s="4" t="s">
        <v>497</v>
      </c>
      <c r="D113" s="3">
        <v>1</v>
      </c>
      <c r="E113" s="3" t="s">
        <v>16</v>
      </c>
      <c r="F113" s="3" t="s">
        <v>291</v>
      </c>
      <c r="G113" s="3" t="s">
        <v>26</v>
      </c>
      <c r="H113" s="3" t="s">
        <v>192</v>
      </c>
    </row>
    <row r="114" spans="1:8" x14ac:dyDescent="0.2">
      <c r="A114" s="3">
        <v>3030402001</v>
      </c>
      <c r="B114" s="4" t="s">
        <v>498</v>
      </c>
      <c r="C114" s="4" t="s">
        <v>499</v>
      </c>
      <c r="D114" s="3">
        <v>1</v>
      </c>
      <c r="E114" s="3" t="s">
        <v>16</v>
      </c>
      <c r="F114" s="3" t="s">
        <v>295</v>
      </c>
      <c r="G114" s="3" t="s">
        <v>17</v>
      </c>
      <c r="H114" s="3" t="s">
        <v>192</v>
      </c>
    </row>
    <row r="115" spans="1:8" x14ac:dyDescent="0.2">
      <c r="A115" s="3">
        <v>3040402005</v>
      </c>
      <c r="B115" s="4" t="s">
        <v>500</v>
      </c>
      <c r="C115" s="4" t="s">
        <v>501</v>
      </c>
      <c r="D115" s="3">
        <v>1</v>
      </c>
      <c r="E115" s="3" t="s">
        <v>16</v>
      </c>
      <c r="F115" s="3" t="s">
        <v>293</v>
      </c>
      <c r="G115" s="3" t="s">
        <v>29</v>
      </c>
      <c r="H115" s="3" t="s">
        <v>192</v>
      </c>
    </row>
    <row r="116" spans="1:8" x14ac:dyDescent="0.2">
      <c r="A116" s="3">
        <v>3040402006</v>
      </c>
      <c r="B116" s="4" t="s">
        <v>500</v>
      </c>
      <c r="C116" s="4" t="s">
        <v>502</v>
      </c>
      <c r="D116" s="3">
        <v>1</v>
      </c>
      <c r="E116" s="3" t="s">
        <v>16</v>
      </c>
      <c r="F116" s="3" t="s">
        <v>293</v>
      </c>
      <c r="G116" s="3" t="s">
        <v>29</v>
      </c>
      <c r="H116" s="3" t="s">
        <v>192</v>
      </c>
    </row>
    <row r="117" spans="1:8" x14ac:dyDescent="0.2">
      <c r="A117" s="3">
        <v>404100002</v>
      </c>
      <c r="B117" s="4" t="s">
        <v>593</v>
      </c>
      <c r="C117" s="4" t="s">
        <v>594</v>
      </c>
      <c r="D117" s="3">
        <v>1</v>
      </c>
      <c r="E117" s="3" t="s">
        <v>16</v>
      </c>
      <c r="F117" s="3" t="s">
        <v>301</v>
      </c>
      <c r="G117" s="3" t="s">
        <v>32</v>
      </c>
      <c r="H117" s="3" t="s">
        <v>198</v>
      </c>
    </row>
    <row r="118" spans="1:8" x14ac:dyDescent="0.2">
      <c r="A118" s="3">
        <v>404100001</v>
      </c>
      <c r="B118" s="4" t="s">
        <v>196</v>
      </c>
      <c r="C118" s="4" t="s">
        <v>503</v>
      </c>
      <c r="D118" s="3">
        <v>1</v>
      </c>
      <c r="E118" s="3" t="s">
        <v>16</v>
      </c>
      <c r="F118" s="3" t="s">
        <v>301</v>
      </c>
      <c r="G118" s="3" t="s">
        <v>32</v>
      </c>
      <c r="H118" s="3" t="s">
        <v>198</v>
      </c>
    </row>
    <row r="119" spans="1:8" x14ac:dyDescent="0.2">
      <c r="A119" s="3">
        <v>404110008</v>
      </c>
      <c r="B119" s="4" t="s">
        <v>504</v>
      </c>
      <c r="C119" s="4" t="s">
        <v>505</v>
      </c>
      <c r="D119" s="3">
        <v>2</v>
      </c>
      <c r="E119" s="3" t="s">
        <v>16</v>
      </c>
      <c r="F119" s="3" t="s">
        <v>291</v>
      </c>
      <c r="G119" s="3" t="s">
        <v>26</v>
      </c>
      <c r="H119" s="3" t="s">
        <v>198</v>
      </c>
    </row>
    <row r="120" spans="1:8" x14ac:dyDescent="0.2">
      <c r="A120" s="3">
        <v>404110001</v>
      </c>
      <c r="B120" s="4" t="s">
        <v>504</v>
      </c>
      <c r="C120" s="4" t="s">
        <v>506</v>
      </c>
      <c r="D120" s="3">
        <v>1</v>
      </c>
      <c r="E120" s="3" t="s">
        <v>16</v>
      </c>
      <c r="F120" s="3" t="s">
        <v>291</v>
      </c>
      <c r="G120" s="3" t="s">
        <v>26</v>
      </c>
      <c r="H120" s="3" t="s">
        <v>198</v>
      </c>
    </row>
    <row r="121" spans="1:8" x14ac:dyDescent="0.2">
      <c r="A121" s="3">
        <v>403030012</v>
      </c>
      <c r="B121" s="4" t="s">
        <v>366</v>
      </c>
      <c r="C121" s="4" t="s">
        <v>507</v>
      </c>
      <c r="D121" s="3">
        <v>2</v>
      </c>
      <c r="E121" s="3" t="s">
        <v>16</v>
      </c>
      <c r="F121" s="3" t="s">
        <v>291</v>
      </c>
      <c r="G121" s="3" t="s">
        <v>26</v>
      </c>
      <c r="H121" s="3" t="s">
        <v>198</v>
      </c>
    </row>
    <row r="122" spans="1:8" x14ac:dyDescent="0.2">
      <c r="A122" s="3">
        <v>401070018</v>
      </c>
      <c r="B122" s="4" t="s">
        <v>35</v>
      </c>
      <c r="C122" s="4" t="s">
        <v>202</v>
      </c>
      <c r="D122" s="3">
        <v>1</v>
      </c>
      <c r="E122" s="3" t="s">
        <v>16</v>
      </c>
      <c r="F122" s="3" t="s">
        <v>291</v>
      </c>
      <c r="G122" s="3" t="s">
        <v>26</v>
      </c>
      <c r="H122" s="3" t="s">
        <v>198</v>
      </c>
    </row>
    <row r="123" spans="1:8" x14ac:dyDescent="0.2">
      <c r="A123" s="3">
        <v>401040100</v>
      </c>
      <c r="B123" s="4" t="s">
        <v>35</v>
      </c>
      <c r="C123" s="4" t="s">
        <v>508</v>
      </c>
      <c r="D123" s="3">
        <v>1</v>
      </c>
      <c r="E123" s="3" t="s">
        <v>16</v>
      </c>
      <c r="F123" s="3" t="s">
        <v>291</v>
      </c>
      <c r="G123" s="3" t="s">
        <v>26</v>
      </c>
      <c r="H123" s="3" t="s">
        <v>198</v>
      </c>
    </row>
    <row r="124" spans="1:8" x14ac:dyDescent="0.2">
      <c r="A124" s="3">
        <v>404100003</v>
      </c>
      <c r="B124" s="4" t="s">
        <v>205</v>
      </c>
      <c r="C124" s="4" t="s">
        <v>509</v>
      </c>
      <c r="D124" s="3">
        <v>1</v>
      </c>
      <c r="E124" s="3" t="s">
        <v>16</v>
      </c>
      <c r="F124" s="3" t="s">
        <v>291</v>
      </c>
      <c r="G124" s="3" t="s">
        <v>26</v>
      </c>
      <c r="H124" s="3" t="s">
        <v>198</v>
      </c>
    </row>
    <row r="125" spans="1:8" x14ac:dyDescent="0.2">
      <c r="A125" s="3">
        <v>404100004</v>
      </c>
      <c r="B125" s="4" t="s">
        <v>207</v>
      </c>
      <c r="C125" s="4" t="s">
        <v>510</v>
      </c>
      <c r="D125" s="3">
        <v>1</v>
      </c>
      <c r="E125" s="3" t="s">
        <v>16</v>
      </c>
      <c r="F125" s="3" t="s">
        <v>291</v>
      </c>
      <c r="G125" s="3" t="s">
        <v>26</v>
      </c>
      <c r="H125" s="3" t="s">
        <v>198</v>
      </c>
    </row>
    <row r="126" spans="1:8" x14ac:dyDescent="0.2">
      <c r="A126" s="3">
        <v>3030305007</v>
      </c>
      <c r="B126" s="4" t="s">
        <v>511</v>
      </c>
      <c r="C126" s="4" t="s">
        <v>512</v>
      </c>
      <c r="D126" s="3">
        <v>1</v>
      </c>
      <c r="E126" s="3" t="s">
        <v>16</v>
      </c>
      <c r="F126" s="3" t="s">
        <v>295</v>
      </c>
      <c r="G126" s="3" t="s">
        <v>17</v>
      </c>
      <c r="H126" s="3" t="s">
        <v>211</v>
      </c>
    </row>
    <row r="127" spans="1:8" x14ac:dyDescent="0.2">
      <c r="A127" s="3">
        <v>3030305006</v>
      </c>
      <c r="B127" s="4" t="s">
        <v>513</v>
      </c>
      <c r="C127" s="4" t="s">
        <v>512</v>
      </c>
      <c r="D127" s="3">
        <v>1</v>
      </c>
      <c r="E127" s="3" t="s">
        <v>16</v>
      </c>
      <c r="F127" s="3" t="s">
        <v>295</v>
      </c>
      <c r="G127" s="3" t="s">
        <v>17</v>
      </c>
      <c r="H127" s="3" t="s">
        <v>211</v>
      </c>
    </row>
    <row r="128" spans="1:8" x14ac:dyDescent="0.2">
      <c r="A128" s="3">
        <v>3069904001</v>
      </c>
      <c r="B128" s="4" t="s">
        <v>514</v>
      </c>
      <c r="C128" s="4" t="s">
        <v>355</v>
      </c>
      <c r="D128" s="3">
        <v>4</v>
      </c>
      <c r="E128" s="3" t="s">
        <v>16</v>
      </c>
      <c r="F128" s="3" t="s">
        <v>295</v>
      </c>
      <c r="G128" s="3" t="s">
        <v>17</v>
      </c>
      <c r="H128" s="3" t="s">
        <v>214</v>
      </c>
    </row>
    <row r="129" spans="1:8" x14ac:dyDescent="0.2">
      <c r="A129" s="3">
        <v>3030201003</v>
      </c>
      <c r="B129" s="4" t="s">
        <v>515</v>
      </c>
      <c r="C129" s="4" t="s">
        <v>516</v>
      </c>
      <c r="D129" s="3">
        <v>1</v>
      </c>
      <c r="E129" s="3" t="s">
        <v>16</v>
      </c>
      <c r="F129" s="3" t="s">
        <v>295</v>
      </c>
      <c r="G129" s="3" t="s">
        <v>17</v>
      </c>
      <c r="H129" s="3" t="s">
        <v>214</v>
      </c>
    </row>
    <row r="130" spans="1:8" x14ac:dyDescent="0.2">
      <c r="A130" s="3">
        <v>3049903001</v>
      </c>
      <c r="B130" s="4" t="s">
        <v>517</v>
      </c>
      <c r="C130" s="4" t="s">
        <v>355</v>
      </c>
      <c r="D130" s="3">
        <v>2</v>
      </c>
      <c r="E130" s="3" t="s">
        <v>16</v>
      </c>
      <c r="F130" s="3" t="s">
        <v>293</v>
      </c>
      <c r="G130" s="3" t="s">
        <v>29</v>
      </c>
      <c r="H130" s="3" t="s">
        <v>214</v>
      </c>
    </row>
    <row r="131" spans="1:8" x14ac:dyDescent="0.2">
      <c r="A131" s="3">
        <v>3049904001</v>
      </c>
      <c r="B131" s="4" t="s">
        <v>354</v>
      </c>
      <c r="C131" s="4" t="s">
        <v>355</v>
      </c>
      <c r="D131" s="3">
        <v>4</v>
      </c>
      <c r="E131" s="3" t="s">
        <v>16</v>
      </c>
      <c r="F131" s="3" t="s">
        <v>293</v>
      </c>
      <c r="G131" s="3" t="s">
        <v>29</v>
      </c>
      <c r="H131" s="3" t="s">
        <v>214</v>
      </c>
    </row>
    <row r="132" spans="1:8" x14ac:dyDescent="0.2">
      <c r="A132" s="3">
        <v>3049902001</v>
      </c>
      <c r="B132" s="4" t="s">
        <v>518</v>
      </c>
      <c r="C132" s="4" t="s">
        <v>355</v>
      </c>
      <c r="D132" s="3">
        <v>2</v>
      </c>
      <c r="E132" s="3" t="s">
        <v>16</v>
      </c>
      <c r="F132" s="3" t="s">
        <v>293</v>
      </c>
      <c r="G132" s="3" t="s">
        <v>29</v>
      </c>
      <c r="H132" s="3" t="s">
        <v>214</v>
      </c>
    </row>
    <row r="133" spans="1:8" x14ac:dyDescent="0.2">
      <c r="A133" s="3">
        <v>3070105007</v>
      </c>
      <c r="B133" s="4" t="s">
        <v>360</v>
      </c>
      <c r="C133" s="4" t="s">
        <v>361</v>
      </c>
      <c r="D133" s="3">
        <v>1</v>
      </c>
      <c r="E133" s="3" t="s">
        <v>16</v>
      </c>
      <c r="F133" s="3" t="s">
        <v>317</v>
      </c>
      <c r="G133" s="3" t="s">
        <v>318</v>
      </c>
      <c r="H133" s="3" t="s">
        <v>214</v>
      </c>
    </row>
    <row r="134" spans="1:8" x14ac:dyDescent="0.2">
      <c r="A134" s="3">
        <v>3070105008</v>
      </c>
      <c r="B134" s="4" t="s">
        <v>362</v>
      </c>
      <c r="C134" s="4" t="s">
        <v>361</v>
      </c>
      <c r="D134" s="3">
        <v>1</v>
      </c>
      <c r="E134" s="3" t="s">
        <v>16</v>
      </c>
      <c r="F134" s="3" t="s">
        <v>317</v>
      </c>
      <c r="G134" s="3" t="s">
        <v>318</v>
      </c>
      <c r="H134" s="3" t="s">
        <v>214</v>
      </c>
    </row>
    <row r="135" spans="1:8" x14ac:dyDescent="0.2">
      <c r="A135" s="3">
        <v>3050204001</v>
      </c>
      <c r="B135" s="4" t="s">
        <v>519</v>
      </c>
      <c r="C135" s="4" t="s">
        <v>355</v>
      </c>
      <c r="D135" s="3">
        <v>2</v>
      </c>
      <c r="E135" s="3" t="s">
        <v>16</v>
      </c>
      <c r="F135" s="3" t="s">
        <v>291</v>
      </c>
      <c r="G135" s="3" t="s">
        <v>26</v>
      </c>
      <c r="H135" s="3" t="s">
        <v>214</v>
      </c>
    </row>
    <row r="136" spans="1:8" x14ac:dyDescent="0.2">
      <c r="A136" s="3">
        <v>3050204002</v>
      </c>
      <c r="B136" s="4" t="s">
        <v>520</v>
      </c>
      <c r="C136" s="4" t="s">
        <v>355</v>
      </c>
      <c r="D136" s="3">
        <v>2</v>
      </c>
      <c r="E136" s="3" t="s">
        <v>16</v>
      </c>
      <c r="F136" s="3" t="s">
        <v>291</v>
      </c>
      <c r="G136" s="3" t="s">
        <v>26</v>
      </c>
      <c r="H136" s="3" t="s">
        <v>214</v>
      </c>
    </row>
    <row r="137" spans="1:8" x14ac:dyDescent="0.2">
      <c r="A137" s="3">
        <v>3060403034</v>
      </c>
      <c r="B137" s="4" t="s">
        <v>190</v>
      </c>
      <c r="C137" s="4" t="s">
        <v>521</v>
      </c>
      <c r="D137" s="3">
        <v>1</v>
      </c>
      <c r="E137" s="3" t="s">
        <v>16</v>
      </c>
      <c r="F137" s="3" t="s">
        <v>295</v>
      </c>
      <c r="G137" s="3" t="s">
        <v>17</v>
      </c>
      <c r="H137" s="3" t="s">
        <v>221</v>
      </c>
    </row>
    <row r="138" spans="1:8" x14ac:dyDescent="0.2">
      <c r="A138" s="3">
        <v>3020301001</v>
      </c>
      <c r="B138" s="4" t="s">
        <v>209</v>
      </c>
      <c r="C138" s="4" t="s">
        <v>365</v>
      </c>
      <c r="D138" s="3">
        <v>1</v>
      </c>
      <c r="E138" s="3" t="s">
        <v>16</v>
      </c>
      <c r="F138" s="3" t="s">
        <v>301</v>
      </c>
      <c r="G138" s="3" t="s">
        <v>32</v>
      </c>
      <c r="H138" s="3" t="s">
        <v>221</v>
      </c>
    </row>
    <row r="139" spans="1:8" x14ac:dyDescent="0.2">
      <c r="A139" s="3">
        <v>403030051</v>
      </c>
      <c r="B139" s="4" t="s">
        <v>366</v>
      </c>
      <c r="C139" s="4" t="s">
        <v>367</v>
      </c>
      <c r="D139" s="3">
        <v>3</v>
      </c>
      <c r="E139" s="3" t="s">
        <v>16</v>
      </c>
      <c r="F139" s="3" t="s">
        <v>301</v>
      </c>
      <c r="G139" s="3" t="s">
        <v>32</v>
      </c>
      <c r="H139" s="3" t="s">
        <v>221</v>
      </c>
    </row>
    <row r="140" spans="1:8" x14ac:dyDescent="0.2">
      <c r="A140" s="3">
        <v>403030005</v>
      </c>
      <c r="B140" s="4" t="s">
        <v>366</v>
      </c>
      <c r="C140" s="4" t="s">
        <v>368</v>
      </c>
      <c r="D140" s="3">
        <v>2</v>
      </c>
      <c r="E140" s="3" t="s">
        <v>16</v>
      </c>
      <c r="F140" s="3" t="s">
        <v>301</v>
      </c>
      <c r="G140" s="3" t="s">
        <v>32</v>
      </c>
      <c r="H140" s="3" t="s">
        <v>221</v>
      </c>
    </row>
    <row r="141" spans="1:8" x14ac:dyDescent="0.2">
      <c r="A141" s="3">
        <v>402050001</v>
      </c>
      <c r="B141" s="4" t="s">
        <v>522</v>
      </c>
      <c r="C141" s="4" t="s">
        <v>523</v>
      </c>
      <c r="D141" s="3">
        <v>1</v>
      </c>
      <c r="E141" s="3" t="s">
        <v>16</v>
      </c>
      <c r="F141" s="3" t="s">
        <v>289</v>
      </c>
      <c r="G141" s="3" t="s">
        <v>23</v>
      </c>
      <c r="H141" s="3" t="s">
        <v>524</v>
      </c>
    </row>
    <row r="142" spans="1:8" x14ac:dyDescent="0.2">
      <c r="A142" s="3">
        <v>408120036</v>
      </c>
      <c r="B142" s="4" t="s">
        <v>525</v>
      </c>
      <c r="C142" s="4" t="s">
        <v>526</v>
      </c>
      <c r="D142" s="3">
        <v>2</v>
      </c>
      <c r="E142" s="3" t="s">
        <v>16</v>
      </c>
      <c r="F142" s="3" t="s">
        <v>291</v>
      </c>
      <c r="G142" s="3" t="s">
        <v>26</v>
      </c>
      <c r="H142" s="3" t="s">
        <v>524</v>
      </c>
    </row>
    <row r="143" spans="1:8" x14ac:dyDescent="0.2">
      <c r="A143" s="3">
        <v>3060501005</v>
      </c>
      <c r="B143" s="4" t="s">
        <v>224</v>
      </c>
      <c r="C143" s="4" t="s">
        <v>225</v>
      </c>
      <c r="D143" s="3">
        <v>1</v>
      </c>
      <c r="E143" s="3" t="s">
        <v>16</v>
      </c>
      <c r="F143" s="3" t="s">
        <v>289</v>
      </c>
      <c r="G143" s="3" t="s">
        <v>23</v>
      </c>
      <c r="H143" s="3" t="s">
        <v>226</v>
      </c>
    </row>
    <row r="144" spans="1:8" x14ac:dyDescent="0.2">
      <c r="A144" s="3">
        <v>3060333002</v>
      </c>
      <c r="B144" s="4" t="s">
        <v>227</v>
      </c>
      <c r="C144" s="4" t="s">
        <v>228</v>
      </c>
      <c r="D144" s="3">
        <v>1</v>
      </c>
      <c r="E144" s="3" t="s">
        <v>16</v>
      </c>
      <c r="F144" s="3" t="s">
        <v>289</v>
      </c>
      <c r="G144" s="3" t="s">
        <v>23</v>
      </c>
      <c r="H144" s="3" t="s">
        <v>226</v>
      </c>
    </row>
    <row r="145" spans="1:8" x14ac:dyDescent="0.2">
      <c r="A145" s="3">
        <v>3060303001</v>
      </c>
      <c r="B145" s="4" t="s">
        <v>231</v>
      </c>
      <c r="C145" s="4" t="s">
        <v>232</v>
      </c>
      <c r="D145" s="3">
        <v>1</v>
      </c>
      <c r="E145" s="3" t="s">
        <v>16</v>
      </c>
      <c r="F145" s="3" t="s">
        <v>289</v>
      </c>
      <c r="G145" s="3" t="s">
        <v>23</v>
      </c>
      <c r="H145" s="3" t="s">
        <v>226</v>
      </c>
    </row>
    <row r="146" spans="1:8" x14ac:dyDescent="0.2">
      <c r="A146" s="3">
        <v>3060335004</v>
      </c>
      <c r="B146" s="4" t="s">
        <v>233</v>
      </c>
      <c r="C146" s="4" t="s">
        <v>234</v>
      </c>
      <c r="D146" s="3">
        <v>1</v>
      </c>
      <c r="E146" s="3" t="s">
        <v>16</v>
      </c>
      <c r="F146" s="3" t="s">
        <v>289</v>
      </c>
      <c r="G146" s="3" t="s">
        <v>23</v>
      </c>
      <c r="H146" s="3" t="s">
        <v>226</v>
      </c>
    </row>
    <row r="147" spans="1:8" x14ac:dyDescent="0.2">
      <c r="A147" s="3">
        <v>3050305016</v>
      </c>
      <c r="B147" s="4" t="s">
        <v>527</v>
      </c>
      <c r="C147" s="4" t="s">
        <v>528</v>
      </c>
      <c r="D147" s="3">
        <v>1</v>
      </c>
      <c r="E147" s="3" t="s">
        <v>16</v>
      </c>
      <c r="F147" s="3" t="s">
        <v>291</v>
      </c>
      <c r="G147" s="3" t="s">
        <v>26</v>
      </c>
      <c r="H147" s="3" t="s">
        <v>226</v>
      </c>
    </row>
    <row r="148" spans="1:8" x14ac:dyDescent="0.2">
      <c r="A148" s="3">
        <v>3050305015</v>
      </c>
      <c r="B148" s="4" t="s">
        <v>529</v>
      </c>
      <c r="C148" s="4" t="s">
        <v>530</v>
      </c>
      <c r="D148" s="3">
        <v>1</v>
      </c>
      <c r="E148" s="3" t="s">
        <v>16</v>
      </c>
      <c r="F148" s="3" t="s">
        <v>291</v>
      </c>
      <c r="G148" s="3" t="s">
        <v>26</v>
      </c>
      <c r="H148" s="3" t="s">
        <v>226</v>
      </c>
    </row>
    <row r="149" spans="1:8" x14ac:dyDescent="0.2">
      <c r="A149" s="3">
        <v>3030309020</v>
      </c>
      <c r="B149" s="4" t="s">
        <v>531</v>
      </c>
      <c r="C149" s="4" t="s">
        <v>532</v>
      </c>
      <c r="D149" s="3">
        <v>1</v>
      </c>
      <c r="E149" s="3" t="s">
        <v>16</v>
      </c>
      <c r="F149" s="3" t="s">
        <v>291</v>
      </c>
      <c r="G149" s="3" t="s">
        <v>26</v>
      </c>
      <c r="H149" s="3" t="s">
        <v>226</v>
      </c>
    </row>
    <row r="150" spans="1:8" x14ac:dyDescent="0.2">
      <c r="A150" s="3">
        <v>3030302002</v>
      </c>
      <c r="B150" s="4" t="s">
        <v>533</v>
      </c>
      <c r="C150" s="4" t="s">
        <v>534</v>
      </c>
      <c r="D150" s="3">
        <v>1</v>
      </c>
      <c r="E150" s="3" t="s">
        <v>16</v>
      </c>
      <c r="F150" s="3" t="s">
        <v>295</v>
      </c>
      <c r="G150" s="3" t="s">
        <v>17</v>
      </c>
      <c r="H150" s="3" t="s">
        <v>226</v>
      </c>
    </row>
    <row r="151" spans="1:8" x14ac:dyDescent="0.2">
      <c r="A151" s="3">
        <v>3030306012</v>
      </c>
      <c r="B151" s="4" t="s">
        <v>535</v>
      </c>
      <c r="C151" s="4" t="s">
        <v>536</v>
      </c>
      <c r="D151" s="3">
        <v>1</v>
      </c>
      <c r="E151" s="3" t="s">
        <v>16</v>
      </c>
      <c r="F151" s="3" t="s">
        <v>295</v>
      </c>
      <c r="G151" s="3" t="s">
        <v>17</v>
      </c>
      <c r="H151" s="3" t="s">
        <v>226</v>
      </c>
    </row>
    <row r="152" spans="1:8" x14ac:dyDescent="0.2">
      <c r="A152" s="3">
        <v>3030306011</v>
      </c>
      <c r="B152" s="4" t="s">
        <v>537</v>
      </c>
      <c r="C152" s="4" t="s">
        <v>536</v>
      </c>
      <c r="D152" s="3">
        <v>1</v>
      </c>
      <c r="E152" s="3" t="s">
        <v>16</v>
      </c>
      <c r="F152" s="3" t="s">
        <v>295</v>
      </c>
      <c r="G152" s="3" t="s">
        <v>17</v>
      </c>
      <c r="H152" s="3" t="s">
        <v>226</v>
      </c>
    </row>
    <row r="153" spans="1:8" x14ac:dyDescent="0.2">
      <c r="A153" s="3">
        <v>3030303002</v>
      </c>
      <c r="B153" s="4" t="s">
        <v>175</v>
      </c>
      <c r="C153" s="4" t="s">
        <v>538</v>
      </c>
      <c r="D153" s="3">
        <v>1</v>
      </c>
      <c r="E153" s="3" t="s">
        <v>16</v>
      </c>
      <c r="F153" s="3" t="s">
        <v>295</v>
      </c>
      <c r="G153" s="3" t="s">
        <v>17</v>
      </c>
      <c r="H153" s="3" t="s">
        <v>226</v>
      </c>
    </row>
    <row r="154" spans="1:8" x14ac:dyDescent="0.2">
      <c r="A154" s="3">
        <v>3030303017</v>
      </c>
      <c r="B154" s="4" t="s">
        <v>539</v>
      </c>
      <c r="C154" s="4" t="s">
        <v>540</v>
      </c>
      <c r="D154" s="3">
        <v>1</v>
      </c>
      <c r="E154" s="3" t="s">
        <v>16</v>
      </c>
      <c r="F154" s="3" t="s">
        <v>295</v>
      </c>
      <c r="G154" s="3" t="s">
        <v>17</v>
      </c>
      <c r="H154" s="3" t="s">
        <v>226</v>
      </c>
    </row>
    <row r="155" spans="1:8" x14ac:dyDescent="0.2">
      <c r="A155" s="3">
        <v>3040312012</v>
      </c>
      <c r="B155" s="4" t="s">
        <v>263</v>
      </c>
      <c r="C155" s="4" t="s">
        <v>541</v>
      </c>
      <c r="D155" s="3">
        <v>2</v>
      </c>
      <c r="E155" s="3" t="s">
        <v>16</v>
      </c>
      <c r="F155" s="3" t="s">
        <v>293</v>
      </c>
      <c r="G155" s="3" t="s">
        <v>29</v>
      </c>
      <c r="H155" s="3" t="s">
        <v>226</v>
      </c>
    </row>
    <row r="156" spans="1:8" x14ac:dyDescent="0.2">
      <c r="A156" s="3">
        <v>3040320010</v>
      </c>
      <c r="B156" s="4" t="s">
        <v>269</v>
      </c>
      <c r="C156" s="4" t="s">
        <v>542</v>
      </c>
      <c r="D156" s="3">
        <v>1</v>
      </c>
      <c r="E156" s="3" t="s">
        <v>16</v>
      </c>
      <c r="F156" s="3" t="s">
        <v>293</v>
      </c>
      <c r="G156" s="3" t="s">
        <v>29</v>
      </c>
      <c r="H156" s="3" t="s">
        <v>226</v>
      </c>
    </row>
    <row r="157" spans="1:8" x14ac:dyDescent="0.2">
      <c r="A157" s="3">
        <v>3040320011</v>
      </c>
      <c r="B157" s="4" t="s">
        <v>269</v>
      </c>
      <c r="C157" s="4" t="s">
        <v>543</v>
      </c>
      <c r="D157" s="3">
        <v>1</v>
      </c>
      <c r="E157" s="3" t="s">
        <v>16</v>
      </c>
      <c r="F157" s="3" t="s">
        <v>293</v>
      </c>
      <c r="G157" s="3" t="s">
        <v>29</v>
      </c>
      <c r="H157" s="3" t="s">
        <v>226</v>
      </c>
    </row>
    <row r="158" spans="1:8" x14ac:dyDescent="0.2">
      <c r="A158" s="3">
        <v>3030313003</v>
      </c>
      <c r="B158" s="4" t="s">
        <v>217</v>
      </c>
      <c r="C158" s="4" t="s">
        <v>544</v>
      </c>
      <c r="D158" s="3">
        <v>8</v>
      </c>
      <c r="E158" s="3" t="s">
        <v>16</v>
      </c>
      <c r="F158" s="3" t="s">
        <v>291</v>
      </c>
      <c r="G158" s="3" t="s">
        <v>26</v>
      </c>
      <c r="H158" s="3" t="s">
        <v>226</v>
      </c>
    </row>
    <row r="159" spans="1:8" x14ac:dyDescent="0.2">
      <c r="A159" s="3">
        <v>3020199010</v>
      </c>
      <c r="B159" s="4" t="s">
        <v>239</v>
      </c>
      <c r="C159" s="4" t="s">
        <v>545</v>
      </c>
      <c r="D159" s="3">
        <v>5</v>
      </c>
      <c r="E159" s="3" t="s">
        <v>16</v>
      </c>
      <c r="F159" s="3" t="s">
        <v>297</v>
      </c>
      <c r="G159" s="3" t="s">
        <v>204</v>
      </c>
      <c r="H159" s="3" t="s">
        <v>226</v>
      </c>
    </row>
    <row r="160" spans="1:8" x14ac:dyDescent="0.2">
      <c r="A160" s="3">
        <v>3040326016</v>
      </c>
      <c r="B160" s="4" t="s">
        <v>546</v>
      </c>
      <c r="C160" s="4" t="s">
        <v>536</v>
      </c>
      <c r="D160" s="3">
        <v>2</v>
      </c>
      <c r="E160" s="3" t="s">
        <v>16</v>
      </c>
      <c r="F160" s="3" t="s">
        <v>293</v>
      </c>
      <c r="G160" s="3" t="s">
        <v>29</v>
      </c>
      <c r="H160" s="3" t="s">
        <v>226</v>
      </c>
    </row>
    <row r="161" spans="1:8" x14ac:dyDescent="0.2">
      <c r="A161" s="3">
        <v>3070205004</v>
      </c>
      <c r="B161" s="4" t="s">
        <v>372</v>
      </c>
      <c r="C161" s="4" t="s">
        <v>266</v>
      </c>
      <c r="D161" s="3">
        <v>1</v>
      </c>
      <c r="E161" s="3" t="s">
        <v>16</v>
      </c>
      <c r="F161" s="3" t="s">
        <v>317</v>
      </c>
      <c r="G161" s="3" t="s">
        <v>318</v>
      </c>
      <c r="H161" s="3" t="s">
        <v>226</v>
      </c>
    </row>
    <row r="162" spans="1:8" x14ac:dyDescent="0.2">
      <c r="A162" s="3">
        <v>3070211002</v>
      </c>
      <c r="B162" s="4" t="s">
        <v>373</v>
      </c>
      <c r="C162" s="4" t="s">
        <v>374</v>
      </c>
      <c r="D162" s="3">
        <v>1</v>
      </c>
      <c r="E162" s="3" t="s">
        <v>16</v>
      </c>
      <c r="F162" s="3" t="s">
        <v>317</v>
      </c>
      <c r="G162" s="3" t="s">
        <v>318</v>
      </c>
      <c r="H162" s="3" t="s">
        <v>226</v>
      </c>
    </row>
    <row r="163" spans="1:8" x14ac:dyDescent="0.2">
      <c r="A163" s="3">
        <v>3070216001</v>
      </c>
      <c r="B163" s="4" t="s">
        <v>375</v>
      </c>
      <c r="C163" s="4" t="s">
        <v>376</v>
      </c>
      <c r="D163" s="3">
        <v>1</v>
      </c>
      <c r="E163" s="3" t="s">
        <v>16</v>
      </c>
      <c r="F163" s="3" t="s">
        <v>317</v>
      </c>
      <c r="G163" s="3" t="s">
        <v>318</v>
      </c>
      <c r="H163" s="3" t="s">
        <v>226</v>
      </c>
    </row>
    <row r="164" spans="1:8" x14ac:dyDescent="0.2">
      <c r="A164" s="3">
        <v>3070212001</v>
      </c>
      <c r="B164" s="4" t="s">
        <v>377</v>
      </c>
      <c r="C164" s="4" t="s">
        <v>378</v>
      </c>
      <c r="D164" s="3">
        <v>1</v>
      </c>
      <c r="E164" s="3" t="s">
        <v>16</v>
      </c>
      <c r="F164" s="3" t="s">
        <v>317</v>
      </c>
      <c r="G164" s="3" t="s">
        <v>318</v>
      </c>
      <c r="H164" s="3" t="s">
        <v>226</v>
      </c>
    </row>
    <row r="165" spans="1:8" x14ac:dyDescent="0.2">
      <c r="A165" s="3">
        <v>3070210001</v>
      </c>
      <c r="B165" s="4" t="s">
        <v>379</v>
      </c>
      <c r="C165" s="4" t="s">
        <v>280</v>
      </c>
      <c r="D165" s="3">
        <v>1</v>
      </c>
      <c r="E165" s="3" t="s">
        <v>16</v>
      </c>
      <c r="F165" s="3" t="s">
        <v>317</v>
      </c>
      <c r="G165" s="3" t="s">
        <v>318</v>
      </c>
      <c r="H165" s="3" t="s">
        <v>226</v>
      </c>
    </row>
    <row r="166" spans="1:8" x14ac:dyDescent="0.2">
      <c r="A166" s="3">
        <v>3069901001</v>
      </c>
      <c r="B166" s="4" t="s">
        <v>547</v>
      </c>
      <c r="C166" s="4" t="s">
        <v>548</v>
      </c>
      <c r="D166" s="3">
        <v>1</v>
      </c>
      <c r="E166" s="3" t="s">
        <v>16</v>
      </c>
      <c r="F166" s="3" t="s">
        <v>289</v>
      </c>
      <c r="G166" s="3" t="s">
        <v>23</v>
      </c>
      <c r="H166" s="3" t="s">
        <v>226</v>
      </c>
    </row>
    <row r="167" spans="1:8" x14ac:dyDescent="0.2">
      <c r="A167" s="3">
        <v>3050305019</v>
      </c>
      <c r="B167" s="4" t="s">
        <v>549</v>
      </c>
      <c r="C167" s="4" t="s">
        <v>530</v>
      </c>
      <c r="D167" s="3">
        <v>1</v>
      </c>
      <c r="E167" s="3" t="s">
        <v>16</v>
      </c>
      <c r="F167" s="3" t="s">
        <v>291</v>
      </c>
      <c r="G167" s="3" t="s">
        <v>26</v>
      </c>
      <c r="H167" s="3" t="s">
        <v>226</v>
      </c>
    </row>
    <row r="168" spans="1:8" x14ac:dyDescent="0.2">
      <c r="A168" s="3">
        <v>3050401014</v>
      </c>
      <c r="B168" s="4" t="s">
        <v>222</v>
      </c>
      <c r="C168" s="4" t="s">
        <v>550</v>
      </c>
      <c r="D168" s="3">
        <v>1</v>
      </c>
      <c r="E168" s="3" t="s">
        <v>16</v>
      </c>
      <c r="F168" s="3" t="s">
        <v>291</v>
      </c>
      <c r="G168" s="3" t="s">
        <v>26</v>
      </c>
      <c r="H168" s="3" t="s">
        <v>226</v>
      </c>
    </row>
    <row r="169" spans="1:8" x14ac:dyDescent="0.2">
      <c r="A169" s="3">
        <v>3080401031</v>
      </c>
      <c r="B169" s="4" t="s">
        <v>41</v>
      </c>
      <c r="C169" s="4" t="s">
        <v>551</v>
      </c>
      <c r="D169" s="3">
        <v>1</v>
      </c>
      <c r="E169" s="3" t="s">
        <v>16</v>
      </c>
      <c r="F169" s="3" t="s">
        <v>291</v>
      </c>
      <c r="G169" s="3" t="s">
        <v>26</v>
      </c>
      <c r="H169" s="3" t="s">
        <v>249</v>
      </c>
    </row>
    <row r="170" spans="1:8" x14ac:dyDescent="0.2">
      <c r="A170" s="3">
        <v>3030211001</v>
      </c>
      <c r="B170" s="4" t="s">
        <v>552</v>
      </c>
      <c r="C170" s="4" t="s">
        <v>553</v>
      </c>
      <c r="D170" s="3">
        <v>1</v>
      </c>
      <c r="E170" s="3" t="s">
        <v>16</v>
      </c>
      <c r="F170" s="3" t="s">
        <v>295</v>
      </c>
      <c r="G170" s="3" t="s">
        <v>17</v>
      </c>
      <c r="H170" s="3" t="s">
        <v>249</v>
      </c>
    </row>
    <row r="171" spans="1:8" x14ac:dyDescent="0.2">
      <c r="A171" s="3">
        <v>3080309001</v>
      </c>
      <c r="B171" s="4" t="s">
        <v>554</v>
      </c>
      <c r="C171" s="4" t="s">
        <v>555</v>
      </c>
      <c r="D171" s="3">
        <v>1</v>
      </c>
      <c r="E171" s="3" t="s">
        <v>16</v>
      </c>
      <c r="F171" s="3" t="s">
        <v>295</v>
      </c>
      <c r="G171" s="3" t="s">
        <v>17</v>
      </c>
      <c r="H171" s="3" t="s">
        <v>249</v>
      </c>
    </row>
    <row r="172" spans="1:8" x14ac:dyDescent="0.2">
      <c r="A172" s="3">
        <v>3080107017</v>
      </c>
      <c r="B172" s="4" t="s">
        <v>69</v>
      </c>
      <c r="C172" s="4" t="s">
        <v>251</v>
      </c>
      <c r="D172" s="3">
        <v>4</v>
      </c>
      <c r="E172" s="3" t="s">
        <v>16</v>
      </c>
      <c r="F172" s="3" t="s">
        <v>289</v>
      </c>
      <c r="G172" s="3" t="s">
        <v>23</v>
      </c>
      <c r="H172" s="3" t="s">
        <v>249</v>
      </c>
    </row>
    <row r="173" spans="1:8" x14ac:dyDescent="0.2">
      <c r="A173" s="3">
        <v>3080107268</v>
      </c>
      <c r="B173" s="4" t="s">
        <v>69</v>
      </c>
      <c r="C173" s="4" t="s">
        <v>556</v>
      </c>
      <c r="D173" s="3">
        <v>2</v>
      </c>
      <c r="E173" s="3" t="s">
        <v>16</v>
      </c>
      <c r="F173" s="3" t="s">
        <v>291</v>
      </c>
      <c r="G173" s="3" t="s">
        <v>26</v>
      </c>
      <c r="H173" s="3" t="s">
        <v>249</v>
      </c>
    </row>
    <row r="174" spans="1:8" x14ac:dyDescent="0.2">
      <c r="A174" s="3">
        <v>3080107269</v>
      </c>
      <c r="B174" s="4" t="s">
        <v>69</v>
      </c>
      <c r="C174" s="4" t="s">
        <v>557</v>
      </c>
      <c r="D174" s="3">
        <v>2</v>
      </c>
      <c r="E174" s="3" t="s">
        <v>16</v>
      </c>
      <c r="F174" s="3" t="s">
        <v>291</v>
      </c>
      <c r="G174" s="3" t="s">
        <v>26</v>
      </c>
      <c r="H174" s="3" t="s">
        <v>249</v>
      </c>
    </row>
    <row r="175" spans="1:8" x14ac:dyDescent="0.2">
      <c r="A175" s="3">
        <v>3080107017</v>
      </c>
      <c r="B175" s="4" t="s">
        <v>69</v>
      </c>
      <c r="C175" s="4" t="s">
        <v>251</v>
      </c>
      <c r="D175" s="3">
        <v>2</v>
      </c>
      <c r="E175" s="3" t="s">
        <v>16</v>
      </c>
      <c r="F175" s="3" t="s">
        <v>289</v>
      </c>
      <c r="G175" s="3" t="s">
        <v>23</v>
      </c>
      <c r="H175" s="3" t="s">
        <v>249</v>
      </c>
    </row>
    <row r="176" spans="1:8" x14ac:dyDescent="0.2">
      <c r="A176" s="3">
        <v>3060341001</v>
      </c>
      <c r="B176" s="4" t="s">
        <v>255</v>
      </c>
      <c r="C176" s="4" t="s">
        <v>256</v>
      </c>
      <c r="D176" s="3">
        <v>1</v>
      </c>
      <c r="E176" s="3" t="s">
        <v>16</v>
      </c>
      <c r="F176" s="3" t="s">
        <v>289</v>
      </c>
      <c r="G176" s="3" t="s">
        <v>23</v>
      </c>
      <c r="H176" s="3" t="s">
        <v>254</v>
      </c>
    </row>
    <row r="177" spans="1:8" x14ac:dyDescent="0.2">
      <c r="A177" s="3">
        <v>3030302001</v>
      </c>
      <c r="B177" s="4" t="s">
        <v>558</v>
      </c>
      <c r="C177" s="4" t="s">
        <v>534</v>
      </c>
      <c r="D177" s="3">
        <v>1</v>
      </c>
      <c r="E177" s="3" t="s">
        <v>16</v>
      </c>
      <c r="F177" s="3" t="s">
        <v>295</v>
      </c>
      <c r="G177" s="3" t="s">
        <v>17</v>
      </c>
      <c r="H177" s="3" t="s">
        <v>254</v>
      </c>
    </row>
    <row r="178" spans="1:8" x14ac:dyDescent="0.2">
      <c r="A178" s="3">
        <v>3030306031</v>
      </c>
      <c r="B178" s="4" t="s">
        <v>559</v>
      </c>
      <c r="C178" s="4" t="s">
        <v>560</v>
      </c>
      <c r="D178" s="3">
        <v>1</v>
      </c>
      <c r="E178" s="3" t="s">
        <v>16</v>
      </c>
      <c r="F178" s="3" t="s">
        <v>295</v>
      </c>
      <c r="G178" s="3" t="s">
        <v>17</v>
      </c>
      <c r="H178" s="3" t="s">
        <v>254</v>
      </c>
    </row>
    <row r="179" spans="1:8" x14ac:dyDescent="0.2">
      <c r="A179" s="3">
        <v>3080311002</v>
      </c>
      <c r="B179" s="4" t="s">
        <v>561</v>
      </c>
      <c r="C179" s="4" t="s">
        <v>536</v>
      </c>
      <c r="D179" s="3">
        <v>1</v>
      </c>
      <c r="E179" s="3" t="s">
        <v>16</v>
      </c>
      <c r="F179" s="3" t="s">
        <v>295</v>
      </c>
      <c r="G179" s="3" t="s">
        <v>17</v>
      </c>
      <c r="H179" s="3" t="s">
        <v>254</v>
      </c>
    </row>
    <row r="180" spans="1:8" x14ac:dyDescent="0.2">
      <c r="A180" s="3">
        <v>3030303016</v>
      </c>
      <c r="B180" s="4" t="s">
        <v>562</v>
      </c>
      <c r="C180" s="4" t="s">
        <v>563</v>
      </c>
      <c r="D180" s="3">
        <v>1</v>
      </c>
      <c r="E180" s="3" t="s">
        <v>16</v>
      </c>
      <c r="F180" s="3" t="s">
        <v>295</v>
      </c>
      <c r="G180" s="3" t="s">
        <v>17</v>
      </c>
      <c r="H180" s="3" t="s">
        <v>254</v>
      </c>
    </row>
    <row r="181" spans="1:8" x14ac:dyDescent="0.2">
      <c r="A181" s="3">
        <v>3030303015</v>
      </c>
      <c r="B181" s="4" t="s">
        <v>564</v>
      </c>
      <c r="C181" s="4" t="s">
        <v>563</v>
      </c>
      <c r="D181" s="3">
        <v>1</v>
      </c>
      <c r="E181" s="3" t="s">
        <v>16</v>
      </c>
      <c r="F181" s="3" t="s">
        <v>295</v>
      </c>
      <c r="G181" s="3" t="s">
        <v>17</v>
      </c>
      <c r="H181" s="3" t="s">
        <v>254</v>
      </c>
    </row>
    <row r="182" spans="1:8" x14ac:dyDescent="0.2">
      <c r="A182" s="3">
        <v>3040323001</v>
      </c>
      <c r="B182" s="4" t="s">
        <v>565</v>
      </c>
      <c r="C182" s="4" t="s">
        <v>566</v>
      </c>
      <c r="D182" s="3">
        <v>2</v>
      </c>
      <c r="E182" s="3" t="s">
        <v>16</v>
      </c>
      <c r="F182" s="3" t="s">
        <v>293</v>
      </c>
      <c r="G182" s="3" t="s">
        <v>29</v>
      </c>
      <c r="H182" s="3" t="s">
        <v>254</v>
      </c>
    </row>
    <row r="183" spans="1:8" x14ac:dyDescent="0.2">
      <c r="A183" s="3">
        <v>3040302001</v>
      </c>
      <c r="B183" s="4" t="s">
        <v>567</v>
      </c>
      <c r="C183" s="4" t="s">
        <v>568</v>
      </c>
      <c r="D183" s="3">
        <v>1</v>
      </c>
      <c r="E183" s="3" t="s">
        <v>16</v>
      </c>
      <c r="F183" s="3" t="s">
        <v>293</v>
      </c>
      <c r="G183" s="3" t="s">
        <v>29</v>
      </c>
      <c r="H183" s="3" t="s">
        <v>254</v>
      </c>
    </row>
    <row r="184" spans="1:8" x14ac:dyDescent="0.2">
      <c r="A184" s="3">
        <v>3040302002</v>
      </c>
      <c r="B184" s="4" t="s">
        <v>567</v>
      </c>
      <c r="C184" s="4" t="s">
        <v>569</v>
      </c>
      <c r="D184" s="3">
        <v>1</v>
      </c>
      <c r="E184" s="3" t="s">
        <v>16</v>
      </c>
      <c r="F184" s="3" t="s">
        <v>293</v>
      </c>
      <c r="G184" s="3" t="s">
        <v>29</v>
      </c>
      <c r="H184" s="3" t="s">
        <v>254</v>
      </c>
    </row>
    <row r="185" spans="1:8" x14ac:dyDescent="0.2">
      <c r="A185" s="3">
        <v>3040324004</v>
      </c>
      <c r="B185" s="4" t="s">
        <v>570</v>
      </c>
      <c r="C185" s="4" t="s">
        <v>536</v>
      </c>
      <c r="D185" s="3">
        <v>2</v>
      </c>
      <c r="E185" s="3" t="s">
        <v>16</v>
      </c>
      <c r="F185" s="3" t="s">
        <v>293</v>
      </c>
      <c r="G185" s="3" t="s">
        <v>29</v>
      </c>
      <c r="H185" s="3" t="s">
        <v>254</v>
      </c>
    </row>
    <row r="186" spans="1:8" x14ac:dyDescent="0.2">
      <c r="A186" s="3">
        <v>3030302008</v>
      </c>
      <c r="B186" s="4" t="s">
        <v>571</v>
      </c>
      <c r="C186" s="4" t="s">
        <v>572</v>
      </c>
      <c r="D186" s="3">
        <v>1</v>
      </c>
      <c r="E186" s="3" t="s">
        <v>16</v>
      </c>
      <c r="F186" s="3" t="s">
        <v>295</v>
      </c>
      <c r="G186" s="3" t="s">
        <v>17</v>
      </c>
      <c r="H186" s="3" t="s">
        <v>254</v>
      </c>
    </row>
    <row r="187" spans="1:8" x14ac:dyDescent="0.2">
      <c r="A187" s="3">
        <v>3030302009</v>
      </c>
      <c r="B187" s="4" t="s">
        <v>571</v>
      </c>
      <c r="C187" s="4" t="s">
        <v>573</v>
      </c>
      <c r="D187" s="3">
        <v>1</v>
      </c>
      <c r="E187" s="3" t="s">
        <v>16</v>
      </c>
      <c r="F187" s="3" t="s">
        <v>295</v>
      </c>
      <c r="G187" s="3" t="s">
        <v>17</v>
      </c>
      <c r="H187" s="3" t="s">
        <v>254</v>
      </c>
    </row>
    <row r="188" spans="1:8" x14ac:dyDescent="0.2">
      <c r="A188" s="3">
        <v>3030302004</v>
      </c>
      <c r="B188" s="4" t="s">
        <v>574</v>
      </c>
      <c r="C188" s="4" t="s">
        <v>575</v>
      </c>
      <c r="D188" s="3">
        <v>1</v>
      </c>
      <c r="E188" s="3" t="s">
        <v>16</v>
      </c>
      <c r="F188" s="3" t="s">
        <v>295</v>
      </c>
      <c r="G188" s="3" t="s">
        <v>17</v>
      </c>
      <c r="H188" s="3" t="s">
        <v>254</v>
      </c>
    </row>
    <row r="189" spans="1:8" x14ac:dyDescent="0.2">
      <c r="A189" s="3">
        <v>3030302006</v>
      </c>
      <c r="B189" s="4" t="s">
        <v>576</v>
      </c>
      <c r="C189" s="4" t="s">
        <v>575</v>
      </c>
      <c r="D189" s="3">
        <v>1</v>
      </c>
      <c r="E189" s="3" t="s">
        <v>16</v>
      </c>
      <c r="F189" s="3" t="s">
        <v>295</v>
      </c>
      <c r="G189" s="3" t="s">
        <v>17</v>
      </c>
      <c r="H189" s="3" t="s">
        <v>254</v>
      </c>
    </row>
    <row r="190" spans="1:8" x14ac:dyDescent="0.2">
      <c r="A190" s="3">
        <v>3030314004</v>
      </c>
      <c r="B190" s="4" t="s">
        <v>577</v>
      </c>
      <c r="C190" s="4" t="s">
        <v>575</v>
      </c>
      <c r="D190" s="3">
        <v>1</v>
      </c>
      <c r="E190" s="3" t="s">
        <v>16</v>
      </c>
      <c r="F190" s="3" t="s">
        <v>295</v>
      </c>
      <c r="G190" s="3" t="s">
        <v>17</v>
      </c>
      <c r="H190" s="3" t="s">
        <v>254</v>
      </c>
    </row>
    <row r="191" spans="1:8" x14ac:dyDescent="0.2">
      <c r="A191" s="3">
        <v>3030308001</v>
      </c>
      <c r="B191" s="4" t="s">
        <v>578</v>
      </c>
      <c r="C191" s="4" t="s">
        <v>575</v>
      </c>
      <c r="D191" s="3">
        <v>1</v>
      </c>
      <c r="E191" s="3" t="s">
        <v>16</v>
      </c>
      <c r="F191" s="3" t="s">
        <v>295</v>
      </c>
      <c r="G191" s="3" t="s">
        <v>17</v>
      </c>
      <c r="H191" s="3" t="s">
        <v>254</v>
      </c>
    </row>
    <row r="192" spans="1:8" x14ac:dyDescent="0.2">
      <c r="A192" s="3">
        <v>3030314003</v>
      </c>
      <c r="B192" s="4" t="s">
        <v>579</v>
      </c>
      <c r="C192" s="4" t="s">
        <v>575</v>
      </c>
      <c r="D192" s="3">
        <v>1</v>
      </c>
      <c r="E192" s="3" t="s">
        <v>16</v>
      </c>
      <c r="F192" s="3" t="s">
        <v>295</v>
      </c>
      <c r="G192" s="3" t="s">
        <v>17</v>
      </c>
      <c r="H192" s="3" t="s">
        <v>254</v>
      </c>
    </row>
    <row r="193" spans="1:8" x14ac:dyDescent="0.2">
      <c r="A193" s="3">
        <v>3030308003</v>
      </c>
      <c r="B193" s="4" t="s">
        <v>580</v>
      </c>
      <c r="C193" s="4" t="s">
        <v>581</v>
      </c>
      <c r="D193" s="3">
        <v>1</v>
      </c>
      <c r="E193" s="3" t="s">
        <v>16</v>
      </c>
      <c r="F193" s="3" t="s">
        <v>295</v>
      </c>
      <c r="G193" s="3" t="s">
        <v>17</v>
      </c>
      <c r="H193" s="3" t="s">
        <v>254</v>
      </c>
    </row>
    <row r="194" spans="1:8" x14ac:dyDescent="0.2">
      <c r="A194" s="3">
        <v>3040325007</v>
      </c>
      <c r="B194" s="4" t="s">
        <v>582</v>
      </c>
      <c r="C194" s="4" t="s">
        <v>543</v>
      </c>
      <c r="D194" s="3">
        <v>1</v>
      </c>
      <c r="E194" s="3" t="s">
        <v>16</v>
      </c>
      <c r="F194" s="3" t="s">
        <v>293</v>
      </c>
      <c r="G194" s="3" t="s">
        <v>29</v>
      </c>
      <c r="H194" s="3" t="s">
        <v>254</v>
      </c>
    </row>
    <row r="195" spans="1:8" x14ac:dyDescent="0.2">
      <c r="A195" s="3">
        <v>3040325008</v>
      </c>
      <c r="B195" s="4" t="s">
        <v>582</v>
      </c>
      <c r="C195" s="4" t="s">
        <v>542</v>
      </c>
      <c r="D195" s="3">
        <v>1</v>
      </c>
      <c r="E195" s="3" t="s">
        <v>16</v>
      </c>
      <c r="F195" s="3" t="s">
        <v>293</v>
      </c>
      <c r="G195" s="3" t="s">
        <v>29</v>
      </c>
      <c r="H195" s="3" t="s">
        <v>254</v>
      </c>
    </row>
    <row r="196" spans="1:8" x14ac:dyDescent="0.2">
      <c r="A196" s="3">
        <v>3040308003</v>
      </c>
      <c r="B196" s="4" t="s">
        <v>583</v>
      </c>
      <c r="C196" s="4" t="s">
        <v>536</v>
      </c>
      <c r="D196" s="3">
        <v>2</v>
      </c>
      <c r="E196" s="3" t="s">
        <v>16</v>
      </c>
      <c r="F196" s="3" t="s">
        <v>293</v>
      </c>
      <c r="G196" s="3" t="s">
        <v>29</v>
      </c>
      <c r="H196" s="3" t="s">
        <v>254</v>
      </c>
    </row>
    <row r="197" spans="1:8" x14ac:dyDescent="0.2">
      <c r="A197" s="3">
        <v>3030302007</v>
      </c>
      <c r="B197" s="4" t="s">
        <v>584</v>
      </c>
      <c r="C197" s="4" t="s">
        <v>575</v>
      </c>
      <c r="D197" s="3">
        <v>1</v>
      </c>
      <c r="E197" s="3" t="s">
        <v>16</v>
      </c>
      <c r="F197" s="3" t="s">
        <v>295</v>
      </c>
      <c r="G197" s="3" t="s">
        <v>17</v>
      </c>
      <c r="H197" s="3" t="s">
        <v>254</v>
      </c>
    </row>
    <row r="198" spans="1:8" x14ac:dyDescent="0.2">
      <c r="A198" s="3">
        <v>3070202019</v>
      </c>
      <c r="B198" s="4" t="s">
        <v>388</v>
      </c>
      <c r="C198" s="4" t="s">
        <v>389</v>
      </c>
      <c r="D198" s="3">
        <v>1</v>
      </c>
      <c r="E198" s="3" t="s">
        <v>16</v>
      </c>
      <c r="F198" s="3" t="s">
        <v>317</v>
      </c>
      <c r="G198" s="3" t="s">
        <v>318</v>
      </c>
      <c r="H198" s="3" t="s">
        <v>254</v>
      </c>
    </row>
    <row r="199" spans="1:8" x14ac:dyDescent="0.2">
      <c r="A199" s="3">
        <v>3111601003</v>
      </c>
      <c r="B199" s="4" t="s">
        <v>585</v>
      </c>
      <c r="C199" s="4" t="s">
        <v>586</v>
      </c>
      <c r="D199" s="3">
        <v>2</v>
      </c>
      <c r="E199" s="3" t="s">
        <v>16</v>
      </c>
      <c r="F199" s="3" t="s">
        <v>291</v>
      </c>
      <c r="G199" s="3" t="s">
        <v>26</v>
      </c>
      <c r="H199" s="3" t="s">
        <v>254</v>
      </c>
    </row>
    <row r="200" spans="1:8" x14ac:dyDescent="0.2">
      <c r="A200" s="3">
        <v>3050303006</v>
      </c>
      <c r="B200" s="4" t="s">
        <v>245</v>
      </c>
      <c r="C200" s="4" t="s">
        <v>587</v>
      </c>
      <c r="D200" s="3">
        <v>1</v>
      </c>
      <c r="E200" s="3" t="s">
        <v>16</v>
      </c>
      <c r="F200" s="3" t="s">
        <v>291</v>
      </c>
      <c r="G200" s="3" t="s">
        <v>26</v>
      </c>
      <c r="H200" s="3" t="s">
        <v>254</v>
      </c>
    </row>
    <row r="201" spans="1:8" x14ac:dyDescent="0.2">
      <c r="A201" s="3">
        <v>3080310002</v>
      </c>
      <c r="B201" s="4" t="s">
        <v>588</v>
      </c>
      <c r="C201" s="4" t="s">
        <v>589</v>
      </c>
      <c r="D201" s="3">
        <v>1</v>
      </c>
      <c r="E201" s="3" t="s">
        <v>16</v>
      </c>
      <c r="F201" s="3" t="s">
        <v>295</v>
      </c>
      <c r="G201" s="3" t="s">
        <v>17</v>
      </c>
      <c r="H201" s="3" t="s">
        <v>590</v>
      </c>
    </row>
  </sheetData>
  <phoneticPr fontId="2" type="noConversion"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32721-EEE6-4E6C-B6C7-CC7E3D9C6FD5}">
  <dimension ref="A1:H69"/>
  <sheetViews>
    <sheetView workbookViewId="0">
      <selection activeCell="K19" sqref="K19"/>
    </sheetView>
  </sheetViews>
  <sheetFormatPr defaultRowHeight="14.25" x14ac:dyDescent="0.2"/>
  <cols>
    <col min="1" max="1" width="12.125" customWidth="1"/>
    <col min="2" max="3" width="16.125" customWidth="1"/>
  </cols>
  <sheetData>
    <row r="1" spans="1:8" x14ac:dyDescent="0.2">
      <c r="A1" s="3" t="s">
        <v>1956</v>
      </c>
      <c r="B1" s="4"/>
      <c r="C1" s="4"/>
      <c r="D1" s="3"/>
      <c r="E1" s="3"/>
      <c r="F1" s="3"/>
      <c r="G1" s="3"/>
      <c r="H1" s="3"/>
    </row>
    <row r="2" spans="1:8" ht="28.5" x14ac:dyDescent="0.2">
      <c r="A2" s="1" t="s">
        <v>0</v>
      </c>
      <c r="B2" s="2" t="s">
        <v>1</v>
      </c>
      <c r="C2" s="2" t="s">
        <v>2</v>
      </c>
      <c r="D2" s="1" t="s">
        <v>4</v>
      </c>
      <c r="E2" s="1" t="s">
        <v>3</v>
      </c>
      <c r="F2" s="1" t="s">
        <v>5</v>
      </c>
      <c r="G2" s="1" t="s">
        <v>6</v>
      </c>
      <c r="H2" s="1" t="s">
        <v>7</v>
      </c>
    </row>
    <row r="3" spans="1:8" s="10" customFormat="1" x14ac:dyDescent="0.2">
      <c r="A3" s="8" t="s">
        <v>390</v>
      </c>
      <c r="B3" s="9" t="s">
        <v>8</v>
      </c>
      <c r="C3" s="9" t="s">
        <v>9</v>
      </c>
      <c r="D3" s="13">
        <f>0.1107/0.94</f>
        <v>0.11776595744680853</v>
      </c>
      <c r="E3" s="8" t="s">
        <v>596</v>
      </c>
      <c r="F3" s="8" t="s">
        <v>283</v>
      </c>
      <c r="G3" s="8" t="s">
        <v>13</v>
      </c>
      <c r="H3" s="8" t="s">
        <v>12</v>
      </c>
    </row>
    <row r="4" spans="1:8" x14ac:dyDescent="0.2">
      <c r="A4" s="3">
        <v>3010105002</v>
      </c>
      <c r="B4" s="4" t="s">
        <v>1827</v>
      </c>
      <c r="C4" s="4" t="s">
        <v>1828</v>
      </c>
      <c r="D4" s="3">
        <v>0.18</v>
      </c>
      <c r="E4" s="3" t="s">
        <v>10</v>
      </c>
      <c r="F4" s="3" t="s">
        <v>1935</v>
      </c>
      <c r="G4" s="3" t="s">
        <v>1936</v>
      </c>
      <c r="H4" s="3" t="s">
        <v>306</v>
      </c>
    </row>
    <row r="5" spans="1:8" x14ac:dyDescent="0.2">
      <c r="A5" s="3">
        <v>3060503002</v>
      </c>
      <c r="B5" s="4" t="s">
        <v>21</v>
      </c>
      <c r="C5" s="4" t="s">
        <v>22</v>
      </c>
      <c r="D5" s="3">
        <v>1</v>
      </c>
      <c r="E5" s="3" t="s">
        <v>16</v>
      </c>
      <c r="F5" s="3" t="s">
        <v>289</v>
      </c>
      <c r="G5" s="3" t="s">
        <v>23</v>
      </c>
      <c r="H5" s="3" t="s">
        <v>18</v>
      </c>
    </row>
    <row r="6" spans="1:8" x14ac:dyDescent="0.2">
      <c r="A6" s="3">
        <v>3040217006</v>
      </c>
      <c r="B6" s="4" t="s">
        <v>1937</v>
      </c>
      <c r="C6" s="4" t="s">
        <v>1938</v>
      </c>
      <c r="D6" s="3">
        <v>1</v>
      </c>
      <c r="E6" s="3" t="s">
        <v>16</v>
      </c>
      <c r="F6" s="3" t="s">
        <v>293</v>
      </c>
      <c r="G6" s="3" t="s">
        <v>29</v>
      </c>
      <c r="H6" s="3" t="s">
        <v>18</v>
      </c>
    </row>
    <row r="7" spans="1:8" x14ac:dyDescent="0.2">
      <c r="A7" s="3">
        <v>3040217007</v>
      </c>
      <c r="B7" s="4" t="s">
        <v>1937</v>
      </c>
      <c r="C7" s="4" t="s">
        <v>1939</v>
      </c>
      <c r="D7" s="3">
        <v>1</v>
      </c>
      <c r="E7" s="3" t="s">
        <v>16</v>
      </c>
      <c r="F7" s="3" t="s">
        <v>293</v>
      </c>
      <c r="G7" s="3" t="s">
        <v>29</v>
      </c>
      <c r="H7" s="3" t="s">
        <v>18</v>
      </c>
    </row>
    <row r="8" spans="1:8" x14ac:dyDescent="0.2">
      <c r="A8" s="3">
        <v>3040207001</v>
      </c>
      <c r="B8" s="4" t="s">
        <v>665</v>
      </c>
      <c r="C8" s="4" t="s">
        <v>666</v>
      </c>
      <c r="D8" s="3">
        <v>2</v>
      </c>
      <c r="E8" s="3" t="s">
        <v>16</v>
      </c>
      <c r="F8" s="3" t="s">
        <v>293</v>
      </c>
      <c r="G8" s="3" t="s">
        <v>29</v>
      </c>
      <c r="H8" s="3" t="s">
        <v>18</v>
      </c>
    </row>
    <row r="9" spans="1:8" x14ac:dyDescent="0.2">
      <c r="A9" s="3">
        <v>3080102003</v>
      </c>
      <c r="B9" s="4" t="s">
        <v>38</v>
      </c>
      <c r="C9" s="4" t="s">
        <v>39</v>
      </c>
      <c r="D9" s="3">
        <v>1</v>
      </c>
      <c r="E9" s="3" t="s">
        <v>16</v>
      </c>
      <c r="F9" s="3" t="s">
        <v>289</v>
      </c>
      <c r="G9" s="3" t="s">
        <v>23</v>
      </c>
      <c r="H9" s="3" t="s">
        <v>40</v>
      </c>
    </row>
    <row r="10" spans="1:8" x14ac:dyDescent="0.2">
      <c r="A10" s="3">
        <v>3080104020</v>
      </c>
      <c r="B10" s="4" t="s">
        <v>45</v>
      </c>
      <c r="C10" s="4" t="s">
        <v>46</v>
      </c>
      <c r="D10" s="3">
        <v>2</v>
      </c>
      <c r="E10" s="3" t="s">
        <v>16</v>
      </c>
      <c r="F10" s="3" t="s">
        <v>301</v>
      </c>
      <c r="G10" s="3" t="s">
        <v>32</v>
      </c>
      <c r="H10" s="3" t="s">
        <v>40</v>
      </c>
    </row>
    <row r="11" spans="1:8" x14ac:dyDescent="0.2">
      <c r="A11" s="3">
        <v>3080105007</v>
      </c>
      <c r="B11" s="4" t="s">
        <v>50</v>
      </c>
      <c r="C11" s="4" t="s">
        <v>52</v>
      </c>
      <c r="D11" s="3">
        <v>2</v>
      </c>
      <c r="E11" s="3" t="s">
        <v>16</v>
      </c>
      <c r="F11" s="3" t="s">
        <v>289</v>
      </c>
      <c r="G11" s="3" t="s">
        <v>23</v>
      </c>
      <c r="H11" s="3" t="s">
        <v>40</v>
      </c>
    </row>
    <row r="12" spans="1:8" x14ac:dyDescent="0.2">
      <c r="A12" s="3">
        <v>3080105007</v>
      </c>
      <c r="B12" s="4" t="s">
        <v>50</v>
      </c>
      <c r="C12" s="4" t="s">
        <v>52</v>
      </c>
      <c r="D12" s="3">
        <v>2</v>
      </c>
      <c r="E12" s="3" t="s">
        <v>16</v>
      </c>
      <c r="F12" s="3" t="s">
        <v>293</v>
      </c>
      <c r="G12" s="3" t="s">
        <v>29</v>
      </c>
      <c r="H12" s="3" t="s">
        <v>40</v>
      </c>
    </row>
    <row r="13" spans="1:8" x14ac:dyDescent="0.2">
      <c r="A13" s="3">
        <v>3080105024</v>
      </c>
      <c r="B13" s="4" t="s">
        <v>50</v>
      </c>
      <c r="C13" s="4" t="s">
        <v>420</v>
      </c>
      <c r="D13" s="3">
        <v>8</v>
      </c>
      <c r="E13" s="3" t="s">
        <v>16</v>
      </c>
      <c r="F13" s="3" t="s">
        <v>289</v>
      </c>
      <c r="G13" s="3" t="s">
        <v>23</v>
      </c>
      <c r="H13" s="3" t="s">
        <v>40</v>
      </c>
    </row>
    <row r="14" spans="1:8" x14ac:dyDescent="0.2">
      <c r="A14" s="3">
        <v>3080105114</v>
      </c>
      <c r="B14" s="4" t="s">
        <v>50</v>
      </c>
      <c r="C14" s="4" t="s">
        <v>53</v>
      </c>
      <c r="D14" s="3">
        <v>4</v>
      </c>
      <c r="E14" s="3" t="s">
        <v>16</v>
      </c>
      <c r="F14" s="3" t="s">
        <v>289</v>
      </c>
      <c r="G14" s="3" t="s">
        <v>23</v>
      </c>
      <c r="H14" s="3" t="s">
        <v>40</v>
      </c>
    </row>
    <row r="15" spans="1:8" x14ac:dyDescent="0.2">
      <c r="A15" s="3">
        <v>3080105114</v>
      </c>
      <c r="B15" s="4" t="s">
        <v>50</v>
      </c>
      <c r="C15" s="4" t="s">
        <v>53</v>
      </c>
      <c r="D15" s="3">
        <v>4</v>
      </c>
      <c r="E15" s="3" t="s">
        <v>16</v>
      </c>
      <c r="F15" s="3" t="s">
        <v>289</v>
      </c>
      <c r="G15" s="3" t="s">
        <v>23</v>
      </c>
      <c r="H15" s="3" t="s">
        <v>40</v>
      </c>
    </row>
    <row r="16" spans="1:8" x14ac:dyDescent="0.2">
      <c r="A16" s="3">
        <v>3080105004</v>
      </c>
      <c r="B16" s="4" t="s">
        <v>50</v>
      </c>
      <c r="C16" s="4" t="s">
        <v>54</v>
      </c>
      <c r="D16" s="3">
        <v>1</v>
      </c>
      <c r="E16" s="3" t="s">
        <v>16</v>
      </c>
      <c r="F16" s="3" t="s">
        <v>289</v>
      </c>
      <c r="G16" s="3" t="s">
        <v>23</v>
      </c>
      <c r="H16" s="3" t="s">
        <v>40</v>
      </c>
    </row>
    <row r="17" spans="1:8" x14ac:dyDescent="0.2">
      <c r="A17" s="3">
        <v>3080105007</v>
      </c>
      <c r="B17" s="4" t="s">
        <v>50</v>
      </c>
      <c r="C17" s="4" t="s">
        <v>52</v>
      </c>
      <c r="D17" s="3">
        <v>8</v>
      </c>
      <c r="E17" s="3" t="s">
        <v>16</v>
      </c>
      <c r="F17" s="3" t="s">
        <v>289</v>
      </c>
      <c r="G17" s="3" t="s">
        <v>23</v>
      </c>
      <c r="H17" s="3" t="s">
        <v>40</v>
      </c>
    </row>
    <row r="18" spans="1:8" x14ac:dyDescent="0.2">
      <c r="A18" s="3">
        <v>3080105013</v>
      </c>
      <c r="B18" s="4" t="s">
        <v>50</v>
      </c>
      <c r="C18" s="4" t="s">
        <v>51</v>
      </c>
      <c r="D18" s="3">
        <v>12</v>
      </c>
      <c r="E18" s="3" t="s">
        <v>16</v>
      </c>
      <c r="F18" s="3" t="s">
        <v>293</v>
      </c>
      <c r="G18" s="3" t="s">
        <v>29</v>
      </c>
      <c r="H18" s="3" t="s">
        <v>40</v>
      </c>
    </row>
    <row r="19" spans="1:8" x14ac:dyDescent="0.2">
      <c r="A19" s="3">
        <v>3080502002</v>
      </c>
      <c r="B19" s="4" t="s">
        <v>55</v>
      </c>
      <c r="C19" s="4" t="s">
        <v>56</v>
      </c>
      <c r="D19" s="3">
        <v>4</v>
      </c>
      <c r="E19" s="3" t="s">
        <v>16</v>
      </c>
      <c r="F19" s="3" t="s">
        <v>293</v>
      </c>
      <c r="G19" s="3" t="s">
        <v>29</v>
      </c>
      <c r="H19" s="3" t="s">
        <v>40</v>
      </c>
    </row>
    <row r="20" spans="1:8" x14ac:dyDescent="0.2">
      <c r="A20" s="3">
        <v>3080501013</v>
      </c>
      <c r="B20" s="4" t="s">
        <v>57</v>
      </c>
      <c r="C20" s="4" t="s">
        <v>58</v>
      </c>
      <c r="D20" s="3">
        <v>2</v>
      </c>
      <c r="E20" s="3" t="s">
        <v>16</v>
      </c>
      <c r="F20" s="3" t="s">
        <v>293</v>
      </c>
      <c r="G20" s="3" t="s">
        <v>29</v>
      </c>
      <c r="H20" s="3" t="s">
        <v>40</v>
      </c>
    </row>
    <row r="21" spans="1:8" x14ac:dyDescent="0.2">
      <c r="A21" s="3">
        <v>3080107038</v>
      </c>
      <c r="B21" s="4" t="s">
        <v>69</v>
      </c>
      <c r="C21" s="4" t="s">
        <v>72</v>
      </c>
      <c r="D21" s="3">
        <v>2</v>
      </c>
      <c r="E21" s="3" t="s">
        <v>16</v>
      </c>
      <c r="F21" s="3" t="s">
        <v>289</v>
      </c>
      <c r="G21" s="3" t="s">
        <v>23</v>
      </c>
      <c r="H21" s="3" t="s">
        <v>40</v>
      </c>
    </row>
    <row r="22" spans="1:8" x14ac:dyDescent="0.2">
      <c r="A22" s="3">
        <v>3080107024</v>
      </c>
      <c r="B22" s="4" t="s">
        <v>69</v>
      </c>
      <c r="C22" s="4" t="s">
        <v>1143</v>
      </c>
      <c r="D22" s="3">
        <v>4</v>
      </c>
      <c r="E22" s="3" t="s">
        <v>16</v>
      </c>
      <c r="F22" s="3" t="s">
        <v>293</v>
      </c>
      <c r="G22" s="3" t="s">
        <v>29</v>
      </c>
      <c r="H22" s="3" t="s">
        <v>40</v>
      </c>
    </row>
    <row r="23" spans="1:8" x14ac:dyDescent="0.2">
      <c r="A23" s="3">
        <v>3080107038</v>
      </c>
      <c r="B23" s="4" t="s">
        <v>69</v>
      </c>
      <c r="C23" s="4" t="s">
        <v>72</v>
      </c>
      <c r="D23" s="3">
        <v>4</v>
      </c>
      <c r="E23" s="3" t="s">
        <v>16</v>
      </c>
      <c r="F23" s="3" t="s">
        <v>293</v>
      </c>
      <c r="G23" s="3" t="s">
        <v>29</v>
      </c>
      <c r="H23" s="3" t="s">
        <v>40</v>
      </c>
    </row>
    <row r="24" spans="1:8" x14ac:dyDescent="0.2">
      <c r="A24" s="3">
        <v>407030069</v>
      </c>
      <c r="B24" s="4" t="s">
        <v>81</v>
      </c>
      <c r="C24" s="4" t="s">
        <v>1940</v>
      </c>
      <c r="D24" s="3">
        <v>1</v>
      </c>
      <c r="E24" s="3" t="s">
        <v>16</v>
      </c>
      <c r="F24" s="3" t="s">
        <v>301</v>
      </c>
      <c r="G24" s="3" t="s">
        <v>32</v>
      </c>
      <c r="H24" s="3" t="s">
        <v>40</v>
      </c>
    </row>
    <row r="25" spans="1:8" x14ac:dyDescent="0.2">
      <c r="A25" s="3">
        <v>3030101031</v>
      </c>
      <c r="B25" s="4" t="s">
        <v>636</v>
      </c>
      <c r="C25" s="4" t="s">
        <v>1941</v>
      </c>
      <c r="D25" s="3">
        <v>1</v>
      </c>
      <c r="E25" s="3" t="s">
        <v>16</v>
      </c>
      <c r="F25" s="3" t="s">
        <v>301</v>
      </c>
      <c r="G25" s="3" t="s">
        <v>32</v>
      </c>
      <c r="H25" s="3" t="s">
        <v>88</v>
      </c>
    </row>
    <row r="26" spans="1:8" x14ac:dyDescent="0.2">
      <c r="A26" s="3">
        <v>3099991203</v>
      </c>
      <c r="B26" s="4" t="s">
        <v>101</v>
      </c>
      <c r="C26" s="4" t="s">
        <v>102</v>
      </c>
      <c r="D26" s="3">
        <v>1</v>
      </c>
      <c r="E26" s="3" t="s">
        <v>16</v>
      </c>
      <c r="F26" s="3" t="s">
        <v>289</v>
      </c>
      <c r="G26" s="3" t="s">
        <v>23</v>
      </c>
      <c r="H26" s="3" t="s">
        <v>103</v>
      </c>
    </row>
    <row r="27" spans="1:8" x14ac:dyDescent="0.2">
      <c r="A27" s="3">
        <v>3099990218</v>
      </c>
      <c r="B27" s="4" t="s">
        <v>1942</v>
      </c>
      <c r="C27" s="4" t="s">
        <v>1943</v>
      </c>
      <c r="D27" s="3">
        <v>1</v>
      </c>
      <c r="E27" s="3" t="s">
        <v>16</v>
      </c>
      <c r="F27" s="3" t="s">
        <v>299</v>
      </c>
      <c r="G27" s="3" t="s">
        <v>106</v>
      </c>
      <c r="H27" s="3" t="s">
        <v>103</v>
      </c>
    </row>
    <row r="28" spans="1:8" x14ac:dyDescent="0.2">
      <c r="A28" s="3">
        <v>402010065</v>
      </c>
      <c r="B28" s="4" t="s">
        <v>882</v>
      </c>
      <c r="C28" s="4" t="s">
        <v>1927</v>
      </c>
      <c r="D28" s="3">
        <v>1</v>
      </c>
      <c r="E28" s="3" t="s">
        <v>16</v>
      </c>
      <c r="F28" s="3" t="s">
        <v>291</v>
      </c>
      <c r="G28" s="3" t="s">
        <v>26</v>
      </c>
      <c r="H28" s="3" t="s">
        <v>109</v>
      </c>
    </row>
    <row r="29" spans="1:8" x14ac:dyDescent="0.2">
      <c r="A29" s="3">
        <v>402030027</v>
      </c>
      <c r="B29" s="4" t="s">
        <v>107</v>
      </c>
      <c r="C29" s="4" t="s">
        <v>110</v>
      </c>
      <c r="D29" s="3">
        <v>1</v>
      </c>
      <c r="E29" s="3" t="s">
        <v>16</v>
      </c>
      <c r="F29" s="3" t="s">
        <v>289</v>
      </c>
      <c r="G29" s="3" t="s">
        <v>23</v>
      </c>
      <c r="H29" s="3" t="s">
        <v>109</v>
      </c>
    </row>
    <row r="30" spans="1:8" x14ac:dyDescent="0.2">
      <c r="A30" s="3">
        <v>402020006</v>
      </c>
      <c r="B30" s="4" t="s">
        <v>111</v>
      </c>
      <c r="C30" s="4" t="s">
        <v>112</v>
      </c>
      <c r="D30" s="3">
        <v>2</v>
      </c>
      <c r="E30" s="3" t="s">
        <v>16</v>
      </c>
      <c r="F30" s="3" t="s">
        <v>293</v>
      </c>
      <c r="G30" s="3" t="s">
        <v>29</v>
      </c>
      <c r="H30" s="3" t="s">
        <v>109</v>
      </c>
    </row>
    <row r="31" spans="1:8" x14ac:dyDescent="0.2">
      <c r="A31" s="3">
        <v>3060209002</v>
      </c>
      <c r="B31" s="4" t="s">
        <v>113</v>
      </c>
      <c r="C31" s="4" t="s">
        <v>114</v>
      </c>
      <c r="D31" s="3">
        <v>2</v>
      </c>
      <c r="E31" s="3" t="s">
        <v>16</v>
      </c>
      <c r="F31" s="3" t="s">
        <v>289</v>
      </c>
      <c r="G31" s="3" t="s">
        <v>23</v>
      </c>
      <c r="H31" s="3" t="s">
        <v>115</v>
      </c>
    </row>
    <row r="32" spans="1:8" x14ac:dyDescent="0.2">
      <c r="A32" s="3">
        <v>3040113002</v>
      </c>
      <c r="B32" s="4" t="s">
        <v>118</v>
      </c>
      <c r="C32" s="4" t="s">
        <v>119</v>
      </c>
      <c r="D32" s="3">
        <v>2</v>
      </c>
      <c r="E32" s="3" t="s">
        <v>16</v>
      </c>
      <c r="F32" s="3" t="s">
        <v>293</v>
      </c>
      <c r="G32" s="3" t="s">
        <v>29</v>
      </c>
      <c r="H32" s="3" t="s">
        <v>115</v>
      </c>
    </row>
    <row r="33" spans="1:8" x14ac:dyDescent="0.2">
      <c r="A33" s="3">
        <v>3080601002</v>
      </c>
      <c r="B33" s="4" t="s">
        <v>1944</v>
      </c>
      <c r="C33" s="4" t="s">
        <v>1945</v>
      </c>
      <c r="D33" s="3">
        <v>10</v>
      </c>
      <c r="E33" s="3" t="s">
        <v>16</v>
      </c>
      <c r="F33" s="3" t="s">
        <v>291</v>
      </c>
      <c r="G33" s="3" t="s">
        <v>26</v>
      </c>
      <c r="H33" s="3" t="s">
        <v>115</v>
      </c>
    </row>
    <row r="34" spans="1:8" x14ac:dyDescent="0.2">
      <c r="A34" s="3">
        <v>3060201049</v>
      </c>
      <c r="B34" s="4" t="s">
        <v>663</v>
      </c>
      <c r="C34" s="4" t="s">
        <v>1946</v>
      </c>
      <c r="D34" s="3">
        <v>1</v>
      </c>
      <c r="E34" s="3" t="s">
        <v>16</v>
      </c>
      <c r="F34" s="3" t="s">
        <v>289</v>
      </c>
      <c r="G34" s="3" t="s">
        <v>23</v>
      </c>
      <c r="H34" s="3" t="s">
        <v>132</v>
      </c>
    </row>
    <row r="35" spans="1:8" x14ac:dyDescent="0.2">
      <c r="A35" s="3">
        <v>3040502062</v>
      </c>
      <c r="B35" s="4" t="s">
        <v>136</v>
      </c>
      <c r="C35" s="4" t="s">
        <v>1947</v>
      </c>
      <c r="D35" s="3">
        <v>2</v>
      </c>
      <c r="E35" s="3" t="s">
        <v>16</v>
      </c>
      <c r="F35" s="3" t="s">
        <v>293</v>
      </c>
      <c r="G35" s="3" t="s">
        <v>29</v>
      </c>
      <c r="H35" s="3" t="s">
        <v>138</v>
      </c>
    </row>
    <row r="36" spans="1:8" x14ac:dyDescent="0.2">
      <c r="A36" s="3">
        <v>3990207001</v>
      </c>
      <c r="B36" s="4" t="s">
        <v>140</v>
      </c>
      <c r="C36" s="4" t="s">
        <v>141</v>
      </c>
      <c r="D36" s="3">
        <v>1</v>
      </c>
      <c r="E36" s="3" t="s">
        <v>16</v>
      </c>
      <c r="F36" s="3" t="s">
        <v>285</v>
      </c>
      <c r="G36" s="3" t="s">
        <v>142</v>
      </c>
      <c r="H36" s="3" t="s">
        <v>143</v>
      </c>
    </row>
    <row r="37" spans="1:8" x14ac:dyDescent="0.2">
      <c r="A37" s="3">
        <v>3070103002</v>
      </c>
      <c r="B37" s="4" t="s">
        <v>152</v>
      </c>
      <c r="C37" s="4" t="s">
        <v>153</v>
      </c>
      <c r="D37" s="3">
        <v>1</v>
      </c>
      <c r="E37" s="3" t="s">
        <v>16</v>
      </c>
      <c r="F37" s="3" t="s">
        <v>289</v>
      </c>
      <c r="G37" s="3" t="s">
        <v>23</v>
      </c>
      <c r="H37" s="3" t="s">
        <v>154</v>
      </c>
    </row>
    <row r="38" spans="1:8" x14ac:dyDescent="0.2">
      <c r="A38" s="3">
        <v>3040211002</v>
      </c>
      <c r="B38" s="4" t="s">
        <v>157</v>
      </c>
      <c r="C38" s="4" t="s">
        <v>158</v>
      </c>
      <c r="D38" s="3">
        <v>2</v>
      </c>
      <c r="E38" s="3" t="s">
        <v>16</v>
      </c>
      <c r="F38" s="3" t="s">
        <v>293</v>
      </c>
      <c r="G38" s="3" t="s">
        <v>29</v>
      </c>
      <c r="H38" s="3" t="s">
        <v>154</v>
      </c>
    </row>
    <row r="39" spans="1:8" x14ac:dyDescent="0.2">
      <c r="A39" s="3">
        <v>3060306001</v>
      </c>
      <c r="B39" s="4" t="s">
        <v>163</v>
      </c>
      <c r="C39" s="4" t="s">
        <v>164</v>
      </c>
      <c r="D39" s="3">
        <v>1</v>
      </c>
      <c r="E39" s="3" t="s">
        <v>16</v>
      </c>
      <c r="F39" s="3" t="s">
        <v>289</v>
      </c>
      <c r="G39" s="3" t="s">
        <v>23</v>
      </c>
      <c r="H39" s="3" t="s">
        <v>165</v>
      </c>
    </row>
    <row r="40" spans="1:8" x14ac:dyDescent="0.2">
      <c r="A40" s="3">
        <v>3010106010</v>
      </c>
      <c r="B40" s="4" t="s">
        <v>481</v>
      </c>
      <c r="C40" s="4" t="s">
        <v>482</v>
      </c>
      <c r="D40" s="3">
        <v>0.39</v>
      </c>
      <c r="E40" s="3" t="s">
        <v>10</v>
      </c>
      <c r="F40" s="3" t="s">
        <v>284</v>
      </c>
      <c r="G40" s="3" t="s">
        <v>11</v>
      </c>
      <c r="H40" s="3" t="s">
        <v>483</v>
      </c>
    </row>
    <row r="41" spans="1:8" x14ac:dyDescent="0.2">
      <c r="A41" s="3">
        <v>3060344001</v>
      </c>
      <c r="B41" s="4" t="s">
        <v>682</v>
      </c>
      <c r="C41" s="4" t="s">
        <v>1147</v>
      </c>
      <c r="D41" s="3">
        <v>1</v>
      </c>
      <c r="E41" s="3" t="s">
        <v>16</v>
      </c>
      <c r="F41" s="3" t="s">
        <v>301</v>
      </c>
      <c r="G41" s="3" t="s">
        <v>32</v>
      </c>
      <c r="H41" s="3" t="s">
        <v>173</v>
      </c>
    </row>
    <row r="42" spans="1:8" x14ac:dyDescent="0.2">
      <c r="A42" s="3">
        <v>3060310001</v>
      </c>
      <c r="B42" s="4" t="s">
        <v>171</v>
      </c>
      <c r="C42" s="4" t="s">
        <v>172</v>
      </c>
      <c r="D42" s="3">
        <v>1</v>
      </c>
      <c r="E42" s="3" t="s">
        <v>16</v>
      </c>
      <c r="F42" s="3" t="s">
        <v>289</v>
      </c>
      <c r="G42" s="3" t="s">
        <v>23</v>
      </c>
      <c r="H42" s="3" t="s">
        <v>173</v>
      </c>
    </row>
    <row r="43" spans="1:8" x14ac:dyDescent="0.2">
      <c r="A43" s="3">
        <v>3060311001</v>
      </c>
      <c r="B43" s="4" t="s">
        <v>174</v>
      </c>
      <c r="C43" s="4" t="s">
        <v>172</v>
      </c>
      <c r="D43" s="3">
        <v>1</v>
      </c>
      <c r="E43" s="3" t="s">
        <v>16</v>
      </c>
      <c r="F43" s="3" t="s">
        <v>289</v>
      </c>
      <c r="G43" s="3" t="s">
        <v>23</v>
      </c>
      <c r="H43" s="3" t="s">
        <v>173</v>
      </c>
    </row>
    <row r="44" spans="1:8" x14ac:dyDescent="0.2">
      <c r="A44" s="3">
        <v>3020502023</v>
      </c>
      <c r="B44" s="4" t="s">
        <v>183</v>
      </c>
      <c r="C44" s="4" t="s">
        <v>184</v>
      </c>
      <c r="D44" s="3">
        <v>1</v>
      </c>
      <c r="E44" s="3" t="s">
        <v>16</v>
      </c>
      <c r="F44" s="3" t="s">
        <v>291</v>
      </c>
      <c r="G44" s="3" t="s">
        <v>26</v>
      </c>
      <c r="H44" s="3" t="s">
        <v>185</v>
      </c>
    </row>
    <row r="45" spans="1:8" x14ac:dyDescent="0.2">
      <c r="A45" s="3">
        <v>404040033</v>
      </c>
      <c r="B45" s="4" t="s">
        <v>30</v>
      </c>
      <c r="C45" s="4" t="s">
        <v>1948</v>
      </c>
      <c r="D45" s="3">
        <v>1</v>
      </c>
      <c r="E45" s="3" t="s">
        <v>16</v>
      </c>
      <c r="F45" s="3" t="s">
        <v>301</v>
      </c>
      <c r="G45" s="3" t="s">
        <v>32</v>
      </c>
      <c r="H45" s="3" t="s">
        <v>198</v>
      </c>
    </row>
    <row r="46" spans="1:8" x14ac:dyDescent="0.2">
      <c r="A46" s="3">
        <v>404010030</v>
      </c>
      <c r="B46" s="4" t="s">
        <v>30</v>
      </c>
      <c r="C46" s="4" t="s">
        <v>1095</v>
      </c>
      <c r="D46" s="3">
        <v>1</v>
      </c>
      <c r="E46" s="3" t="s">
        <v>16</v>
      </c>
      <c r="F46" s="3" t="s">
        <v>301</v>
      </c>
      <c r="G46" s="3" t="s">
        <v>32</v>
      </c>
      <c r="H46" s="3" t="s">
        <v>198</v>
      </c>
    </row>
    <row r="47" spans="1:8" x14ac:dyDescent="0.2">
      <c r="A47" s="3">
        <v>404010103</v>
      </c>
      <c r="B47" s="4" t="s">
        <v>30</v>
      </c>
      <c r="C47" s="4" t="s">
        <v>1949</v>
      </c>
      <c r="D47" s="3">
        <v>2</v>
      </c>
      <c r="E47" s="3" t="s">
        <v>16</v>
      </c>
      <c r="F47" s="3" t="s">
        <v>301</v>
      </c>
      <c r="G47" s="3" t="s">
        <v>32</v>
      </c>
      <c r="H47" s="3" t="s">
        <v>198</v>
      </c>
    </row>
    <row r="48" spans="1:8" x14ac:dyDescent="0.2">
      <c r="A48" s="3">
        <v>404030020</v>
      </c>
      <c r="B48" s="4" t="s">
        <v>30</v>
      </c>
      <c r="C48" s="4" t="s">
        <v>689</v>
      </c>
      <c r="D48" s="3">
        <v>1</v>
      </c>
      <c r="E48" s="3" t="s">
        <v>16</v>
      </c>
      <c r="F48" s="3" t="s">
        <v>289</v>
      </c>
      <c r="G48" s="3" t="s">
        <v>23</v>
      </c>
      <c r="H48" s="3" t="s">
        <v>198</v>
      </c>
    </row>
    <row r="49" spans="1:8" x14ac:dyDescent="0.2">
      <c r="A49" s="3">
        <v>404020095</v>
      </c>
      <c r="B49" s="4" t="s">
        <v>30</v>
      </c>
      <c r="C49" s="4" t="s">
        <v>1950</v>
      </c>
      <c r="D49" s="3">
        <v>1</v>
      </c>
      <c r="E49" s="3" t="s">
        <v>16</v>
      </c>
      <c r="F49" s="3" t="s">
        <v>301</v>
      </c>
      <c r="G49" s="3" t="s">
        <v>32</v>
      </c>
      <c r="H49" s="3" t="s">
        <v>198</v>
      </c>
    </row>
    <row r="50" spans="1:8" x14ac:dyDescent="0.2">
      <c r="A50" s="3">
        <v>403030003</v>
      </c>
      <c r="B50" s="4" t="s">
        <v>366</v>
      </c>
      <c r="C50" s="4" t="s">
        <v>1670</v>
      </c>
      <c r="D50" s="3">
        <v>3</v>
      </c>
      <c r="E50" s="3" t="s">
        <v>16</v>
      </c>
      <c r="F50" s="3" t="s">
        <v>301</v>
      </c>
      <c r="G50" s="3" t="s">
        <v>32</v>
      </c>
      <c r="H50" s="3" t="s">
        <v>198</v>
      </c>
    </row>
    <row r="51" spans="1:8" x14ac:dyDescent="0.2">
      <c r="A51" s="3">
        <v>401020310</v>
      </c>
      <c r="B51" s="4" t="s">
        <v>35</v>
      </c>
      <c r="C51" s="4" t="s">
        <v>1951</v>
      </c>
      <c r="D51" s="3">
        <v>1</v>
      </c>
      <c r="E51" s="3" t="s">
        <v>16</v>
      </c>
      <c r="F51" s="3" t="s">
        <v>301</v>
      </c>
      <c r="G51" s="3" t="s">
        <v>32</v>
      </c>
      <c r="H51" s="3" t="s">
        <v>198</v>
      </c>
    </row>
    <row r="52" spans="1:8" x14ac:dyDescent="0.2">
      <c r="A52" s="3">
        <v>401070018</v>
      </c>
      <c r="B52" s="4" t="s">
        <v>35</v>
      </c>
      <c r="C52" s="4" t="s">
        <v>202</v>
      </c>
      <c r="D52" s="3">
        <v>1</v>
      </c>
      <c r="E52" s="3" t="s">
        <v>16</v>
      </c>
      <c r="F52" s="3" t="s">
        <v>291</v>
      </c>
      <c r="G52" s="3" t="s">
        <v>26</v>
      </c>
      <c r="H52" s="3" t="s">
        <v>198</v>
      </c>
    </row>
    <row r="53" spans="1:8" x14ac:dyDescent="0.2">
      <c r="A53" s="3">
        <v>401070022</v>
      </c>
      <c r="B53" s="4" t="s">
        <v>35</v>
      </c>
      <c r="C53" s="4" t="s">
        <v>203</v>
      </c>
      <c r="D53" s="3">
        <v>1</v>
      </c>
      <c r="E53" s="3" t="s">
        <v>16</v>
      </c>
      <c r="F53" s="3" t="s">
        <v>297</v>
      </c>
      <c r="G53" s="3" t="s">
        <v>204</v>
      </c>
      <c r="H53" s="3" t="s">
        <v>198</v>
      </c>
    </row>
    <row r="54" spans="1:8" x14ac:dyDescent="0.2">
      <c r="A54" s="3">
        <v>3020302013</v>
      </c>
      <c r="B54" s="4" t="s">
        <v>209</v>
      </c>
      <c r="C54" s="4" t="s">
        <v>210</v>
      </c>
      <c r="D54" s="3">
        <v>1</v>
      </c>
      <c r="E54" s="3" t="s">
        <v>16</v>
      </c>
      <c r="F54" s="3" t="s">
        <v>301</v>
      </c>
      <c r="G54" s="3" t="s">
        <v>32</v>
      </c>
      <c r="H54" s="3" t="s">
        <v>211</v>
      </c>
    </row>
    <row r="55" spans="1:8" x14ac:dyDescent="0.2">
      <c r="A55" s="3">
        <v>407010194</v>
      </c>
      <c r="B55" s="4" t="s">
        <v>149</v>
      </c>
      <c r="C55" s="4" t="s">
        <v>1952</v>
      </c>
      <c r="D55" s="3">
        <v>1</v>
      </c>
      <c r="E55" s="3" t="s">
        <v>16</v>
      </c>
      <c r="F55" s="3" t="s">
        <v>289</v>
      </c>
      <c r="G55" s="3" t="s">
        <v>23</v>
      </c>
      <c r="H55" s="3" t="s">
        <v>524</v>
      </c>
    </row>
    <row r="56" spans="1:8" x14ac:dyDescent="0.2">
      <c r="A56" s="3">
        <v>3100201104</v>
      </c>
      <c r="B56" s="4" t="s">
        <v>1953</v>
      </c>
      <c r="C56" s="4" t="s">
        <v>1954</v>
      </c>
      <c r="D56" s="3">
        <v>1</v>
      </c>
      <c r="E56" s="3" t="s">
        <v>16</v>
      </c>
      <c r="F56" s="3" t="s">
        <v>299</v>
      </c>
      <c r="G56" s="3" t="s">
        <v>106</v>
      </c>
      <c r="H56" s="3" t="s">
        <v>1955</v>
      </c>
    </row>
    <row r="57" spans="1:8" x14ac:dyDescent="0.2">
      <c r="A57" s="3">
        <v>3060333002</v>
      </c>
      <c r="B57" s="4" t="s">
        <v>227</v>
      </c>
      <c r="C57" s="4" t="s">
        <v>228</v>
      </c>
      <c r="D57" s="3">
        <v>1</v>
      </c>
      <c r="E57" s="3" t="s">
        <v>16</v>
      </c>
      <c r="F57" s="3" t="s">
        <v>289</v>
      </c>
      <c r="G57" s="3" t="s">
        <v>23</v>
      </c>
      <c r="H57" s="3" t="s">
        <v>226</v>
      </c>
    </row>
    <row r="58" spans="1:8" x14ac:dyDescent="0.2">
      <c r="A58" s="3">
        <v>3060308002</v>
      </c>
      <c r="B58" s="4" t="s">
        <v>229</v>
      </c>
      <c r="C58" s="4" t="s">
        <v>230</v>
      </c>
      <c r="D58" s="3">
        <v>1</v>
      </c>
      <c r="E58" s="3" t="s">
        <v>16</v>
      </c>
      <c r="F58" s="3" t="s">
        <v>289</v>
      </c>
      <c r="G58" s="3" t="s">
        <v>23</v>
      </c>
      <c r="H58" s="3" t="s">
        <v>226</v>
      </c>
    </row>
    <row r="59" spans="1:8" x14ac:dyDescent="0.2">
      <c r="A59" s="3">
        <v>3060303001</v>
      </c>
      <c r="B59" s="4" t="s">
        <v>231</v>
      </c>
      <c r="C59" s="4" t="s">
        <v>232</v>
      </c>
      <c r="D59" s="3">
        <v>1</v>
      </c>
      <c r="E59" s="3" t="s">
        <v>16</v>
      </c>
      <c r="F59" s="3" t="s">
        <v>289</v>
      </c>
      <c r="G59" s="3" t="s">
        <v>23</v>
      </c>
      <c r="H59" s="3" t="s">
        <v>226</v>
      </c>
    </row>
    <row r="60" spans="1:8" x14ac:dyDescent="0.2">
      <c r="A60" s="3">
        <v>3060335004</v>
      </c>
      <c r="B60" s="4" t="s">
        <v>233</v>
      </c>
      <c r="C60" s="4" t="s">
        <v>234</v>
      </c>
      <c r="D60" s="3">
        <v>1</v>
      </c>
      <c r="E60" s="3" t="s">
        <v>16</v>
      </c>
      <c r="F60" s="3" t="s">
        <v>289</v>
      </c>
      <c r="G60" s="3" t="s">
        <v>23</v>
      </c>
      <c r="H60" s="3" t="s">
        <v>226</v>
      </c>
    </row>
    <row r="61" spans="1:8" x14ac:dyDescent="0.2">
      <c r="A61" s="3">
        <v>3020199010</v>
      </c>
      <c r="B61" s="4" t="s">
        <v>239</v>
      </c>
      <c r="C61" s="4" t="s">
        <v>545</v>
      </c>
      <c r="D61" s="3">
        <v>5</v>
      </c>
      <c r="E61" s="3" t="s">
        <v>16</v>
      </c>
      <c r="F61" s="3" t="s">
        <v>297</v>
      </c>
      <c r="G61" s="3" t="s">
        <v>204</v>
      </c>
      <c r="H61" s="3" t="s">
        <v>226</v>
      </c>
    </row>
    <row r="62" spans="1:8" x14ac:dyDescent="0.2">
      <c r="A62" s="3">
        <v>3069901001</v>
      </c>
      <c r="B62" s="4" t="s">
        <v>547</v>
      </c>
      <c r="C62" s="4" t="s">
        <v>548</v>
      </c>
      <c r="D62" s="3">
        <v>1</v>
      </c>
      <c r="E62" s="3" t="s">
        <v>16</v>
      </c>
      <c r="F62" s="3" t="s">
        <v>289</v>
      </c>
      <c r="G62" s="3" t="s">
        <v>23</v>
      </c>
      <c r="H62" s="3" t="s">
        <v>226</v>
      </c>
    </row>
    <row r="63" spans="1:8" x14ac:dyDescent="0.2">
      <c r="A63" s="3">
        <v>3080107017</v>
      </c>
      <c r="B63" s="4" t="s">
        <v>69</v>
      </c>
      <c r="C63" s="4" t="s">
        <v>251</v>
      </c>
      <c r="D63" s="3">
        <v>4</v>
      </c>
      <c r="E63" s="3" t="s">
        <v>16</v>
      </c>
      <c r="F63" s="3" t="s">
        <v>289</v>
      </c>
      <c r="G63" s="3" t="s">
        <v>23</v>
      </c>
      <c r="H63" s="3" t="s">
        <v>249</v>
      </c>
    </row>
    <row r="64" spans="1:8" x14ac:dyDescent="0.2">
      <c r="A64" s="3">
        <v>3080107017</v>
      </c>
      <c r="B64" s="4" t="s">
        <v>69</v>
      </c>
      <c r="C64" s="4" t="s">
        <v>251</v>
      </c>
      <c r="D64" s="3">
        <v>2</v>
      </c>
      <c r="E64" s="3" t="s">
        <v>16</v>
      </c>
      <c r="F64" s="3" t="s">
        <v>289</v>
      </c>
      <c r="G64" s="3" t="s">
        <v>23</v>
      </c>
      <c r="H64" s="3" t="s">
        <v>249</v>
      </c>
    </row>
    <row r="65" spans="1:8" x14ac:dyDescent="0.2">
      <c r="A65" s="3">
        <v>3060309001</v>
      </c>
      <c r="B65" s="4" t="s">
        <v>252</v>
      </c>
      <c r="C65" s="4" t="s">
        <v>253</v>
      </c>
      <c r="D65" s="3">
        <v>1</v>
      </c>
      <c r="E65" s="3" t="s">
        <v>16</v>
      </c>
      <c r="F65" s="3" t="s">
        <v>289</v>
      </c>
      <c r="G65" s="3" t="s">
        <v>23</v>
      </c>
      <c r="H65" s="3" t="s">
        <v>254</v>
      </c>
    </row>
    <row r="66" spans="1:8" x14ac:dyDescent="0.2">
      <c r="A66" s="3">
        <v>3060341001</v>
      </c>
      <c r="B66" s="4" t="s">
        <v>255</v>
      </c>
      <c r="C66" s="4" t="s">
        <v>256</v>
      </c>
      <c r="D66" s="3">
        <v>1</v>
      </c>
      <c r="E66" s="3" t="s">
        <v>16</v>
      </c>
      <c r="F66" s="3" t="s">
        <v>289</v>
      </c>
      <c r="G66" s="3" t="s">
        <v>23</v>
      </c>
      <c r="H66" s="3" t="s">
        <v>254</v>
      </c>
    </row>
    <row r="67" spans="1:8" x14ac:dyDescent="0.2">
      <c r="A67" s="3">
        <v>3040312007</v>
      </c>
      <c r="B67" s="4" t="s">
        <v>263</v>
      </c>
      <c r="C67" s="4" t="s">
        <v>264</v>
      </c>
      <c r="D67" s="3">
        <v>2</v>
      </c>
      <c r="E67" s="3" t="s">
        <v>16</v>
      </c>
      <c r="F67" s="3" t="s">
        <v>293</v>
      </c>
      <c r="G67" s="3" t="s">
        <v>29</v>
      </c>
      <c r="H67" s="3" t="s">
        <v>254</v>
      </c>
    </row>
    <row r="68" spans="1:8" x14ac:dyDescent="0.2">
      <c r="A68" s="3">
        <v>3040303001</v>
      </c>
      <c r="B68" s="4" t="s">
        <v>265</v>
      </c>
      <c r="C68" s="4" t="s">
        <v>266</v>
      </c>
      <c r="D68" s="3">
        <v>2</v>
      </c>
      <c r="E68" s="3" t="s">
        <v>16</v>
      </c>
      <c r="F68" s="3" t="s">
        <v>293</v>
      </c>
      <c r="G68" s="3" t="s">
        <v>29</v>
      </c>
      <c r="H68" s="3" t="s">
        <v>254</v>
      </c>
    </row>
    <row r="69" spans="1:8" x14ac:dyDescent="0.2">
      <c r="A69" s="3">
        <v>3040320003</v>
      </c>
      <c r="B69" s="4" t="s">
        <v>269</v>
      </c>
      <c r="C69" s="4" t="s">
        <v>270</v>
      </c>
      <c r="D69" s="3">
        <v>2</v>
      </c>
      <c r="E69" s="3" t="s">
        <v>16</v>
      </c>
      <c r="F69" s="3" t="s">
        <v>293</v>
      </c>
      <c r="G69" s="3" t="s">
        <v>29</v>
      </c>
      <c r="H69" s="3" t="s">
        <v>254</v>
      </c>
    </row>
  </sheetData>
  <phoneticPr fontId="2" type="noConversion"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CA601-53C7-4186-98F1-E0B8186204A7}">
  <dimension ref="A1:H86"/>
  <sheetViews>
    <sheetView workbookViewId="0">
      <selection activeCell="H15" sqref="H14:H15"/>
    </sheetView>
  </sheetViews>
  <sheetFormatPr defaultRowHeight="14.25" x14ac:dyDescent="0.2"/>
  <cols>
    <col min="1" max="1" width="13.75" customWidth="1"/>
    <col min="2" max="3" width="16.75" customWidth="1"/>
  </cols>
  <sheetData>
    <row r="1" spans="1:8" x14ac:dyDescent="0.2">
      <c r="A1" s="3" t="s">
        <v>1960</v>
      </c>
      <c r="B1" s="4"/>
      <c r="C1" s="4"/>
      <c r="D1" s="3"/>
      <c r="E1" s="3"/>
      <c r="F1" s="3"/>
      <c r="G1" s="3"/>
      <c r="H1" s="3"/>
    </row>
    <row r="2" spans="1:8" ht="28.5" x14ac:dyDescent="0.2">
      <c r="A2" s="1" t="s">
        <v>0</v>
      </c>
      <c r="B2" s="2" t="s">
        <v>1</v>
      </c>
      <c r="C2" s="2" t="s">
        <v>2</v>
      </c>
      <c r="D2" s="1" t="s">
        <v>4</v>
      </c>
      <c r="E2" s="1" t="s">
        <v>3</v>
      </c>
      <c r="F2" s="1" t="s">
        <v>5</v>
      </c>
      <c r="G2" s="1" t="s">
        <v>6</v>
      </c>
      <c r="H2" s="1" t="s">
        <v>7</v>
      </c>
    </row>
    <row r="3" spans="1:8" s="10" customFormat="1" x14ac:dyDescent="0.2">
      <c r="A3" s="8" t="s">
        <v>390</v>
      </c>
      <c r="B3" s="9" t="s">
        <v>8</v>
      </c>
      <c r="C3" s="9" t="s">
        <v>9</v>
      </c>
      <c r="D3" s="13">
        <f>0.1457/0.94</f>
        <v>0.155</v>
      </c>
      <c r="E3" s="8" t="s">
        <v>596</v>
      </c>
      <c r="F3" s="8" t="s">
        <v>283</v>
      </c>
      <c r="G3" s="8" t="s">
        <v>13</v>
      </c>
      <c r="H3" s="8" t="s">
        <v>12</v>
      </c>
    </row>
    <row r="4" spans="1:8" x14ac:dyDescent="0.2">
      <c r="A4" s="3">
        <v>402030028</v>
      </c>
      <c r="B4" s="4" t="s">
        <v>107</v>
      </c>
      <c r="C4" s="4" t="s">
        <v>305</v>
      </c>
      <c r="D4" s="3">
        <v>1</v>
      </c>
      <c r="E4" s="3" t="s">
        <v>16</v>
      </c>
      <c r="F4" s="3" t="s">
        <v>289</v>
      </c>
      <c r="G4" s="3" t="s">
        <v>23</v>
      </c>
      <c r="H4" s="3" t="s">
        <v>306</v>
      </c>
    </row>
    <row r="5" spans="1:8" x14ac:dyDescent="0.2">
      <c r="A5" s="3">
        <v>3010105002</v>
      </c>
      <c r="B5" s="4" t="s">
        <v>1827</v>
      </c>
      <c r="C5" s="4" t="s">
        <v>1828</v>
      </c>
      <c r="D5" s="3">
        <v>0.18</v>
      </c>
      <c r="E5" s="3" t="s">
        <v>10</v>
      </c>
      <c r="F5" s="3" t="s">
        <v>1935</v>
      </c>
      <c r="G5" s="3" t="s">
        <v>1936</v>
      </c>
      <c r="H5" s="3" t="s">
        <v>306</v>
      </c>
    </row>
    <row r="6" spans="1:8" x14ac:dyDescent="0.2">
      <c r="A6" s="3">
        <v>3060503002</v>
      </c>
      <c r="B6" s="4" t="s">
        <v>21</v>
      </c>
      <c r="C6" s="4" t="s">
        <v>22</v>
      </c>
      <c r="D6" s="3">
        <v>1</v>
      </c>
      <c r="E6" s="3" t="s">
        <v>16</v>
      </c>
      <c r="F6" s="3" t="s">
        <v>289</v>
      </c>
      <c r="G6" s="3" t="s">
        <v>23</v>
      </c>
      <c r="H6" s="3" t="s">
        <v>18</v>
      </c>
    </row>
    <row r="7" spans="1:8" x14ac:dyDescent="0.2">
      <c r="A7" s="3">
        <v>3040217006</v>
      </c>
      <c r="B7" s="4" t="s">
        <v>1937</v>
      </c>
      <c r="C7" s="4" t="s">
        <v>1938</v>
      </c>
      <c r="D7" s="3">
        <v>1</v>
      </c>
      <c r="E7" s="3" t="s">
        <v>16</v>
      </c>
      <c r="F7" s="3" t="s">
        <v>293</v>
      </c>
      <c r="G7" s="3" t="s">
        <v>29</v>
      </c>
      <c r="H7" s="3" t="s">
        <v>18</v>
      </c>
    </row>
    <row r="8" spans="1:8" x14ac:dyDescent="0.2">
      <c r="A8" s="3">
        <v>3040217007</v>
      </c>
      <c r="B8" s="4" t="s">
        <v>1937</v>
      </c>
      <c r="C8" s="4" t="s">
        <v>1939</v>
      </c>
      <c r="D8" s="3">
        <v>1</v>
      </c>
      <c r="E8" s="3" t="s">
        <v>16</v>
      </c>
      <c r="F8" s="3" t="s">
        <v>293</v>
      </c>
      <c r="G8" s="3" t="s">
        <v>29</v>
      </c>
      <c r="H8" s="3" t="s">
        <v>18</v>
      </c>
    </row>
    <row r="9" spans="1:8" x14ac:dyDescent="0.2">
      <c r="A9" s="3">
        <v>3040207001</v>
      </c>
      <c r="B9" s="4" t="s">
        <v>665</v>
      </c>
      <c r="C9" s="4" t="s">
        <v>666</v>
      </c>
      <c r="D9" s="3">
        <v>2</v>
      </c>
      <c r="E9" s="3" t="s">
        <v>16</v>
      </c>
      <c r="F9" s="3" t="s">
        <v>293</v>
      </c>
      <c r="G9" s="3" t="s">
        <v>29</v>
      </c>
      <c r="H9" s="3" t="s">
        <v>18</v>
      </c>
    </row>
    <row r="10" spans="1:8" x14ac:dyDescent="0.2">
      <c r="A10" s="3">
        <v>3080102003</v>
      </c>
      <c r="B10" s="4" t="s">
        <v>38</v>
      </c>
      <c r="C10" s="4" t="s">
        <v>39</v>
      </c>
      <c r="D10" s="3">
        <v>1</v>
      </c>
      <c r="E10" s="3" t="s">
        <v>16</v>
      </c>
      <c r="F10" s="3" t="s">
        <v>289</v>
      </c>
      <c r="G10" s="3" t="s">
        <v>23</v>
      </c>
      <c r="H10" s="3" t="s">
        <v>40</v>
      </c>
    </row>
    <row r="11" spans="1:8" x14ac:dyDescent="0.2">
      <c r="A11" s="3">
        <v>3080104020</v>
      </c>
      <c r="B11" s="4" t="s">
        <v>45</v>
      </c>
      <c r="C11" s="4" t="s">
        <v>46</v>
      </c>
      <c r="D11" s="3">
        <v>2</v>
      </c>
      <c r="E11" s="3" t="s">
        <v>16</v>
      </c>
      <c r="F11" s="3" t="s">
        <v>301</v>
      </c>
      <c r="G11" s="3" t="s">
        <v>32</v>
      </c>
      <c r="H11" s="3" t="s">
        <v>40</v>
      </c>
    </row>
    <row r="12" spans="1:8" x14ac:dyDescent="0.2">
      <c r="A12" s="3">
        <v>3080105121</v>
      </c>
      <c r="B12" s="4" t="s">
        <v>50</v>
      </c>
      <c r="C12" s="4" t="s">
        <v>316</v>
      </c>
      <c r="D12" s="3">
        <v>2</v>
      </c>
      <c r="E12" s="3" t="s">
        <v>16</v>
      </c>
      <c r="F12" s="3" t="s">
        <v>317</v>
      </c>
      <c r="G12" s="3" t="s">
        <v>318</v>
      </c>
      <c r="H12" s="3" t="s">
        <v>40</v>
      </c>
    </row>
    <row r="13" spans="1:8" x14ac:dyDescent="0.2">
      <c r="A13" s="3">
        <v>3080105007</v>
      </c>
      <c r="B13" s="4" t="s">
        <v>50</v>
      </c>
      <c r="C13" s="4" t="s">
        <v>52</v>
      </c>
      <c r="D13" s="3">
        <v>2</v>
      </c>
      <c r="E13" s="3" t="s">
        <v>16</v>
      </c>
      <c r="F13" s="3" t="s">
        <v>289</v>
      </c>
      <c r="G13" s="3" t="s">
        <v>23</v>
      </c>
      <c r="H13" s="3" t="s">
        <v>40</v>
      </c>
    </row>
    <row r="14" spans="1:8" x14ac:dyDescent="0.2">
      <c r="A14" s="3">
        <v>3080105007</v>
      </c>
      <c r="B14" s="4" t="s">
        <v>50</v>
      </c>
      <c r="C14" s="4" t="s">
        <v>52</v>
      </c>
      <c r="D14" s="3">
        <v>2</v>
      </c>
      <c r="E14" s="3" t="s">
        <v>16</v>
      </c>
      <c r="F14" s="3" t="s">
        <v>293</v>
      </c>
      <c r="G14" s="3" t="s">
        <v>29</v>
      </c>
      <c r="H14" s="3" t="s">
        <v>40</v>
      </c>
    </row>
    <row r="15" spans="1:8" x14ac:dyDescent="0.2">
      <c r="A15" s="3">
        <v>3080105024</v>
      </c>
      <c r="B15" s="4" t="s">
        <v>50</v>
      </c>
      <c r="C15" s="4" t="s">
        <v>420</v>
      </c>
      <c r="D15" s="3">
        <v>8</v>
      </c>
      <c r="E15" s="3" t="s">
        <v>16</v>
      </c>
      <c r="F15" s="3" t="s">
        <v>289</v>
      </c>
      <c r="G15" s="3" t="s">
        <v>23</v>
      </c>
      <c r="H15" s="3" t="s">
        <v>40</v>
      </c>
    </row>
    <row r="16" spans="1:8" x14ac:dyDescent="0.2">
      <c r="A16" s="3">
        <v>3080105114</v>
      </c>
      <c r="B16" s="4" t="s">
        <v>50</v>
      </c>
      <c r="C16" s="4" t="s">
        <v>53</v>
      </c>
      <c r="D16" s="3">
        <v>4</v>
      </c>
      <c r="E16" s="3" t="s">
        <v>16</v>
      </c>
      <c r="F16" s="3" t="s">
        <v>289</v>
      </c>
      <c r="G16" s="3" t="s">
        <v>23</v>
      </c>
      <c r="H16" s="3" t="s">
        <v>40</v>
      </c>
    </row>
    <row r="17" spans="1:8" x14ac:dyDescent="0.2">
      <c r="A17" s="3">
        <v>3080105114</v>
      </c>
      <c r="B17" s="4" t="s">
        <v>50</v>
      </c>
      <c r="C17" s="4" t="s">
        <v>53</v>
      </c>
      <c r="D17" s="3">
        <v>4</v>
      </c>
      <c r="E17" s="3" t="s">
        <v>16</v>
      </c>
      <c r="F17" s="3" t="s">
        <v>289</v>
      </c>
      <c r="G17" s="3" t="s">
        <v>23</v>
      </c>
      <c r="H17" s="3" t="s">
        <v>40</v>
      </c>
    </row>
    <row r="18" spans="1:8" x14ac:dyDescent="0.2">
      <c r="A18" s="3">
        <v>3080105007</v>
      </c>
      <c r="B18" s="4" t="s">
        <v>50</v>
      </c>
      <c r="C18" s="4" t="s">
        <v>52</v>
      </c>
      <c r="D18" s="3">
        <v>8</v>
      </c>
      <c r="E18" s="3" t="s">
        <v>16</v>
      </c>
      <c r="F18" s="3" t="s">
        <v>289</v>
      </c>
      <c r="G18" s="3" t="s">
        <v>23</v>
      </c>
      <c r="H18" s="3" t="s">
        <v>40</v>
      </c>
    </row>
    <row r="19" spans="1:8" x14ac:dyDescent="0.2">
      <c r="A19" s="3">
        <v>3080105021</v>
      </c>
      <c r="B19" s="4" t="s">
        <v>50</v>
      </c>
      <c r="C19" s="4" t="s">
        <v>319</v>
      </c>
      <c r="D19" s="3">
        <v>8</v>
      </c>
      <c r="E19" s="3" t="s">
        <v>16</v>
      </c>
      <c r="F19" s="3" t="s">
        <v>317</v>
      </c>
      <c r="G19" s="3" t="s">
        <v>318</v>
      </c>
      <c r="H19" s="3" t="s">
        <v>40</v>
      </c>
    </row>
    <row r="20" spans="1:8" x14ac:dyDescent="0.2">
      <c r="A20" s="3">
        <v>3080105013</v>
      </c>
      <c r="B20" s="4" t="s">
        <v>50</v>
      </c>
      <c r="C20" s="4" t="s">
        <v>51</v>
      </c>
      <c r="D20" s="3">
        <v>12</v>
      </c>
      <c r="E20" s="3" t="s">
        <v>16</v>
      </c>
      <c r="F20" s="3" t="s">
        <v>293</v>
      </c>
      <c r="G20" s="3" t="s">
        <v>29</v>
      </c>
      <c r="H20" s="3" t="s">
        <v>40</v>
      </c>
    </row>
    <row r="21" spans="1:8" x14ac:dyDescent="0.2">
      <c r="A21" s="3">
        <v>3080502002</v>
      </c>
      <c r="B21" s="4" t="s">
        <v>55</v>
      </c>
      <c r="C21" s="4" t="s">
        <v>56</v>
      </c>
      <c r="D21" s="3">
        <v>4</v>
      </c>
      <c r="E21" s="3" t="s">
        <v>16</v>
      </c>
      <c r="F21" s="3" t="s">
        <v>293</v>
      </c>
      <c r="G21" s="3" t="s">
        <v>29</v>
      </c>
      <c r="H21" s="3" t="s">
        <v>40</v>
      </c>
    </row>
    <row r="22" spans="1:8" x14ac:dyDescent="0.2">
      <c r="A22" s="3">
        <v>3080501013</v>
      </c>
      <c r="B22" s="4" t="s">
        <v>57</v>
      </c>
      <c r="C22" s="4" t="s">
        <v>58</v>
      </c>
      <c r="D22" s="3">
        <v>2</v>
      </c>
      <c r="E22" s="3" t="s">
        <v>16</v>
      </c>
      <c r="F22" s="3" t="s">
        <v>293</v>
      </c>
      <c r="G22" s="3" t="s">
        <v>29</v>
      </c>
      <c r="H22" s="3" t="s">
        <v>40</v>
      </c>
    </row>
    <row r="23" spans="1:8" x14ac:dyDescent="0.2">
      <c r="A23" s="3">
        <v>3080201012</v>
      </c>
      <c r="B23" s="4" t="s">
        <v>60</v>
      </c>
      <c r="C23" s="4" t="s">
        <v>320</v>
      </c>
      <c r="D23" s="3">
        <v>1</v>
      </c>
      <c r="E23" s="3" t="s">
        <v>16</v>
      </c>
      <c r="F23" s="3" t="s">
        <v>317</v>
      </c>
      <c r="G23" s="3" t="s">
        <v>318</v>
      </c>
      <c r="H23" s="3" t="s">
        <v>40</v>
      </c>
    </row>
    <row r="24" spans="1:8" x14ac:dyDescent="0.2">
      <c r="A24" s="3">
        <v>3080107059</v>
      </c>
      <c r="B24" s="4" t="s">
        <v>69</v>
      </c>
      <c r="C24" s="4" t="s">
        <v>321</v>
      </c>
      <c r="D24" s="3">
        <v>1</v>
      </c>
      <c r="E24" s="3" t="s">
        <v>16</v>
      </c>
      <c r="F24" s="3" t="s">
        <v>317</v>
      </c>
      <c r="G24" s="3" t="s">
        <v>318</v>
      </c>
      <c r="H24" s="3" t="s">
        <v>40</v>
      </c>
    </row>
    <row r="25" spans="1:8" x14ac:dyDescent="0.2">
      <c r="A25" s="3">
        <v>3080107038</v>
      </c>
      <c r="B25" s="4" t="s">
        <v>69</v>
      </c>
      <c r="C25" s="4" t="s">
        <v>72</v>
      </c>
      <c r="D25" s="3">
        <v>2</v>
      </c>
      <c r="E25" s="3" t="s">
        <v>16</v>
      </c>
      <c r="F25" s="3" t="s">
        <v>289</v>
      </c>
      <c r="G25" s="3" t="s">
        <v>23</v>
      </c>
      <c r="H25" s="3" t="s">
        <v>40</v>
      </c>
    </row>
    <row r="26" spans="1:8" x14ac:dyDescent="0.2">
      <c r="A26" s="3">
        <v>3080107014</v>
      </c>
      <c r="B26" s="4" t="s">
        <v>69</v>
      </c>
      <c r="C26" s="4" t="s">
        <v>322</v>
      </c>
      <c r="D26" s="3">
        <v>2</v>
      </c>
      <c r="E26" s="3" t="s">
        <v>16</v>
      </c>
      <c r="F26" s="3" t="s">
        <v>317</v>
      </c>
      <c r="G26" s="3" t="s">
        <v>318</v>
      </c>
      <c r="H26" s="3" t="s">
        <v>40</v>
      </c>
    </row>
    <row r="27" spans="1:8" x14ac:dyDescent="0.2">
      <c r="A27" s="3">
        <v>3080107024</v>
      </c>
      <c r="B27" s="4" t="s">
        <v>69</v>
      </c>
      <c r="C27" s="4" t="s">
        <v>1143</v>
      </c>
      <c r="D27" s="3">
        <v>4</v>
      </c>
      <c r="E27" s="3" t="s">
        <v>16</v>
      </c>
      <c r="F27" s="3" t="s">
        <v>293</v>
      </c>
      <c r="G27" s="3" t="s">
        <v>29</v>
      </c>
      <c r="H27" s="3" t="s">
        <v>40</v>
      </c>
    </row>
    <row r="28" spans="1:8" x14ac:dyDescent="0.2">
      <c r="A28" s="3">
        <v>3080107038</v>
      </c>
      <c r="B28" s="4" t="s">
        <v>69</v>
      </c>
      <c r="C28" s="4" t="s">
        <v>72</v>
      </c>
      <c r="D28" s="3">
        <v>4</v>
      </c>
      <c r="E28" s="3" t="s">
        <v>16</v>
      </c>
      <c r="F28" s="3" t="s">
        <v>293</v>
      </c>
      <c r="G28" s="3" t="s">
        <v>29</v>
      </c>
      <c r="H28" s="3" t="s">
        <v>40</v>
      </c>
    </row>
    <row r="29" spans="1:8" x14ac:dyDescent="0.2">
      <c r="A29" s="3">
        <v>3080108019</v>
      </c>
      <c r="B29" s="4" t="s">
        <v>77</v>
      </c>
      <c r="C29" s="4" t="s">
        <v>325</v>
      </c>
      <c r="D29" s="3">
        <v>2</v>
      </c>
      <c r="E29" s="3" t="s">
        <v>16</v>
      </c>
      <c r="F29" s="3" t="s">
        <v>317</v>
      </c>
      <c r="G29" s="3" t="s">
        <v>318</v>
      </c>
      <c r="H29" s="3" t="s">
        <v>40</v>
      </c>
    </row>
    <row r="30" spans="1:8" x14ac:dyDescent="0.2">
      <c r="A30" s="3">
        <v>407030069</v>
      </c>
      <c r="B30" s="4" t="s">
        <v>81</v>
      </c>
      <c r="C30" s="4" t="s">
        <v>1940</v>
      </c>
      <c r="D30" s="3">
        <v>1</v>
      </c>
      <c r="E30" s="3" t="s">
        <v>16</v>
      </c>
      <c r="F30" s="3" t="s">
        <v>301</v>
      </c>
      <c r="G30" s="3" t="s">
        <v>32</v>
      </c>
      <c r="H30" s="3" t="s">
        <v>40</v>
      </c>
    </row>
    <row r="31" spans="1:8" x14ac:dyDescent="0.2">
      <c r="A31" s="3">
        <v>3030101031</v>
      </c>
      <c r="B31" s="4" t="s">
        <v>636</v>
      </c>
      <c r="C31" s="4" t="s">
        <v>1941</v>
      </c>
      <c r="D31" s="3">
        <v>1</v>
      </c>
      <c r="E31" s="3" t="s">
        <v>16</v>
      </c>
      <c r="F31" s="3" t="s">
        <v>301</v>
      </c>
      <c r="G31" s="3" t="s">
        <v>32</v>
      </c>
      <c r="H31" s="3" t="s">
        <v>88</v>
      </c>
    </row>
    <row r="32" spans="1:8" x14ac:dyDescent="0.2">
      <c r="A32" s="3">
        <v>3099991203</v>
      </c>
      <c r="B32" s="4" t="s">
        <v>101</v>
      </c>
      <c r="C32" s="4" t="s">
        <v>102</v>
      </c>
      <c r="D32" s="3">
        <v>1</v>
      </c>
      <c r="E32" s="3" t="s">
        <v>16</v>
      </c>
      <c r="F32" s="3" t="s">
        <v>289</v>
      </c>
      <c r="G32" s="3" t="s">
        <v>23</v>
      </c>
      <c r="H32" s="3" t="s">
        <v>103</v>
      </c>
    </row>
    <row r="33" spans="1:8" x14ac:dyDescent="0.2">
      <c r="A33" s="3">
        <v>3099990218</v>
      </c>
      <c r="B33" s="4" t="s">
        <v>1942</v>
      </c>
      <c r="C33" s="4" t="s">
        <v>1943</v>
      </c>
      <c r="D33" s="3">
        <v>1</v>
      </c>
      <c r="E33" s="3" t="s">
        <v>16</v>
      </c>
      <c r="F33" s="3" t="s">
        <v>299</v>
      </c>
      <c r="G33" s="3" t="s">
        <v>106</v>
      </c>
      <c r="H33" s="3" t="s">
        <v>103</v>
      </c>
    </row>
    <row r="34" spans="1:8" x14ac:dyDescent="0.2">
      <c r="A34" s="3">
        <v>402010065</v>
      </c>
      <c r="B34" s="4" t="s">
        <v>882</v>
      </c>
      <c r="C34" s="4" t="s">
        <v>1927</v>
      </c>
      <c r="D34" s="3">
        <v>1</v>
      </c>
      <c r="E34" s="3" t="s">
        <v>16</v>
      </c>
      <c r="F34" s="3" t="s">
        <v>291</v>
      </c>
      <c r="G34" s="3" t="s">
        <v>26</v>
      </c>
      <c r="H34" s="3" t="s">
        <v>109</v>
      </c>
    </row>
    <row r="35" spans="1:8" x14ac:dyDescent="0.2">
      <c r="A35" s="3">
        <v>402020006</v>
      </c>
      <c r="B35" s="4" t="s">
        <v>111</v>
      </c>
      <c r="C35" s="4" t="s">
        <v>112</v>
      </c>
      <c r="D35" s="3">
        <v>2</v>
      </c>
      <c r="E35" s="3" t="s">
        <v>16</v>
      </c>
      <c r="F35" s="3" t="s">
        <v>293</v>
      </c>
      <c r="G35" s="3" t="s">
        <v>29</v>
      </c>
      <c r="H35" s="3" t="s">
        <v>109</v>
      </c>
    </row>
    <row r="36" spans="1:8" x14ac:dyDescent="0.2">
      <c r="A36" s="3">
        <v>3060209002</v>
      </c>
      <c r="B36" s="4" t="s">
        <v>113</v>
      </c>
      <c r="C36" s="4" t="s">
        <v>114</v>
      </c>
      <c r="D36" s="3">
        <v>2</v>
      </c>
      <c r="E36" s="3" t="s">
        <v>16</v>
      </c>
      <c r="F36" s="3" t="s">
        <v>289</v>
      </c>
      <c r="G36" s="3" t="s">
        <v>23</v>
      </c>
      <c r="H36" s="3" t="s">
        <v>115</v>
      </c>
    </row>
    <row r="37" spans="1:8" x14ac:dyDescent="0.2">
      <c r="A37" s="3">
        <v>3040113002</v>
      </c>
      <c r="B37" s="4" t="s">
        <v>118</v>
      </c>
      <c r="C37" s="4" t="s">
        <v>119</v>
      </c>
      <c r="D37" s="3">
        <v>2</v>
      </c>
      <c r="E37" s="3" t="s">
        <v>16</v>
      </c>
      <c r="F37" s="3" t="s">
        <v>293</v>
      </c>
      <c r="G37" s="3" t="s">
        <v>29</v>
      </c>
      <c r="H37" s="3" t="s">
        <v>115</v>
      </c>
    </row>
    <row r="38" spans="1:8" x14ac:dyDescent="0.2">
      <c r="A38" s="3">
        <v>3080601002</v>
      </c>
      <c r="B38" s="4" t="s">
        <v>1944</v>
      </c>
      <c r="C38" s="4" t="s">
        <v>1945</v>
      </c>
      <c r="D38" s="3">
        <v>10</v>
      </c>
      <c r="E38" s="3" t="s">
        <v>16</v>
      </c>
      <c r="F38" s="3" t="s">
        <v>291</v>
      </c>
      <c r="G38" s="3" t="s">
        <v>26</v>
      </c>
      <c r="H38" s="3" t="s">
        <v>115</v>
      </c>
    </row>
    <row r="39" spans="1:8" x14ac:dyDescent="0.2">
      <c r="A39" s="3">
        <v>3070104005</v>
      </c>
      <c r="B39" s="4" t="s">
        <v>128</v>
      </c>
      <c r="C39" s="4" t="s">
        <v>330</v>
      </c>
      <c r="D39" s="3">
        <v>1</v>
      </c>
      <c r="E39" s="3" t="s">
        <v>16</v>
      </c>
      <c r="F39" s="3" t="s">
        <v>317</v>
      </c>
      <c r="G39" s="3" t="s">
        <v>318</v>
      </c>
      <c r="H39" s="3" t="s">
        <v>115</v>
      </c>
    </row>
    <row r="40" spans="1:8" x14ac:dyDescent="0.2">
      <c r="A40" s="3">
        <v>3070104001</v>
      </c>
      <c r="B40" s="4" t="s">
        <v>331</v>
      </c>
      <c r="C40" s="4" t="s">
        <v>332</v>
      </c>
      <c r="D40" s="3">
        <v>1</v>
      </c>
      <c r="E40" s="3" t="s">
        <v>16</v>
      </c>
      <c r="F40" s="3" t="s">
        <v>317</v>
      </c>
      <c r="G40" s="3" t="s">
        <v>318</v>
      </c>
      <c r="H40" s="3" t="s">
        <v>115</v>
      </c>
    </row>
    <row r="41" spans="1:8" x14ac:dyDescent="0.2">
      <c r="A41" s="3">
        <v>3060201049</v>
      </c>
      <c r="B41" s="4" t="s">
        <v>663</v>
      </c>
      <c r="C41" s="4" t="s">
        <v>1946</v>
      </c>
      <c r="D41" s="3">
        <v>1</v>
      </c>
      <c r="E41" s="3" t="s">
        <v>16</v>
      </c>
      <c r="F41" s="3" t="s">
        <v>289</v>
      </c>
      <c r="G41" s="3" t="s">
        <v>23</v>
      </c>
      <c r="H41" s="3" t="s">
        <v>132</v>
      </c>
    </row>
    <row r="42" spans="1:8" x14ac:dyDescent="0.2">
      <c r="A42" s="3">
        <v>401020311</v>
      </c>
      <c r="B42" s="4" t="s">
        <v>35</v>
      </c>
      <c r="C42" s="4" t="s">
        <v>1957</v>
      </c>
      <c r="D42" s="3">
        <v>1</v>
      </c>
      <c r="E42" s="3" t="s">
        <v>16</v>
      </c>
      <c r="F42" s="3" t="s">
        <v>301</v>
      </c>
      <c r="G42" s="3" t="s">
        <v>32</v>
      </c>
      <c r="H42" s="3" t="s">
        <v>134</v>
      </c>
    </row>
    <row r="43" spans="1:8" x14ac:dyDescent="0.2">
      <c r="A43" s="3">
        <v>3040502062</v>
      </c>
      <c r="B43" s="4" t="s">
        <v>136</v>
      </c>
      <c r="C43" s="4" t="s">
        <v>1947</v>
      </c>
      <c r="D43" s="3">
        <v>2</v>
      </c>
      <c r="E43" s="3" t="s">
        <v>16</v>
      </c>
      <c r="F43" s="3" t="s">
        <v>293</v>
      </c>
      <c r="G43" s="3" t="s">
        <v>29</v>
      </c>
      <c r="H43" s="3" t="s">
        <v>138</v>
      </c>
    </row>
    <row r="44" spans="1:8" x14ac:dyDescent="0.2">
      <c r="A44" s="3">
        <v>3990207001</v>
      </c>
      <c r="B44" s="4" t="s">
        <v>140</v>
      </c>
      <c r="C44" s="4" t="s">
        <v>141</v>
      </c>
      <c r="D44" s="3">
        <v>1</v>
      </c>
      <c r="E44" s="3" t="s">
        <v>16</v>
      </c>
      <c r="F44" s="3" t="s">
        <v>285</v>
      </c>
      <c r="G44" s="3" t="s">
        <v>142</v>
      </c>
      <c r="H44" s="3" t="s">
        <v>143</v>
      </c>
    </row>
    <row r="45" spans="1:8" x14ac:dyDescent="0.2">
      <c r="A45" s="3">
        <v>3990204002</v>
      </c>
      <c r="B45" s="4" t="s">
        <v>333</v>
      </c>
      <c r="C45" s="4" t="s">
        <v>334</v>
      </c>
      <c r="D45" s="3">
        <v>1</v>
      </c>
      <c r="E45" s="3" t="s">
        <v>16</v>
      </c>
      <c r="F45" s="3" t="s">
        <v>335</v>
      </c>
      <c r="G45" s="3" t="s">
        <v>336</v>
      </c>
      <c r="H45" s="3" t="s">
        <v>143</v>
      </c>
    </row>
    <row r="46" spans="1:8" x14ac:dyDescent="0.2">
      <c r="A46" s="3">
        <v>3070103002</v>
      </c>
      <c r="B46" s="4" t="s">
        <v>152</v>
      </c>
      <c r="C46" s="4" t="s">
        <v>153</v>
      </c>
      <c r="D46" s="3">
        <v>1</v>
      </c>
      <c r="E46" s="3" t="s">
        <v>16</v>
      </c>
      <c r="F46" s="3" t="s">
        <v>289</v>
      </c>
      <c r="G46" s="3" t="s">
        <v>23</v>
      </c>
      <c r="H46" s="3" t="s">
        <v>154</v>
      </c>
    </row>
    <row r="47" spans="1:8" x14ac:dyDescent="0.2">
      <c r="A47" s="3">
        <v>3040211002</v>
      </c>
      <c r="B47" s="4" t="s">
        <v>157</v>
      </c>
      <c r="C47" s="4" t="s">
        <v>158</v>
      </c>
      <c r="D47" s="3">
        <v>2</v>
      </c>
      <c r="E47" s="3" t="s">
        <v>16</v>
      </c>
      <c r="F47" s="3" t="s">
        <v>293</v>
      </c>
      <c r="G47" s="3" t="s">
        <v>29</v>
      </c>
      <c r="H47" s="3" t="s">
        <v>154</v>
      </c>
    </row>
    <row r="48" spans="1:8" x14ac:dyDescent="0.2">
      <c r="A48" s="3">
        <v>3060306001</v>
      </c>
      <c r="B48" s="4" t="s">
        <v>163</v>
      </c>
      <c r="C48" s="4" t="s">
        <v>164</v>
      </c>
      <c r="D48" s="3">
        <v>1</v>
      </c>
      <c r="E48" s="3" t="s">
        <v>16</v>
      </c>
      <c r="F48" s="3" t="s">
        <v>289</v>
      </c>
      <c r="G48" s="3" t="s">
        <v>23</v>
      </c>
      <c r="H48" s="3" t="s">
        <v>165</v>
      </c>
    </row>
    <row r="49" spans="1:8" x14ac:dyDescent="0.2">
      <c r="A49" s="3">
        <v>3010106010</v>
      </c>
      <c r="B49" s="4" t="s">
        <v>481</v>
      </c>
      <c r="C49" s="4" t="s">
        <v>482</v>
      </c>
      <c r="D49" s="3">
        <v>0.39</v>
      </c>
      <c r="E49" s="3" t="s">
        <v>10</v>
      </c>
      <c r="F49" s="3" t="s">
        <v>284</v>
      </c>
      <c r="G49" s="3" t="s">
        <v>11</v>
      </c>
      <c r="H49" s="3" t="s">
        <v>483</v>
      </c>
    </row>
    <row r="50" spans="1:8" x14ac:dyDescent="0.2">
      <c r="A50" s="3">
        <v>3060344001</v>
      </c>
      <c r="B50" s="4" t="s">
        <v>682</v>
      </c>
      <c r="C50" s="4" t="s">
        <v>1147</v>
      </c>
      <c r="D50" s="3">
        <v>1</v>
      </c>
      <c r="E50" s="3" t="s">
        <v>16</v>
      </c>
      <c r="F50" s="3" t="s">
        <v>301</v>
      </c>
      <c r="G50" s="3" t="s">
        <v>32</v>
      </c>
      <c r="H50" s="3" t="s">
        <v>173</v>
      </c>
    </row>
    <row r="51" spans="1:8" x14ac:dyDescent="0.2">
      <c r="A51" s="3">
        <v>3060310001</v>
      </c>
      <c r="B51" s="4" t="s">
        <v>171</v>
      </c>
      <c r="C51" s="4" t="s">
        <v>172</v>
      </c>
      <c r="D51" s="3">
        <v>1</v>
      </c>
      <c r="E51" s="3" t="s">
        <v>16</v>
      </c>
      <c r="F51" s="3" t="s">
        <v>289</v>
      </c>
      <c r="G51" s="3" t="s">
        <v>23</v>
      </c>
      <c r="H51" s="3" t="s">
        <v>173</v>
      </c>
    </row>
    <row r="52" spans="1:8" x14ac:dyDescent="0.2">
      <c r="A52" s="3">
        <v>3060311001</v>
      </c>
      <c r="B52" s="4" t="s">
        <v>174</v>
      </c>
      <c r="C52" s="4" t="s">
        <v>172</v>
      </c>
      <c r="D52" s="3">
        <v>1</v>
      </c>
      <c r="E52" s="3" t="s">
        <v>16</v>
      </c>
      <c r="F52" s="3" t="s">
        <v>289</v>
      </c>
      <c r="G52" s="3" t="s">
        <v>23</v>
      </c>
      <c r="H52" s="3" t="s">
        <v>173</v>
      </c>
    </row>
    <row r="53" spans="1:8" x14ac:dyDescent="0.2">
      <c r="A53" s="3">
        <v>3070201002</v>
      </c>
      <c r="B53" s="4" t="s">
        <v>348</v>
      </c>
      <c r="C53" s="4" t="s">
        <v>349</v>
      </c>
      <c r="D53" s="3">
        <v>1</v>
      </c>
      <c r="E53" s="3" t="s">
        <v>16</v>
      </c>
      <c r="F53" s="3" t="s">
        <v>317</v>
      </c>
      <c r="G53" s="3" t="s">
        <v>318</v>
      </c>
      <c r="H53" s="3" t="s">
        <v>173</v>
      </c>
    </row>
    <row r="54" spans="1:8" x14ac:dyDescent="0.2">
      <c r="A54" s="3">
        <v>3020502023</v>
      </c>
      <c r="B54" s="4" t="s">
        <v>183</v>
      </c>
      <c r="C54" s="4" t="s">
        <v>184</v>
      </c>
      <c r="D54" s="3">
        <v>1</v>
      </c>
      <c r="E54" s="3" t="s">
        <v>16</v>
      </c>
      <c r="F54" s="3" t="s">
        <v>291</v>
      </c>
      <c r="G54" s="3" t="s">
        <v>26</v>
      </c>
      <c r="H54" s="3" t="s">
        <v>185</v>
      </c>
    </row>
    <row r="55" spans="1:8" x14ac:dyDescent="0.2">
      <c r="A55" s="3">
        <v>403010406</v>
      </c>
      <c r="B55" s="4" t="s">
        <v>684</v>
      </c>
      <c r="C55" s="4" t="s">
        <v>1958</v>
      </c>
      <c r="D55" s="3">
        <v>1</v>
      </c>
      <c r="E55" s="3" t="s">
        <v>16</v>
      </c>
      <c r="F55" s="3" t="s">
        <v>301</v>
      </c>
      <c r="G55" s="3" t="s">
        <v>32</v>
      </c>
      <c r="H55" s="3" t="s">
        <v>198</v>
      </c>
    </row>
    <row r="56" spans="1:8" x14ac:dyDescent="0.2">
      <c r="A56" s="3">
        <v>404040033</v>
      </c>
      <c r="B56" s="4" t="s">
        <v>30</v>
      </c>
      <c r="C56" s="4" t="s">
        <v>1948</v>
      </c>
      <c r="D56" s="3">
        <v>1</v>
      </c>
      <c r="E56" s="3" t="s">
        <v>16</v>
      </c>
      <c r="F56" s="3" t="s">
        <v>301</v>
      </c>
      <c r="G56" s="3" t="s">
        <v>32</v>
      </c>
      <c r="H56" s="3" t="s">
        <v>198</v>
      </c>
    </row>
    <row r="57" spans="1:8" x14ac:dyDescent="0.2">
      <c r="A57" s="3">
        <v>404010103</v>
      </c>
      <c r="B57" s="4" t="s">
        <v>30</v>
      </c>
      <c r="C57" s="4" t="s">
        <v>1949</v>
      </c>
      <c r="D57" s="3">
        <v>2</v>
      </c>
      <c r="E57" s="3" t="s">
        <v>16</v>
      </c>
      <c r="F57" s="3" t="s">
        <v>301</v>
      </c>
      <c r="G57" s="3" t="s">
        <v>32</v>
      </c>
      <c r="H57" s="3" t="s">
        <v>198</v>
      </c>
    </row>
    <row r="58" spans="1:8" x14ac:dyDescent="0.2">
      <c r="A58" s="3">
        <v>404010030</v>
      </c>
      <c r="B58" s="4" t="s">
        <v>30</v>
      </c>
      <c r="C58" s="4" t="s">
        <v>1095</v>
      </c>
      <c r="D58" s="3">
        <v>1</v>
      </c>
      <c r="E58" s="3" t="s">
        <v>16</v>
      </c>
      <c r="F58" s="3" t="s">
        <v>301</v>
      </c>
      <c r="G58" s="3" t="s">
        <v>32</v>
      </c>
      <c r="H58" s="3" t="s">
        <v>198</v>
      </c>
    </row>
    <row r="59" spans="1:8" x14ac:dyDescent="0.2">
      <c r="A59" s="3">
        <v>404030020</v>
      </c>
      <c r="B59" s="4" t="s">
        <v>30</v>
      </c>
      <c r="C59" s="4" t="s">
        <v>689</v>
      </c>
      <c r="D59" s="3">
        <v>1</v>
      </c>
      <c r="E59" s="3" t="s">
        <v>16</v>
      </c>
      <c r="F59" s="3" t="s">
        <v>289</v>
      </c>
      <c r="G59" s="3" t="s">
        <v>23</v>
      </c>
      <c r="H59" s="3" t="s">
        <v>198</v>
      </c>
    </row>
    <row r="60" spans="1:8" x14ac:dyDescent="0.2">
      <c r="A60" s="3">
        <v>404020095</v>
      </c>
      <c r="B60" s="4" t="s">
        <v>30</v>
      </c>
      <c r="C60" s="4" t="s">
        <v>1950</v>
      </c>
      <c r="D60" s="3">
        <v>1</v>
      </c>
      <c r="E60" s="3" t="s">
        <v>16</v>
      </c>
      <c r="F60" s="3" t="s">
        <v>301</v>
      </c>
      <c r="G60" s="3" t="s">
        <v>32</v>
      </c>
      <c r="H60" s="3" t="s">
        <v>198</v>
      </c>
    </row>
    <row r="61" spans="1:8" x14ac:dyDescent="0.2">
      <c r="A61" s="3">
        <v>403030003</v>
      </c>
      <c r="B61" s="4" t="s">
        <v>366</v>
      </c>
      <c r="C61" s="4" t="s">
        <v>1670</v>
      </c>
      <c r="D61" s="3">
        <v>1</v>
      </c>
      <c r="E61" s="3" t="s">
        <v>16</v>
      </c>
      <c r="F61" s="3" t="s">
        <v>301</v>
      </c>
      <c r="G61" s="3" t="s">
        <v>32</v>
      </c>
      <c r="H61" s="3" t="s">
        <v>198</v>
      </c>
    </row>
    <row r="62" spans="1:8" x14ac:dyDescent="0.2">
      <c r="A62" s="3">
        <v>401070018</v>
      </c>
      <c r="B62" s="4" t="s">
        <v>35</v>
      </c>
      <c r="C62" s="4" t="s">
        <v>202</v>
      </c>
      <c r="D62" s="3">
        <v>1</v>
      </c>
      <c r="E62" s="3" t="s">
        <v>16</v>
      </c>
      <c r="F62" s="3" t="s">
        <v>291</v>
      </c>
      <c r="G62" s="3" t="s">
        <v>26</v>
      </c>
      <c r="H62" s="3" t="s">
        <v>198</v>
      </c>
    </row>
    <row r="63" spans="1:8" x14ac:dyDescent="0.2">
      <c r="A63" s="3">
        <v>401070022</v>
      </c>
      <c r="B63" s="4" t="s">
        <v>35</v>
      </c>
      <c r="C63" s="4" t="s">
        <v>203</v>
      </c>
      <c r="D63" s="3">
        <v>1</v>
      </c>
      <c r="E63" s="3" t="s">
        <v>16</v>
      </c>
      <c r="F63" s="3" t="s">
        <v>297</v>
      </c>
      <c r="G63" s="3" t="s">
        <v>204</v>
      </c>
      <c r="H63" s="3" t="s">
        <v>198</v>
      </c>
    </row>
    <row r="64" spans="1:8" x14ac:dyDescent="0.2">
      <c r="A64" s="3">
        <v>3020302013</v>
      </c>
      <c r="B64" s="4" t="s">
        <v>209</v>
      </c>
      <c r="C64" s="4" t="s">
        <v>210</v>
      </c>
      <c r="D64" s="3">
        <v>1</v>
      </c>
      <c r="E64" s="3" t="s">
        <v>16</v>
      </c>
      <c r="F64" s="3" t="s">
        <v>301</v>
      </c>
      <c r="G64" s="3" t="s">
        <v>32</v>
      </c>
      <c r="H64" s="3" t="s">
        <v>211</v>
      </c>
    </row>
    <row r="65" spans="1:8" x14ac:dyDescent="0.2">
      <c r="A65" s="3">
        <v>3070105007</v>
      </c>
      <c r="B65" s="4" t="s">
        <v>360</v>
      </c>
      <c r="C65" s="4" t="s">
        <v>361</v>
      </c>
      <c r="D65" s="3">
        <v>1</v>
      </c>
      <c r="E65" s="3" t="s">
        <v>16</v>
      </c>
      <c r="F65" s="3" t="s">
        <v>317</v>
      </c>
      <c r="G65" s="3" t="s">
        <v>318</v>
      </c>
      <c r="H65" s="3" t="s">
        <v>214</v>
      </c>
    </row>
    <row r="66" spans="1:8" x14ac:dyDescent="0.2">
      <c r="A66" s="3">
        <v>3070105008</v>
      </c>
      <c r="B66" s="4" t="s">
        <v>362</v>
      </c>
      <c r="C66" s="4" t="s">
        <v>361</v>
      </c>
      <c r="D66" s="3">
        <v>1</v>
      </c>
      <c r="E66" s="3" t="s">
        <v>16</v>
      </c>
      <c r="F66" s="3" t="s">
        <v>317</v>
      </c>
      <c r="G66" s="3" t="s">
        <v>318</v>
      </c>
      <c r="H66" s="3" t="s">
        <v>214</v>
      </c>
    </row>
    <row r="67" spans="1:8" x14ac:dyDescent="0.2">
      <c r="A67" s="3">
        <v>402050001</v>
      </c>
      <c r="B67" s="4" t="s">
        <v>522</v>
      </c>
      <c r="C67" s="4" t="s">
        <v>523</v>
      </c>
      <c r="D67" s="3">
        <v>1</v>
      </c>
      <c r="E67" s="3" t="s">
        <v>16</v>
      </c>
      <c r="F67" s="3" t="s">
        <v>289</v>
      </c>
      <c r="G67" s="3" t="s">
        <v>23</v>
      </c>
      <c r="H67" s="3" t="s">
        <v>524</v>
      </c>
    </row>
    <row r="68" spans="1:8" x14ac:dyDescent="0.2">
      <c r="A68" s="3">
        <v>407010193</v>
      </c>
      <c r="B68" s="4" t="s">
        <v>149</v>
      </c>
      <c r="C68" s="4" t="s">
        <v>1959</v>
      </c>
      <c r="D68" s="3">
        <v>1</v>
      </c>
      <c r="E68" s="3" t="s">
        <v>16</v>
      </c>
      <c r="F68" s="3" t="s">
        <v>289</v>
      </c>
      <c r="G68" s="3" t="s">
        <v>23</v>
      </c>
      <c r="H68" s="3" t="s">
        <v>524</v>
      </c>
    </row>
    <row r="69" spans="1:8" x14ac:dyDescent="0.2">
      <c r="A69" s="3">
        <v>3100201104</v>
      </c>
      <c r="B69" s="4" t="s">
        <v>1953</v>
      </c>
      <c r="C69" s="4" t="s">
        <v>1954</v>
      </c>
      <c r="D69" s="3">
        <v>1</v>
      </c>
      <c r="E69" s="3" t="s">
        <v>16</v>
      </c>
      <c r="F69" s="3" t="s">
        <v>299</v>
      </c>
      <c r="G69" s="3" t="s">
        <v>106</v>
      </c>
      <c r="H69" s="3" t="s">
        <v>1955</v>
      </c>
    </row>
    <row r="70" spans="1:8" x14ac:dyDescent="0.2">
      <c r="A70" s="3">
        <v>3060333002</v>
      </c>
      <c r="B70" s="4" t="s">
        <v>227</v>
      </c>
      <c r="C70" s="4" t="s">
        <v>228</v>
      </c>
      <c r="D70" s="3">
        <v>1</v>
      </c>
      <c r="E70" s="3" t="s">
        <v>16</v>
      </c>
      <c r="F70" s="3" t="s">
        <v>289</v>
      </c>
      <c r="G70" s="3" t="s">
        <v>23</v>
      </c>
      <c r="H70" s="3" t="s">
        <v>226</v>
      </c>
    </row>
    <row r="71" spans="1:8" x14ac:dyDescent="0.2">
      <c r="A71" s="3">
        <v>3060303001</v>
      </c>
      <c r="B71" s="4" t="s">
        <v>231</v>
      </c>
      <c r="C71" s="4" t="s">
        <v>232</v>
      </c>
      <c r="D71" s="3">
        <v>1</v>
      </c>
      <c r="E71" s="3" t="s">
        <v>16</v>
      </c>
      <c r="F71" s="3" t="s">
        <v>289</v>
      </c>
      <c r="G71" s="3" t="s">
        <v>23</v>
      </c>
      <c r="H71" s="3" t="s">
        <v>226</v>
      </c>
    </row>
    <row r="72" spans="1:8" x14ac:dyDescent="0.2">
      <c r="A72" s="3">
        <v>3060335004</v>
      </c>
      <c r="B72" s="4" t="s">
        <v>233</v>
      </c>
      <c r="C72" s="4" t="s">
        <v>234</v>
      </c>
      <c r="D72" s="3">
        <v>1</v>
      </c>
      <c r="E72" s="3" t="s">
        <v>16</v>
      </c>
      <c r="F72" s="3" t="s">
        <v>289</v>
      </c>
      <c r="G72" s="3" t="s">
        <v>23</v>
      </c>
      <c r="H72" s="3" t="s">
        <v>226</v>
      </c>
    </row>
    <row r="73" spans="1:8" x14ac:dyDescent="0.2">
      <c r="A73" s="3">
        <v>3020199010</v>
      </c>
      <c r="B73" s="4" t="s">
        <v>239</v>
      </c>
      <c r="C73" s="4" t="s">
        <v>545</v>
      </c>
      <c r="D73" s="3">
        <v>5</v>
      </c>
      <c r="E73" s="3" t="s">
        <v>16</v>
      </c>
      <c r="F73" s="3" t="s">
        <v>297</v>
      </c>
      <c r="G73" s="3" t="s">
        <v>204</v>
      </c>
      <c r="H73" s="3" t="s">
        <v>226</v>
      </c>
    </row>
    <row r="74" spans="1:8" x14ac:dyDescent="0.2">
      <c r="A74" s="3">
        <v>3070205004</v>
      </c>
      <c r="B74" s="4" t="s">
        <v>372</v>
      </c>
      <c r="C74" s="4" t="s">
        <v>266</v>
      </c>
      <c r="D74" s="3">
        <v>1</v>
      </c>
      <c r="E74" s="3" t="s">
        <v>16</v>
      </c>
      <c r="F74" s="3" t="s">
        <v>317</v>
      </c>
      <c r="G74" s="3" t="s">
        <v>318</v>
      </c>
      <c r="H74" s="3" t="s">
        <v>226</v>
      </c>
    </row>
    <row r="75" spans="1:8" x14ac:dyDescent="0.2">
      <c r="A75" s="3">
        <v>3070211002</v>
      </c>
      <c r="B75" s="4" t="s">
        <v>373</v>
      </c>
      <c r="C75" s="4" t="s">
        <v>374</v>
      </c>
      <c r="D75" s="3">
        <v>1</v>
      </c>
      <c r="E75" s="3" t="s">
        <v>16</v>
      </c>
      <c r="F75" s="3" t="s">
        <v>317</v>
      </c>
      <c r="G75" s="3" t="s">
        <v>318</v>
      </c>
      <c r="H75" s="3" t="s">
        <v>226</v>
      </c>
    </row>
    <row r="76" spans="1:8" x14ac:dyDescent="0.2">
      <c r="A76" s="3">
        <v>3070216001</v>
      </c>
      <c r="B76" s="4" t="s">
        <v>375</v>
      </c>
      <c r="C76" s="4" t="s">
        <v>376</v>
      </c>
      <c r="D76" s="3">
        <v>1</v>
      </c>
      <c r="E76" s="3" t="s">
        <v>16</v>
      </c>
      <c r="F76" s="3" t="s">
        <v>317</v>
      </c>
      <c r="G76" s="3" t="s">
        <v>318</v>
      </c>
      <c r="H76" s="3" t="s">
        <v>226</v>
      </c>
    </row>
    <row r="77" spans="1:8" x14ac:dyDescent="0.2">
      <c r="A77" s="3">
        <v>3070212001</v>
      </c>
      <c r="B77" s="4" t="s">
        <v>377</v>
      </c>
      <c r="C77" s="4" t="s">
        <v>378</v>
      </c>
      <c r="D77" s="3">
        <v>1</v>
      </c>
      <c r="E77" s="3" t="s">
        <v>16</v>
      </c>
      <c r="F77" s="3" t="s">
        <v>317</v>
      </c>
      <c r="G77" s="3" t="s">
        <v>318</v>
      </c>
      <c r="H77" s="3" t="s">
        <v>226</v>
      </c>
    </row>
    <row r="78" spans="1:8" x14ac:dyDescent="0.2">
      <c r="A78" s="3">
        <v>3070210001</v>
      </c>
      <c r="B78" s="4" t="s">
        <v>379</v>
      </c>
      <c r="C78" s="4" t="s">
        <v>280</v>
      </c>
      <c r="D78" s="3">
        <v>1</v>
      </c>
      <c r="E78" s="3" t="s">
        <v>16</v>
      </c>
      <c r="F78" s="3" t="s">
        <v>317</v>
      </c>
      <c r="G78" s="3" t="s">
        <v>318</v>
      </c>
      <c r="H78" s="3" t="s">
        <v>226</v>
      </c>
    </row>
    <row r="79" spans="1:8" x14ac:dyDescent="0.2">
      <c r="A79" s="3">
        <v>3069901001</v>
      </c>
      <c r="B79" s="4" t="s">
        <v>547</v>
      </c>
      <c r="C79" s="4" t="s">
        <v>548</v>
      </c>
      <c r="D79" s="3">
        <v>1</v>
      </c>
      <c r="E79" s="3" t="s">
        <v>16</v>
      </c>
      <c r="F79" s="3" t="s">
        <v>289</v>
      </c>
      <c r="G79" s="3" t="s">
        <v>23</v>
      </c>
      <c r="H79" s="3" t="s">
        <v>226</v>
      </c>
    </row>
    <row r="80" spans="1:8" x14ac:dyDescent="0.2">
      <c r="A80" s="3">
        <v>3080107017</v>
      </c>
      <c r="B80" s="4" t="s">
        <v>69</v>
      </c>
      <c r="C80" s="4" t="s">
        <v>251</v>
      </c>
      <c r="D80" s="3">
        <v>4</v>
      </c>
      <c r="E80" s="3" t="s">
        <v>16</v>
      </c>
      <c r="F80" s="3" t="s">
        <v>289</v>
      </c>
      <c r="G80" s="3" t="s">
        <v>23</v>
      </c>
      <c r="H80" s="3" t="s">
        <v>249</v>
      </c>
    </row>
    <row r="81" spans="1:8" x14ac:dyDescent="0.2">
      <c r="A81" s="3">
        <v>3080107017</v>
      </c>
      <c r="B81" s="4" t="s">
        <v>69</v>
      </c>
      <c r="C81" s="4" t="s">
        <v>251</v>
      </c>
      <c r="D81" s="3">
        <v>2</v>
      </c>
      <c r="E81" s="3" t="s">
        <v>16</v>
      </c>
      <c r="F81" s="3" t="s">
        <v>289</v>
      </c>
      <c r="G81" s="3" t="s">
        <v>23</v>
      </c>
      <c r="H81" s="3" t="s">
        <v>249</v>
      </c>
    </row>
    <row r="82" spans="1:8" x14ac:dyDescent="0.2">
      <c r="A82" s="3">
        <v>3060341001</v>
      </c>
      <c r="B82" s="4" t="s">
        <v>255</v>
      </c>
      <c r="C82" s="4" t="s">
        <v>256</v>
      </c>
      <c r="D82" s="3">
        <v>1</v>
      </c>
      <c r="E82" s="3" t="s">
        <v>16</v>
      </c>
      <c r="F82" s="3" t="s">
        <v>289</v>
      </c>
      <c r="G82" s="3" t="s">
        <v>23</v>
      </c>
      <c r="H82" s="3" t="s">
        <v>254</v>
      </c>
    </row>
    <row r="83" spans="1:8" x14ac:dyDescent="0.2">
      <c r="A83" s="3">
        <v>3040312007</v>
      </c>
      <c r="B83" s="4" t="s">
        <v>263</v>
      </c>
      <c r="C83" s="4" t="s">
        <v>264</v>
      </c>
      <c r="D83" s="3">
        <v>2</v>
      </c>
      <c r="E83" s="3" t="s">
        <v>16</v>
      </c>
      <c r="F83" s="3" t="s">
        <v>293</v>
      </c>
      <c r="G83" s="3" t="s">
        <v>29</v>
      </c>
      <c r="H83" s="3" t="s">
        <v>254</v>
      </c>
    </row>
    <row r="84" spans="1:8" x14ac:dyDescent="0.2">
      <c r="A84" s="3">
        <v>3040303001</v>
      </c>
      <c r="B84" s="4" t="s">
        <v>265</v>
      </c>
      <c r="C84" s="4" t="s">
        <v>266</v>
      </c>
      <c r="D84" s="3">
        <v>2</v>
      </c>
      <c r="E84" s="3" t="s">
        <v>16</v>
      </c>
      <c r="F84" s="3" t="s">
        <v>293</v>
      </c>
      <c r="G84" s="3" t="s">
        <v>29</v>
      </c>
      <c r="H84" s="3" t="s">
        <v>254</v>
      </c>
    </row>
    <row r="85" spans="1:8" x14ac:dyDescent="0.2">
      <c r="A85" s="3">
        <v>3040320003</v>
      </c>
      <c r="B85" s="4" t="s">
        <v>269</v>
      </c>
      <c r="C85" s="4" t="s">
        <v>270</v>
      </c>
      <c r="D85" s="3">
        <v>2</v>
      </c>
      <c r="E85" s="3" t="s">
        <v>16</v>
      </c>
      <c r="F85" s="3" t="s">
        <v>293</v>
      </c>
      <c r="G85" s="3" t="s">
        <v>29</v>
      </c>
      <c r="H85" s="3" t="s">
        <v>254</v>
      </c>
    </row>
    <row r="86" spans="1:8" x14ac:dyDescent="0.2">
      <c r="A86" s="3">
        <v>3070202019</v>
      </c>
      <c r="B86" s="4" t="s">
        <v>388</v>
      </c>
      <c r="C86" s="4" t="s">
        <v>389</v>
      </c>
      <c r="D86" s="3">
        <v>1</v>
      </c>
      <c r="E86" s="3" t="s">
        <v>16</v>
      </c>
      <c r="F86" s="3" t="s">
        <v>317</v>
      </c>
      <c r="G86" s="3" t="s">
        <v>318</v>
      </c>
      <c r="H86" s="3" t="s">
        <v>254</v>
      </c>
    </row>
  </sheetData>
  <phoneticPr fontId="2" type="noConversion"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CF664-63F0-4666-ABFF-9EA5783AA323}">
  <dimension ref="A1:H171"/>
  <sheetViews>
    <sheetView workbookViewId="0">
      <selection activeCell="E3" sqref="E3"/>
    </sheetView>
  </sheetViews>
  <sheetFormatPr defaultRowHeight="14.25" x14ac:dyDescent="0.2"/>
  <cols>
    <col min="1" max="1" width="12.125" customWidth="1"/>
    <col min="2" max="3" width="13.125" customWidth="1"/>
  </cols>
  <sheetData>
    <row r="1" spans="1:8" x14ac:dyDescent="0.2">
      <c r="A1" s="3" t="s">
        <v>1964</v>
      </c>
      <c r="B1" s="4"/>
      <c r="C1" s="4"/>
      <c r="D1" s="3"/>
      <c r="E1" s="3"/>
      <c r="F1" s="3"/>
      <c r="G1" s="3"/>
      <c r="H1" s="3"/>
    </row>
    <row r="2" spans="1:8" ht="28.5" x14ac:dyDescent="0.2">
      <c r="A2" s="1" t="s">
        <v>0</v>
      </c>
      <c r="B2" s="2" t="s">
        <v>1</v>
      </c>
      <c r="C2" s="2" t="s">
        <v>2</v>
      </c>
      <c r="D2" s="1" t="s">
        <v>4</v>
      </c>
      <c r="E2" s="1" t="s">
        <v>3</v>
      </c>
      <c r="F2" s="1" t="s">
        <v>5</v>
      </c>
      <c r="G2" s="1" t="s">
        <v>6</v>
      </c>
      <c r="H2" s="1" t="s">
        <v>7</v>
      </c>
    </row>
    <row r="3" spans="1:8" s="10" customFormat="1" x14ac:dyDescent="0.2">
      <c r="A3" s="8" t="s">
        <v>390</v>
      </c>
      <c r="B3" s="9" t="s">
        <v>8</v>
      </c>
      <c r="C3" s="9" t="s">
        <v>9</v>
      </c>
      <c r="D3" s="13">
        <f>0.1399/0.94</f>
        <v>0.14882978723404255</v>
      </c>
      <c r="E3" s="8" t="s">
        <v>596</v>
      </c>
      <c r="F3" s="8" t="s">
        <v>283</v>
      </c>
      <c r="G3" s="8" t="s">
        <v>13</v>
      </c>
      <c r="H3" s="8" t="s">
        <v>12</v>
      </c>
    </row>
    <row r="4" spans="1:8" x14ac:dyDescent="0.2">
      <c r="A4" s="3">
        <v>3098980102</v>
      </c>
      <c r="B4" s="4" t="s">
        <v>1897</v>
      </c>
      <c r="C4" s="4" t="s">
        <v>1898</v>
      </c>
      <c r="D4" s="3">
        <v>1</v>
      </c>
      <c r="E4" s="3" t="s">
        <v>16</v>
      </c>
      <c r="F4" s="3" t="s">
        <v>291</v>
      </c>
      <c r="G4" s="3" t="s">
        <v>26</v>
      </c>
      <c r="H4" s="3" t="s">
        <v>393</v>
      </c>
    </row>
    <row r="5" spans="1:8" x14ac:dyDescent="0.2">
      <c r="A5" s="3">
        <v>3080503020</v>
      </c>
      <c r="B5" s="4" t="s">
        <v>14</v>
      </c>
      <c r="C5" s="4" t="s">
        <v>15</v>
      </c>
      <c r="D5" s="3">
        <v>2</v>
      </c>
      <c r="E5" s="3" t="s">
        <v>16</v>
      </c>
      <c r="F5" s="3" t="s">
        <v>295</v>
      </c>
      <c r="G5" s="3" t="s">
        <v>17</v>
      </c>
      <c r="H5" s="3" t="s">
        <v>18</v>
      </c>
    </row>
    <row r="6" spans="1:8" x14ac:dyDescent="0.2">
      <c r="A6" s="3">
        <v>3080503019</v>
      </c>
      <c r="B6" s="4" t="s">
        <v>14</v>
      </c>
      <c r="C6" s="4" t="s">
        <v>19</v>
      </c>
      <c r="D6" s="3">
        <v>4</v>
      </c>
      <c r="E6" s="3" t="s">
        <v>16</v>
      </c>
      <c r="F6" s="3" t="s">
        <v>295</v>
      </c>
      <c r="G6" s="3" t="s">
        <v>17</v>
      </c>
      <c r="H6" s="3" t="s">
        <v>18</v>
      </c>
    </row>
    <row r="7" spans="1:8" x14ac:dyDescent="0.2">
      <c r="A7" s="3">
        <v>3080503001</v>
      </c>
      <c r="B7" s="4" t="s">
        <v>14</v>
      </c>
      <c r="C7" s="4" t="s">
        <v>20</v>
      </c>
      <c r="D7" s="3">
        <v>4</v>
      </c>
      <c r="E7" s="3" t="s">
        <v>16</v>
      </c>
      <c r="F7" s="3" t="s">
        <v>295</v>
      </c>
      <c r="G7" s="3" t="s">
        <v>17</v>
      </c>
      <c r="H7" s="3" t="s">
        <v>18</v>
      </c>
    </row>
    <row r="8" spans="1:8" x14ac:dyDescent="0.2">
      <c r="A8" s="3">
        <v>3030314005</v>
      </c>
      <c r="B8" s="4" t="s">
        <v>394</v>
      </c>
      <c r="C8" s="4" t="s">
        <v>395</v>
      </c>
      <c r="D8" s="3">
        <v>1</v>
      </c>
      <c r="E8" s="3" t="s">
        <v>16</v>
      </c>
      <c r="F8" s="3" t="s">
        <v>291</v>
      </c>
      <c r="G8" s="3" t="s">
        <v>26</v>
      </c>
      <c r="H8" s="3" t="s">
        <v>18</v>
      </c>
    </row>
    <row r="9" spans="1:8" x14ac:dyDescent="0.2">
      <c r="A9" s="3">
        <v>3040211003</v>
      </c>
      <c r="B9" s="4" t="s">
        <v>157</v>
      </c>
      <c r="C9" s="4" t="s">
        <v>307</v>
      </c>
      <c r="D9" s="3">
        <v>2</v>
      </c>
      <c r="E9" s="3" t="s">
        <v>16</v>
      </c>
      <c r="F9" s="3" t="s">
        <v>293</v>
      </c>
      <c r="G9" s="3" t="s">
        <v>29</v>
      </c>
      <c r="H9" s="3" t="s">
        <v>18</v>
      </c>
    </row>
    <row r="10" spans="1:8" x14ac:dyDescent="0.2">
      <c r="A10" s="3">
        <v>404110003</v>
      </c>
      <c r="B10" s="4" t="s">
        <v>504</v>
      </c>
      <c r="C10" s="4" t="s">
        <v>1961</v>
      </c>
      <c r="D10" s="3">
        <v>1</v>
      </c>
      <c r="E10" s="3" t="s">
        <v>16</v>
      </c>
      <c r="F10" s="3" t="s">
        <v>301</v>
      </c>
      <c r="G10" s="3" t="s">
        <v>32</v>
      </c>
      <c r="H10" s="3" t="s">
        <v>33</v>
      </c>
    </row>
    <row r="11" spans="1:8" x14ac:dyDescent="0.2">
      <c r="A11" s="3">
        <v>404090271</v>
      </c>
      <c r="B11" s="4" t="s">
        <v>30</v>
      </c>
      <c r="C11" s="4" t="s">
        <v>1962</v>
      </c>
      <c r="D11" s="3">
        <v>1</v>
      </c>
      <c r="E11" s="3" t="s">
        <v>16</v>
      </c>
      <c r="F11" s="3" t="s">
        <v>301</v>
      </c>
      <c r="G11" s="3" t="s">
        <v>32</v>
      </c>
      <c r="H11" s="3" t="s">
        <v>33</v>
      </c>
    </row>
    <row r="12" spans="1:8" x14ac:dyDescent="0.2">
      <c r="A12" s="3">
        <v>401020258</v>
      </c>
      <c r="B12" s="4" t="s">
        <v>35</v>
      </c>
      <c r="C12" s="4" t="s">
        <v>1963</v>
      </c>
      <c r="D12" s="3">
        <v>1</v>
      </c>
      <c r="E12" s="3" t="s">
        <v>16</v>
      </c>
      <c r="F12" s="3" t="s">
        <v>301</v>
      </c>
      <c r="G12" s="3" t="s">
        <v>32</v>
      </c>
      <c r="H12" s="3" t="s">
        <v>33</v>
      </c>
    </row>
    <row r="13" spans="1:8" x14ac:dyDescent="0.2">
      <c r="A13" s="3">
        <v>401040463</v>
      </c>
      <c r="B13" s="4" t="s">
        <v>35</v>
      </c>
      <c r="C13" s="4" t="s">
        <v>1926</v>
      </c>
      <c r="D13" s="3">
        <v>1</v>
      </c>
      <c r="E13" s="3" t="s">
        <v>16</v>
      </c>
      <c r="F13" s="3" t="s">
        <v>291</v>
      </c>
      <c r="G13" s="3" t="s">
        <v>26</v>
      </c>
      <c r="H13" s="3" t="s">
        <v>33</v>
      </c>
    </row>
    <row r="14" spans="1:8" x14ac:dyDescent="0.2">
      <c r="A14" s="3">
        <v>401040097</v>
      </c>
      <c r="B14" s="4" t="s">
        <v>35</v>
      </c>
      <c r="C14" s="4" t="s">
        <v>598</v>
      </c>
      <c r="D14" s="3">
        <v>1</v>
      </c>
      <c r="E14" s="3" t="s">
        <v>16</v>
      </c>
      <c r="F14" s="3" t="s">
        <v>301</v>
      </c>
      <c r="G14" s="3" t="s">
        <v>32</v>
      </c>
      <c r="H14" s="3" t="s">
        <v>33</v>
      </c>
    </row>
    <row r="15" spans="1:8" x14ac:dyDescent="0.2">
      <c r="A15" s="3">
        <v>3080401023</v>
      </c>
      <c r="B15" s="4" t="s">
        <v>41</v>
      </c>
      <c r="C15" s="4" t="s">
        <v>699</v>
      </c>
      <c r="D15" s="3">
        <v>2</v>
      </c>
      <c r="E15" s="3" t="s">
        <v>16</v>
      </c>
      <c r="F15" s="3" t="s">
        <v>289</v>
      </c>
      <c r="G15" s="3" t="s">
        <v>23</v>
      </c>
      <c r="H15" s="3" t="s">
        <v>40</v>
      </c>
    </row>
    <row r="16" spans="1:8" x14ac:dyDescent="0.2">
      <c r="A16" s="3">
        <v>3080401008</v>
      </c>
      <c r="B16" s="4" t="s">
        <v>41</v>
      </c>
      <c r="C16" s="4" t="s">
        <v>700</v>
      </c>
      <c r="D16" s="3">
        <v>2</v>
      </c>
      <c r="E16" s="3" t="s">
        <v>16</v>
      </c>
      <c r="F16" s="3" t="s">
        <v>289</v>
      </c>
      <c r="G16" s="3" t="s">
        <v>23</v>
      </c>
      <c r="H16" s="3" t="s">
        <v>40</v>
      </c>
    </row>
    <row r="17" spans="1:8" x14ac:dyDescent="0.2">
      <c r="A17" s="3">
        <v>3080401005</v>
      </c>
      <c r="B17" s="4" t="s">
        <v>41</v>
      </c>
      <c r="C17" s="4" t="s">
        <v>43</v>
      </c>
      <c r="D17" s="3">
        <v>12</v>
      </c>
      <c r="E17" s="3" t="s">
        <v>16</v>
      </c>
      <c r="F17" s="3" t="s">
        <v>291</v>
      </c>
      <c r="G17" s="3" t="s">
        <v>26</v>
      </c>
      <c r="H17" s="3" t="s">
        <v>40</v>
      </c>
    </row>
    <row r="18" spans="1:8" x14ac:dyDescent="0.2">
      <c r="A18" s="3">
        <v>3080401006</v>
      </c>
      <c r="B18" s="4" t="s">
        <v>41</v>
      </c>
      <c r="C18" s="4" t="s">
        <v>44</v>
      </c>
      <c r="D18" s="3">
        <v>1</v>
      </c>
      <c r="E18" s="3" t="s">
        <v>16</v>
      </c>
      <c r="F18" s="3" t="s">
        <v>295</v>
      </c>
      <c r="G18" s="3" t="s">
        <v>17</v>
      </c>
      <c r="H18" s="3" t="s">
        <v>40</v>
      </c>
    </row>
    <row r="19" spans="1:8" x14ac:dyDescent="0.2">
      <c r="A19" s="3">
        <v>3080104014</v>
      </c>
      <c r="B19" s="4" t="s">
        <v>45</v>
      </c>
      <c r="C19" s="4" t="s">
        <v>312</v>
      </c>
      <c r="D19" s="3">
        <v>2</v>
      </c>
      <c r="E19" s="3" t="s">
        <v>16</v>
      </c>
      <c r="F19" s="3" t="s">
        <v>293</v>
      </c>
      <c r="G19" s="3" t="s">
        <v>29</v>
      </c>
      <c r="H19" s="3" t="s">
        <v>40</v>
      </c>
    </row>
    <row r="20" spans="1:8" x14ac:dyDescent="0.2">
      <c r="A20" s="3">
        <v>3080104081</v>
      </c>
      <c r="B20" s="4" t="s">
        <v>45</v>
      </c>
      <c r="C20" s="4" t="s">
        <v>701</v>
      </c>
      <c r="D20" s="3">
        <v>2</v>
      </c>
      <c r="E20" s="3" t="s">
        <v>16</v>
      </c>
      <c r="F20" s="3" t="s">
        <v>289</v>
      </c>
      <c r="G20" s="3" t="s">
        <v>23</v>
      </c>
      <c r="H20" s="3" t="s">
        <v>40</v>
      </c>
    </row>
    <row r="21" spans="1:8" x14ac:dyDescent="0.2">
      <c r="A21" s="3">
        <v>3080104081</v>
      </c>
      <c r="B21" s="4" t="s">
        <v>45</v>
      </c>
      <c r="C21" s="4" t="s">
        <v>701</v>
      </c>
      <c r="D21" s="3">
        <v>2</v>
      </c>
      <c r="E21" s="3" t="s">
        <v>16</v>
      </c>
      <c r="F21" s="3" t="s">
        <v>702</v>
      </c>
      <c r="G21" s="3" t="s">
        <v>703</v>
      </c>
      <c r="H21" s="3" t="s">
        <v>40</v>
      </c>
    </row>
    <row r="22" spans="1:8" x14ac:dyDescent="0.2">
      <c r="A22" s="3">
        <v>3080104099</v>
      </c>
      <c r="B22" s="4" t="s">
        <v>45</v>
      </c>
      <c r="C22" s="4" t="s">
        <v>419</v>
      </c>
      <c r="D22" s="3">
        <v>2</v>
      </c>
      <c r="E22" s="3" t="s">
        <v>16</v>
      </c>
      <c r="F22" s="3" t="s">
        <v>291</v>
      </c>
      <c r="G22" s="3" t="s">
        <v>26</v>
      </c>
      <c r="H22" s="3" t="s">
        <v>40</v>
      </c>
    </row>
    <row r="23" spans="1:8" x14ac:dyDescent="0.2">
      <c r="A23" s="3">
        <v>3080104076</v>
      </c>
      <c r="B23" s="4" t="s">
        <v>45</v>
      </c>
      <c r="C23" s="4" t="s">
        <v>313</v>
      </c>
      <c r="D23" s="3">
        <v>8</v>
      </c>
      <c r="E23" s="3" t="s">
        <v>16</v>
      </c>
      <c r="F23" s="3" t="s">
        <v>293</v>
      </c>
      <c r="G23" s="3" t="s">
        <v>29</v>
      </c>
      <c r="H23" s="3" t="s">
        <v>40</v>
      </c>
    </row>
    <row r="24" spans="1:8" x14ac:dyDescent="0.2">
      <c r="A24" s="3">
        <v>3080104020</v>
      </c>
      <c r="B24" s="4" t="s">
        <v>45</v>
      </c>
      <c r="C24" s="4" t="s">
        <v>46</v>
      </c>
      <c r="D24" s="3">
        <v>4</v>
      </c>
      <c r="E24" s="3" t="s">
        <v>16</v>
      </c>
      <c r="F24" s="3" t="s">
        <v>291</v>
      </c>
      <c r="G24" s="3" t="s">
        <v>26</v>
      </c>
      <c r="H24" s="3" t="s">
        <v>40</v>
      </c>
    </row>
    <row r="25" spans="1:8" x14ac:dyDescent="0.2">
      <c r="A25" s="3">
        <v>3080104019</v>
      </c>
      <c r="B25" s="4" t="s">
        <v>45</v>
      </c>
      <c r="C25" s="4" t="s">
        <v>47</v>
      </c>
      <c r="D25" s="3">
        <v>2</v>
      </c>
      <c r="E25" s="3" t="s">
        <v>16</v>
      </c>
      <c r="F25" s="3" t="s">
        <v>291</v>
      </c>
      <c r="G25" s="3" t="s">
        <v>26</v>
      </c>
      <c r="H25" s="3" t="s">
        <v>40</v>
      </c>
    </row>
    <row r="26" spans="1:8" x14ac:dyDescent="0.2">
      <c r="A26" s="3">
        <v>3080104050</v>
      </c>
      <c r="B26" s="4" t="s">
        <v>45</v>
      </c>
      <c r="C26" s="4" t="s">
        <v>49</v>
      </c>
      <c r="D26" s="3">
        <v>4</v>
      </c>
      <c r="E26" s="3" t="s">
        <v>16</v>
      </c>
      <c r="F26" s="3" t="s">
        <v>295</v>
      </c>
      <c r="G26" s="3" t="s">
        <v>17</v>
      </c>
      <c r="H26" s="3" t="s">
        <v>40</v>
      </c>
    </row>
    <row r="27" spans="1:8" x14ac:dyDescent="0.2">
      <c r="A27" s="3">
        <v>3080105013</v>
      </c>
      <c r="B27" s="4" t="s">
        <v>50</v>
      </c>
      <c r="C27" s="4" t="s">
        <v>51</v>
      </c>
      <c r="D27" s="3">
        <v>4</v>
      </c>
      <c r="E27" s="3" t="s">
        <v>16</v>
      </c>
      <c r="F27" s="3" t="s">
        <v>293</v>
      </c>
      <c r="G27" s="3" t="s">
        <v>29</v>
      </c>
      <c r="H27" s="3" t="s">
        <v>40</v>
      </c>
    </row>
    <row r="28" spans="1:8" x14ac:dyDescent="0.2">
      <c r="A28" s="3">
        <v>3080105004</v>
      </c>
      <c r="B28" s="4" t="s">
        <v>50</v>
      </c>
      <c r="C28" s="4" t="s">
        <v>54</v>
      </c>
      <c r="D28" s="3">
        <v>4</v>
      </c>
      <c r="E28" s="3" t="s">
        <v>16</v>
      </c>
      <c r="F28" s="3" t="s">
        <v>293</v>
      </c>
      <c r="G28" s="3" t="s">
        <v>29</v>
      </c>
      <c r="H28" s="3" t="s">
        <v>40</v>
      </c>
    </row>
    <row r="29" spans="1:8" x14ac:dyDescent="0.2">
      <c r="A29" s="3">
        <v>3080105111</v>
      </c>
      <c r="B29" s="4" t="s">
        <v>50</v>
      </c>
      <c r="C29" s="4" t="s">
        <v>599</v>
      </c>
      <c r="D29" s="3">
        <v>4</v>
      </c>
      <c r="E29" s="3" t="s">
        <v>16</v>
      </c>
      <c r="F29" s="3" t="s">
        <v>291</v>
      </c>
      <c r="G29" s="3" t="s">
        <v>26</v>
      </c>
      <c r="H29" s="3" t="s">
        <v>40</v>
      </c>
    </row>
    <row r="30" spans="1:8" x14ac:dyDescent="0.2">
      <c r="A30" s="3">
        <v>3080105114</v>
      </c>
      <c r="B30" s="4" t="s">
        <v>50</v>
      </c>
      <c r="C30" s="4" t="s">
        <v>53</v>
      </c>
      <c r="D30" s="3">
        <v>5</v>
      </c>
      <c r="E30" s="3" t="s">
        <v>16</v>
      </c>
      <c r="F30" s="3" t="s">
        <v>289</v>
      </c>
      <c r="G30" s="3" t="s">
        <v>23</v>
      </c>
      <c r="H30" s="3" t="s">
        <v>40</v>
      </c>
    </row>
    <row r="31" spans="1:8" x14ac:dyDescent="0.2">
      <c r="A31" s="3">
        <v>3080105114</v>
      </c>
      <c r="B31" s="4" t="s">
        <v>50</v>
      </c>
      <c r="C31" s="4" t="s">
        <v>53</v>
      </c>
      <c r="D31" s="3">
        <v>6</v>
      </c>
      <c r="E31" s="3" t="s">
        <v>16</v>
      </c>
      <c r="F31" s="3" t="s">
        <v>702</v>
      </c>
      <c r="G31" s="3" t="s">
        <v>703</v>
      </c>
      <c r="H31" s="3" t="s">
        <v>40</v>
      </c>
    </row>
    <row r="32" spans="1:8" x14ac:dyDescent="0.2">
      <c r="A32" s="3">
        <v>3080105114</v>
      </c>
      <c r="B32" s="4" t="s">
        <v>50</v>
      </c>
      <c r="C32" s="4" t="s">
        <v>53</v>
      </c>
      <c r="D32" s="3">
        <v>4</v>
      </c>
      <c r="E32" s="3" t="s">
        <v>16</v>
      </c>
      <c r="F32" s="3" t="s">
        <v>289</v>
      </c>
      <c r="G32" s="3" t="s">
        <v>23</v>
      </c>
      <c r="H32" s="3" t="s">
        <v>40</v>
      </c>
    </row>
    <row r="33" spans="1:8" x14ac:dyDescent="0.2">
      <c r="A33" s="3">
        <v>3080105114</v>
      </c>
      <c r="B33" s="4" t="s">
        <v>50</v>
      </c>
      <c r="C33" s="4" t="s">
        <v>53</v>
      </c>
      <c r="D33" s="3">
        <v>3</v>
      </c>
      <c r="E33" s="3" t="s">
        <v>16</v>
      </c>
      <c r="F33" s="3" t="s">
        <v>702</v>
      </c>
      <c r="G33" s="3" t="s">
        <v>703</v>
      </c>
      <c r="H33" s="3" t="s">
        <v>40</v>
      </c>
    </row>
    <row r="34" spans="1:8" x14ac:dyDescent="0.2">
      <c r="A34" s="3">
        <v>3080105068</v>
      </c>
      <c r="B34" s="4" t="s">
        <v>50</v>
      </c>
      <c r="C34" s="4" t="s">
        <v>314</v>
      </c>
      <c r="D34" s="3">
        <v>10</v>
      </c>
      <c r="E34" s="3" t="s">
        <v>16</v>
      </c>
      <c r="F34" s="3" t="s">
        <v>293</v>
      </c>
      <c r="G34" s="3" t="s">
        <v>29</v>
      </c>
      <c r="H34" s="3" t="s">
        <v>40</v>
      </c>
    </row>
    <row r="35" spans="1:8" x14ac:dyDescent="0.2">
      <c r="A35" s="3">
        <v>3080105007</v>
      </c>
      <c r="B35" s="4" t="s">
        <v>50</v>
      </c>
      <c r="C35" s="4" t="s">
        <v>52</v>
      </c>
      <c r="D35" s="3">
        <v>2</v>
      </c>
      <c r="E35" s="3" t="s">
        <v>16</v>
      </c>
      <c r="F35" s="3" t="s">
        <v>293</v>
      </c>
      <c r="G35" s="3" t="s">
        <v>29</v>
      </c>
      <c r="H35" s="3" t="s">
        <v>40</v>
      </c>
    </row>
    <row r="36" spans="1:8" x14ac:dyDescent="0.2">
      <c r="A36" s="3">
        <v>3080105078</v>
      </c>
      <c r="B36" s="4" t="s">
        <v>50</v>
      </c>
      <c r="C36" s="4" t="s">
        <v>315</v>
      </c>
      <c r="D36" s="3">
        <v>2</v>
      </c>
      <c r="E36" s="3" t="s">
        <v>16</v>
      </c>
      <c r="F36" s="3" t="s">
        <v>293</v>
      </c>
      <c r="G36" s="3" t="s">
        <v>29</v>
      </c>
      <c r="H36" s="3" t="s">
        <v>40</v>
      </c>
    </row>
    <row r="37" spans="1:8" x14ac:dyDescent="0.2">
      <c r="A37" s="3">
        <v>3080105004</v>
      </c>
      <c r="B37" s="4" t="s">
        <v>50</v>
      </c>
      <c r="C37" s="4" t="s">
        <v>54</v>
      </c>
      <c r="D37" s="3">
        <v>6</v>
      </c>
      <c r="E37" s="3" t="s">
        <v>16</v>
      </c>
      <c r="F37" s="3" t="s">
        <v>289</v>
      </c>
      <c r="G37" s="3" t="s">
        <v>23</v>
      </c>
      <c r="H37" s="3" t="s">
        <v>40</v>
      </c>
    </row>
    <row r="38" spans="1:8" x14ac:dyDescent="0.2">
      <c r="A38" s="3">
        <v>3080502002</v>
      </c>
      <c r="B38" s="4" t="s">
        <v>55</v>
      </c>
      <c r="C38" s="4" t="s">
        <v>56</v>
      </c>
      <c r="D38" s="3">
        <v>4</v>
      </c>
      <c r="E38" s="3" t="s">
        <v>16</v>
      </c>
      <c r="F38" s="3" t="s">
        <v>293</v>
      </c>
      <c r="G38" s="3" t="s">
        <v>29</v>
      </c>
      <c r="H38" s="3" t="s">
        <v>40</v>
      </c>
    </row>
    <row r="39" spans="1:8" x14ac:dyDescent="0.2">
      <c r="A39" s="3">
        <v>3080201004</v>
      </c>
      <c r="B39" s="4" t="s">
        <v>60</v>
      </c>
      <c r="C39" s="4" t="s">
        <v>61</v>
      </c>
      <c r="D39" s="3">
        <v>4</v>
      </c>
      <c r="E39" s="3" t="s">
        <v>16</v>
      </c>
      <c r="F39" s="3" t="s">
        <v>295</v>
      </c>
      <c r="G39" s="3" t="s">
        <v>17</v>
      </c>
      <c r="H39" s="3" t="s">
        <v>40</v>
      </c>
    </row>
    <row r="40" spans="1:8" x14ac:dyDescent="0.2">
      <c r="A40" s="3">
        <v>3080201012</v>
      </c>
      <c r="B40" s="4" t="s">
        <v>60</v>
      </c>
      <c r="C40" s="4" t="s">
        <v>320</v>
      </c>
      <c r="D40" s="3">
        <v>1</v>
      </c>
      <c r="E40" s="3" t="s">
        <v>16</v>
      </c>
      <c r="F40" s="3" t="s">
        <v>289</v>
      </c>
      <c r="G40" s="3" t="s">
        <v>23</v>
      </c>
      <c r="H40" s="3" t="s">
        <v>40</v>
      </c>
    </row>
    <row r="41" spans="1:8" x14ac:dyDescent="0.2">
      <c r="A41" s="3">
        <v>3080201012</v>
      </c>
      <c r="B41" s="4" t="s">
        <v>60</v>
      </c>
      <c r="C41" s="4" t="s">
        <v>320</v>
      </c>
      <c r="D41" s="3">
        <v>1</v>
      </c>
      <c r="E41" s="3" t="s">
        <v>16</v>
      </c>
      <c r="F41" s="3" t="s">
        <v>702</v>
      </c>
      <c r="G41" s="3" t="s">
        <v>703</v>
      </c>
      <c r="H41" s="3" t="s">
        <v>40</v>
      </c>
    </row>
    <row r="42" spans="1:8" x14ac:dyDescent="0.2">
      <c r="A42" s="3">
        <v>3080201007</v>
      </c>
      <c r="B42" s="4" t="s">
        <v>60</v>
      </c>
      <c r="C42" s="4" t="s">
        <v>62</v>
      </c>
      <c r="D42" s="3">
        <v>1</v>
      </c>
      <c r="E42" s="3" t="s">
        <v>16</v>
      </c>
      <c r="F42" s="3" t="s">
        <v>295</v>
      </c>
      <c r="G42" s="3" t="s">
        <v>17</v>
      </c>
      <c r="H42" s="3" t="s">
        <v>40</v>
      </c>
    </row>
    <row r="43" spans="1:8" x14ac:dyDescent="0.2">
      <c r="A43" s="3">
        <v>3080201008</v>
      </c>
      <c r="B43" s="4" t="s">
        <v>60</v>
      </c>
      <c r="C43" s="4" t="s">
        <v>63</v>
      </c>
      <c r="D43" s="3">
        <v>1</v>
      </c>
      <c r="E43" s="3" t="s">
        <v>16</v>
      </c>
      <c r="F43" s="3" t="s">
        <v>295</v>
      </c>
      <c r="G43" s="3" t="s">
        <v>17</v>
      </c>
      <c r="H43" s="3" t="s">
        <v>40</v>
      </c>
    </row>
    <row r="44" spans="1:8" x14ac:dyDescent="0.2">
      <c r="A44" s="3">
        <v>3080201010</v>
      </c>
      <c r="B44" s="4" t="s">
        <v>60</v>
      </c>
      <c r="C44" s="4" t="s">
        <v>64</v>
      </c>
      <c r="D44" s="3">
        <v>1</v>
      </c>
      <c r="E44" s="3" t="s">
        <v>16</v>
      </c>
      <c r="F44" s="3" t="s">
        <v>295</v>
      </c>
      <c r="G44" s="3" t="s">
        <v>17</v>
      </c>
      <c r="H44" s="3" t="s">
        <v>40</v>
      </c>
    </row>
    <row r="45" spans="1:8" x14ac:dyDescent="0.2">
      <c r="A45" s="3">
        <v>3080201015</v>
      </c>
      <c r="B45" s="4" t="s">
        <v>60</v>
      </c>
      <c r="C45" s="4" t="s">
        <v>65</v>
      </c>
      <c r="D45" s="3">
        <v>2</v>
      </c>
      <c r="E45" s="3" t="s">
        <v>16</v>
      </c>
      <c r="F45" s="3" t="s">
        <v>295</v>
      </c>
      <c r="G45" s="3" t="s">
        <v>17</v>
      </c>
      <c r="H45" s="3" t="s">
        <v>40</v>
      </c>
    </row>
    <row r="46" spans="1:8" x14ac:dyDescent="0.2">
      <c r="A46" s="3">
        <v>3080106009</v>
      </c>
      <c r="B46" s="4" t="s">
        <v>66</v>
      </c>
      <c r="C46" s="4" t="s">
        <v>67</v>
      </c>
      <c r="D46" s="3">
        <v>1</v>
      </c>
      <c r="E46" s="3" t="s">
        <v>16</v>
      </c>
      <c r="F46" s="3" t="s">
        <v>295</v>
      </c>
      <c r="G46" s="3" t="s">
        <v>17</v>
      </c>
      <c r="H46" s="3" t="s">
        <v>40</v>
      </c>
    </row>
    <row r="47" spans="1:8" x14ac:dyDescent="0.2">
      <c r="A47" s="3">
        <v>3080106007</v>
      </c>
      <c r="B47" s="4" t="s">
        <v>66</v>
      </c>
      <c r="C47" s="4" t="s">
        <v>68</v>
      </c>
      <c r="D47" s="3">
        <v>1</v>
      </c>
      <c r="E47" s="3" t="s">
        <v>16</v>
      </c>
      <c r="F47" s="3" t="s">
        <v>295</v>
      </c>
      <c r="G47" s="3" t="s">
        <v>17</v>
      </c>
      <c r="H47" s="3" t="s">
        <v>40</v>
      </c>
    </row>
    <row r="48" spans="1:8" x14ac:dyDescent="0.2">
      <c r="A48" s="3">
        <v>3080107130</v>
      </c>
      <c r="B48" s="4" t="s">
        <v>69</v>
      </c>
      <c r="C48" s="4" t="s">
        <v>70</v>
      </c>
      <c r="D48" s="3">
        <v>4</v>
      </c>
      <c r="E48" s="3" t="s">
        <v>16</v>
      </c>
      <c r="F48" s="3" t="s">
        <v>293</v>
      </c>
      <c r="G48" s="3" t="s">
        <v>29</v>
      </c>
      <c r="H48" s="3" t="s">
        <v>40</v>
      </c>
    </row>
    <row r="49" spans="1:8" x14ac:dyDescent="0.2">
      <c r="A49" s="3">
        <v>3080107031</v>
      </c>
      <c r="B49" s="4" t="s">
        <v>69</v>
      </c>
      <c r="C49" s="4" t="s">
        <v>71</v>
      </c>
      <c r="D49" s="3">
        <v>2</v>
      </c>
      <c r="E49" s="3" t="s">
        <v>16</v>
      </c>
      <c r="F49" s="3" t="s">
        <v>295</v>
      </c>
      <c r="G49" s="3" t="s">
        <v>17</v>
      </c>
      <c r="H49" s="3" t="s">
        <v>40</v>
      </c>
    </row>
    <row r="50" spans="1:8" x14ac:dyDescent="0.2">
      <c r="A50" s="3">
        <v>3080107284</v>
      </c>
      <c r="B50" s="4" t="s">
        <v>69</v>
      </c>
      <c r="C50" s="4" t="s">
        <v>706</v>
      </c>
      <c r="D50" s="3">
        <v>1</v>
      </c>
      <c r="E50" s="3" t="s">
        <v>16</v>
      </c>
      <c r="F50" s="3" t="s">
        <v>702</v>
      </c>
      <c r="G50" s="3" t="s">
        <v>703</v>
      </c>
      <c r="H50" s="3" t="s">
        <v>40</v>
      </c>
    </row>
    <row r="51" spans="1:8" x14ac:dyDescent="0.2">
      <c r="A51" s="3">
        <v>3080107089</v>
      </c>
      <c r="B51" s="4" t="s">
        <v>69</v>
      </c>
      <c r="C51" s="4" t="s">
        <v>704</v>
      </c>
      <c r="D51" s="3">
        <v>1</v>
      </c>
      <c r="E51" s="3" t="s">
        <v>16</v>
      </c>
      <c r="F51" s="3" t="s">
        <v>289</v>
      </c>
      <c r="G51" s="3" t="s">
        <v>23</v>
      </c>
      <c r="H51" s="3" t="s">
        <v>40</v>
      </c>
    </row>
    <row r="52" spans="1:8" x14ac:dyDescent="0.2">
      <c r="A52" s="3">
        <v>3080107112</v>
      </c>
      <c r="B52" s="4" t="s">
        <v>69</v>
      </c>
      <c r="C52" s="4" t="s">
        <v>705</v>
      </c>
      <c r="D52" s="3">
        <v>2</v>
      </c>
      <c r="E52" s="3" t="s">
        <v>16</v>
      </c>
      <c r="F52" s="3" t="s">
        <v>289</v>
      </c>
      <c r="G52" s="3" t="s">
        <v>23</v>
      </c>
      <c r="H52" s="3" t="s">
        <v>40</v>
      </c>
    </row>
    <row r="53" spans="1:8" x14ac:dyDescent="0.2">
      <c r="A53" s="3">
        <v>3080107015</v>
      </c>
      <c r="B53" s="4" t="s">
        <v>69</v>
      </c>
      <c r="C53" s="4" t="s">
        <v>73</v>
      </c>
      <c r="D53" s="3">
        <v>6</v>
      </c>
      <c r="E53" s="3" t="s">
        <v>16</v>
      </c>
      <c r="F53" s="3" t="s">
        <v>291</v>
      </c>
      <c r="G53" s="3" t="s">
        <v>26</v>
      </c>
      <c r="H53" s="3" t="s">
        <v>40</v>
      </c>
    </row>
    <row r="54" spans="1:8" x14ac:dyDescent="0.2">
      <c r="A54" s="3">
        <v>3080107120</v>
      </c>
      <c r="B54" s="4" t="s">
        <v>69</v>
      </c>
      <c r="C54" s="4" t="s">
        <v>74</v>
      </c>
      <c r="D54" s="3">
        <v>1</v>
      </c>
      <c r="E54" s="3" t="s">
        <v>16</v>
      </c>
      <c r="F54" s="3" t="s">
        <v>295</v>
      </c>
      <c r="G54" s="3" t="s">
        <v>17</v>
      </c>
      <c r="H54" s="3" t="s">
        <v>40</v>
      </c>
    </row>
    <row r="55" spans="1:8" x14ac:dyDescent="0.2">
      <c r="A55" s="3">
        <v>3080107121</v>
      </c>
      <c r="B55" s="4" t="s">
        <v>69</v>
      </c>
      <c r="C55" s="4" t="s">
        <v>75</v>
      </c>
      <c r="D55" s="3">
        <v>1</v>
      </c>
      <c r="E55" s="3" t="s">
        <v>16</v>
      </c>
      <c r="F55" s="3" t="s">
        <v>295</v>
      </c>
      <c r="G55" s="3" t="s">
        <v>17</v>
      </c>
      <c r="H55" s="3" t="s">
        <v>40</v>
      </c>
    </row>
    <row r="56" spans="1:8" x14ac:dyDescent="0.2">
      <c r="A56" s="3">
        <v>3080107031</v>
      </c>
      <c r="B56" s="4" t="s">
        <v>69</v>
      </c>
      <c r="C56" s="4" t="s">
        <v>71</v>
      </c>
      <c r="D56" s="3">
        <v>4</v>
      </c>
      <c r="E56" s="3" t="s">
        <v>16</v>
      </c>
      <c r="F56" s="3" t="s">
        <v>295</v>
      </c>
      <c r="G56" s="3" t="s">
        <v>17</v>
      </c>
      <c r="H56" s="3" t="s">
        <v>40</v>
      </c>
    </row>
    <row r="57" spans="1:8" x14ac:dyDescent="0.2">
      <c r="A57" s="3">
        <v>3080108011</v>
      </c>
      <c r="B57" s="4" t="s">
        <v>77</v>
      </c>
      <c r="C57" s="4" t="s">
        <v>323</v>
      </c>
      <c r="D57" s="3">
        <v>2</v>
      </c>
      <c r="E57" s="3" t="s">
        <v>16</v>
      </c>
      <c r="F57" s="3" t="s">
        <v>293</v>
      </c>
      <c r="G57" s="3" t="s">
        <v>29</v>
      </c>
      <c r="H57" s="3" t="s">
        <v>40</v>
      </c>
    </row>
    <row r="58" spans="1:8" x14ac:dyDescent="0.2">
      <c r="A58" s="3">
        <v>3080108009</v>
      </c>
      <c r="B58" s="4" t="s">
        <v>77</v>
      </c>
      <c r="C58" s="4" t="s">
        <v>324</v>
      </c>
      <c r="D58" s="3">
        <v>2</v>
      </c>
      <c r="E58" s="3" t="s">
        <v>16</v>
      </c>
      <c r="F58" s="3" t="s">
        <v>293</v>
      </c>
      <c r="G58" s="3" t="s">
        <v>29</v>
      </c>
      <c r="H58" s="3" t="s">
        <v>40</v>
      </c>
    </row>
    <row r="59" spans="1:8" x14ac:dyDescent="0.2">
      <c r="A59" s="3">
        <v>3080108003</v>
      </c>
      <c r="B59" s="4" t="s">
        <v>77</v>
      </c>
      <c r="C59" s="4" t="s">
        <v>78</v>
      </c>
      <c r="D59" s="3">
        <v>1</v>
      </c>
      <c r="E59" s="3" t="s">
        <v>16</v>
      </c>
      <c r="F59" s="3" t="s">
        <v>295</v>
      </c>
      <c r="G59" s="3" t="s">
        <v>17</v>
      </c>
      <c r="H59" s="3" t="s">
        <v>40</v>
      </c>
    </row>
    <row r="60" spans="1:8" x14ac:dyDescent="0.2">
      <c r="A60" s="3">
        <v>3080111087</v>
      </c>
      <c r="B60" s="4" t="s">
        <v>79</v>
      </c>
      <c r="C60" s="4" t="s">
        <v>80</v>
      </c>
      <c r="D60" s="3">
        <v>18</v>
      </c>
      <c r="E60" s="3" t="s">
        <v>16</v>
      </c>
      <c r="F60" s="3" t="s">
        <v>291</v>
      </c>
      <c r="G60" s="3" t="s">
        <v>26</v>
      </c>
      <c r="H60" s="3" t="s">
        <v>40</v>
      </c>
    </row>
    <row r="61" spans="1:8" x14ac:dyDescent="0.2">
      <c r="A61" s="3">
        <v>407030047</v>
      </c>
      <c r="B61" s="4" t="s">
        <v>81</v>
      </c>
      <c r="C61" s="4" t="s">
        <v>707</v>
      </c>
      <c r="D61" s="3">
        <v>1</v>
      </c>
      <c r="E61" s="3" t="s">
        <v>16</v>
      </c>
      <c r="F61" s="3" t="s">
        <v>301</v>
      </c>
      <c r="G61" s="3" t="s">
        <v>32</v>
      </c>
      <c r="H61" s="3" t="s">
        <v>40</v>
      </c>
    </row>
    <row r="62" spans="1:8" x14ac:dyDescent="0.2">
      <c r="A62" s="3">
        <v>3080112015</v>
      </c>
      <c r="B62" s="4" t="s">
        <v>83</v>
      </c>
      <c r="C62" s="4" t="s">
        <v>84</v>
      </c>
      <c r="D62" s="3">
        <v>6</v>
      </c>
      <c r="E62" s="3" t="s">
        <v>16</v>
      </c>
      <c r="F62" s="3" t="s">
        <v>291</v>
      </c>
      <c r="G62" s="3" t="s">
        <v>26</v>
      </c>
      <c r="H62" s="3" t="s">
        <v>40</v>
      </c>
    </row>
    <row r="63" spans="1:8" x14ac:dyDescent="0.2">
      <c r="A63" s="3">
        <v>3080112003</v>
      </c>
      <c r="B63" s="4" t="s">
        <v>83</v>
      </c>
      <c r="C63" s="4" t="s">
        <v>85</v>
      </c>
      <c r="D63" s="3">
        <v>1</v>
      </c>
      <c r="E63" s="3" t="s">
        <v>16</v>
      </c>
      <c r="F63" s="3" t="s">
        <v>295</v>
      </c>
      <c r="G63" s="3" t="s">
        <v>17</v>
      </c>
      <c r="H63" s="3" t="s">
        <v>40</v>
      </c>
    </row>
    <row r="64" spans="1:8" x14ac:dyDescent="0.2">
      <c r="A64" s="3">
        <v>3080307001</v>
      </c>
      <c r="B64" s="4" t="s">
        <v>86</v>
      </c>
      <c r="C64" s="4" t="s">
        <v>87</v>
      </c>
      <c r="D64" s="3">
        <v>1</v>
      </c>
      <c r="E64" s="3" t="s">
        <v>16</v>
      </c>
      <c r="F64" s="3" t="s">
        <v>295</v>
      </c>
      <c r="G64" s="3" t="s">
        <v>17</v>
      </c>
      <c r="H64" s="3" t="s">
        <v>88</v>
      </c>
    </row>
    <row r="65" spans="1:8" x14ac:dyDescent="0.2">
      <c r="A65" s="3">
        <v>3080506001</v>
      </c>
      <c r="B65" s="4" t="s">
        <v>89</v>
      </c>
      <c r="C65" s="4" t="s">
        <v>90</v>
      </c>
      <c r="D65" s="3">
        <v>1</v>
      </c>
      <c r="E65" s="3" t="s">
        <v>16</v>
      </c>
      <c r="F65" s="3" t="s">
        <v>295</v>
      </c>
      <c r="G65" s="3" t="s">
        <v>17</v>
      </c>
      <c r="H65" s="3" t="s">
        <v>88</v>
      </c>
    </row>
    <row r="66" spans="1:8" x14ac:dyDescent="0.2">
      <c r="A66" s="3">
        <v>3030204002</v>
      </c>
      <c r="B66" s="4" t="s">
        <v>91</v>
      </c>
      <c r="C66" s="4" t="s">
        <v>92</v>
      </c>
      <c r="D66" s="3">
        <v>1</v>
      </c>
      <c r="E66" s="3" t="s">
        <v>16</v>
      </c>
      <c r="F66" s="3" t="s">
        <v>295</v>
      </c>
      <c r="G66" s="3" t="s">
        <v>17</v>
      </c>
      <c r="H66" s="3" t="s">
        <v>88</v>
      </c>
    </row>
    <row r="67" spans="1:8" x14ac:dyDescent="0.2">
      <c r="A67" s="3">
        <v>3030205002</v>
      </c>
      <c r="B67" s="4" t="s">
        <v>93</v>
      </c>
      <c r="C67" s="4" t="s">
        <v>94</v>
      </c>
      <c r="D67" s="3">
        <v>1</v>
      </c>
      <c r="E67" s="3" t="s">
        <v>16</v>
      </c>
      <c r="F67" s="3" t="s">
        <v>295</v>
      </c>
      <c r="G67" s="3" t="s">
        <v>17</v>
      </c>
      <c r="H67" s="3" t="s">
        <v>88</v>
      </c>
    </row>
    <row r="68" spans="1:8" x14ac:dyDescent="0.2">
      <c r="A68" s="3">
        <v>3030208001</v>
      </c>
      <c r="B68" s="4" t="s">
        <v>95</v>
      </c>
      <c r="C68" s="4" t="s">
        <v>96</v>
      </c>
      <c r="D68" s="3">
        <v>1</v>
      </c>
      <c r="E68" s="3" t="s">
        <v>16</v>
      </c>
      <c r="F68" s="3" t="s">
        <v>295</v>
      </c>
      <c r="G68" s="3" t="s">
        <v>17</v>
      </c>
      <c r="H68" s="3" t="s">
        <v>88</v>
      </c>
    </row>
    <row r="69" spans="1:8" x14ac:dyDescent="0.2">
      <c r="A69" s="3">
        <v>3030202005</v>
      </c>
      <c r="B69" s="4" t="s">
        <v>97</v>
      </c>
      <c r="C69" s="4" t="s">
        <v>94</v>
      </c>
      <c r="D69" s="3">
        <v>1</v>
      </c>
      <c r="E69" s="3" t="s">
        <v>16</v>
      </c>
      <c r="F69" s="3" t="s">
        <v>295</v>
      </c>
      <c r="G69" s="3" t="s">
        <v>17</v>
      </c>
      <c r="H69" s="3" t="s">
        <v>88</v>
      </c>
    </row>
    <row r="70" spans="1:8" x14ac:dyDescent="0.2">
      <c r="A70" s="3">
        <v>3080201009</v>
      </c>
      <c r="B70" s="4" t="s">
        <v>60</v>
      </c>
      <c r="C70" s="4" t="s">
        <v>98</v>
      </c>
      <c r="D70" s="3">
        <v>1</v>
      </c>
      <c r="E70" s="3" t="s">
        <v>16</v>
      </c>
      <c r="F70" s="3" t="s">
        <v>295</v>
      </c>
      <c r="G70" s="3" t="s">
        <v>17</v>
      </c>
      <c r="H70" s="3" t="s">
        <v>88</v>
      </c>
    </row>
    <row r="71" spans="1:8" x14ac:dyDescent="0.2">
      <c r="A71" s="3">
        <v>3050205001</v>
      </c>
      <c r="B71" s="4" t="s">
        <v>99</v>
      </c>
      <c r="C71" s="4" t="s">
        <v>100</v>
      </c>
      <c r="D71" s="3">
        <v>2</v>
      </c>
      <c r="E71" s="3" t="s">
        <v>16</v>
      </c>
      <c r="F71" s="3" t="s">
        <v>291</v>
      </c>
      <c r="G71" s="3" t="s">
        <v>26</v>
      </c>
      <c r="H71" s="3" t="s">
        <v>88</v>
      </c>
    </row>
    <row r="72" spans="1:8" x14ac:dyDescent="0.2">
      <c r="A72" s="3">
        <v>3099990501</v>
      </c>
      <c r="B72" s="4" t="s">
        <v>708</v>
      </c>
      <c r="C72" s="4" t="s">
        <v>105</v>
      </c>
      <c r="D72" s="3">
        <v>1</v>
      </c>
      <c r="E72" s="3" t="s">
        <v>16</v>
      </c>
      <c r="F72" s="3" t="s">
        <v>709</v>
      </c>
      <c r="G72" s="3" t="s">
        <v>710</v>
      </c>
      <c r="H72" s="3" t="s">
        <v>103</v>
      </c>
    </row>
    <row r="73" spans="1:8" x14ac:dyDescent="0.2">
      <c r="A73" s="3">
        <v>3099990225</v>
      </c>
      <c r="B73" s="4" t="s">
        <v>1902</v>
      </c>
      <c r="C73" s="4" t="s">
        <v>1903</v>
      </c>
      <c r="D73" s="3">
        <v>1</v>
      </c>
      <c r="E73" s="3" t="s">
        <v>16</v>
      </c>
      <c r="F73" s="3" t="s">
        <v>299</v>
      </c>
      <c r="G73" s="3" t="s">
        <v>106</v>
      </c>
      <c r="H73" s="3" t="s">
        <v>103</v>
      </c>
    </row>
    <row r="74" spans="1:8" x14ac:dyDescent="0.2">
      <c r="A74" s="3">
        <v>402010065</v>
      </c>
      <c r="B74" s="4" t="s">
        <v>882</v>
      </c>
      <c r="C74" s="4" t="s">
        <v>1927</v>
      </c>
      <c r="D74" s="3">
        <v>1</v>
      </c>
      <c r="E74" s="3" t="s">
        <v>16</v>
      </c>
      <c r="F74" s="3" t="s">
        <v>291</v>
      </c>
      <c r="G74" s="3" t="s">
        <v>26</v>
      </c>
      <c r="H74" s="3" t="s">
        <v>109</v>
      </c>
    </row>
    <row r="75" spans="1:8" x14ac:dyDescent="0.2">
      <c r="A75" s="3">
        <v>402030027</v>
      </c>
      <c r="B75" s="4" t="s">
        <v>107</v>
      </c>
      <c r="C75" s="4" t="s">
        <v>110</v>
      </c>
      <c r="D75" s="3">
        <v>1</v>
      </c>
      <c r="E75" s="3" t="s">
        <v>16</v>
      </c>
      <c r="F75" s="3" t="s">
        <v>289</v>
      </c>
      <c r="G75" s="3" t="s">
        <v>23</v>
      </c>
      <c r="H75" s="3" t="s">
        <v>109</v>
      </c>
    </row>
    <row r="76" spans="1:8" x14ac:dyDescent="0.2">
      <c r="A76" s="3">
        <v>402020006</v>
      </c>
      <c r="B76" s="4" t="s">
        <v>111</v>
      </c>
      <c r="C76" s="4" t="s">
        <v>112</v>
      </c>
      <c r="D76" s="3">
        <v>2</v>
      </c>
      <c r="E76" s="3" t="s">
        <v>16</v>
      </c>
      <c r="F76" s="3" t="s">
        <v>293</v>
      </c>
      <c r="G76" s="3" t="s">
        <v>29</v>
      </c>
      <c r="H76" s="3" t="s">
        <v>109</v>
      </c>
    </row>
    <row r="77" spans="1:8" x14ac:dyDescent="0.2">
      <c r="A77" s="3">
        <v>3060210001</v>
      </c>
      <c r="B77" s="4" t="s">
        <v>711</v>
      </c>
      <c r="C77" s="4" t="s">
        <v>712</v>
      </c>
      <c r="D77" s="3">
        <v>4</v>
      </c>
      <c r="E77" s="3" t="s">
        <v>16</v>
      </c>
      <c r="F77" s="3" t="s">
        <v>289</v>
      </c>
      <c r="G77" s="3" t="s">
        <v>23</v>
      </c>
      <c r="H77" s="3" t="s">
        <v>115</v>
      </c>
    </row>
    <row r="78" spans="1:8" x14ac:dyDescent="0.2">
      <c r="A78" s="3">
        <v>3060209002</v>
      </c>
      <c r="B78" s="4" t="s">
        <v>113</v>
      </c>
      <c r="C78" s="4" t="s">
        <v>114</v>
      </c>
      <c r="D78" s="3">
        <v>2</v>
      </c>
      <c r="E78" s="3" t="s">
        <v>16</v>
      </c>
      <c r="F78" s="3" t="s">
        <v>293</v>
      </c>
      <c r="G78" s="3" t="s">
        <v>29</v>
      </c>
      <c r="H78" s="3" t="s">
        <v>115</v>
      </c>
    </row>
    <row r="79" spans="1:8" x14ac:dyDescent="0.2">
      <c r="A79" s="3">
        <v>3030204032</v>
      </c>
      <c r="B79" s="4" t="s">
        <v>116</v>
      </c>
      <c r="C79" s="4" t="s">
        <v>117</v>
      </c>
      <c r="D79" s="3">
        <v>1</v>
      </c>
      <c r="E79" s="3" t="s">
        <v>16</v>
      </c>
      <c r="F79" s="3" t="s">
        <v>295</v>
      </c>
      <c r="G79" s="3" t="s">
        <v>17</v>
      </c>
      <c r="H79" s="3" t="s">
        <v>115</v>
      </c>
    </row>
    <row r="80" spans="1:8" x14ac:dyDescent="0.2">
      <c r="A80" s="3">
        <v>3040216001</v>
      </c>
      <c r="B80" s="4" t="s">
        <v>328</v>
      </c>
      <c r="C80" s="4" t="s">
        <v>329</v>
      </c>
      <c r="D80" s="3">
        <v>4</v>
      </c>
      <c r="E80" s="3" t="s">
        <v>16</v>
      </c>
      <c r="F80" s="3" t="s">
        <v>293</v>
      </c>
      <c r="G80" s="3" t="s">
        <v>29</v>
      </c>
      <c r="H80" s="3" t="s">
        <v>115</v>
      </c>
    </row>
    <row r="81" spans="1:8" x14ac:dyDescent="0.2">
      <c r="A81" s="3">
        <v>3030204006</v>
      </c>
      <c r="B81" s="4" t="s">
        <v>120</v>
      </c>
      <c r="C81" s="4" t="s">
        <v>121</v>
      </c>
      <c r="D81" s="3">
        <v>2</v>
      </c>
      <c r="E81" s="3" t="s">
        <v>16</v>
      </c>
      <c r="F81" s="3" t="s">
        <v>295</v>
      </c>
      <c r="G81" s="3" t="s">
        <v>17</v>
      </c>
      <c r="H81" s="3" t="s">
        <v>115</v>
      </c>
    </row>
    <row r="82" spans="1:8" x14ac:dyDescent="0.2">
      <c r="A82" s="3">
        <v>3030204008</v>
      </c>
      <c r="B82" s="4" t="s">
        <v>122</v>
      </c>
      <c r="C82" s="4" t="s">
        <v>123</v>
      </c>
      <c r="D82" s="3">
        <v>1</v>
      </c>
      <c r="E82" s="3" t="s">
        <v>16</v>
      </c>
      <c r="F82" s="3" t="s">
        <v>291</v>
      </c>
      <c r="G82" s="3" t="s">
        <v>26</v>
      </c>
      <c r="H82" s="3" t="s">
        <v>115</v>
      </c>
    </row>
    <row r="83" spans="1:8" x14ac:dyDescent="0.2">
      <c r="A83" s="3">
        <v>3030204010</v>
      </c>
      <c r="B83" s="4" t="s">
        <v>124</v>
      </c>
      <c r="C83" s="4" t="s">
        <v>125</v>
      </c>
      <c r="D83" s="3">
        <v>1</v>
      </c>
      <c r="E83" s="3" t="s">
        <v>16</v>
      </c>
      <c r="F83" s="3" t="s">
        <v>295</v>
      </c>
      <c r="G83" s="3" t="s">
        <v>17</v>
      </c>
      <c r="H83" s="3" t="s">
        <v>115</v>
      </c>
    </row>
    <row r="84" spans="1:8" x14ac:dyDescent="0.2">
      <c r="A84" s="3">
        <v>3030204012</v>
      </c>
      <c r="B84" s="4" t="s">
        <v>126</v>
      </c>
      <c r="C84" s="4" t="s">
        <v>127</v>
      </c>
      <c r="D84" s="3">
        <v>1</v>
      </c>
      <c r="E84" s="3" t="s">
        <v>16</v>
      </c>
      <c r="F84" s="3" t="s">
        <v>295</v>
      </c>
      <c r="G84" s="3" t="s">
        <v>17</v>
      </c>
      <c r="H84" s="3" t="s">
        <v>115</v>
      </c>
    </row>
    <row r="85" spans="1:8" x14ac:dyDescent="0.2">
      <c r="A85" s="3">
        <v>3030404003</v>
      </c>
      <c r="B85" s="4" t="s">
        <v>130</v>
      </c>
      <c r="C85" s="4" t="s">
        <v>131</v>
      </c>
      <c r="D85" s="3">
        <v>2</v>
      </c>
      <c r="E85" s="3" t="s">
        <v>16</v>
      </c>
      <c r="F85" s="3" t="s">
        <v>291</v>
      </c>
      <c r="G85" s="3" t="s">
        <v>26</v>
      </c>
      <c r="H85" s="3" t="s">
        <v>132</v>
      </c>
    </row>
    <row r="86" spans="1:8" x14ac:dyDescent="0.2">
      <c r="A86" s="3">
        <v>404040025</v>
      </c>
      <c r="B86" s="4" t="s">
        <v>30</v>
      </c>
      <c r="C86" s="4" t="s">
        <v>133</v>
      </c>
      <c r="D86" s="3">
        <v>2</v>
      </c>
      <c r="E86" s="3" t="s">
        <v>16</v>
      </c>
      <c r="F86" s="3" t="s">
        <v>291</v>
      </c>
      <c r="G86" s="3" t="s">
        <v>26</v>
      </c>
      <c r="H86" s="3" t="s">
        <v>134</v>
      </c>
    </row>
    <row r="87" spans="1:8" x14ac:dyDescent="0.2">
      <c r="A87" s="3">
        <v>3990207002</v>
      </c>
      <c r="B87" s="4" t="s">
        <v>140</v>
      </c>
      <c r="C87" s="4" t="s">
        <v>714</v>
      </c>
      <c r="D87" s="3">
        <v>1</v>
      </c>
      <c r="E87" s="3" t="s">
        <v>16</v>
      </c>
      <c r="F87" s="3" t="s">
        <v>285</v>
      </c>
      <c r="G87" s="3" t="s">
        <v>142</v>
      </c>
      <c r="H87" s="3" t="s">
        <v>143</v>
      </c>
    </row>
    <row r="88" spans="1:8" x14ac:dyDescent="0.2">
      <c r="A88" s="3">
        <v>3030301005</v>
      </c>
      <c r="B88" s="4" t="s">
        <v>144</v>
      </c>
      <c r="C88" s="4" t="s">
        <v>145</v>
      </c>
      <c r="D88" s="3">
        <v>2</v>
      </c>
      <c r="E88" s="3" t="s">
        <v>16</v>
      </c>
      <c r="F88" s="3" t="s">
        <v>291</v>
      </c>
      <c r="G88" s="3" t="s">
        <v>26</v>
      </c>
      <c r="H88" s="3" t="s">
        <v>143</v>
      </c>
    </row>
    <row r="89" spans="1:8" x14ac:dyDescent="0.2">
      <c r="A89" s="3">
        <v>3990206001</v>
      </c>
      <c r="B89" s="4" t="s">
        <v>715</v>
      </c>
      <c r="C89" s="4" t="s">
        <v>716</v>
      </c>
      <c r="D89" s="3">
        <v>1</v>
      </c>
      <c r="E89" s="3" t="s">
        <v>16</v>
      </c>
      <c r="F89" s="3" t="s">
        <v>717</v>
      </c>
      <c r="G89" s="3" t="s">
        <v>718</v>
      </c>
      <c r="H89" s="3" t="s">
        <v>143</v>
      </c>
    </row>
    <row r="90" spans="1:8" x14ac:dyDescent="0.2">
      <c r="A90" s="3">
        <v>407010092</v>
      </c>
      <c r="B90" s="4" t="s">
        <v>149</v>
      </c>
      <c r="C90" s="4" t="s">
        <v>719</v>
      </c>
      <c r="D90" s="3">
        <v>1</v>
      </c>
      <c r="E90" s="3" t="s">
        <v>16</v>
      </c>
      <c r="F90" s="3" t="s">
        <v>289</v>
      </c>
      <c r="G90" s="3" t="s">
        <v>23</v>
      </c>
      <c r="H90" s="3" t="s">
        <v>151</v>
      </c>
    </row>
    <row r="91" spans="1:8" x14ac:dyDescent="0.2">
      <c r="A91" s="3">
        <v>3060318001</v>
      </c>
      <c r="B91" s="4" t="s">
        <v>720</v>
      </c>
      <c r="C91" s="4" t="s">
        <v>721</v>
      </c>
      <c r="D91" s="3">
        <v>1</v>
      </c>
      <c r="E91" s="3" t="s">
        <v>16</v>
      </c>
      <c r="F91" s="3" t="s">
        <v>289</v>
      </c>
      <c r="G91" s="3" t="s">
        <v>23</v>
      </c>
      <c r="H91" s="3" t="s">
        <v>154</v>
      </c>
    </row>
    <row r="92" spans="1:8" x14ac:dyDescent="0.2">
      <c r="A92" s="3">
        <v>3060327003</v>
      </c>
      <c r="B92" s="4" t="s">
        <v>722</v>
      </c>
      <c r="C92" s="4" t="s">
        <v>723</v>
      </c>
      <c r="D92" s="3">
        <v>1</v>
      </c>
      <c r="E92" s="3" t="s">
        <v>16</v>
      </c>
      <c r="F92" s="3" t="s">
        <v>289</v>
      </c>
      <c r="G92" s="3" t="s">
        <v>23</v>
      </c>
      <c r="H92" s="3" t="s">
        <v>154</v>
      </c>
    </row>
    <row r="93" spans="1:8" x14ac:dyDescent="0.2">
      <c r="A93" s="3">
        <v>3030203004</v>
      </c>
      <c r="B93" s="4" t="s">
        <v>155</v>
      </c>
      <c r="C93" s="4" t="s">
        <v>156</v>
      </c>
      <c r="D93" s="3">
        <v>1</v>
      </c>
      <c r="E93" s="3" t="s">
        <v>16</v>
      </c>
      <c r="F93" s="3" t="s">
        <v>295</v>
      </c>
      <c r="G93" s="3" t="s">
        <v>17</v>
      </c>
      <c r="H93" s="3" t="s">
        <v>154</v>
      </c>
    </row>
    <row r="94" spans="1:8" x14ac:dyDescent="0.2">
      <c r="A94" s="3">
        <v>3040205005</v>
      </c>
      <c r="B94" s="4" t="s">
        <v>337</v>
      </c>
      <c r="C94" s="4" t="s">
        <v>338</v>
      </c>
      <c r="D94" s="3">
        <v>2</v>
      </c>
      <c r="E94" s="3" t="s">
        <v>16</v>
      </c>
      <c r="F94" s="3" t="s">
        <v>293</v>
      </c>
      <c r="G94" s="3" t="s">
        <v>29</v>
      </c>
      <c r="H94" s="3" t="s">
        <v>154</v>
      </c>
    </row>
    <row r="95" spans="1:8" x14ac:dyDescent="0.2">
      <c r="A95" s="3">
        <v>3030310010</v>
      </c>
      <c r="B95" s="4" t="s">
        <v>161</v>
      </c>
      <c r="C95" s="4" t="s">
        <v>162</v>
      </c>
      <c r="D95" s="3">
        <v>1</v>
      </c>
      <c r="E95" s="3" t="s">
        <v>16</v>
      </c>
      <c r="F95" s="3" t="s">
        <v>295</v>
      </c>
      <c r="G95" s="3" t="s">
        <v>17</v>
      </c>
      <c r="H95" s="3" t="s">
        <v>154</v>
      </c>
    </row>
    <row r="96" spans="1:8" x14ac:dyDescent="0.2">
      <c r="A96" s="3">
        <v>3110103002</v>
      </c>
      <c r="B96" s="4" t="s">
        <v>473</v>
      </c>
      <c r="C96" s="4" t="s">
        <v>474</v>
      </c>
      <c r="D96" s="3">
        <v>1</v>
      </c>
      <c r="E96" s="3" t="s">
        <v>16</v>
      </c>
      <c r="F96" s="3" t="s">
        <v>291</v>
      </c>
      <c r="G96" s="3" t="s">
        <v>26</v>
      </c>
      <c r="H96" s="3" t="s">
        <v>165</v>
      </c>
    </row>
    <row r="97" spans="1:8" x14ac:dyDescent="0.2">
      <c r="A97" s="3">
        <v>3040310003</v>
      </c>
      <c r="B97" s="4" t="s">
        <v>339</v>
      </c>
      <c r="C97" s="4" t="s">
        <v>340</v>
      </c>
      <c r="D97" s="3">
        <v>2</v>
      </c>
      <c r="E97" s="3" t="s">
        <v>16</v>
      </c>
      <c r="F97" s="3" t="s">
        <v>293</v>
      </c>
      <c r="G97" s="3" t="s">
        <v>29</v>
      </c>
      <c r="H97" s="3" t="s">
        <v>165</v>
      </c>
    </row>
    <row r="98" spans="1:8" x14ac:dyDescent="0.2">
      <c r="A98" s="3">
        <v>3030303067</v>
      </c>
      <c r="B98" s="4" t="s">
        <v>166</v>
      </c>
      <c r="C98" s="4" t="s">
        <v>167</v>
      </c>
      <c r="D98" s="3">
        <v>1</v>
      </c>
      <c r="E98" s="3" t="s">
        <v>16</v>
      </c>
      <c r="F98" s="3" t="s">
        <v>295</v>
      </c>
      <c r="G98" s="3" t="s">
        <v>17</v>
      </c>
      <c r="H98" s="3" t="s">
        <v>165</v>
      </c>
    </row>
    <row r="99" spans="1:8" x14ac:dyDescent="0.2">
      <c r="A99" s="3">
        <v>3040321002</v>
      </c>
      <c r="B99" s="4" t="s">
        <v>341</v>
      </c>
      <c r="C99" s="4" t="s">
        <v>340</v>
      </c>
      <c r="D99" s="3">
        <v>2</v>
      </c>
      <c r="E99" s="3" t="s">
        <v>16</v>
      </c>
      <c r="F99" s="3" t="s">
        <v>293</v>
      </c>
      <c r="G99" s="3" t="s">
        <v>29</v>
      </c>
      <c r="H99" s="3" t="s">
        <v>165</v>
      </c>
    </row>
    <row r="100" spans="1:8" x14ac:dyDescent="0.2">
      <c r="A100" s="3">
        <v>3040302003</v>
      </c>
      <c r="B100" s="4" t="s">
        <v>342</v>
      </c>
      <c r="C100" s="4" t="s">
        <v>343</v>
      </c>
      <c r="D100" s="3">
        <v>2</v>
      </c>
      <c r="E100" s="3" t="s">
        <v>16</v>
      </c>
      <c r="F100" s="3" t="s">
        <v>293</v>
      </c>
      <c r="G100" s="3" t="s">
        <v>29</v>
      </c>
      <c r="H100" s="3" t="s">
        <v>165</v>
      </c>
    </row>
    <row r="101" spans="1:8" x14ac:dyDescent="0.2">
      <c r="A101" s="3">
        <v>3040315002</v>
      </c>
      <c r="B101" s="4" t="s">
        <v>344</v>
      </c>
      <c r="C101" s="4" t="s">
        <v>340</v>
      </c>
      <c r="D101" s="3">
        <v>2</v>
      </c>
      <c r="E101" s="3" t="s">
        <v>16</v>
      </c>
      <c r="F101" s="3" t="s">
        <v>293</v>
      </c>
      <c r="G101" s="3" t="s">
        <v>29</v>
      </c>
      <c r="H101" s="3" t="s">
        <v>165</v>
      </c>
    </row>
    <row r="102" spans="1:8" x14ac:dyDescent="0.2">
      <c r="A102" s="3">
        <v>3010106010</v>
      </c>
      <c r="B102" s="4" t="s">
        <v>481</v>
      </c>
      <c r="C102" s="4" t="s">
        <v>482</v>
      </c>
      <c r="D102" s="3">
        <v>0.38</v>
      </c>
      <c r="E102" s="3" t="s">
        <v>10</v>
      </c>
      <c r="F102" s="3" t="s">
        <v>284</v>
      </c>
      <c r="G102" s="3" t="s">
        <v>11</v>
      </c>
      <c r="H102" s="3" t="s">
        <v>483</v>
      </c>
    </row>
    <row r="103" spans="1:8" x14ac:dyDescent="0.2">
      <c r="A103" s="3">
        <v>3060333003</v>
      </c>
      <c r="B103" s="4" t="s">
        <v>227</v>
      </c>
      <c r="C103" s="4" t="s">
        <v>724</v>
      </c>
      <c r="D103" s="3">
        <v>1</v>
      </c>
      <c r="E103" s="3" t="s">
        <v>16</v>
      </c>
      <c r="F103" s="3" t="s">
        <v>289</v>
      </c>
      <c r="G103" s="3" t="s">
        <v>23</v>
      </c>
      <c r="H103" s="3" t="s">
        <v>173</v>
      </c>
    </row>
    <row r="104" spans="1:8" x14ac:dyDescent="0.2">
      <c r="A104" s="3">
        <v>3030303003</v>
      </c>
      <c r="B104" s="4" t="s">
        <v>175</v>
      </c>
      <c r="C104" s="4" t="s">
        <v>176</v>
      </c>
      <c r="D104" s="3">
        <v>1</v>
      </c>
      <c r="E104" s="3" t="s">
        <v>16</v>
      </c>
      <c r="F104" s="3" t="s">
        <v>295</v>
      </c>
      <c r="G104" s="3" t="s">
        <v>17</v>
      </c>
      <c r="H104" s="3" t="s">
        <v>173</v>
      </c>
    </row>
    <row r="105" spans="1:8" x14ac:dyDescent="0.2">
      <c r="A105" s="3">
        <v>3030303005</v>
      </c>
      <c r="B105" s="4" t="s">
        <v>177</v>
      </c>
      <c r="C105" s="4" t="s">
        <v>176</v>
      </c>
      <c r="D105" s="3">
        <v>1</v>
      </c>
      <c r="E105" s="3" t="s">
        <v>16</v>
      </c>
      <c r="F105" s="3" t="s">
        <v>291</v>
      </c>
      <c r="G105" s="3" t="s">
        <v>26</v>
      </c>
      <c r="H105" s="3" t="s">
        <v>173</v>
      </c>
    </row>
    <row r="106" spans="1:8" x14ac:dyDescent="0.2">
      <c r="A106" s="3">
        <v>3040328005</v>
      </c>
      <c r="B106" s="4" t="s">
        <v>267</v>
      </c>
      <c r="C106" s="4" t="s">
        <v>345</v>
      </c>
      <c r="D106" s="3">
        <v>2</v>
      </c>
      <c r="E106" s="3" t="s">
        <v>16</v>
      </c>
      <c r="F106" s="3" t="s">
        <v>293</v>
      </c>
      <c r="G106" s="3" t="s">
        <v>29</v>
      </c>
      <c r="H106" s="3" t="s">
        <v>173</v>
      </c>
    </row>
    <row r="107" spans="1:8" x14ac:dyDescent="0.2">
      <c r="A107" s="3">
        <v>3040309001</v>
      </c>
      <c r="B107" s="4" t="s">
        <v>346</v>
      </c>
      <c r="C107" s="4" t="s">
        <v>347</v>
      </c>
      <c r="D107" s="3">
        <v>8</v>
      </c>
      <c r="E107" s="3" t="s">
        <v>16</v>
      </c>
      <c r="F107" s="3" t="s">
        <v>293</v>
      </c>
      <c r="G107" s="3" t="s">
        <v>29</v>
      </c>
      <c r="H107" s="3" t="s">
        <v>173</v>
      </c>
    </row>
    <row r="108" spans="1:8" x14ac:dyDescent="0.2">
      <c r="A108" s="3">
        <v>3060340001</v>
      </c>
      <c r="B108" s="4" t="s">
        <v>725</v>
      </c>
      <c r="C108" s="4" t="s">
        <v>726</v>
      </c>
      <c r="D108" s="3">
        <v>1</v>
      </c>
      <c r="E108" s="3" t="s">
        <v>16</v>
      </c>
      <c r="F108" s="3" t="s">
        <v>702</v>
      </c>
      <c r="G108" s="3" t="s">
        <v>703</v>
      </c>
      <c r="H108" s="3" t="s">
        <v>173</v>
      </c>
    </row>
    <row r="109" spans="1:8" x14ac:dyDescent="0.2">
      <c r="A109" s="3">
        <v>3030310007</v>
      </c>
      <c r="B109" s="4" t="s">
        <v>178</v>
      </c>
      <c r="C109" s="4" t="s">
        <v>179</v>
      </c>
      <c r="D109" s="3">
        <v>1</v>
      </c>
      <c r="E109" s="3" t="s">
        <v>16</v>
      </c>
      <c r="F109" s="3" t="s">
        <v>295</v>
      </c>
      <c r="G109" s="3" t="s">
        <v>17</v>
      </c>
      <c r="H109" s="3" t="s">
        <v>173</v>
      </c>
    </row>
    <row r="110" spans="1:8" x14ac:dyDescent="0.2">
      <c r="A110" s="3">
        <v>3030310009</v>
      </c>
      <c r="B110" s="4" t="s">
        <v>180</v>
      </c>
      <c r="C110" s="4" t="s">
        <v>179</v>
      </c>
      <c r="D110" s="3">
        <v>1</v>
      </c>
      <c r="E110" s="3" t="s">
        <v>16</v>
      </c>
      <c r="F110" s="3" t="s">
        <v>295</v>
      </c>
      <c r="G110" s="3" t="s">
        <v>17</v>
      </c>
      <c r="H110" s="3" t="s">
        <v>173</v>
      </c>
    </row>
    <row r="111" spans="1:8" x14ac:dyDescent="0.2">
      <c r="A111" s="3">
        <v>3020501014</v>
      </c>
      <c r="B111" s="4" t="s">
        <v>183</v>
      </c>
      <c r="C111" s="4" t="s">
        <v>350</v>
      </c>
      <c r="D111" s="3">
        <v>1</v>
      </c>
      <c r="E111" s="3" t="s">
        <v>16</v>
      </c>
      <c r="F111" s="3" t="s">
        <v>291</v>
      </c>
      <c r="G111" s="3" t="s">
        <v>26</v>
      </c>
      <c r="H111" s="3" t="s">
        <v>185</v>
      </c>
    </row>
    <row r="112" spans="1:8" x14ac:dyDescent="0.2">
      <c r="A112" s="3">
        <v>3990201009</v>
      </c>
      <c r="B112" s="4" t="s">
        <v>186</v>
      </c>
      <c r="C112" s="4" t="s">
        <v>606</v>
      </c>
      <c r="D112" s="3">
        <v>1</v>
      </c>
      <c r="E112" s="3" t="s">
        <v>16</v>
      </c>
      <c r="F112" s="3" t="s">
        <v>295</v>
      </c>
      <c r="G112" s="3" t="s">
        <v>17</v>
      </c>
      <c r="H112" s="3" t="s">
        <v>187</v>
      </c>
    </row>
    <row r="113" spans="1:8" x14ac:dyDescent="0.2">
      <c r="A113" s="3">
        <v>3990202008</v>
      </c>
      <c r="B113" s="4" t="s">
        <v>188</v>
      </c>
      <c r="C113" s="4" t="s">
        <v>606</v>
      </c>
      <c r="D113" s="3">
        <v>1</v>
      </c>
      <c r="E113" s="3" t="s">
        <v>16</v>
      </c>
      <c r="F113" s="3" t="s">
        <v>295</v>
      </c>
      <c r="G113" s="3" t="s">
        <v>17</v>
      </c>
      <c r="H113" s="3" t="s">
        <v>187</v>
      </c>
    </row>
    <row r="114" spans="1:8" x14ac:dyDescent="0.2">
      <c r="A114" s="3">
        <v>3990203004</v>
      </c>
      <c r="B114" s="4" t="s">
        <v>189</v>
      </c>
      <c r="C114" s="4" t="s">
        <v>606</v>
      </c>
      <c r="D114" s="3">
        <v>1</v>
      </c>
      <c r="E114" s="3" t="s">
        <v>16</v>
      </c>
      <c r="F114" s="3" t="s">
        <v>291</v>
      </c>
      <c r="G114" s="3" t="s">
        <v>26</v>
      </c>
      <c r="H114" s="3" t="s">
        <v>187</v>
      </c>
    </row>
    <row r="115" spans="1:8" x14ac:dyDescent="0.2">
      <c r="A115" s="3">
        <v>3030401002</v>
      </c>
      <c r="B115" s="4" t="s">
        <v>190</v>
      </c>
      <c r="C115" s="4" t="s">
        <v>191</v>
      </c>
      <c r="D115" s="3">
        <v>1</v>
      </c>
      <c r="E115" s="3" t="s">
        <v>16</v>
      </c>
      <c r="F115" s="3" t="s">
        <v>295</v>
      </c>
      <c r="G115" s="3" t="s">
        <v>17</v>
      </c>
      <c r="H115" s="3" t="s">
        <v>192</v>
      </c>
    </row>
    <row r="116" spans="1:8" x14ac:dyDescent="0.2">
      <c r="A116" s="3">
        <v>3060401001</v>
      </c>
      <c r="B116" s="4" t="s">
        <v>727</v>
      </c>
      <c r="C116" s="4" t="s">
        <v>728</v>
      </c>
      <c r="D116" s="3">
        <v>2</v>
      </c>
      <c r="E116" s="3" t="s">
        <v>16</v>
      </c>
      <c r="F116" s="3" t="s">
        <v>289</v>
      </c>
      <c r="G116" s="3" t="s">
        <v>23</v>
      </c>
      <c r="H116" s="3" t="s">
        <v>192</v>
      </c>
    </row>
    <row r="117" spans="1:8" x14ac:dyDescent="0.2">
      <c r="A117" s="3">
        <v>404060019</v>
      </c>
      <c r="B117" s="4" t="s">
        <v>30</v>
      </c>
      <c r="C117" s="4" t="s">
        <v>352</v>
      </c>
      <c r="D117" s="3">
        <v>1</v>
      </c>
      <c r="E117" s="3" t="s">
        <v>16</v>
      </c>
      <c r="F117" s="3" t="s">
        <v>291</v>
      </c>
      <c r="G117" s="3" t="s">
        <v>26</v>
      </c>
      <c r="H117" s="3" t="s">
        <v>198</v>
      </c>
    </row>
    <row r="118" spans="1:8" x14ac:dyDescent="0.2">
      <c r="A118" s="3">
        <v>404020035</v>
      </c>
      <c r="B118" s="4" t="s">
        <v>30</v>
      </c>
      <c r="C118" s="4" t="s">
        <v>199</v>
      </c>
      <c r="D118" s="3">
        <v>1</v>
      </c>
      <c r="E118" s="3" t="s">
        <v>16</v>
      </c>
      <c r="F118" s="3" t="s">
        <v>291</v>
      </c>
      <c r="G118" s="3" t="s">
        <v>26</v>
      </c>
      <c r="H118" s="3" t="s">
        <v>198</v>
      </c>
    </row>
    <row r="119" spans="1:8" x14ac:dyDescent="0.2">
      <c r="A119" s="3">
        <v>403030038</v>
      </c>
      <c r="B119" s="4" t="s">
        <v>801</v>
      </c>
      <c r="C119" s="4" t="s">
        <v>1928</v>
      </c>
      <c r="D119" s="3">
        <v>1</v>
      </c>
      <c r="E119" s="3" t="s">
        <v>16</v>
      </c>
      <c r="F119" s="3" t="s">
        <v>291</v>
      </c>
      <c r="G119" s="3" t="s">
        <v>26</v>
      </c>
      <c r="H119" s="3" t="s">
        <v>198</v>
      </c>
    </row>
    <row r="120" spans="1:8" x14ac:dyDescent="0.2">
      <c r="A120" s="3">
        <v>403030019</v>
      </c>
      <c r="B120" s="4" t="s">
        <v>801</v>
      </c>
      <c r="C120" s="4" t="s">
        <v>1151</v>
      </c>
      <c r="D120" s="3">
        <v>1</v>
      </c>
      <c r="E120" s="3" t="s">
        <v>16</v>
      </c>
      <c r="F120" s="3" t="s">
        <v>291</v>
      </c>
      <c r="G120" s="3" t="s">
        <v>26</v>
      </c>
      <c r="H120" s="3" t="s">
        <v>198</v>
      </c>
    </row>
    <row r="121" spans="1:8" x14ac:dyDescent="0.2">
      <c r="A121" s="3">
        <v>40901001</v>
      </c>
      <c r="B121" s="4" t="s">
        <v>801</v>
      </c>
      <c r="C121" s="4" t="s">
        <v>1916</v>
      </c>
      <c r="D121" s="3">
        <v>1</v>
      </c>
      <c r="E121" s="3" t="s">
        <v>16</v>
      </c>
      <c r="F121" s="3" t="s">
        <v>291</v>
      </c>
      <c r="G121" s="3" t="s">
        <v>26</v>
      </c>
      <c r="H121" s="3" t="s">
        <v>198</v>
      </c>
    </row>
    <row r="122" spans="1:8" x14ac:dyDescent="0.2">
      <c r="A122" s="3">
        <v>401070018</v>
      </c>
      <c r="B122" s="4" t="s">
        <v>35</v>
      </c>
      <c r="C122" s="4" t="s">
        <v>202</v>
      </c>
      <c r="D122" s="3">
        <v>1</v>
      </c>
      <c r="E122" s="3" t="s">
        <v>16</v>
      </c>
      <c r="F122" s="3" t="s">
        <v>291</v>
      </c>
      <c r="G122" s="3" t="s">
        <v>26</v>
      </c>
      <c r="H122" s="3" t="s">
        <v>198</v>
      </c>
    </row>
    <row r="123" spans="1:8" x14ac:dyDescent="0.2">
      <c r="A123" s="3">
        <v>401070022</v>
      </c>
      <c r="B123" s="4" t="s">
        <v>35</v>
      </c>
      <c r="C123" s="4" t="s">
        <v>203</v>
      </c>
      <c r="D123" s="3">
        <v>1</v>
      </c>
      <c r="E123" s="3" t="s">
        <v>16</v>
      </c>
      <c r="F123" s="3" t="s">
        <v>297</v>
      </c>
      <c r="G123" s="3" t="s">
        <v>204</v>
      </c>
      <c r="H123" s="3" t="s">
        <v>198</v>
      </c>
    </row>
    <row r="124" spans="1:8" x14ac:dyDescent="0.2">
      <c r="A124" s="3">
        <v>3992002001</v>
      </c>
      <c r="B124" s="4" t="s">
        <v>212</v>
      </c>
      <c r="C124" s="4" t="s">
        <v>213</v>
      </c>
      <c r="D124" s="3">
        <v>2</v>
      </c>
      <c r="E124" s="3" t="s">
        <v>16</v>
      </c>
      <c r="F124" s="3" t="s">
        <v>295</v>
      </c>
      <c r="G124" s="3" t="s">
        <v>17</v>
      </c>
      <c r="H124" s="3" t="s">
        <v>214</v>
      </c>
    </row>
    <row r="125" spans="1:8" x14ac:dyDescent="0.2">
      <c r="A125" s="3">
        <v>3992001001</v>
      </c>
      <c r="B125" s="4" t="s">
        <v>215</v>
      </c>
      <c r="C125" s="4" t="s">
        <v>213</v>
      </c>
      <c r="D125" s="3">
        <v>2</v>
      </c>
      <c r="E125" s="3" t="s">
        <v>16</v>
      </c>
      <c r="F125" s="3" t="s">
        <v>295</v>
      </c>
      <c r="G125" s="3" t="s">
        <v>17</v>
      </c>
      <c r="H125" s="3" t="s">
        <v>214</v>
      </c>
    </row>
    <row r="126" spans="1:8" x14ac:dyDescent="0.2">
      <c r="A126" s="3">
        <v>3030201004</v>
      </c>
      <c r="B126" s="4" t="s">
        <v>216</v>
      </c>
      <c r="C126" s="4" t="s">
        <v>213</v>
      </c>
      <c r="D126" s="3">
        <v>2</v>
      </c>
      <c r="E126" s="3" t="s">
        <v>16</v>
      </c>
      <c r="F126" s="3" t="s">
        <v>295</v>
      </c>
      <c r="G126" s="3" t="s">
        <v>17</v>
      </c>
      <c r="H126" s="3" t="s">
        <v>214</v>
      </c>
    </row>
    <row r="127" spans="1:8" x14ac:dyDescent="0.2">
      <c r="A127" s="3">
        <v>3049904001</v>
      </c>
      <c r="B127" s="4" t="s">
        <v>354</v>
      </c>
      <c r="C127" s="4" t="s">
        <v>355</v>
      </c>
      <c r="D127" s="3">
        <v>4</v>
      </c>
      <c r="E127" s="3" t="s">
        <v>16</v>
      </c>
      <c r="F127" s="3" t="s">
        <v>293</v>
      </c>
      <c r="G127" s="3" t="s">
        <v>29</v>
      </c>
      <c r="H127" s="3" t="s">
        <v>214</v>
      </c>
    </row>
    <row r="128" spans="1:8" x14ac:dyDescent="0.2">
      <c r="A128" s="3">
        <v>3049902005</v>
      </c>
      <c r="B128" s="4" t="s">
        <v>356</v>
      </c>
      <c r="C128" s="4" t="s">
        <v>357</v>
      </c>
      <c r="D128" s="3">
        <v>2</v>
      </c>
      <c r="E128" s="3" t="s">
        <v>16</v>
      </c>
      <c r="F128" s="3" t="s">
        <v>293</v>
      </c>
      <c r="G128" s="3" t="s">
        <v>29</v>
      </c>
      <c r="H128" s="3" t="s">
        <v>214</v>
      </c>
    </row>
    <row r="129" spans="1:8" x14ac:dyDescent="0.2">
      <c r="A129" s="3">
        <v>3049902010</v>
      </c>
      <c r="B129" s="4" t="s">
        <v>358</v>
      </c>
      <c r="C129" s="4" t="s">
        <v>359</v>
      </c>
      <c r="D129" s="3">
        <v>2</v>
      </c>
      <c r="E129" s="3" t="s">
        <v>16</v>
      </c>
      <c r="F129" s="3" t="s">
        <v>293</v>
      </c>
      <c r="G129" s="3" t="s">
        <v>29</v>
      </c>
      <c r="H129" s="3" t="s">
        <v>214</v>
      </c>
    </row>
    <row r="130" spans="1:8" x14ac:dyDescent="0.2">
      <c r="A130" s="3">
        <v>3030201005</v>
      </c>
      <c r="B130" s="4" t="s">
        <v>217</v>
      </c>
      <c r="C130" s="4" t="s">
        <v>218</v>
      </c>
      <c r="D130" s="3">
        <v>12</v>
      </c>
      <c r="E130" s="3" t="s">
        <v>16</v>
      </c>
      <c r="F130" s="3" t="s">
        <v>295</v>
      </c>
      <c r="G130" s="3" t="s">
        <v>17</v>
      </c>
      <c r="H130" s="3" t="s">
        <v>214</v>
      </c>
    </row>
    <row r="131" spans="1:8" x14ac:dyDescent="0.2">
      <c r="A131" s="3">
        <v>3060404003</v>
      </c>
      <c r="B131" s="4" t="s">
        <v>729</v>
      </c>
      <c r="C131" s="4" t="s">
        <v>730</v>
      </c>
      <c r="D131" s="3">
        <v>1</v>
      </c>
      <c r="E131" s="3" t="s">
        <v>16</v>
      </c>
      <c r="F131" s="3" t="s">
        <v>289</v>
      </c>
      <c r="G131" s="3" t="s">
        <v>23</v>
      </c>
      <c r="H131" s="3" t="s">
        <v>221</v>
      </c>
    </row>
    <row r="132" spans="1:8" x14ac:dyDescent="0.2">
      <c r="A132" s="3">
        <v>3030403001</v>
      </c>
      <c r="B132" s="4" t="s">
        <v>219</v>
      </c>
      <c r="C132" s="4" t="s">
        <v>220</v>
      </c>
      <c r="D132" s="3">
        <v>1</v>
      </c>
      <c r="E132" s="3" t="s">
        <v>16</v>
      </c>
      <c r="F132" s="3" t="s">
        <v>295</v>
      </c>
      <c r="G132" s="3" t="s">
        <v>17</v>
      </c>
      <c r="H132" s="3" t="s">
        <v>221</v>
      </c>
    </row>
    <row r="133" spans="1:8" x14ac:dyDescent="0.2">
      <c r="A133" s="3">
        <v>3040402013</v>
      </c>
      <c r="B133" s="4" t="s">
        <v>193</v>
      </c>
      <c r="C133" s="4" t="s">
        <v>363</v>
      </c>
      <c r="D133" s="3">
        <v>1</v>
      </c>
      <c r="E133" s="3" t="s">
        <v>16</v>
      </c>
      <c r="F133" s="3" t="s">
        <v>293</v>
      </c>
      <c r="G133" s="3" t="s">
        <v>29</v>
      </c>
      <c r="H133" s="3" t="s">
        <v>221</v>
      </c>
    </row>
    <row r="134" spans="1:8" x14ac:dyDescent="0.2">
      <c r="A134" s="3">
        <v>3040402014</v>
      </c>
      <c r="B134" s="4" t="s">
        <v>193</v>
      </c>
      <c r="C134" s="4" t="s">
        <v>364</v>
      </c>
      <c r="D134" s="3">
        <v>1</v>
      </c>
      <c r="E134" s="3" t="s">
        <v>16</v>
      </c>
      <c r="F134" s="3" t="s">
        <v>293</v>
      </c>
      <c r="G134" s="3" t="s">
        <v>29</v>
      </c>
      <c r="H134" s="3" t="s">
        <v>221</v>
      </c>
    </row>
    <row r="135" spans="1:8" x14ac:dyDescent="0.2">
      <c r="A135" s="3">
        <v>3020301001</v>
      </c>
      <c r="B135" s="4" t="s">
        <v>209</v>
      </c>
      <c r="C135" s="4" t="s">
        <v>365</v>
      </c>
      <c r="D135" s="3">
        <v>1</v>
      </c>
      <c r="E135" s="3" t="s">
        <v>16</v>
      </c>
      <c r="F135" s="3" t="s">
        <v>291</v>
      </c>
      <c r="G135" s="3" t="s">
        <v>26</v>
      </c>
      <c r="H135" s="3" t="s">
        <v>221</v>
      </c>
    </row>
    <row r="136" spans="1:8" x14ac:dyDescent="0.2">
      <c r="A136" s="3">
        <v>403030051</v>
      </c>
      <c r="B136" s="4" t="s">
        <v>366</v>
      </c>
      <c r="C136" s="4" t="s">
        <v>367</v>
      </c>
      <c r="D136" s="3">
        <v>3</v>
      </c>
      <c r="E136" s="3" t="s">
        <v>16</v>
      </c>
      <c r="F136" s="3" t="s">
        <v>301</v>
      </c>
      <c r="G136" s="3" t="s">
        <v>32</v>
      </c>
      <c r="H136" s="3" t="s">
        <v>221</v>
      </c>
    </row>
    <row r="137" spans="1:8" x14ac:dyDescent="0.2">
      <c r="A137" s="3">
        <v>403030005</v>
      </c>
      <c r="B137" s="4" t="s">
        <v>366</v>
      </c>
      <c r="C137" s="4" t="s">
        <v>368</v>
      </c>
      <c r="D137" s="3">
        <v>2</v>
      </c>
      <c r="E137" s="3" t="s">
        <v>16</v>
      </c>
      <c r="F137" s="3" t="s">
        <v>301</v>
      </c>
      <c r="G137" s="3" t="s">
        <v>32</v>
      </c>
      <c r="H137" s="3" t="s">
        <v>221</v>
      </c>
    </row>
    <row r="138" spans="1:8" x14ac:dyDescent="0.2">
      <c r="A138" s="3">
        <v>3050401001</v>
      </c>
      <c r="B138" s="4" t="s">
        <v>222</v>
      </c>
      <c r="C138" s="4" t="s">
        <v>223</v>
      </c>
      <c r="D138" s="3">
        <v>1</v>
      </c>
      <c r="E138" s="3" t="s">
        <v>16</v>
      </c>
      <c r="F138" s="3" t="s">
        <v>291</v>
      </c>
      <c r="G138" s="3" t="s">
        <v>26</v>
      </c>
      <c r="H138" s="3" t="s">
        <v>221</v>
      </c>
    </row>
    <row r="139" spans="1:8" x14ac:dyDescent="0.2">
      <c r="A139" s="3">
        <v>402050001</v>
      </c>
      <c r="B139" s="4" t="s">
        <v>522</v>
      </c>
      <c r="C139" s="4" t="s">
        <v>523</v>
      </c>
      <c r="D139" s="3">
        <v>1</v>
      </c>
      <c r="E139" s="3" t="s">
        <v>16</v>
      </c>
      <c r="F139" s="3" t="s">
        <v>289</v>
      </c>
      <c r="G139" s="3" t="s">
        <v>23</v>
      </c>
      <c r="H139" s="3" t="s">
        <v>524</v>
      </c>
    </row>
    <row r="140" spans="1:8" x14ac:dyDescent="0.2">
      <c r="A140" s="3">
        <v>3040502057</v>
      </c>
      <c r="B140" s="4" t="s">
        <v>136</v>
      </c>
      <c r="C140" s="4" t="s">
        <v>369</v>
      </c>
      <c r="D140" s="3">
        <v>1</v>
      </c>
      <c r="E140" s="3" t="s">
        <v>16</v>
      </c>
      <c r="F140" s="3" t="s">
        <v>293</v>
      </c>
      <c r="G140" s="3" t="s">
        <v>29</v>
      </c>
      <c r="H140" s="3" t="s">
        <v>370</v>
      </c>
    </row>
    <row r="141" spans="1:8" x14ac:dyDescent="0.2">
      <c r="A141" s="3">
        <v>3040502056</v>
      </c>
      <c r="B141" s="4" t="s">
        <v>136</v>
      </c>
      <c r="C141" s="4" t="s">
        <v>371</v>
      </c>
      <c r="D141" s="3">
        <v>1</v>
      </c>
      <c r="E141" s="3" t="s">
        <v>16</v>
      </c>
      <c r="F141" s="3" t="s">
        <v>293</v>
      </c>
      <c r="G141" s="3" t="s">
        <v>29</v>
      </c>
      <c r="H141" s="3" t="s">
        <v>370</v>
      </c>
    </row>
    <row r="142" spans="1:8" x14ac:dyDescent="0.2">
      <c r="A142" s="3">
        <v>3060301001</v>
      </c>
      <c r="B142" s="4" t="s">
        <v>731</v>
      </c>
      <c r="C142" s="4" t="s">
        <v>732</v>
      </c>
      <c r="D142" s="3">
        <v>1</v>
      </c>
      <c r="E142" s="3" t="s">
        <v>16</v>
      </c>
      <c r="F142" s="3" t="s">
        <v>289</v>
      </c>
      <c r="G142" s="3" t="s">
        <v>23</v>
      </c>
      <c r="H142" s="3" t="s">
        <v>226</v>
      </c>
    </row>
    <row r="143" spans="1:8" x14ac:dyDescent="0.2">
      <c r="A143" s="3">
        <v>3050305016</v>
      </c>
      <c r="B143" s="4" t="s">
        <v>527</v>
      </c>
      <c r="C143" s="4" t="s">
        <v>528</v>
      </c>
      <c r="D143" s="3">
        <v>1</v>
      </c>
      <c r="E143" s="3" t="s">
        <v>16</v>
      </c>
      <c r="F143" s="3" t="s">
        <v>291</v>
      </c>
      <c r="G143" s="3" t="s">
        <v>26</v>
      </c>
      <c r="H143" s="3" t="s">
        <v>226</v>
      </c>
    </row>
    <row r="144" spans="1:8" x14ac:dyDescent="0.2">
      <c r="A144" s="3">
        <v>3050305015</v>
      </c>
      <c r="B144" s="4" t="s">
        <v>529</v>
      </c>
      <c r="C144" s="4" t="s">
        <v>530</v>
      </c>
      <c r="D144" s="3">
        <v>1</v>
      </c>
      <c r="E144" s="3" t="s">
        <v>16</v>
      </c>
      <c r="F144" s="3" t="s">
        <v>291</v>
      </c>
      <c r="G144" s="3" t="s">
        <v>26</v>
      </c>
      <c r="H144" s="3" t="s">
        <v>226</v>
      </c>
    </row>
    <row r="145" spans="1:8" x14ac:dyDescent="0.2">
      <c r="A145" s="3">
        <v>3050306011</v>
      </c>
      <c r="B145" s="4" t="s">
        <v>531</v>
      </c>
      <c r="C145" s="4" t="s">
        <v>609</v>
      </c>
      <c r="D145" s="3">
        <v>1</v>
      </c>
      <c r="E145" s="3" t="s">
        <v>16</v>
      </c>
      <c r="F145" s="3" t="s">
        <v>291</v>
      </c>
      <c r="G145" s="3" t="s">
        <v>26</v>
      </c>
      <c r="H145" s="3" t="s">
        <v>226</v>
      </c>
    </row>
    <row r="146" spans="1:8" x14ac:dyDescent="0.2">
      <c r="A146" s="3">
        <v>3030306008</v>
      </c>
      <c r="B146" s="4" t="s">
        <v>235</v>
      </c>
      <c r="C146" s="4" t="s">
        <v>236</v>
      </c>
      <c r="D146" s="3">
        <v>1</v>
      </c>
      <c r="E146" s="3" t="s">
        <v>16</v>
      </c>
      <c r="F146" s="3" t="s">
        <v>295</v>
      </c>
      <c r="G146" s="3" t="s">
        <v>17</v>
      </c>
      <c r="H146" s="3" t="s">
        <v>226</v>
      </c>
    </row>
    <row r="147" spans="1:8" x14ac:dyDescent="0.2">
      <c r="A147" s="3">
        <v>3030314001</v>
      </c>
      <c r="B147" s="4" t="s">
        <v>237</v>
      </c>
      <c r="C147" s="4" t="s">
        <v>238</v>
      </c>
      <c r="D147" s="3">
        <v>1</v>
      </c>
      <c r="E147" s="3" t="s">
        <v>16</v>
      </c>
      <c r="F147" s="3" t="s">
        <v>291</v>
      </c>
      <c r="G147" s="3" t="s">
        <v>26</v>
      </c>
      <c r="H147" s="3" t="s">
        <v>226</v>
      </c>
    </row>
    <row r="148" spans="1:8" x14ac:dyDescent="0.2">
      <c r="A148" s="3">
        <v>3020101003</v>
      </c>
      <c r="B148" s="4" t="s">
        <v>239</v>
      </c>
      <c r="C148" s="4" t="s">
        <v>733</v>
      </c>
      <c r="D148" s="3">
        <v>5</v>
      </c>
      <c r="E148" s="3" t="s">
        <v>16</v>
      </c>
      <c r="F148" s="3" t="s">
        <v>297</v>
      </c>
      <c r="G148" s="3" t="s">
        <v>204</v>
      </c>
      <c r="H148" s="3" t="s">
        <v>226</v>
      </c>
    </row>
    <row r="149" spans="1:8" x14ac:dyDescent="0.2">
      <c r="A149" s="3">
        <v>3030303011</v>
      </c>
      <c r="B149" s="4" t="s">
        <v>611</v>
      </c>
      <c r="C149" s="4" t="s">
        <v>612</v>
      </c>
      <c r="D149" s="3">
        <v>2</v>
      </c>
      <c r="E149" s="3" t="s">
        <v>16</v>
      </c>
      <c r="F149" s="3" t="s">
        <v>291</v>
      </c>
      <c r="G149" s="3" t="s">
        <v>26</v>
      </c>
      <c r="H149" s="3" t="s">
        <v>226</v>
      </c>
    </row>
    <row r="150" spans="1:8" x14ac:dyDescent="0.2">
      <c r="A150" s="3">
        <v>3050302012</v>
      </c>
      <c r="B150" s="4" t="s">
        <v>1921</v>
      </c>
      <c r="C150" s="4" t="s">
        <v>1922</v>
      </c>
      <c r="D150" s="3">
        <v>1</v>
      </c>
      <c r="E150" s="3" t="s">
        <v>16</v>
      </c>
      <c r="F150" s="3" t="s">
        <v>291</v>
      </c>
      <c r="G150" s="3" t="s">
        <v>26</v>
      </c>
      <c r="H150" s="3" t="s">
        <v>226</v>
      </c>
    </row>
    <row r="151" spans="1:8" x14ac:dyDescent="0.2">
      <c r="A151" s="3">
        <v>3080401031</v>
      </c>
      <c r="B151" s="4" t="s">
        <v>41</v>
      </c>
      <c r="C151" s="4" t="s">
        <v>551</v>
      </c>
      <c r="D151" s="3">
        <v>1</v>
      </c>
      <c r="E151" s="3" t="s">
        <v>16</v>
      </c>
      <c r="F151" s="3" t="s">
        <v>291</v>
      </c>
      <c r="G151" s="3" t="s">
        <v>26</v>
      </c>
      <c r="H151" s="3" t="s">
        <v>249</v>
      </c>
    </row>
    <row r="152" spans="1:8" x14ac:dyDescent="0.2">
      <c r="A152" s="3">
        <v>3080301002</v>
      </c>
      <c r="B152" s="4" t="s">
        <v>247</v>
      </c>
      <c r="C152" s="4" t="s">
        <v>248</v>
      </c>
      <c r="D152" s="3">
        <v>1</v>
      </c>
      <c r="E152" s="3" t="s">
        <v>16</v>
      </c>
      <c r="F152" s="3" t="s">
        <v>295</v>
      </c>
      <c r="G152" s="3" t="s">
        <v>17</v>
      </c>
      <c r="H152" s="3" t="s">
        <v>249</v>
      </c>
    </row>
    <row r="153" spans="1:8" x14ac:dyDescent="0.2">
      <c r="A153" s="3">
        <v>3080107017</v>
      </c>
      <c r="B153" s="4" t="s">
        <v>69</v>
      </c>
      <c r="C153" s="4" t="s">
        <v>251</v>
      </c>
      <c r="D153" s="3">
        <v>4</v>
      </c>
      <c r="E153" s="3" t="s">
        <v>16</v>
      </c>
      <c r="F153" s="3" t="s">
        <v>295</v>
      </c>
      <c r="G153" s="3" t="s">
        <v>17</v>
      </c>
      <c r="H153" s="3" t="s">
        <v>249</v>
      </c>
    </row>
    <row r="154" spans="1:8" x14ac:dyDescent="0.2">
      <c r="A154" s="3">
        <v>3060335005</v>
      </c>
      <c r="B154" s="4" t="s">
        <v>233</v>
      </c>
      <c r="C154" s="4" t="s">
        <v>734</v>
      </c>
      <c r="D154" s="3">
        <v>1</v>
      </c>
      <c r="E154" s="3" t="s">
        <v>16</v>
      </c>
      <c r="F154" s="3" t="s">
        <v>289</v>
      </c>
      <c r="G154" s="3" t="s">
        <v>23</v>
      </c>
      <c r="H154" s="3" t="s">
        <v>254</v>
      </c>
    </row>
    <row r="155" spans="1:8" x14ac:dyDescent="0.2">
      <c r="A155" s="3">
        <v>3060324001</v>
      </c>
      <c r="B155" s="4" t="s">
        <v>735</v>
      </c>
      <c r="C155" s="4" t="s">
        <v>736</v>
      </c>
      <c r="D155" s="3">
        <v>1</v>
      </c>
      <c r="E155" s="3" t="s">
        <v>16</v>
      </c>
      <c r="F155" s="3" t="s">
        <v>289</v>
      </c>
      <c r="G155" s="3" t="s">
        <v>23</v>
      </c>
      <c r="H155" s="3" t="s">
        <v>254</v>
      </c>
    </row>
    <row r="156" spans="1:8" x14ac:dyDescent="0.2">
      <c r="A156" s="3">
        <v>3030315001</v>
      </c>
      <c r="B156" s="4" t="s">
        <v>257</v>
      </c>
      <c r="C156" s="4" t="s">
        <v>258</v>
      </c>
      <c r="D156" s="3">
        <v>2</v>
      </c>
      <c r="E156" s="3" t="s">
        <v>16</v>
      </c>
      <c r="F156" s="3" t="s">
        <v>295</v>
      </c>
      <c r="G156" s="3" t="s">
        <v>17</v>
      </c>
      <c r="H156" s="3" t="s">
        <v>254</v>
      </c>
    </row>
    <row r="157" spans="1:8" x14ac:dyDescent="0.2">
      <c r="A157" s="3">
        <v>3030304002</v>
      </c>
      <c r="B157" s="4" t="s">
        <v>259</v>
      </c>
      <c r="C157" s="4" t="s">
        <v>258</v>
      </c>
      <c r="D157" s="3">
        <v>1</v>
      </c>
      <c r="E157" s="3" t="s">
        <v>16</v>
      </c>
      <c r="F157" s="3" t="s">
        <v>295</v>
      </c>
      <c r="G157" s="3" t="s">
        <v>17</v>
      </c>
      <c r="H157" s="3" t="s">
        <v>254</v>
      </c>
    </row>
    <row r="158" spans="1:8" x14ac:dyDescent="0.2">
      <c r="A158" s="3">
        <v>3030304004</v>
      </c>
      <c r="B158" s="4" t="s">
        <v>260</v>
      </c>
      <c r="C158" s="4" t="s">
        <v>258</v>
      </c>
      <c r="D158" s="3">
        <v>1</v>
      </c>
      <c r="E158" s="3" t="s">
        <v>16</v>
      </c>
      <c r="F158" s="3" t="s">
        <v>295</v>
      </c>
      <c r="G158" s="3" t="s">
        <v>17</v>
      </c>
      <c r="H158" s="3" t="s">
        <v>254</v>
      </c>
    </row>
    <row r="159" spans="1:8" x14ac:dyDescent="0.2">
      <c r="A159" s="3">
        <v>3030316001</v>
      </c>
      <c r="B159" s="4" t="s">
        <v>261</v>
      </c>
      <c r="C159" s="4" t="s">
        <v>262</v>
      </c>
      <c r="D159" s="3">
        <v>3</v>
      </c>
      <c r="E159" s="3" t="s">
        <v>16</v>
      </c>
      <c r="F159" s="3" t="s">
        <v>295</v>
      </c>
      <c r="G159" s="3" t="s">
        <v>17</v>
      </c>
      <c r="H159" s="3" t="s">
        <v>254</v>
      </c>
    </row>
    <row r="160" spans="1:8" x14ac:dyDescent="0.2">
      <c r="A160" s="3">
        <v>3040304005</v>
      </c>
      <c r="B160" s="4" t="s">
        <v>380</v>
      </c>
      <c r="C160" s="4" t="s">
        <v>381</v>
      </c>
      <c r="D160" s="3">
        <v>2</v>
      </c>
      <c r="E160" s="3" t="s">
        <v>16</v>
      </c>
      <c r="F160" s="3" t="s">
        <v>293</v>
      </c>
      <c r="G160" s="3" t="s">
        <v>29</v>
      </c>
      <c r="H160" s="3" t="s">
        <v>254</v>
      </c>
    </row>
    <row r="161" spans="1:8" x14ac:dyDescent="0.2">
      <c r="A161" s="3">
        <v>3040304006</v>
      </c>
      <c r="B161" s="4" t="s">
        <v>380</v>
      </c>
      <c r="C161" s="4" t="s">
        <v>382</v>
      </c>
      <c r="D161" s="3">
        <v>2</v>
      </c>
      <c r="E161" s="3" t="s">
        <v>16</v>
      </c>
      <c r="F161" s="3" t="s">
        <v>293</v>
      </c>
      <c r="G161" s="3" t="s">
        <v>29</v>
      </c>
      <c r="H161" s="3" t="s">
        <v>254</v>
      </c>
    </row>
    <row r="162" spans="1:8" x14ac:dyDescent="0.2">
      <c r="A162" s="3">
        <v>3049902004</v>
      </c>
      <c r="B162" s="4" t="s">
        <v>383</v>
      </c>
      <c r="C162" s="4" t="s">
        <v>384</v>
      </c>
      <c r="D162" s="3">
        <v>2</v>
      </c>
      <c r="E162" s="3" t="s">
        <v>16</v>
      </c>
      <c r="F162" s="3" t="s">
        <v>293</v>
      </c>
      <c r="G162" s="3" t="s">
        <v>29</v>
      </c>
      <c r="H162" s="3" t="s">
        <v>254</v>
      </c>
    </row>
    <row r="163" spans="1:8" x14ac:dyDescent="0.2">
      <c r="A163" s="3">
        <v>3040326018</v>
      </c>
      <c r="B163" s="4" t="s">
        <v>385</v>
      </c>
      <c r="C163" s="4" t="s">
        <v>384</v>
      </c>
      <c r="D163" s="3">
        <v>2</v>
      </c>
      <c r="E163" s="3" t="s">
        <v>16</v>
      </c>
      <c r="F163" s="3" t="s">
        <v>293</v>
      </c>
      <c r="G163" s="3" t="s">
        <v>29</v>
      </c>
      <c r="H163" s="3" t="s">
        <v>254</v>
      </c>
    </row>
    <row r="164" spans="1:8" x14ac:dyDescent="0.2">
      <c r="A164" s="3">
        <v>3040320015</v>
      </c>
      <c r="B164" s="4" t="s">
        <v>269</v>
      </c>
      <c r="C164" s="4" t="s">
        <v>386</v>
      </c>
      <c r="D164" s="3">
        <v>1</v>
      </c>
      <c r="E164" s="3" t="s">
        <v>16</v>
      </c>
      <c r="F164" s="3" t="s">
        <v>293</v>
      </c>
      <c r="G164" s="3" t="s">
        <v>29</v>
      </c>
      <c r="H164" s="3" t="s">
        <v>254</v>
      </c>
    </row>
    <row r="165" spans="1:8" x14ac:dyDescent="0.2">
      <c r="A165" s="3">
        <v>3040320014</v>
      </c>
      <c r="B165" s="4" t="s">
        <v>269</v>
      </c>
      <c r="C165" s="4" t="s">
        <v>387</v>
      </c>
      <c r="D165" s="3">
        <v>1</v>
      </c>
      <c r="E165" s="3" t="s">
        <v>16</v>
      </c>
      <c r="F165" s="3" t="s">
        <v>293</v>
      </c>
      <c r="G165" s="3" t="s">
        <v>29</v>
      </c>
      <c r="H165" s="3" t="s">
        <v>254</v>
      </c>
    </row>
    <row r="166" spans="1:8" x14ac:dyDescent="0.2">
      <c r="A166" s="3">
        <v>3030310004</v>
      </c>
      <c r="B166" s="4" t="s">
        <v>273</v>
      </c>
      <c r="C166" s="4" t="s">
        <v>274</v>
      </c>
      <c r="D166" s="3">
        <v>1</v>
      </c>
      <c r="E166" s="3" t="s">
        <v>16</v>
      </c>
      <c r="F166" s="3" t="s">
        <v>295</v>
      </c>
      <c r="G166" s="3" t="s">
        <v>17</v>
      </c>
      <c r="H166" s="3" t="s">
        <v>254</v>
      </c>
    </row>
    <row r="167" spans="1:8" x14ac:dyDescent="0.2">
      <c r="A167" s="3">
        <v>3030313004</v>
      </c>
      <c r="B167" s="4" t="s">
        <v>275</v>
      </c>
      <c r="C167" s="4" t="s">
        <v>258</v>
      </c>
      <c r="D167" s="3">
        <v>1</v>
      </c>
      <c r="E167" s="3" t="s">
        <v>16</v>
      </c>
      <c r="F167" s="3" t="s">
        <v>295</v>
      </c>
      <c r="G167" s="3" t="s">
        <v>17</v>
      </c>
      <c r="H167" s="3" t="s">
        <v>254</v>
      </c>
    </row>
    <row r="168" spans="1:8" x14ac:dyDescent="0.2">
      <c r="A168" s="3">
        <v>3080308001</v>
      </c>
      <c r="B168" s="4" t="s">
        <v>276</v>
      </c>
      <c r="C168" s="4" t="s">
        <v>258</v>
      </c>
      <c r="D168" s="3">
        <v>1</v>
      </c>
      <c r="E168" s="3" t="s">
        <v>16</v>
      </c>
      <c r="F168" s="3" t="s">
        <v>295</v>
      </c>
      <c r="G168" s="3" t="s">
        <v>17</v>
      </c>
      <c r="H168" s="3" t="s">
        <v>254</v>
      </c>
    </row>
    <row r="169" spans="1:8" x14ac:dyDescent="0.2">
      <c r="A169" s="3">
        <v>3060339002</v>
      </c>
      <c r="B169" s="4" t="s">
        <v>737</v>
      </c>
      <c r="C169" s="4" t="s">
        <v>738</v>
      </c>
      <c r="D169" s="3">
        <v>1</v>
      </c>
      <c r="E169" s="3" t="s">
        <v>16</v>
      </c>
      <c r="F169" s="3" t="s">
        <v>702</v>
      </c>
      <c r="G169" s="3" t="s">
        <v>703</v>
      </c>
      <c r="H169" s="3" t="s">
        <v>254</v>
      </c>
    </row>
    <row r="170" spans="1:8" x14ac:dyDescent="0.2">
      <c r="A170" s="3">
        <v>3060325001</v>
      </c>
      <c r="B170" s="4" t="s">
        <v>739</v>
      </c>
      <c r="C170" s="4" t="s">
        <v>740</v>
      </c>
      <c r="D170" s="3">
        <v>1</v>
      </c>
      <c r="E170" s="3" t="s">
        <v>16</v>
      </c>
      <c r="F170" s="3" t="s">
        <v>702</v>
      </c>
      <c r="G170" s="3" t="s">
        <v>703</v>
      </c>
      <c r="H170" s="3" t="s">
        <v>254</v>
      </c>
    </row>
    <row r="171" spans="1:8" x14ac:dyDescent="0.2">
      <c r="A171" s="3">
        <v>3050303018</v>
      </c>
      <c r="B171" s="4" t="s">
        <v>245</v>
      </c>
      <c r="C171" s="4" t="s">
        <v>613</v>
      </c>
      <c r="D171" s="3">
        <v>1</v>
      </c>
      <c r="E171" s="3" t="s">
        <v>16</v>
      </c>
      <c r="F171" s="3" t="s">
        <v>291</v>
      </c>
      <c r="G171" s="3" t="s">
        <v>26</v>
      </c>
      <c r="H171" s="3" t="s">
        <v>254</v>
      </c>
    </row>
  </sheetData>
  <phoneticPr fontId="2" type="noConversion"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8DA6B-7E36-49C9-BB5A-C5ECF5D70505}">
  <dimension ref="A1:H187"/>
  <sheetViews>
    <sheetView workbookViewId="0">
      <selection activeCell="M21" sqref="M21"/>
    </sheetView>
  </sheetViews>
  <sheetFormatPr defaultRowHeight="14.25" x14ac:dyDescent="0.2"/>
  <cols>
    <col min="1" max="1" width="13" customWidth="1"/>
    <col min="2" max="3" width="15.5" customWidth="1"/>
  </cols>
  <sheetData>
    <row r="1" spans="1:8" x14ac:dyDescent="0.2">
      <c r="A1" s="3" t="s">
        <v>1967</v>
      </c>
      <c r="B1" s="4"/>
      <c r="C1" s="4"/>
      <c r="D1" s="3"/>
      <c r="E1" s="3"/>
      <c r="F1" s="3"/>
      <c r="G1" s="3"/>
      <c r="H1" s="3"/>
    </row>
    <row r="2" spans="1:8" ht="28.5" x14ac:dyDescent="0.2">
      <c r="A2" s="1" t="s">
        <v>0</v>
      </c>
      <c r="B2" s="2" t="s">
        <v>1</v>
      </c>
      <c r="C2" s="2" t="s">
        <v>2</v>
      </c>
      <c r="D2" s="1" t="s">
        <v>4</v>
      </c>
      <c r="E2" s="1" t="s">
        <v>3</v>
      </c>
      <c r="F2" s="1" t="s">
        <v>5</v>
      </c>
      <c r="G2" s="1" t="s">
        <v>6</v>
      </c>
      <c r="H2" s="1" t="s">
        <v>7</v>
      </c>
    </row>
    <row r="3" spans="1:8" s="10" customFormat="1" x14ac:dyDescent="0.2">
      <c r="A3" s="8" t="s">
        <v>390</v>
      </c>
      <c r="B3" s="9" t="s">
        <v>8</v>
      </c>
      <c r="C3" s="9" t="s">
        <v>9</v>
      </c>
      <c r="D3" s="13">
        <f>0.1748/0.94</f>
        <v>0.18595744680851067</v>
      </c>
      <c r="E3" s="8" t="s">
        <v>596</v>
      </c>
      <c r="F3" s="8" t="s">
        <v>283</v>
      </c>
      <c r="G3" s="8" t="s">
        <v>13</v>
      </c>
      <c r="H3" s="8" t="s">
        <v>12</v>
      </c>
    </row>
    <row r="4" spans="1:8" x14ac:dyDescent="0.2">
      <c r="A4" s="3">
        <v>402030028</v>
      </c>
      <c r="B4" s="4" t="s">
        <v>107</v>
      </c>
      <c r="C4" s="4" t="s">
        <v>305</v>
      </c>
      <c r="D4" s="3">
        <v>1</v>
      </c>
      <c r="E4" s="3" t="s">
        <v>16</v>
      </c>
      <c r="F4" s="3" t="s">
        <v>289</v>
      </c>
      <c r="G4" s="3" t="s">
        <v>23</v>
      </c>
      <c r="H4" s="3" t="s">
        <v>306</v>
      </c>
    </row>
    <row r="5" spans="1:8" x14ac:dyDescent="0.2">
      <c r="A5" s="3">
        <v>3098980102</v>
      </c>
      <c r="B5" s="4" t="s">
        <v>1897</v>
      </c>
      <c r="C5" s="4" t="s">
        <v>1898</v>
      </c>
      <c r="D5" s="3">
        <v>1</v>
      </c>
      <c r="E5" s="3" t="s">
        <v>16</v>
      </c>
      <c r="F5" s="3" t="s">
        <v>291</v>
      </c>
      <c r="G5" s="3" t="s">
        <v>26</v>
      </c>
      <c r="H5" s="3" t="s">
        <v>393</v>
      </c>
    </row>
    <row r="6" spans="1:8" x14ac:dyDescent="0.2">
      <c r="A6" s="3">
        <v>3080503020</v>
      </c>
      <c r="B6" s="4" t="s">
        <v>14</v>
      </c>
      <c r="C6" s="4" t="s">
        <v>15</v>
      </c>
      <c r="D6" s="3">
        <v>2</v>
      </c>
      <c r="E6" s="3" t="s">
        <v>16</v>
      </c>
      <c r="F6" s="3" t="s">
        <v>295</v>
      </c>
      <c r="G6" s="3" t="s">
        <v>17</v>
      </c>
      <c r="H6" s="3" t="s">
        <v>18</v>
      </c>
    </row>
    <row r="7" spans="1:8" x14ac:dyDescent="0.2">
      <c r="A7" s="3">
        <v>3080503019</v>
      </c>
      <c r="B7" s="4" t="s">
        <v>14</v>
      </c>
      <c r="C7" s="4" t="s">
        <v>19</v>
      </c>
      <c r="D7" s="3">
        <v>4</v>
      </c>
      <c r="E7" s="3" t="s">
        <v>16</v>
      </c>
      <c r="F7" s="3" t="s">
        <v>295</v>
      </c>
      <c r="G7" s="3" t="s">
        <v>17</v>
      </c>
      <c r="H7" s="3" t="s">
        <v>18</v>
      </c>
    </row>
    <row r="8" spans="1:8" x14ac:dyDescent="0.2">
      <c r="A8" s="3">
        <v>3080503001</v>
      </c>
      <c r="B8" s="4" t="s">
        <v>14</v>
      </c>
      <c r="C8" s="4" t="s">
        <v>20</v>
      </c>
      <c r="D8" s="3">
        <v>4</v>
      </c>
      <c r="E8" s="3" t="s">
        <v>16</v>
      </c>
      <c r="F8" s="3" t="s">
        <v>295</v>
      </c>
      <c r="G8" s="3" t="s">
        <v>17</v>
      </c>
      <c r="H8" s="3" t="s">
        <v>18</v>
      </c>
    </row>
    <row r="9" spans="1:8" x14ac:dyDescent="0.2">
      <c r="A9" s="3">
        <v>3030314005</v>
      </c>
      <c r="B9" s="4" t="s">
        <v>394</v>
      </c>
      <c r="C9" s="4" t="s">
        <v>395</v>
      </c>
      <c r="D9" s="3">
        <v>1</v>
      </c>
      <c r="E9" s="3" t="s">
        <v>16</v>
      </c>
      <c r="F9" s="3" t="s">
        <v>291</v>
      </c>
      <c r="G9" s="3" t="s">
        <v>26</v>
      </c>
      <c r="H9" s="3" t="s">
        <v>18</v>
      </c>
    </row>
    <row r="10" spans="1:8" x14ac:dyDescent="0.2">
      <c r="A10" s="3">
        <v>3040211003</v>
      </c>
      <c r="B10" s="4" t="s">
        <v>157</v>
      </c>
      <c r="C10" s="4" t="s">
        <v>307</v>
      </c>
      <c r="D10" s="3">
        <v>2</v>
      </c>
      <c r="E10" s="3" t="s">
        <v>16</v>
      </c>
      <c r="F10" s="3" t="s">
        <v>293</v>
      </c>
      <c r="G10" s="3" t="s">
        <v>29</v>
      </c>
      <c r="H10" s="3" t="s">
        <v>18</v>
      </c>
    </row>
    <row r="11" spans="1:8" x14ac:dyDescent="0.2">
      <c r="A11" s="3">
        <v>404090271</v>
      </c>
      <c r="B11" s="4" t="s">
        <v>30</v>
      </c>
      <c r="C11" s="4" t="s">
        <v>1962</v>
      </c>
      <c r="D11" s="3">
        <v>1</v>
      </c>
      <c r="E11" s="3" t="s">
        <v>16</v>
      </c>
      <c r="F11" s="3" t="s">
        <v>301</v>
      </c>
      <c r="G11" s="3" t="s">
        <v>32</v>
      </c>
      <c r="H11" s="3" t="s">
        <v>33</v>
      </c>
    </row>
    <row r="12" spans="1:8" x14ac:dyDescent="0.2">
      <c r="A12" s="3">
        <v>404090272</v>
      </c>
      <c r="B12" s="4" t="s">
        <v>30</v>
      </c>
      <c r="C12" s="4" t="s">
        <v>1965</v>
      </c>
      <c r="D12" s="3">
        <v>1</v>
      </c>
      <c r="E12" s="3" t="s">
        <v>16</v>
      </c>
      <c r="F12" s="3" t="s">
        <v>301</v>
      </c>
      <c r="G12" s="3" t="s">
        <v>32</v>
      </c>
      <c r="H12" s="3" t="s">
        <v>33</v>
      </c>
    </row>
    <row r="13" spans="1:8" x14ac:dyDescent="0.2">
      <c r="A13" s="3">
        <v>401020259</v>
      </c>
      <c r="B13" s="4" t="s">
        <v>35</v>
      </c>
      <c r="C13" s="4" t="s">
        <v>1966</v>
      </c>
      <c r="D13" s="3">
        <v>1</v>
      </c>
      <c r="E13" s="3" t="s">
        <v>16</v>
      </c>
      <c r="F13" s="3" t="s">
        <v>301</v>
      </c>
      <c r="G13" s="3" t="s">
        <v>32</v>
      </c>
      <c r="H13" s="3" t="s">
        <v>33</v>
      </c>
    </row>
    <row r="14" spans="1:8" x14ac:dyDescent="0.2">
      <c r="A14" s="3">
        <v>401040463</v>
      </c>
      <c r="B14" s="4" t="s">
        <v>35</v>
      </c>
      <c r="C14" s="4" t="s">
        <v>1926</v>
      </c>
      <c r="D14" s="3">
        <v>1</v>
      </c>
      <c r="E14" s="3" t="s">
        <v>16</v>
      </c>
      <c r="F14" s="3" t="s">
        <v>291</v>
      </c>
      <c r="G14" s="3" t="s">
        <v>26</v>
      </c>
      <c r="H14" s="3" t="s">
        <v>33</v>
      </c>
    </row>
    <row r="15" spans="1:8" x14ac:dyDescent="0.2">
      <c r="A15" s="3">
        <v>401040096</v>
      </c>
      <c r="B15" s="4" t="s">
        <v>35</v>
      </c>
      <c r="C15" s="4" t="s">
        <v>742</v>
      </c>
      <c r="D15" s="3">
        <v>1</v>
      </c>
      <c r="E15" s="3" t="s">
        <v>16</v>
      </c>
      <c r="F15" s="3" t="s">
        <v>301</v>
      </c>
      <c r="G15" s="3" t="s">
        <v>32</v>
      </c>
      <c r="H15" s="3" t="s">
        <v>33</v>
      </c>
    </row>
    <row r="16" spans="1:8" x14ac:dyDescent="0.2">
      <c r="A16" s="3">
        <v>3080401023</v>
      </c>
      <c r="B16" s="4" t="s">
        <v>41</v>
      </c>
      <c r="C16" s="4" t="s">
        <v>699</v>
      </c>
      <c r="D16" s="3">
        <v>2</v>
      </c>
      <c r="E16" s="3" t="s">
        <v>16</v>
      </c>
      <c r="F16" s="3" t="s">
        <v>289</v>
      </c>
      <c r="G16" s="3" t="s">
        <v>23</v>
      </c>
      <c r="H16" s="3" t="s">
        <v>40</v>
      </c>
    </row>
    <row r="17" spans="1:8" x14ac:dyDescent="0.2">
      <c r="A17" s="3">
        <v>3080401005</v>
      </c>
      <c r="B17" s="4" t="s">
        <v>41</v>
      </c>
      <c r="C17" s="4" t="s">
        <v>43</v>
      </c>
      <c r="D17" s="3">
        <v>12</v>
      </c>
      <c r="E17" s="3" t="s">
        <v>16</v>
      </c>
      <c r="F17" s="3" t="s">
        <v>291</v>
      </c>
      <c r="G17" s="3" t="s">
        <v>26</v>
      </c>
      <c r="H17" s="3" t="s">
        <v>40</v>
      </c>
    </row>
    <row r="18" spans="1:8" x14ac:dyDescent="0.2">
      <c r="A18" s="3">
        <v>3080401008</v>
      </c>
      <c r="B18" s="4" t="s">
        <v>41</v>
      </c>
      <c r="C18" s="4" t="s">
        <v>700</v>
      </c>
      <c r="D18" s="3">
        <v>2</v>
      </c>
      <c r="E18" s="3" t="s">
        <v>16</v>
      </c>
      <c r="F18" s="3" t="s">
        <v>317</v>
      </c>
      <c r="G18" s="3" t="s">
        <v>318</v>
      </c>
      <c r="H18" s="3" t="s">
        <v>40</v>
      </c>
    </row>
    <row r="19" spans="1:8" x14ac:dyDescent="0.2">
      <c r="A19" s="3">
        <v>3080401006</v>
      </c>
      <c r="B19" s="4" t="s">
        <v>41</v>
      </c>
      <c r="C19" s="4" t="s">
        <v>44</v>
      </c>
      <c r="D19" s="3">
        <v>1</v>
      </c>
      <c r="E19" s="3" t="s">
        <v>16</v>
      </c>
      <c r="F19" s="3" t="s">
        <v>295</v>
      </c>
      <c r="G19" s="3" t="s">
        <v>17</v>
      </c>
      <c r="H19" s="3" t="s">
        <v>40</v>
      </c>
    </row>
    <row r="20" spans="1:8" x14ac:dyDescent="0.2">
      <c r="A20" s="3">
        <v>3080104014</v>
      </c>
      <c r="B20" s="4" t="s">
        <v>45</v>
      </c>
      <c r="C20" s="4" t="s">
        <v>312</v>
      </c>
      <c r="D20" s="3">
        <v>2</v>
      </c>
      <c r="E20" s="3" t="s">
        <v>16</v>
      </c>
      <c r="F20" s="3" t="s">
        <v>293</v>
      </c>
      <c r="G20" s="3" t="s">
        <v>29</v>
      </c>
      <c r="H20" s="3" t="s">
        <v>40</v>
      </c>
    </row>
    <row r="21" spans="1:8" x14ac:dyDescent="0.2">
      <c r="A21" s="3">
        <v>3080104081</v>
      </c>
      <c r="B21" s="4" t="s">
        <v>45</v>
      </c>
      <c r="C21" s="4" t="s">
        <v>701</v>
      </c>
      <c r="D21" s="3">
        <v>2</v>
      </c>
      <c r="E21" s="3" t="s">
        <v>16</v>
      </c>
      <c r="F21" s="3" t="s">
        <v>289</v>
      </c>
      <c r="G21" s="3" t="s">
        <v>23</v>
      </c>
      <c r="H21" s="3" t="s">
        <v>40</v>
      </c>
    </row>
    <row r="22" spans="1:8" x14ac:dyDescent="0.2">
      <c r="A22" s="3">
        <v>3080104081</v>
      </c>
      <c r="B22" s="4" t="s">
        <v>45</v>
      </c>
      <c r="C22" s="4" t="s">
        <v>701</v>
      </c>
      <c r="D22" s="3">
        <v>2</v>
      </c>
      <c r="E22" s="3" t="s">
        <v>16</v>
      </c>
      <c r="F22" s="3" t="s">
        <v>702</v>
      </c>
      <c r="G22" s="3" t="s">
        <v>703</v>
      </c>
      <c r="H22" s="3" t="s">
        <v>40</v>
      </c>
    </row>
    <row r="23" spans="1:8" x14ac:dyDescent="0.2">
      <c r="A23" s="3">
        <v>3080104099</v>
      </c>
      <c r="B23" s="4" t="s">
        <v>45</v>
      </c>
      <c r="C23" s="4" t="s">
        <v>419</v>
      </c>
      <c r="D23" s="3">
        <v>2</v>
      </c>
      <c r="E23" s="3" t="s">
        <v>16</v>
      </c>
      <c r="F23" s="3" t="s">
        <v>291</v>
      </c>
      <c r="G23" s="3" t="s">
        <v>26</v>
      </c>
      <c r="H23" s="3" t="s">
        <v>40</v>
      </c>
    </row>
    <row r="24" spans="1:8" x14ac:dyDescent="0.2">
      <c r="A24" s="3">
        <v>3080104076</v>
      </c>
      <c r="B24" s="4" t="s">
        <v>45</v>
      </c>
      <c r="C24" s="4" t="s">
        <v>313</v>
      </c>
      <c r="D24" s="3">
        <v>8</v>
      </c>
      <c r="E24" s="3" t="s">
        <v>16</v>
      </c>
      <c r="F24" s="3" t="s">
        <v>293</v>
      </c>
      <c r="G24" s="3" t="s">
        <v>29</v>
      </c>
      <c r="H24" s="3" t="s">
        <v>40</v>
      </c>
    </row>
    <row r="25" spans="1:8" x14ac:dyDescent="0.2">
      <c r="A25" s="3">
        <v>3080104020</v>
      </c>
      <c r="B25" s="4" t="s">
        <v>45</v>
      </c>
      <c r="C25" s="4" t="s">
        <v>46</v>
      </c>
      <c r="D25" s="3">
        <v>4</v>
      </c>
      <c r="E25" s="3" t="s">
        <v>16</v>
      </c>
      <c r="F25" s="3" t="s">
        <v>291</v>
      </c>
      <c r="G25" s="3" t="s">
        <v>26</v>
      </c>
      <c r="H25" s="3" t="s">
        <v>40</v>
      </c>
    </row>
    <row r="26" spans="1:8" x14ac:dyDescent="0.2">
      <c r="A26" s="3">
        <v>3080104019</v>
      </c>
      <c r="B26" s="4" t="s">
        <v>45</v>
      </c>
      <c r="C26" s="4" t="s">
        <v>47</v>
      </c>
      <c r="D26" s="3">
        <v>2</v>
      </c>
      <c r="E26" s="3" t="s">
        <v>16</v>
      </c>
      <c r="F26" s="3" t="s">
        <v>291</v>
      </c>
      <c r="G26" s="3" t="s">
        <v>26</v>
      </c>
      <c r="H26" s="3" t="s">
        <v>40</v>
      </c>
    </row>
    <row r="27" spans="1:8" x14ac:dyDescent="0.2">
      <c r="A27" s="3">
        <v>3080104050</v>
      </c>
      <c r="B27" s="4" t="s">
        <v>45</v>
      </c>
      <c r="C27" s="4" t="s">
        <v>49</v>
      </c>
      <c r="D27" s="3">
        <v>4</v>
      </c>
      <c r="E27" s="3" t="s">
        <v>16</v>
      </c>
      <c r="F27" s="3" t="s">
        <v>295</v>
      </c>
      <c r="G27" s="3" t="s">
        <v>17</v>
      </c>
      <c r="H27" s="3" t="s">
        <v>40</v>
      </c>
    </row>
    <row r="28" spans="1:8" x14ac:dyDescent="0.2">
      <c r="A28" s="3">
        <v>3080105121</v>
      </c>
      <c r="B28" s="4" t="s">
        <v>50</v>
      </c>
      <c r="C28" s="4" t="s">
        <v>316</v>
      </c>
      <c r="D28" s="3">
        <v>2</v>
      </c>
      <c r="E28" s="3" t="s">
        <v>16</v>
      </c>
      <c r="F28" s="3" t="s">
        <v>317</v>
      </c>
      <c r="G28" s="3" t="s">
        <v>318</v>
      </c>
      <c r="H28" s="3" t="s">
        <v>40</v>
      </c>
    </row>
    <row r="29" spans="1:8" x14ac:dyDescent="0.2">
      <c r="A29" s="3">
        <v>3080105013</v>
      </c>
      <c r="B29" s="4" t="s">
        <v>50</v>
      </c>
      <c r="C29" s="4" t="s">
        <v>51</v>
      </c>
      <c r="D29" s="3">
        <v>4</v>
      </c>
      <c r="E29" s="3" t="s">
        <v>16</v>
      </c>
      <c r="F29" s="3" t="s">
        <v>293</v>
      </c>
      <c r="G29" s="3" t="s">
        <v>29</v>
      </c>
      <c r="H29" s="3" t="s">
        <v>40</v>
      </c>
    </row>
    <row r="30" spans="1:8" x14ac:dyDescent="0.2">
      <c r="A30" s="3">
        <v>3080105004</v>
      </c>
      <c r="B30" s="4" t="s">
        <v>50</v>
      </c>
      <c r="C30" s="4" t="s">
        <v>54</v>
      </c>
      <c r="D30" s="3">
        <v>4</v>
      </c>
      <c r="E30" s="3" t="s">
        <v>16</v>
      </c>
      <c r="F30" s="3" t="s">
        <v>293</v>
      </c>
      <c r="G30" s="3" t="s">
        <v>29</v>
      </c>
      <c r="H30" s="3" t="s">
        <v>40</v>
      </c>
    </row>
    <row r="31" spans="1:8" x14ac:dyDescent="0.2">
      <c r="A31" s="3">
        <v>3080105111</v>
      </c>
      <c r="B31" s="4" t="s">
        <v>50</v>
      </c>
      <c r="C31" s="4" t="s">
        <v>599</v>
      </c>
      <c r="D31" s="3">
        <v>4</v>
      </c>
      <c r="E31" s="3" t="s">
        <v>16</v>
      </c>
      <c r="F31" s="3" t="s">
        <v>291</v>
      </c>
      <c r="G31" s="3" t="s">
        <v>26</v>
      </c>
      <c r="H31" s="3" t="s">
        <v>40</v>
      </c>
    </row>
    <row r="32" spans="1:8" x14ac:dyDescent="0.2">
      <c r="A32" s="3">
        <v>3080105114</v>
      </c>
      <c r="B32" s="4" t="s">
        <v>50</v>
      </c>
      <c r="C32" s="4" t="s">
        <v>53</v>
      </c>
      <c r="D32" s="3">
        <v>5</v>
      </c>
      <c r="E32" s="3" t="s">
        <v>16</v>
      </c>
      <c r="F32" s="3" t="s">
        <v>289</v>
      </c>
      <c r="G32" s="3" t="s">
        <v>23</v>
      </c>
      <c r="H32" s="3" t="s">
        <v>40</v>
      </c>
    </row>
    <row r="33" spans="1:8" x14ac:dyDescent="0.2">
      <c r="A33" s="3">
        <v>3080105114</v>
      </c>
      <c r="B33" s="4" t="s">
        <v>50</v>
      </c>
      <c r="C33" s="4" t="s">
        <v>53</v>
      </c>
      <c r="D33" s="3">
        <v>6</v>
      </c>
      <c r="E33" s="3" t="s">
        <v>16</v>
      </c>
      <c r="F33" s="3" t="s">
        <v>702</v>
      </c>
      <c r="G33" s="3" t="s">
        <v>703</v>
      </c>
      <c r="H33" s="3" t="s">
        <v>40</v>
      </c>
    </row>
    <row r="34" spans="1:8" x14ac:dyDescent="0.2">
      <c r="A34" s="3">
        <v>3080105114</v>
      </c>
      <c r="B34" s="4" t="s">
        <v>50</v>
      </c>
      <c r="C34" s="4" t="s">
        <v>53</v>
      </c>
      <c r="D34" s="3">
        <v>4</v>
      </c>
      <c r="E34" s="3" t="s">
        <v>16</v>
      </c>
      <c r="F34" s="3" t="s">
        <v>289</v>
      </c>
      <c r="G34" s="3" t="s">
        <v>23</v>
      </c>
      <c r="H34" s="3" t="s">
        <v>40</v>
      </c>
    </row>
    <row r="35" spans="1:8" x14ac:dyDescent="0.2">
      <c r="A35" s="3">
        <v>3080105114</v>
      </c>
      <c r="B35" s="4" t="s">
        <v>50</v>
      </c>
      <c r="C35" s="4" t="s">
        <v>53</v>
      </c>
      <c r="D35" s="3">
        <v>3</v>
      </c>
      <c r="E35" s="3" t="s">
        <v>16</v>
      </c>
      <c r="F35" s="3" t="s">
        <v>702</v>
      </c>
      <c r="G35" s="3" t="s">
        <v>703</v>
      </c>
      <c r="H35" s="3" t="s">
        <v>40</v>
      </c>
    </row>
    <row r="36" spans="1:8" x14ac:dyDescent="0.2">
      <c r="A36" s="3">
        <v>3080105068</v>
      </c>
      <c r="B36" s="4" t="s">
        <v>50</v>
      </c>
      <c r="C36" s="4" t="s">
        <v>314</v>
      </c>
      <c r="D36" s="3">
        <v>10</v>
      </c>
      <c r="E36" s="3" t="s">
        <v>16</v>
      </c>
      <c r="F36" s="3" t="s">
        <v>293</v>
      </c>
      <c r="G36" s="3" t="s">
        <v>29</v>
      </c>
      <c r="H36" s="3" t="s">
        <v>40</v>
      </c>
    </row>
    <row r="37" spans="1:8" x14ac:dyDescent="0.2">
      <c r="A37" s="3">
        <v>3080105007</v>
      </c>
      <c r="B37" s="4" t="s">
        <v>50</v>
      </c>
      <c r="C37" s="4" t="s">
        <v>52</v>
      </c>
      <c r="D37" s="3">
        <v>2</v>
      </c>
      <c r="E37" s="3" t="s">
        <v>16</v>
      </c>
      <c r="F37" s="3" t="s">
        <v>293</v>
      </c>
      <c r="G37" s="3" t="s">
        <v>29</v>
      </c>
      <c r="H37" s="3" t="s">
        <v>40</v>
      </c>
    </row>
    <row r="38" spans="1:8" x14ac:dyDescent="0.2">
      <c r="A38" s="3">
        <v>3080105078</v>
      </c>
      <c r="B38" s="4" t="s">
        <v>50</v>
      </c>
      <c r="C38" s="4" t="s">
        <v>315</v>
      </c>
      <c r="D38" s="3">
        <v>2</v>
      </c>
      <c r="E38" s="3" t="s">
        <v>16</v>
      </c>
      <c r="F38" s="3" t="s">
        <v>293</v>
      </c>
      <c r="G38" s="3" t="s">
        <v>29</v>
      </c>
      <c r="H38" s="3" t="s">
        <v>40</v>
      </c>
    </row>
    <row r="39" spans="1:8" x14ac:dyDescent="0.2">
      <c r="A39" s="3">
        <v>3080105004</v>
      </c>
      <c r="B39" s="4" t="s">
        <v>50</v>
      </c>
      <c r="C39" s="4" t="s">
        <v>54</v>
      </c>
      <c r="D39" s="3">
        <v>6</v>
      </c>
      <c r="E39" s="3" t="s">
        <v>16</v>
      </c>
      <c r="F39" s="3" t="s">
        <v>289</v>
      </c>
      <c r="G39" s="3" t="s">
        <v>23</v>
      </c>
      <c r="H39" s="3" t="s">
        <v>40</v>
      </c>
    </row>
    <row r="40" spans="1:8" x14ac:dyDescent="0.2">
      <c r="A40" s="3">
        <v>3080105021</v>
      </c>
      <c r="B40" s="4" t="s">
        <v>50</v>
      </c>
      <c r="C40" s="4" t="s">
        <v>319</v>
      </c>
      <c r="D40" s="3">
        <v>8</v>
      </c>
      <c r="E40" s="3" t="s">
        <v>16</v>
      </c>
      <c r="F40" s="3" t="s">
        <v>317</v>
      </c>
      <c r="G40" s="3" t="s">
        <v>318</v>
      </c>
      <c r="H40" s="3" t="s">
        <v>40</v>
      </c>
    </row>
    <row r="41" spans="1:8" x14ac:dyDescent="0.2">
      <c r="A41" s="3">
        <v>3080502002</v>
      </c>
      <c r="B41" s="4" t="s">
        <v>55</v>
      </c>
      <c r="C41" s="4" t="s">
        <v>56</v>
      </c>
      <c r="D41" s="3">
        <v>4</v>
      </c>
      <c r="E41" s="3" t="s">
        <v>16</v>
      </c>
      <c r="F41" s="3" t="s">
        <v>293</v>
      </c>
      <c r="G41" s="3" t="s">
        <v>29</v>
      </c>
      <c r="H41" s="3" t="s">
        <v>40</v>
      </c>
    </row>
    <row r="42" spans="1:8" x14ac:dyDescent="0.2">
      <c r="A42" s="3">
        <v>3080502002</v>
      </c>
      <c r="B42" s="4" t="s">
        <v>55</v>
      </c>
      <c r="C42" s="4" t="s">
        <v>56</v>
      </c>
      <c r="D42" s="3">
        <v>1</v>
      </c>
      <c r="E42" s="3" t="s">
        <v>16</v>
      </c>
      <c r="F42" s="3" t="s">
        <v>317</v>
      </c>
      <c r="G42" s="3" t="s">
        <v>318</v>
      </c>
      <c r="H42" s="3" t="s">
        <v>40</v>
      </c>
    </row>
    <row r="43" spans="1:8" x14ac:dyDescent="0.2">
      <c r="A43" s="3">
        <v>3080201004</v>
      </c>
      <c r="B43" s="4" t="s">
        <v>60</v>
      </c>
      <c r="C43" s="4" t="s">
        <v>61</v>
      </c>
      <c r="D43" s="3">
        <v>4</v>
      </c>
      <c r="E43" s="3" t="s">
        <v>16</v>
      </c>
      <c r="F43" s="3" t="s">
        <v>295</v>
      </c>
      <c r="G43" s="3" t="s">
        <v>17</v>
      </c>
      <c r="H43" s="3" t="s">
        <v>40</v>
      </c>
    </row>
    <row r="44" spans="1:8" x14ac:dyDescent="0.2">
      <c r="A44" s="3">
        <v>3080201012</v>
      </c>
      <c r="B44" s="4" t="s">
        <v>60</v>
      </c>
      <c r="C44" s="4" t="s">
        <v>320</v>
      </c>
      <c r="D44" s="3">
        <v>1</v>
      </c>
      <c r="E44" s="3" t="s">
        <v>16</v>
      </c>
      <c r="F44" s="3" t="s">
        <v>289</v>
      </c>
      <c r="G44" s="3" t="s">
        <v>23</v>
      </c>
      <c r="H44" s="3" t="s">
        <v>40</v>
      </c>
    </row>
    <row r="45" spans="1:8" x14ac:dyDescent="0.2">
      <c r="A45" s="3">
        <v>3080201012</v>
      </c>
      <c r="B45" s="4" t="s">
        <v>60</v>
      </c>
      <c r="C45" s="4" t="s">
        <v>320</v>
      </c>
      <c r="D45" s="3">
        <v>1</v>
      </c>
      <c r="E45" s="3" t="s">
        <v>16</v>
      </c>
      <c r="F45" s="3" t="s">
        <v>317</v>
      </c>
      <c r="G45" s="3" t="s">
        <v>318</v>
      </c>
      <c r="H45" s="3" t="s">
        <v>40</v>
      </c>
    </row>
    <row r="46" spans="1:8" x14ac:dyDescent="0.2">
      <c r="A46" s="3">
        <v>3080201012</v>
      </c>
      <c r="B46" s="4" t="s">
        <v>60</v>
      </c>
      <c r="C46" s="4" t="s">
        <v>320</v>
      </c>
      <c r="D46" s="3">
        <v>1</v>
      </c>
      <c r="E46" s="3" t="s">
        <v>16</v>
      </c>
      <c r="F46" s="3" t="s">
        <v>702</v>
      </c>
      <c r="G46" s="3" t="s">
        <v>703</v>
      </c>
      <c r="H46" s="3" t="s">
        <v>40</v>
      </c>
    </row>
    <row r="47" spans="1:8" x14ac:dyDescent="0.2">
      <c r="A47" s="3">
        <v>3080201007</v>
      </c>
      <c r="B47" s="4" t="s">
        <v>60</v>
      </c>
      <c r="C47" s="4" t="s">
        <v>62</v>
      </c>
      <c r="D47" s="3">
        <v>1</v>
      </c>
      <c r="E47" s="3" t="s">
        <v>16</v>
      </c>
      <c r="F47" s="3" t="s">
        <v>295</v>
      </c>
      <c r="G47" s="3" t="s">
        <v>17</v>
      </c>
      <c r="H47" s="3" t="s">
        <v>40</v>
      </c>
    </row>
    <row r="48" spans="1:8" x14ac:dyDescent="0.2">
      <c r="A48" s="3">
        <v>3080201008</v>
      </c>
      <c r="B48" s="4" t="s">
        <v>60</v>
      </c>
      <c r="C48" s="4" t="s">
        <v>63</v>
      </c>
      <c r="D48" s="3">
        <v>1</v>
      </c>
      <c r="E48" s="3" t="s">
        <v>16</v>
      </c>
      <c r="F48" s="3" t="s">
        <v>295</v>
      </c>
      <c r="G48" s="3" t="s">
        <v>17</v>
      </c>
      <c r="H48" s="3" t="s">
        <v>40</v>
      </c>
    </row>
    <row r="49" spans="1:8" x14ac:dyDescent="0.2">
      <c r="A49" s="3">
        <v>3080201010</v>
      </c>
      <c r="B49" s="4" t="s">
        <v>60</v>
      </c>
      <c r="C49" s="4" t="s">
        <v>64</v>
      </c>
      <c r="D49" s="3">
        <v>1</v>
      </c>
      <c r="E49" s="3" t="s">
        <v>16</v>
      </c>
      <c r="F49" s="3" t="s">
        <v>295</v>
      </c>
      <c r="G49" s="3" t="s">
        <v>17</v>
      </c>
      <c r="H49" s="3" t="s">
        <v>40</v>
      </c>
    </row>
    <row r="50" spans="1:8" x14ac:dyDescent="0.2">
      <c r="A50" s="3">
        <v>3080201015</v>
      </c>
      <c r="B50" s="4" t="s">
        <v>60</v>
      </c>
      <c r="C50" s="4" t="s">
        <v>65</v>
      </c>
      <c r="D50" s="3">
        <v>2</v>
      </c>
      <c r="E50" s="3" t="s">
        <v>16</v>
      </c>
      <c r="F50" s="3" t="s">
        <v>295</v>
      </c>
      <c r="G50" s="3" t="s">
        <v>17</v>
      </c>
      <c r="H50" s="3" t="s">
        <v>40</v>
      </c>
    </row>
    <row r="51" spans="1:8" x14ac:dyDescent="0.2">
      <c r="A51" s="3">
        <v>3080106009</v>
      </c>
      <c r="B51" s="4" t="s">
        <v>66</v>
      </c>
      <c r="C51" s="4" t="s">
        <v>67</v>
      </c>
      <c r="D51" s="3">
        <v>1</v>
      </c>
      <c r="E51" s="3" t="s">
        <v>16</v>
      </c>
      <c r="F51" s="3" t="s">
        <v>295</v>
      </c>
      <c r="G51" s="3" t="s">
        <v>17</v>
      </c>
      <c r="H51" s="3" t="s">
        <v>40</v>
      </c>
    </row>
    <row r="52" spans="1:8" x14ac:dyDescent="0.2">
      <c r="A52" s="3">
        <v>3080106007</v>
      </c>
      <c r="B52" s="4" t="s">
        <v>66</v>
      </c>
      <c r="C52" s="4" t="s">
        <v>68</v>
      </c>
      <c r="D52" s="3">
        <v>1</v>
      </c>
      <c r="E52" s="3" t="s">
        <v>16</v>
      </c>
      <c r="F52" s="3" t="s">
        <v>295</v>
      </c>
      <c r="G52" s="3" t="s">
        <v>17</v>
      </c>
      <c r="H52" s="3" t="s">
        <v>40</v>
      </c>
    </row>
    <row r="53" spans="1:8" x14ac:dyDescent="0.2">
      <c r="A53" s="3">
        <v>3080107284</v>
      </c>
      <c r="B53" s="4" t="s">
        <v>69</v>
      </c>
      <c r="C53" s="4" t="s">
        <v>706</v>
      </c>
      <c r="D53" s="3">
        <v>1</v>
      </c>
      <c r="E53" s="3" t="s">
        <v>16</v>
      </c>
      <c r="F53" s="3" t="s">
        <v>317</v>
      </c>
      <c r="G53" s="3" t="s">
        <v>318</v>
      </c>
      <c r="H53" s="3" t="s">
        <v>40</v>
      </c>
    </row>
    <row r="54" spans="1:8" x14ac:dyDescent="0.2">
      <c r="A54" s="3">
        <v>3080107130</v>
      </c>
      <c r="B54" s="4" t="s">
        <v>69</v>
      </c>
      <c r="C54" s="4" t="s">
        <v>70</v>
      </c>
      <c r="D54" s="3">
        <v>4</v>
      </c>
      <c r="E54" s="3" t="s">
        <v>16</v>
      </c>
      <c r="F54" s="3" t="s">
        <v>293</v>
      </c>
      <c r="G54" s="3" t="s">
        <v>29</v>
      </c>
      <c r="H54" s="3" t="s">
        <v>40</v>
      </c>
    </row>
    <row r="55" spans="1:8" x14ac:dyDescent="0.2">
      <c r="A55" s="3">
        <v>3080107031</v>
      </c>
      <c r="B55" s="4" t="s">
        <v>69</v>
      </c>
      <c r="C55" s="4" t="s">
        <v>71</v>
      </c>
      <c r="D55" s="3">
        <v>2</v>
      </c>
      <c r="E55" s="3" t="s">
        <v>16</v>
      </c>
      <c r="F55" s="3" t="s">
        <v>295</v>
      </c>
      <c r="G55" s="3" t="s">
        <v>17</v>
      </c>
      <c r="H55" s="3" t="s">
        <v>40</v>
      </c>
    </row>
    <row r="56" spans="1:8" x14ac:dyDescent="0.2">
      <c r="A56" s="3">
        <v>3080107284</v>
      </c>
      <c r="B56" s="4" t="s">
        <v>69</v>
      </c>
      <c r="C56" s="4" t="s">
        <v>706</v>
      </c>
      <c r="D56" s="3">
        <v>1</v>
      </c>
      <c r="E56" s="3" t="s">
        <v>16</v>
      </c>
      <c r="F56" s="3" t="s">
        <v>702</v>
      </c>
      <c r="G56" s="3" t="s">
        <v>703</v>
      </c>
      <c r="H56" s="3" t="s">
        <v>40</v>
      </c>
    </row>
    <row r="57" spans="1:8" x14ac:dyDescent="0.2">
      <c r="A57" s="3">
        <v>3080107015</v>
      </c>
      <c r="B57" s="4" t="s">
        <v>69</v>
      </c>
      <c r="C57" s="4" t="s">
        <v>73</v>
      </c>
      <c r="D57" s="3">
        <v>6</v>
      </c>
      <c r="E57" s="3" t="s">
        <v>16</v>
      </c>
      <c r="F57" s="3" t="s">
        <v>291</v>
      </c>
      <c r="G57" s="3" t="s">
        <v>26</v>
      </c>
      <c r="H57" s="3" t="s">
        <v>40</v>
      </c>
    </row>
    <row r="58" spans="1:8" x14ac:dyDescent="0.2">
      <c r="A58" s="3">
        <v>3080107089</v>
      </c>
      <c r="B58" s="4" t="s">
        <v>69</v>
      </c>
      <c r="C58" s="4" t="s">
        <v>704</v>
      </c>
      <c r="D58" s="3">
        <v>1</v>
      </c>
      <c r="E58" s="3" t="s">
        <v>16</v>
      </c>
      <c r="F58" s="3" t="s">
        <v>289</v>
      </c>
      <c r="G58" s="3" t="s">
        <v>23</v>
      </c>
      <c r="H58" s="3" t="s">
        <v>40</v>
      </c>
    </row>
    <row r="59" spans="1:8" x14ac:dyDescent="0.2">
      <c r="A59" s="3">
        <v>3080107112</v>
      </c>
      <c r="B59" s="4" t="s">
        <v>69</v>
      </c>
      <c r="C59" s="4" t="s">
        <v>705</v>
      </c>
      <c r="D59" s="3">
        <v>2</v>
      </c>
      <c r="E59" s="3" t="s">
        <v>16</v>
      </c>
      <c r="F59" s="3" t="s">
        <v>289</v>
      </c>
      <c r="G59" s="3" t="s">
        <v>23</v>
      </c>
      <c r="H59" s="3" t="s">
        <v>40</v>
      </c>
    </row>
    <row r="60" spans="1:8" x14ac:dyDescent="0.2">
      <c r="A60" s="3">
        <v>3080107120</v>
      </c>
      <c r="B60" s="4" t="s">
        <v>69</v>
      </c>
      <c r="C60" s="4" t="s">
        <v>74</v>
      </c>
      <c r="D60" s="3">
        <v>1</v>
      </c>
      <c r="E60" s="3" t="s">
        <v>16</v>
      </c>
      <c r="F60" s="3" t="s">
        <v>295</v>
      </c>
      <c r="G60" s="3" t="s">
        <v>17</v>
      </c>
      <c r="H60" s="3" t="s">
        <v>40</v>
      </c>
    </row>
    <row r="61" spans="1:8" x14ac:dyDescent="0.2">
      <c r="A61" s="3">
        <v>3080107121</v>
      </c>
      <c r="B61" s="4" t="s">
        <v>69</v>
      </c>
      <c r="C61" s="4" t="s">
        <v>75</v>
      </c>
      <c r="D61" s="3">
        <v>1</v>
      </c>
      <c r="E61" s="3" t="s">
        <v>16</v>
      </c>
      <c r="F61" s="3" t="s">
        <v>295</v>
      </c>
      <c r="G61" s="3" t="s">
        <v>17</v>
      </c>
      <c r="H61" s="3" t="s">
        <v>40</v>
      </c>
    </row>
    <row r="62" spans="1:8" x14ac:dyDescent="0.2">
      <c r="A62" s="3">
        <v>3080107031</v>
      </c>
      <c r="B62" s="4" t="s">
        <v>69</v>
      </c>
      <c r="C62" s="4" t="s">
        <v>71</v>
      </c>
      <c r="D62" s="3">
        <v>4</v>
      </c>
      <c r="E62" s="3" t="s">
        <v>16</v>
      </c>
      <c r="F62" s="3" t="s">
        <v>295</v>
      </c>
      <c r="G62" s="3" t="s">
        <v>17</v>
      </c>
      <c r="H62" s="3" t="s">
        <v>40</v>
      </c>
    </row>
    <row r="63" spans="1:8" x14ac:dyDescent="0.2">
      <c r="A63" s="3">
        <v>3080108011</v>
      </c>
      <c r="B63" s="4" t="s">
        <v>77</v>
      </c>
      <c r="C63" s="4" t="s">
        <v>323</v>
      </c>
      <c r="D63" s="3">
        <v>2</v>
      </c>
      <c r="E63" s="3" t="s">
        <v>16</v>
      </c>
      <c r="F63" s="3" t="s">
        <v>293</v>
      </c>
      <c r="G63" s="3" t="s">
        <v>29</v>
      </c>
      <c r="H63" s="3" t="s">
        <v>40</v>
      </c>
    </row>
    <row r="64" spans="1:8" x14ac:dyDescent="0.2">
      <c r="A64" s="3">
        <v>3080108009</v>
      </c>
      <c r="B64" s="4" t="s">
        <v>77</v>
      </c>
      <c r="C64" s="4" t="s">
        <v>324</v>
      </c>
      <c r="D64" s="3">
        <v>2</v>
      </c>
      <c r="E64" s="3" t="s">
        <v>16</v>
      </c>
      <c r="F64" s="3" t="s">
        <v>293</v>
      </c>
      <c r="G64" s="3" t="s">
        <v>29</v>
      </c>
      <c r="H64" s="3" t="s">
        <v>40</v>
      </c>
    </row>
    <row r="65" spans="1:8" x14ac:dyDescent="0.2">
      <c r="A65" s="3">
        <v>3080108003</v>
      </c>
      <c r="B65" s="4" t="s">
        <v>77</v>
      </c>
      <c r="C65" s="4" t="s">
        <v>78</v>
      </c>
      <c r="D65" s="3">
        <v>1</v>
      </c>
      <c r="E65" s="3" t="s">
        <v>16</v>
      </c>
      <c r="F65" s="3" t="s">
        <v>295</v>
      </c>
      <c r="G65" s="3" t="s">
        <v>17</v>
      </c>
      <c r="H65" s="3" t="s">
        <v>40</v>
      </c>
    </row>
    <row r="66" spans="1:8" x14ac:dyDescent="0.2">
      <c r="A66" s="3">
        <v>3080111087</v>
      </c>
      <c r="B66" s="4" t="s">
        <v>79</v>
      </c>
      <c r="C66" s="4" t="s">
        <v>80</v>
      </c>
      <c r="D66" s="3">
        <v>18</v>
      </c>
      <c r="E66" s="3" t="s">
        <v>16</v>
      </c>
      <c r="F66" s="3" t="s">
        <v>291</v>
      </c>
      <c r="G66" s="3" t="s">
        <v>26</v>
      </c>
      <c r="H66" s="3" t="s">
        <v>40</v>
      </c>
    </row>
    <row r="67" spans="1:8" x14ac:dyDescent="0.2">
      <c r="A67" s="3">
        <v>407030047</v>
      </c>
      <c r="B67" s="4" t="s">
        <v>81</v>
      </c>
      <c r="C67" s="4" t="s">
        <v>707</v>
      </c>
      <c r="D67" s="3">
        <v>1</v>
      </c>
      <c r="E67" s="3" t="s">
        <v>16</v>
      </c>
      <c r="F67" s="3" t="s">
        <v>301</v>
      </c>
      <c r="G67" s="3" t="s">
        <v>32</v>
      </c>
      <c r="H67" s="3" t="s">
        <v>40</v>
      </c>
    </row>
    <row r="68" spans="1:8" x14ac:dyDescent="0.2">
      <c r="A68" s="3">
        <v>3080112015</v>
      </c>
      <c r="B68" s="4" t="s">
        <v>83</v>
      </c>
      <c r="C68" s="4" t="s">
        <v>84</v>
      </c>
      <c r="D68" s="3">
        <v>6</v>
      </c>
      <c r="E68" s="3" t="s">
        <v>16</v>
      </c>
      <c r="F68" s="3" t="s">
        <v>291</v>
      </c>
      <c r="G68" s="3" t="s">
        <v>26</v>
      </c>
      <c r="H68" s="3" t="s">
        <v>40</v>
      </c>
    </row>
    <row r="69" spans="1:8" x14ac:dyDescent="0.2">
      <c r="A69" s="3">
        <v>3080112003</v>
      </c>
      <c r="B69" s="4" t="s">
        <v>83</v>
      </c>
      <c r="C69" s="4" t="s">
        <v>85</v>
      </c>
      <c r="D69" s="3">
        <v>1</v>
      </c>
      <c r="E69" s="3" t="s">
        <v>16</v>
      </c>
      <c r="F69" s="3" t="s">
        <v>295</v>
      </c>
      <c r="G69" s="3" t="s">
        <v>17</v>
      </c>
      <c r="H69" s="3" t="s">
        <v>40</v>
      </c>
    </row>
    <row r="70" spans="1:8" x14ac:dyDescent="0.2">
      <c r="A70" s="3">
        <v>3080307001</v>
      </c>
      <c r="B70" s="4" t="s">
        <v>86</v>
      </c>
      <c r="C70" s="4" t="s">
        <v>87</v>
      </c>
      <c r="D70" s="3">
        <v>1</v>
      </c>
      <c r="E70" s="3" t="s">
        <v>16</v>
      </c>
      <c r="F70" s="3" t="s">
        <v>295</v>
      </c>
      <c r="G70" s="3" t="s">
        <v>17</v>
      </c>
      <c r="H70" s="3" t="s">
        <v>88</v>
      </c>
    </row>
    <row r="71" spans="1:8" x14ac:dyDescent="0.2">
      <c r="A71" s="3">
        <v>3080506001</v>
      </c>
      <c r="B71" s="4" t="s">
        <v>89</v>
      </c>
      <c r="C71" s="4" t="s">
        <v>90</v>
      </c>
      <c r="D71" s="3">
        <v>1</v>
      </c>
      <c r="E71" s="3" t="s">
        <v>16</v>
      </c>
      <c r="F71" s="3" t="s">
        <v>295</v>
      </c>
      <c r="G71" s="3" t="s">
        <v>17</v>
      </c>
      <c r="H71" s="3" t="s">
        <v>88</v>
      </c>
    </row>
    <row r="72" spans="1:8" x14ac:dyDescent="0.2">
      <c r="A72" s="3">
        <v>3030204002</v>
      </c>
      <c r="B72" s="4" t="s">
        <v>91</v>
      </c>
      <c r="C72" s="4" t="s">
        <v>92</v>
      </c>
      <c r="D72" s="3">
        <v>1</v>
      </c>
      <c r="E72" s="3" t="s">
        <v>16</v>
      </c>
      <c r="F72" s="3" t="s">
        <v>295</v>
      </c>
      <c r="G72" s="3" t="s">
        <v>17</v>
      </c>
      <c r="H72" s="3" t="s">
        <v>88</v>
      </c>
    </row>
    <row r="73" spans="1:8" x14ac:dyDescent="0.2">
      <c r="A73" s="3">
        <v>3030205002</v>
      </c>
      <c r="B73" s="4" t="s">
        <v>93</v>
      </c>
      <c r="C73" s="4" t="s">
        <v>94</v>
      </c>
      <c r="D73" s="3">
        <v>1</v>
      </c>
      <c r="E73" s="3" t="s">
        <v>16</v>
      </c>
      <c r="F73" s="3" t="s">
        <v>295</v>
      </c>
      <c r="G73" s="3" t="s">
        <v>17</v>
      </c>
      <c r="H73" s="3" t="s">
        <v>88</v>
      </c>
    </row>
    <row r="74" spans="1:8" x14ac:dyDescent="0.2">
      <c r="A74" s="3">
        <v>3030208001</v>
      </c>
      <c r="B74" s="4" t="s">
        <v>95</v>
      </c>
      <c r="C74" s="4" t="s">
        <v>96</v>
      </c>
      <c r="D74" s="3">
        <v>1</v>
      </c>
      <c r="E74" s="3" t="s">
        <v>16</v>
      </c>
      <c r="F74" s="3" t="s">
        <v>295</v>
      </c>
      <c r="G74" s="3" t="s">
        <v>17</v>
      </c>
      <c r="H74" s="3" t="s">
        <v>88</v>
      </c>
    </row>
    <row r="75" spans="1:8" x14ac:dyDescent="0.2">
      <c r="A75" s="3">
        <v>3030202005</v>
      </c>
      <c r="B75" s="4" t="s">
        <v>97</v>
      </c>
      <c r="C75" s="4" t="s">
        <v>94</v>
      </c>
      <c r="D75" s="3">
        <v>1</v>
      </c>
      <c r="E75" s="3" t="s">
        <v>16</v>
      </c>
      <c r="F75" s="3" t="s">
        <v>295</v>
      </c>
      <c r="G75" s="3" t="s">
        <v>17</v>
      </c>
      <c r="H75" s="3" t="s">
        <v>88</v>
      </c>
    </row>
    <row r="76" spans="1:8" x14ac:dyDescent="0.2">
      <c r="A76" s="3">
        <v>3080201009</v>
      </c>
      <c r="B76" s="4" t="s">
        <v>60</v>
      </c>
      <c r="C76" s="4" t="s">
        <v>98</v>
      </c>
      <c r="D76" s="3">
        <v>1</v>
      </c>
      <c r="E76" s="3" t="s">
        <v>16</v>
      </c>
      <c r="F76" s="3" t="s">
        <v>295</v>
      </c>
      <c r="G76" s="3" t="s">
        <v>17</v>
      </c>
      <c r="H76" s="3" t="s">
        <v>88</v>
      </c>
    </row>
    <row r="77" spans="1:8" x14ac:dyDescent="0.2">
      <c r="A77" s="3">
        <v>3050205001</v>
      </c>
      <c r="B77" s="4" t="s">
        <v>99</v>
      </c>
      <c r="C77" s="4" t="s">
        <v>100</v>
      </c>
      <c r="D77" s="3">
        <v>2</v>
      </c>
      <c r="E77" s="3" t="s">
        <v>16</v>
      </c>
      <c r="F77" s="3" t="s">
        <v>291</v>
      </c>
      <c r="G77" s="3" t="s">
        <v>26</v>
      </c>
      <c r="H77" s="3" t="s">
        <v>88</v>
      </c>
    </row>
    <row r="78" spans="1:8" x14ac:dyDescent="0.2">
      <c r="A78" s="3">
        <v>3099990501</v>
      </c>
      <c r="B78" s="4" t="s">
        <v>708</v>
      </c>
      <c r="C78" s="4" t="s">
        <v>105</v>
      </c>
      <c r="D78" s="3">
        <v>1</v>
      </c>
      <c r="E78" s="3" t="s">
        <v>16</v>
      </c>
      <c r="F78" s="3" t="s">
        <v>709</v>
      </c>
      <c r="G78" s="3" t="s">
        <v>710</v>
      </c>
      <c r="H78" s="3" t="s">
        <v>103</v>
      </c>
    </row>
    <row r="79" spans="1:8" x14ac:dyDescent="0.2">
      <c r="A79" s="3">
        <v>3099990225</v>
      </c>
      <c r="B79" s="4" t="s">
        <v>1902</v>
      </c>
      <c r="C79" s="4" t="s">
        <v>1903</v>
      </c>
      <c r="D79" s="3">
        <v>1</v>
      </c>
      <c r="E79" s="3" t="s">
        <v>16</v>
      </c>
      <c r="F79" s="3" t="s">
        <v>299</v>
      </c>
      <c r="G79" s="3" t="s">
        <v>106</v>
      </c>
      <c r="H79" s="3" t="s">
        <v>103</v>
      </c>
    </row>
    <row r="80" spans="1:8" x14ac:dyDescent="0.2">
      <c r="A80" s="3">
        <v>402010065</v>
      </c>
      <c r="B80" s="4" t="s">
        <v>882</v>
      </c>
      <c r="C80" s="4" t="s">
        <v>1927</v>
      </c>
      <c r="D80" s="3">
        <v>1</v>
      </c>
      <c r="E80" s="3" t="s">
        <v>16</v>
      </c>
      <c r="F80" s="3" t="s">
        <v>291</v>
      </c>
      <c r="G80" s="3" t="s">
        <v>26</v>
      </c>
      <c r="H80" s="3" t="s">
        <v>109</v>
      </c>
    </row>
    <row r="81" spans="1:8" x14ac:dyDescent="0.2">
      <c r="A81" s="3">
        <v>402020006</v>
      </c>
      <c r="B81" s="4" t="s">
        <v>111</v>
      </c>
      <c r="C81" s="4" t="s">
        <v>112</v>
      </c>
      <c r="D81" s="3">
        <v>2</v>
      </c>
      <c r="E81" s="3" t="s">
        <v>16</v>
      </c>
      <c r="F81" s="3" t="s">
        <v>293</v>
      </c>
      <c r="G81" s="3" t="s">
        <v>29</v>
      </c>
      <c r="H81" s="3" t="s">
        <v>109</v>
      </c>
    </row>
    <row r="82" spans="1:8" x14ac:dyDescent="0.2">
      <c r="A82" s="3">
        <v>3060210001</v>
      </c>
      <c r="B82" s="4" t="s">
        <v>711</v>
      </c>
      <c r="C82" s="4" t="s">
        <v>712</v>
      </c>
      <c r="D82" s="3">
        <v>4</v>
      </c>
      <c r="E82" s="3" t="s">
        <v>16</v>
      </c>
      <c r="F82" s="3" t="s">
        <v>289</v>
      </c>
      <c r="G82" s="3" t="s">
        <v>23</v>
      </c>
      <c r="H82" s="3" t="s">
        <v>115</v>
      </c>
    </row>
    <row r="83" spans="1:8" x14ac:dyDescent="0.2">
      <c r="A83" s="3">
        <v>3060209002</v>
      </c>
      <c r="B83" s="4" t="s">
        <v>113</v>
      </c>
      <c r="C83" s="4" t="s">
        <v>114</v>
      </c>
      <c r="D83" s="3">
        <v>2</v>
      </c>
      <c r="E83" s="3" t="s">
        <v>16</v>
      </c>
      <c r="F83" s="3" t="s">
        <v>293</v>
      </c>
      <c r="G83" s="3" t="s">
        <v>29</v>
      </c>
      <c r="H83" s="3" t="s">
        <v>115</v>
      </c>
    </row>
    <row r="84" spans="1:8" x14ac:dyDescent="0.2">
      <c r="A84" s="3">
        <v>3030204032</v>
      </c>
      <c r="B84" s="4" t="s">
        <v>116</v>
      </c>
      <c r="C84" s="4" t="s">
        <v>117</v>
      </c>
      <c r="D84" s="3">
        <v>1</v>
      </c>
      <c r="E84" s="3" t="s">
        <v>16</v>
      </c>
      <c r="F84" s="3" t="s">
        <v>295</v>
      </c>
      <c r="G84" s="3" t="s">
        <v>17</v>
      </c>
      <c r="H84" s="3" t="s">
        <v>115</v>
      </c>
    </row>
    <row r="85" spans="1:8" x14ac:dyDescent="0.2">
      <c r="A85" s="3">
        <v>3040216001</v>
      </c>
      <c r="B85" s="4" t="s">
        <v>328</v>
      </c>
      <c r="C85" s="4" t="s">
        <v>329</v>
      </c>
      <c r="D85" s="3">
        <v>4</v>
      </c>
      <c r="E85" s="3" t="s">
        <v>16</v>
      </c>
      <c r="F85" s="3" t="s">
        <v>293</v>
      </c>
      <c r="G85" s="3" t="s">
        <v>29</v>
      </c>
      <c r="H85" s="3" t="s">
        <v>115</v>
      </c>
    </row>
    <row r="86" spans="1:8" x14ac:dyDescent="0.2">
      <c r="A86" s="3">
        <v>3030204006</v>
      </c>
      <c r="B86" s="4" t="s">
        <v>120</v>
      </c>
      <c r="C86" s="4" t="s">
        <v>121</v>
      </c>
      <c r="D86" s="3">
        <v>2</v>
      </c>
      <c r="E86" s="3" t="s">
        <v>16</v>
      </c>
      <c r="F86" s="3" t="s">
        <v>295</v>
      </c>
      <c r="G86" s="3" t="s">
        <v>17</v>
      </c>
      <c r="H86" s="3" t="s">
        <v>115</v>
      </c>
    </row>
    <row r="87" spans="1:8" x14ac:dyDescent="0.2">
      <c r="A87" s="3">
        <v>3030204008</v>
      </c>
      <c r="B87" s="4" t="s">
        <v>122</v>
      </c>
      <c r="C87" s="4" t="s">
        <v>123</v>
      </c>
      <c r="D87" s="3">
        <v>1</v>
      </c>
      <c r="E87" s="3" t="s">
        <v>16</v>
      </c>
      <c r="F87" s="3" t="s">
        <v>291</v>
      </c>
      <c r="G87" s="3" t="s">
        <v>26</v>
      </c>
      <c r="H87" s="3" t="s">
        <v>115</v>
      </c>
    </row>
    <row r="88" spans="1:8" x14ac:dyDescent="0.2">
      <c r="A88" s="3">
        <v>3030204010</v>
      </c>
      <c r="B88" s="4" t="s">
        <v>124</v>
      </c>
      <c r="C88" s="4" t="s">
        <v>125</v>
      </c>
      <c r="D88" s="3">
        <v>1</v>
      </c>
      <c r="E88" s="3" t="s">
        <v>16</v>
      </c>
      <c r="F88" s="3" t="s">
        <v>295</v>
      </c>
      <c r="G88" s="3" t="s">
        <v>17</v>
      </c>
      <c r="H88" s="3" t="s">
        <v>115</v>
      </c>
    </row>
    <row r="89" spans="1:8" x14ac:dyDescent="0.2">
      <c r="A89" s="3">
        <v>3030204012</v>
      </c>
      <c r="B89" s="4" t="s">
        <v>126</v>
      </c>
      <c r="C89" s="4" t="s">
        <v>127</v>
      </c>
      <c r="D89" s="3">
        <v>1</v>
      </c>
      <c r="E89" s="3" t="s">
        <v>16</v>
      </c>
      <c r="F89" s="3" t="s">
        <v>295</v>
      </c>
      <c r="G89" s="3" t="s">
        <v>17</v>
      </c>
      <c r="H89" s="3" t="s">
        <v>115</v>
      </c>
    </row>
    <row r="90" spans="1:8" x14ac:dyDescent="0.2">
      <c r="A90" s="3">
        <v>3070104002</v>
      </c>
      <c r="B90" s="4" t="s">
        <v>128</v>
      </c>
      <c r="C90" s="4" t="s">
        <v>129</v>
      </c>
      <c r="D90" s="3">
        <v>1</v>
      </c>
      <c r="E90" s="3" t="s">
        <v>16</v>
      </c>
      <c r="F90" s="3" t="s">
        <v>317</v>
      </c>
      <c r="G90" s="3" t="s">
        <v>318</v>
      </c>
      <c r="H90" s="3" t="s">
        <v>115</v>
      </c>
    </row>
    <row r="91" spans="1:8" x14ac:dyDescent="0.2">
      <c r="A91" s="3">
        <v>3070104001</v>
      </c>
      <c r="B91" s="4" t="s">
        <v>331</v>
      </c>
      <c r="C91" s="4" t="s">
        <v>332</v>
      </c>
      <c r="D91" s="3">
        <v>1</v>
      </c>
      <c r="E91" s="3" t="s">
        <v>16</v>
      </c>
      <c r="F91" s="3" t="s">
        <v>317</v>
      </c>
      <c r="G91" s="3" t="s">
        <v>318</v>
      </c>
      <c r="H91" s="3" t="s">
        <v>115</v>
      </c>
    </row>
    <row r="92" spans="1:8" x14ac:dyDescent="0.2">
      <c r="A92" s="3">
        <v>3030404003</v>
      </c>
      <c r="B92" s="4" t="s">
        <v>130</v>
      </c>
      <c r="C92" s="4" t="s">
        <v>131</v>
      </c>
      <c r="D92" s="3">
        <v>2</v>
      </c>
      <c r="E92" s="3" t="s">
        <v>16</v>
      </c>
      <c r="F92" s="3" t="s">
        <v>291</v>
      </c>
      <c r="G92" s="3" t="s">
        <v>26</v>
      </c>
      <c r="H92" s="3" t="s">
        <v>132</v>
      </c>
    </row>
    <row r="93" spans="1:8" x14ac:dyDescent="0.2">
      <c r="A93" s="3">
        <v>404040025</v>
      </c>
      <c r="B93" s="4" t="s">
        <v>30</v>
      </c>
      <c r="C93" s="4" t="s">
        <v>133</v>
      </c>
      <c r="D93" s="3">
        <v>2</v>
      </c>
      <c r="E93" s="3" t="s">
        <v>16</v>
      </c>
      <c r="F93" s="3" t="s">
        <v>291</v>
      </c>
      <c r="G93" s="3" t="s">
        <v>26</v>
      </c>
      <c r="H93" s="3" t="s">
        <v>134</v>
      </c>
    </row>
    <row r="94" spans="1:8" x14ac:dyDescent="0.2">
      <c r="A94" s="3">
        <v>3990207002</v>
      </c>
      <c r="B94" s="4" t="s">
        <v>140</v>
      </c>
      <c r="C94" s="4" t="s">
        <v>714</v>
      </c>
      <c r="D94" s="3">
        <v>1</v>
      </c>
      <c r="E94" s="3" t="s">
        <v>16</v>
      </c>
      <c r="F94" s="3" t="s">
        <v>285</v>
      </c>
      <c r="G94" s="3" t="s">
        <v>142</v>
      </c>
      <c r="H94" s="3" t="s">
        <v>143</v>
      </c>
    </row>
    <row r="95" spans="1:8" x14ac:dyDescent="0.2">
      <c r="A95" s="3">
        <v>3030301005</v>
      </c>
      <c r="B95" s="4" t="s">
        <v>144</v>
      </c>
      <c r="C95" s="4" t="s">
        <v>145</v>
      </c>
      <c r="D95" s="3">
        <v>2</v>
      </c>
      <c r="E95" s="3" t="s">
        <v>16</v>
      </c>
      <c r="F95" s="3" t="s">
        <v>291</v>
      </c>
      <c r="G95" s="3" t="s">
        <v>26</v>
      </c>
      <c r="H95" s="3" t="s">
        <v>143</v>
      </c>
    </row>
    <row r="96" spans="1:8" x14ac:dyDescent="0.2">
      <c r="A96" s="3">
        <v>3990204002</v>
      </c>
      <c r="B96" s="4" t="s">
        <v>333</v>
      </c>
      <c r="C96" s="4" t="s">
        <v>334</v>
      </c>
      <c r="D96" s="3">
        <v>1</v>
      </c>
      <c r="E96" s="3" t="s">
        <v>16</v>
      </c>
      <c r="F96" s="3" t="s">
        <v>335</v>
      </c>
      <c r="G96" s="3" t="s">
        <v>336</v>
      </c>
      <c r="H96" s="3" t="s">
        <v>143</v>
      </c>
    </row>
    <row r="97" spans="1:8" x14ac:dyDescent="0.2">
      <c r="A97" s="3">
        <v>3990206001</v>
      </c>
      <c r="B97" s="4" t="s">
        <v>715</v>
      </c>
      <c r="C97" s="4" t="s">
        <v>716</v>
      </c>
      <c r="D97" s="3">
        <v>1</v>
      </c>
      <c r="E97" s="3" t="s">
        <v>16</v>
      </c>
      <c r="F97" s="3" t="s">
        <v>717</v>
      </c>
      <c r="G97" s="3" t="s">
        <v>718</v>
      </c>
      <c r="H97" s="3" t="s">
        <v>143</v>
      </c>
    </row>
    <row r="98" spans="1:8" x14ac:dyDescent="0.2">
      <c r="A98" s="3">
        <v>407010090</v>
      </c>
      <c r="B98" s="4" t="s">
        <v>149</v>
      </c>
      <c r="C98" s="4" t="s">
        <v>744</v>
      </c>
      <c r="D98" s="3">
        <v>1</v>
      </c>
      <c r="E98" s="3" t="s">
        <v>16</v>
      </c>
      <c r="F98" s="3" t="s">
        <v>289</v>
      </c>
      <c r="G98" s="3" t="s">
        <v>23</v>
      </c>
      <c r="H98" s="3" t="s">
        <v>151</v>
      </c>
    </row>
    <row r="99" spans="1:8" x14ac:dyDescent="0.2">
      <c r="A99" s="3">
        <v>3060318001</v>
      </c>
      <c r="B99" s="4" t="s">
        <v>720</v>
      </c>
      <c r="C99" s="4" t="s">
        <v>721</v>
      </c>
      <c r="D99" s="3">
        <v>1</v>
      </c>
      <c r="E99" s="3" t="s">
        <v>16</v>
      </c>
      <c r="F99" s="3" t="s">
        <v>289</v>
      </c>
      <c r="G99" s="3" t="s">
        <v>23</v>
      </c>
      <c r="H99" s="3" t="s">
        <v>154</v>
      </c>
    </row>
    <row r="100" spans="1:8" x14ac:dyDescent="0.2">
      <c r="A100" s="3">
        <v>3060327003</v>
      </c>
      <c r="B100" s="4" t="s">
        <v>722</v>
      </c>
      <c r="C100" s="4" t="s">
        <v>723</v>
      </c>
      <c r="D100" s="3">
        <v>1</v>
      </c>
      <c r="E100" s="3" t="s">
        <v>16</v>
      </c>
      <c r="F100" s="3" t="s">
        <v>289</v>
      </c>
      <c r="G100" s="3" t="s">
        <v>23</v>
      </c>
      <c r="H100" s="3" t="s">
        <v>154</v>
      </c>
    </row>
    <row r="101" spans="1:8" x14ac:dyDescent="0.2">
      <c r="A101" s="3">
        <v>3030203004</v>
      </c>
      <c r="B101" s="4" t="s">
        <v>155</v>
      </c>
      <c r="C101" s="4" t="s">
        <v>156</v>
      </c>
      <c r="D101" s="3">
        <v>1</v>
      </c>
      <c r="E101" s="3" t="s">
        <v>16</v>
      </c>
      <c r="F101" s="3" t="s">
        <v>295</v>
      </c>
      <c r="G101" s="3" t="s">
        <v>17</v>
      </c>
      <c r="H101" s="3" t="s">
        <v>154</v>
      </c>
    </row>
    <row r="102" spans="1:8" x14ac:dyDescent="0.2">
      <c r="A102" s="3">
        <v>3040205005</v>
      </c>
      <c r="B102" s="4" t="s">
        <v>337</v>
      </c>
      <c r="C102" s="4" t="s">
        <v>338</v>
      </c>
      <c r="D102" s="3">
        <v>2</v>
      </c>
      <c r="E102" s="3" t="s">
        <v>16</v>
      </c>
      <c r="F102" s="3" t="s">
        <v>293</v>
      </c>
      <c r="G102" s="3" t="s">
        <v>29</v>
      </c>
      <c r="H102" s="3" t="s">
        <v>154</v>
      </c>
    </row>
    <row r="103" spans="1:8" x14ac:dyDescent="0.2">
      <c r="A103" s="3">
        <v>3030310010</v>
      </c>
      <c r="B103" s="4" t="s">
        <v>161</v>
      </c>
      <c r="C103" s="4" t="s">
        <v>162</v>
      </c>
      <c r="D103" s="3">
        <v>1</v>
      </c>
      <c r="E103" s="3" t="s">
        <v>16</v>
      </c>
      <c r="F103" s="3" t="s">
        <v>295</v>
      </c>
      <c r="G103" s="3" t="s">
        <v>17</v>
      </c>
      <c r="H103" s="3" t="s">
        <v>154</v>
      </c>
    </row>
    <row r="104" spans="1:8" x14ac:dyDescent="0.2">
      <c r="A104" s="3">
        <v>3110103002</v>
      </c>
      <c r="B104" s="4" t="s">
        <v>473</v>
      </c>
      <c r="C104" s="4" t="s">
        <v>474</v>
      </c>
      <c r="D104" s="3">
        <v>1</v>
      </c>
      <c r="E104" s="3" t="s">
        <v>16</v>
      </c>
      <c r="F104" s="3" t="s">
        <v>291</v>
      </c>
      <c r="G104" s="3" t="s">
        <v>26</v>
      </c>
      <c r="H104" s="3" t="s">
        <v>165</v>
      </c>
    </row>
    <row r="105" spans="1:8" x14ac:dyDescent="0.2">
      <c r="A105" s="3">
        <v>3040310003</v>
      </c>
      <c r="B105" s="4" t="s">
        <v>339</v>
      </c>
      <c r="C105" s="4" t="s">
        <v>340</v>
      </c>
      <c r="D105" s="3">
        <v>2</v>
      </c>
      <c r="E105" s="3" t="s">
        <v>16</v>
      </c>
      <c r="F105" s="3" t="s">
        <v>293</v>
      </c>
      <c r="G105" s="3" t="s">
        <v>29</v>
      </c>
      <c r="H105" s="3" t="s">
        <v>165</v>
      </c>
    </row>
    <row r="106" spans="1:8" x14ac:dyDescent="0.2">
      <c r="A106" s="3">
        <v>3030303067</v>
      </c>
      <c r="B106" s="4" t="s">
        <v>166</v>
      </c>
      <c r="C106" s="4" t="s">
        <v>167</v>
      </c>
      <c r="D106" s="3">
        <v>1</v>
      </c>
      <c r="E106" s="3" t="s">
        <v>16</v>
      </c>
      <c r="F106" s="3" t="s">
        <v>295</v>
      </c>
      <c r="G106" s="3" t="s">
        <v>17</v>
      </c>
      <c r="H106" s="3" t="s">
        <v>165</v>
      </c>
    </row>
    <row r="107" spans="1:8" x14ac:dyDescent="0.2">
      <c r="A107" s="3">
        <v>3040321002</v>
      </c>
      <c r="B107" s="4" t="s">
        <v>341</v>
      </c>
      <c r="C107" s="4" t="s">
        <v>340</v>
      </c>
      <c r="D107" s="3">
        <v>2</v>
      </c>
      <c r="E107" s="3" t="s">
        <v>16</v>
      </c>
      <c r="F107" s="3" t="s">
        <v>293</v>
      </c>
      <c r="G107" s="3" t="s">
        <v>29</v>
      </c>
      <c r="H107" s="3" t="s">
        <v>165</v>
      </c>
    </row>
    <row r="108" spans="1:8" x14ac:dyDescent="0.2">
      <c r="A108" s="3">
        <v>3040302003</v>
      </c>
      <c r="B108" s="4" t="s">
        <v>342</v>
      </c>
      <c r="C108" s="4" t="s">
        <v>343</v>
      </c>
      <c r="D108" s="3">
        <v>2</v>
      </c>
      <c r="E108" s="3" t="s">
        <v>16</v>
      </c>
      <c r="F108" s="3" t="s">
        <v>293</v>
      </c>
      <c r="G108" s="3" t="s">
        <v>29</v>
      </c>
      <c r="H108" s="3" t="s">
        <v>165</v>
      </c>
    </row>
    <row r="109" spans="1:8" x14ac:dyDescent="0.2">
      <c r="A109" s="3">
        <v>3040315002</v>
      </c>
      <c r="B109" s="4" t="s">
        <v>344</v>
      </c>
      <c r="C109" s="4" t="s">
        <v>340</v>
      </c>
      <c r="D109" s="3">
        <v>2</v>
      </c>
      <c r="E109" s="3" t="s">
        <v>16</v>
      </c>
      <c r="F109" s="3" t="s">
        <v>293</v>
      </c>
      <c r="G109" s="3" t="s">
        <v>29</v>
      </c>
      <c r="H109" s="3" t="s">
        <v>165</v>
      </c>
    </row>
    <row r="110" spans="1:8" x14ac:dyDescent="0.2">
      <c r="A110" s="3">
        <v>3010106010</v>
      </c>
      <c r="B110" s="4" t="s">
        <v>481</v>
      </c>
      <c r="C110" s="4" t="s">
        <v>482</v>
      </c>
      <c r="D110" s="3">
        <v>0.38</v>
      </c>
      <c r="E110" s="3" t="s">
        <v>10</v>
      </c>
      <c r="F110" s="3" t="s">
        <v>284</v>
      </c>
      <c r="G110" s="3" t="s">
        <v>11</v>
      </c>
      <c r="H110" s="3" t="s">
        <v>483</v>
      </c>
    </row>
    <row r="111" spans="1:8" x14ac:dyDescent="0.2">
      <c r="A111" s="3">
        <v>3060333003</v>
      </c>
      <c r="B111" s="4" t="s">
        <v>227</v>
      </c>
      <c r="C111" s="4" t="s">
        <v>724</v>
      </c>
      <c r="D111" s="3">
        <v>1</v>
      </c>
      <c r="E111" s="3" t="s">
        <v>16</v>
      </c>
      <c r="F111" s="3" t="s">
        <v>289</v>
      </c>
      <c r="G111" s="3" t="s">
        <v>23</v>
      </c>
      <c r="H111" s="3" t="s">
        <v>173</v>
      </c>
    </row>
    <row r="112" spans="1:8" x14ac:dyDescent="0.2">
      <c r="A112" s="3">
        <v>3030303003</v>
      </c>
      <c r="B112" s="4" t="s">
        <v>175</v>
      </c>
      <c r="C112" s="4" t="s">
        <v>176</v>
      </c>
      <c r="D112" s="3">
        <v>1</v>
      </c>
      <c r="E112" s="3" t="s">
        <v>16</v>
      </c>
      <c r="F112" s="3" t="s">
        <v>295</v>
      </c>
      <c r="G112" s="3" t="s">
        <v>17</v>
      </c>
      <c r="H112" s="3" t="s">
        <v>173</v>
      </c>
    </row>
    <row r="113" spans="1:8" x14ac:dyDescent="0.2">
      <c r="A113" s="3">
        <v>3030303005</v>
      </c>
      <c r="B113" s="4" t="s">
        <v>177</v>
      </c>
      <c r="C113" s="4" t="s">
        <v>176</v>
      </c>
      <c r="D113" s="3">
        <v>1</v>
      </c>
      <c r="E113" s="3" t="s">
        <v>16</v>
      </c>
      <c r="F113" s="3" t="s">
        <v>291</v>
      </c>
      <c r="G113" s="3" t="s">
        <v>26</v>
      </c>
      <c r="H113" s="3" t="s">
        <v>173</v>
      </c>
    </row>
    <row r="114" spans="1:8" x14ac:dyDescent="0.2">
      <c r="A114" s="3">
        <v>3040328005</v>
      </c>
      <c r="B114" s="4" t="s">
        <v>267</v>
      </c>
      <c r="C114" s="4" t="s">
        <v>345</v>
      </c>
      <c r="D114" s="3">
        <v>2</v>
      </c>
      <c r="E114" s="3" t="s">
        <v>16</v>
      </c>
      <c r="F114" s="3" t="s">
        <v>293</v>
      </c>
      <c r="G114" s="3" t="s">
        <v>29</v>
      </c>
      <c r="H114" s="3" t="s">
        <v>173</v>
      </c>
    </row>
    <row r="115" spans="1:8" x14ac:dyDescent="0.2">
      <c r="A115" s="3">
        <v>3040309001</v>
      </c>
      <c r="B115" s="4" t="s">
        <v>346</v>
      </c>
      <c r="C115" s="4" t="s">
        <v>347</v>
      </c>
      <c r="D115" s="3">
        <v>8</v>
      </c>
      <c r="E115" s="3" t="s">
        <v>16</v>
      </c>
      <c r="F115" s="3" t="s">
        <v>293</v>
      </c>
      <c r="G115" s="3" t="s">
        <v>29</v>
      </c>
      <c r="H115" s="3" t="s">
        <v>173</v>
      </c>
    </row>
    <row r="116" spans="1:8" x14ac:dyDescent="0.2">
      <c r="A116" s="3">
        <v>3070201002</v>
      </c>
      <c r="B116" s="4" t="s">
        <v>348</v>
      </c>
      <c r="C116" s="4" t="s">
        <v>349</v>
      </c>
      <c r="D116" s="3">
        <v>1</v>
      </c>
      <c r="E116" s="3" t="s">
        <v>16</v>
      </c>
      <c r="F116" s="3" t="s">
        <v>317</v>
      </c>
      <c r="G116" s="3" t="s">
        <v>318</v>
      </c>
      <c r="H116" s="3" t="s">
        <v>173</v>
      </c>
    </row>
    <row r="117" spans="1:8" x14ac:dyDescent="0.2">
      <c r="A117" s="3">
        <v>3060340001</v>
      </c>
      <c r="B117" s="4" t="s">
        <v>725</v>
      </c>
      <c r="C117" s="4" t="s">
        <v>726</v>
      </c>
      <c r="D117" s="3">
        <v>1</v>
      </c>
      <c r="E117" s="3" t="s">
        <v>16</v>
      </c>
      <c r="F117" s="3" t="s">
        <v>702</v>
      </c>
      <c r="G117" s="3" t="s">
        <v>703</v>
      </c>
      <c r="H117" s="3" t="s">
        <v>173</v>
      </c>
    </row>
    <row r="118" spans="1:8" x14ac:dyDescent="0.2">
      <c r="A118" s="3">
        <v>3030310007</v>
      </c>
      <c r="B118" s="4" t="s">
        <v>178</v>
      </c>
      <c r="C118" s="4" t="s">
        <v>179</v>
      </c>
      <c r="D118" s="3">
        <v>1</v>
      </c>
      <c r="E118" s="3" t="s">
        <v>16</v>
      </c>
      <c r="F118" s="3" t="s">
        <v>295</v>
      </c>
      <c r="G118" s="3" t="s">
        <v>17</v>
      </c>
      <c r="H118" s="3" t="s">
        <v>173</v>
      </c>
    </row>
    <row r="119" spans="1:8" x14ac:dyDescent="0.2">
      <c r="A119" s="3">
        <v>3030310009</v>
      </c>
      <c r="B119" s="4" t="s">
        <v>180</v>
      </c>
      <c r="C119" s="4" t="s">
        <v>179</v>
      </c>
      <c r="D119" s="3">
        <v>1</v>
      </c>
      <c r="E119" s="3" t="s">
        <v>16</v>
      </c>
      <c r="F119" s="3" t="s">
        <v>295</v>
      </c>
      <c r="G119" s="3" t="s">
        <v>17</v>
      </c>
      <c r="H119" s="3" t="s">
        <v>173</v>
      </c>
    </row>
    <row r="120" spans="1:8" x14ac:dyDescent="0.2">
      <c r="A120" s="3">
        <v>3020501014</v>
      </c>
      <c r="B120" s="4" t="s">
        <v>183</v>
      </c>
      <c r="C120" s="4" t="s">
        <v>350</v>
      </c>
      <c r="D120" s="3">
        <v>1</v>
      </c>
      <c r="E120" s="3" t="s">
        <v>16</v>
      </c>
      <c r="F120" s="3" t="s">
        <v>291</v>
      </c>
      <c r="G120" s="3" t="s">
        <v>26</v>
      </c>
      <c r="H120" s="3" t="s">
        <v>185</v>
      </c>
    </row>
    <row r="121" spans="1:8" x14ac:dyDescent="0.2">
      <c r="A121" s="3">
        <v>3990201009</v>
      </c>
      <c r="B121" s="4" t="s">
        <v>186</v>
      </c>
      <c r="C121" s="4" t="s">
        <v>606</v>
      </c>
      <c r="D121" s="3">
        <v>1</v>
      </c>
      <c r="E121" s="3" t="s">
        <v>16</v>
      </c>
      <c r="F121" s="3" t="s">
        <v>295</v>
      </c>
      <c r="G121" s="3" t="s">
        <v>17</v>
      </c>
      <c r="H121" s="3" t="s">
        <v>187</v>
      </c>
    </row>
    <row r="122" spans="1:8" x14ac:dyDescent="0.2">
      <c r="A122" s="3">
        <v>3990202008</v>
      </c>
      <c r="B122" s="4" t="s">
        <v>188</v>
      </c>
      <c r="C122" s="4" t="s">
        <v>606</v>
      </c>
      <c r="D122" s="3">
        <v>1</v>
      </c>
      <c r="E122" s="3" t="s">
        <v>16</v>
      </c>
      <c r="F122" s="3" t="s">
        <v>295</v>
      </c>
      <c r="G122" s="3" t="s">
        <v>17</v>
      </c>
      <c r="H122" s="3" t="s">
        <v>187</v>
      </c>
    </row>
    <row r="123" spans="1:8" x14ac:dyDescent="0.2">
      <c r="A123" s="3">
        <v>3990203004</v>
      </c>
      <c r="B123" s="4" t="s">
        <v>189</v>
      </c>
      <c r="C123" s="4" t="s">
        <v>606</v>
      </c>
      <c r="D123" s="3">
        <v>1</v>
      </c>
      <c r="E123" s="3" t="s">
        <v>16</v>
      </c>
      <c r="F123" s="3" t="s">
        <v>291</v>
      </c>
      <c r="G123" s="3" t="s">
        <v>26</v>
      </c>
      <c r="H123" s="3" t="s">
        <v>187</v>
      </c>
    </row>
    <row r="124" spans="1:8" x14ac:dyDescent="0.2">
      <c r="A124" s="3">
        <v>3030401002</v>
      </c>
      <c r="B124" s="4" t="s">
        <v>190</v>
      </c>
      <c r="C124" s="4" t="s">
        <v>191</v>
      </c>
      <c r="D124" s="3">
        <v>1</v>
      </c>
      <c r="E124" s="3" t="s">
        <v>16</v>
      </c>
      <c r="F124" s="3" t="s">
        <v>295</v>
      </c>
      <c r="G124" s="3" t="s">
        <v>17</v>
      </c>
      <c r="H124" s="3" t="s">
        <v>192</v>
      </c>
    </row>
    <row r="125" spans="1:8" x14ac:dyDescent="0.2">
      <c r="A125" s="3">
        <v>3060401001</v>
      </c>
      <c r="B125" s="4" t="s">
        <v>727</v>
      </c>
      <c r="C125" s="4" t="s">
        <v>728</v>
      </c>
      <c r="D125" s="3">
        <v>2</v>
      </c>
      <c r="E125" s="3" t="s">
        <v>16</v>
      </c>
      <c r="F125" s="3" t="s">
        <v>289</v>
      </c>
      <c r="G125" s="3" t="s">
        <v>23</v>
      </c>
      <c r="H125" s="3" t="s">
        <v>192</v>
      </c>
    </row>
    <row r="126" spans="1:8" x14ac:dyDescent="0.2">
      <c r="A126" s="3">
        <v>404090194</v>
      </c>
      <c r="B126" s="4" t="s">
        <v>30</v>
      </c>
      <c r="C126" s="4" t="s">
        <v>745</v>
      </c>
      <c r="D126" s="3">
        <v>1</v>
      </c>
      <c r="E126" s="3" t="s">
        <v>16</v>
      </c>
      <c r="F126" s="3" t="s">
        <v>301</v>
      </c>
      <c r="G126" s="3" t="s">
        <v>32</v>
      </c>
      <c r="H126" s="3" t="s">
        <v>198</v>
      </c>
    </row>
    <row r="127" spans="1:8" x14ac:dyDescent="0.2">
      <c r="A127" s="3">
        <v>404060019</v>
      </c>
      <c r="B127" s="4" t="s">
        <v>30</v>
      </c>
      <c r="C127" s="4" t="s">
        <v>352</v>
      </c>
      <c r="D127" s="3">
        <v>1</v>
      </c>
      <c r="E127" s="3" t="s">
        <v>16</v>
      </c>
      <c r="F127" s="3" t="s">
        <v>291</v>
      </c>
      <c r="G127" s="3" t="s">
        <v>26</v>
      </c>
      <c r="H127" s="3" t="s">
        <v>198</v>
      </c>
    </row>
    <row r="128" spans="1:8" x14ac:dyDescent="0.2">
      <c r="A128" s="3">
        <v>404020035</v>
      </c>
      <c r="B128" s="4" t="s">
        <v>30</v>
      </c>
      <c r="C128" s="4" t="s">
        <v>199</v>
      </c>
      <c r="D128" s="3">
        <v>1</v>
      </c>
      <c r="E128" s="3" t="s">
        <v>16</v>
      </c>
      <c r="F128" s="3" t="s">
        <v>291</v>
      </c>
      <c r="G128" s="3" t="s">
        <v>26</v>
      </c>
      <c r="H128" s="3" t="s">
        <v>198</v>
      </c>
    </row>
    <row r="129" spans="1:8" x14ac:dyDescent="0.2">
      <c r="A129" s="3">
        <v>403030038</v>
      </c>
      <c r="B129" s="4" t="s">
        <v>801</v>
      </c>
      <c r="C129" s="4" t="s">
        <v>1928</v>
      </c>
      <c r="D129" s="3">
        <v>1</v>
      </c>
      <c r="E129" s="3" t="s">
        <v>16</v>
      </c>
      <c r="F129" s="3" t="s">
        <v>291</v>
      </c>
      <c r="G129" s="3" t="s">
        <v>26</v>
      </c>
      <c r="H129" s="3" t="s">
        <v>198</v>
      </c>
    </row>
    <row r="130" spans="1:8" x14ac:dyDescent="0.2">
      <c r="A130" s="3">
        <v>403030019</v>
      </c>
      <c r="B130" s="4" t="s">
        <v>801</v>
      </c>
      <c r="C130" s="4" t="s">
        <v>1151</v>
      </c>
      <c r="D130" s="3">
        <v>1</v>
      </c>
      <c r="E130" s="3" t="s">
        <v>16</v>
      </c>
      <c r="F130" s="3" t="s">
        <v>291</v>
      </c>
      <c r="G130" s="3" t="s">
        <v>26</v>
      </c>
      <c r="H130" s="3" t="s">
        <v>198</v>
      </c>
    </row>
    <row r="131" spans="1:8" x14ac:dyDescent="0.2">
      <c r="A131" s="3">
        <v>40901001</v>
      </c>
      <c r="B131" s="4" t="s">
        <v>801</v>
      </c>
      <c r="C131" s="4" t="s">
        <v>1916</v>
      </c>
      <c r="D131" s="3">
        <v>1</v>
      </c>
      <c r="E131" s="3" t="s">
        <v>16</v>
      </c>
      <c r="F131" s="3" t="s">
        <v>291</v>
      </c>
      <c r="G131" s="3" t="s">
        <v>26</v>
      </c>
      <c r="H131" s="3" t="s">
        <v>198</v>
      </c>
    </row>
    <row r="132" spans="1:8" x14ac:dyDescent="0.2">
      <c r="A132" s="3">
        <v>401070018</v>
      </c>
      <c r="B132" s="4" t="s">
        <v>35</v>
      </c>
      <c r="C132" s="4" t="s">
        <v>202</v>
      </c>
      <c r="D132" s="3">
        <v>1</v>
      </c>
      <c r="E132" s="3" t="s">
        <v>16</v>
      </c>
      <c r="F132" s="3" t="s">
        <v>291</v>
      </c>
      <c r="G132" s="3" t="s">
        <v>26</v>
      </c>
      <c r="H132" s="3" t="s">
        <v>198</v>
      </c>
    </row>
    <row r="133" spans="1:8" x14ac:dyDescent="0.2">
      <c r="A133" s="3">
        <v>401070022</v>
      </c>
      <c r="B133" s="4" t="s">
        <v>35</v>
      </c>
      <c r="C133" s="4" t="s">
        <v>203</v>
      </c>
      <c r="D133" s="3">
        <v>1</v>
      </c>
      <c r="E133" s="3" t="s">
        <v>16</v>
      </c>
      <c r="F133" s="3" t="s">
        <v>297</v>
      </c>
      <c r="G133" s="3" t="s">
        <v>204</v>
      </c>
      <c r="H133" s="3" t="s">
        <v>198</v>
      </c>
    </row>
    <row r="134" spans="1:8" x14ac:dyDescent="0.2">
      <c r="A134" s="3">
        <v>3992002001</v>
      </c>
      <c r="B134" s="4" t="s">
        <v>212</v>
      </c>
      <c r="C134" s="4" t="s">
        <v>213</v>
      </c>
      <c r="D134" s="3">
        <v>2</v>
      </c>
      <c r="E134" s="3" t="s">
        <v>16</v>
      </c>
      <c r="F134" s="3" t="s">
        <v>295</v>
      </c>
      <c r="G134" s="3" t="s">
        <v>17</v>
      </c>
      <c r="H134" s="3" t="s">
        <v>214</v>
      </c>
    </row>
    <row r="135" spans="1:8" x14ac:dyDescent="0.2">
      <c r="A135" s="3">
        <v>3992001001</v>
      </c>
      <c r="B135" s="4" t="s">
        <v>215</v>
      </c>
      <c r="C135" s="4" t="s">
        <v>213</v>
      </c>
      <c r="D135" s="3">
        <v>2</v>
      </c>
      <c r="E135" s="3" t="s">
        <v>16</v>
      </c>
      <c r="F135" s="3" t="s">
        <v>295</v>
      </c>
      <c r="G135" s="3" t="s">
        <v>17</v>
      </c>
      <c r="H135" s="3" t="s">
        <v>214</v>
      </c>
    </row>
    <row r="136" spans="1:8" x14ac:dyDescent="0.2">
      <c r="A136" s="3">
        <v>3030201004</v>
      </c>
      <c r="B136" s="4" t="s">
        <v>216</v>
      </c>
      <c r="C136" s="4" t="s">
        <v>213</v>
      </c>
      <c r="D136" s="3">
        <v>2</v>
      </c>
      <c r="E136" s="3" t="s">
        <v>16</v>
      </c>
      <c r="F136" s="3" t="s">
        <v>295</v>
      </c>
      <c r="G136" s="3" t="s">
        <v>17</v>
      </c>
      <c r="H136" s="3" t="s">
        <v>214</v>
      </c>
    </row>
    <row r="137" spans="1:8" x14ac:dyDescent="0.2">
      <c r="A137" s="3">
        <v>3049904001</v>
      </c>
      <c r="B137" s="4" t="s">
        <v>354</v>
      </c>
      <c r="C137" s="4" t="s">
        <v>355</v>
      </c>
      <c r="D137" s="3">
        <v>4</v>
      </c>
      <c r="E137" s="3" t="s">
        <v>16</v>
      </c>
      <c r="F137" s="3" t="s">
        <v>293</v>
      </c>
      <c r="G137" s="3" t="s">
        <v>29</v>
      </c>
      <c r="H137" s="3" t="s">
        <v>214</v>
      </c>
    </row>
    <row r="138" spans="1:8" x14ac:dyDescent="0.2">
      <c r="A138" s="3">
        <v>3049902005</v>
      </c>
      <c r="B138" s="4" t="s">
        <v>356</v>
      </c>
      <c r="C138" s="4" t="s">
        <v>357</v>
      </c>
      <c r="D138" s="3">
        <v>2</v>
      </c>
      <c r="E138" s="3" t="s">
        <v>16</v>
      </c>
      <c r="F138" s="3" t="s">
        <v>293</v>
      </c>
      <c r="G138" s="3" t="s">
        <v>29</v>
      </c>
      <c r="H138" s="3" t="s">
        <v>214</v>
      </c>
    </row>
    <row r="139" spans="1:8" x14ac:dyDescent="0.2">
      <c r="A139" s="3">
        <v>3049902010</v>
      </c>
      <c r="B139" s="4" t="s">
        <v>358</v>
      </c>
      <c r="C139" s="4" t="s">
        <v>359</v>
      </c>
      <c r="D139" s="3">
        <v>2</v>
      </c>
      <c r="E139" s="3" t="s">
        <v>16</v>
      </c>
      <c r="F139" s="3" t="s">
        <v>293</v>
      </c>
      <c r="G139" s="3" t="s">
        <v>29</v>
      </c>
      <c r="H139" s="3" t="s">
        <v>214</v>
      </c>
    </row>
    <row r="140" spans="1:8" x14ac:dyDescent="0.2">
      <c r="A140" s="3">
        <v>3030201005</v>
      </c>
      <c r="B140" s="4" t="s">
        <v>217</v>
      </c>
      <c r="C140" s="4" t="s">
        <v>218</v>
      </c>
      <c r="D140" s="3">
        <v>12</v>
      </c>
      <c r="E140" s="3" t="s">
        <v>16</v>
      </c>
      <c r="F140" s="3" t="s">
        <v>295</v>
      </c>
      <c r="G140" s="3" t="s">
        <v>17</v>
      </c>
      <c r="H140" s="3" t="s">
        <v>214</v>
      </c>
    </row>
    <row r="141" spans="1:8" x14ac:dyDescent="0.2">
      <c r="A141" s="3">
        <v>3070105007</v>
      </c>
      <c r="B141" s="4" t="s">
        <v>360</v>
      </c>
      <c r="C141" s="4" t="s">
        <v>361</v>
      </c>
      <c r="D141" s="3">
        <v>1</v>
      </c>
      <c r="E141" s="3" t="s">
        <v>16</v>
      </c>
      <c r="F141" s="3" t="s">
        <v>317</v>
      </c>
      <c r="G141" s="3" t="s">
        <v>318</v>
      </c>
      <c r="H141" s="3" t="s">
        <v>214</v>
      </c>
    </row>
    <row r="142" spans="1:8" x14ac:dyDescent="0.2">
      <c r="A142" s="3">
        <v>3070105008</v>
      </c>
      <c r="B142" s="4" t="s">
        <v>362</v>
      </c>
      <c r="C142" s="4" t="s">
        <v>361</v>
      </c>
      <c r="D142" s="3">
        <v>1</v>
      </c>
      <c r="E142" s="3" t="s">
        <v>16</v>
      </c>
      <c r="F142" s="3" t="s">
        <v>317</v>
      </c>
      <c r="G142" s="3" t="s">
        <v>318</v>
      </c>
      <c r="H142" s="3" t="s">
        <v>214</v>
      </c>
    </row>
    <row r="143" spans="1:8" x14ac:dyDescent="0.2">
      <c r="A143" s="3">
        <v>3060404003</v>
      </c>
      <c r="B143" s="4" t="s">
        <v>729</v>
      </c>
      <c r="C143" s="4" t="s">
        <v>730</v>
      </c>
      <c r="D143" s="3">
        <v>1</v>
      </c>
      <c r="E143" s="3" t="s">
        <v>16</v>
      </c>
      <c r="F143" s="3" t="s">
        <v>289</v>
      </c>
      <c r="G143" s="3" t="s">
        <v>23</v>
      </c>
      <c r="H143" s="3" t="s">
        <v>221</v>
      </c>
    </row>
    <row r="144" spans="1:8" x14ac:dyDescent="0.2">
      <c r="A144" s="3">
        <v>3030403001</v>
      </c>
      <c r="B144" s="4" t="s">
        <v>219</v>
      </c>
      <c r="C144" s="4" t="s">
        <v>220</v>
      </c>
      <c r="D144" s="3">
        <v>1</v>
      </c>
      <c r="E144" s="3" t="s">
        <v>16</v>
      </c>
      <c r="F144" s="3" t="s">
        <v>295</v>
      </c>
      <c r="G144" s="3" t="s">
        <v>17</v>
      </c>
      <c r="H144" s="3" t="s">
        <v>221</v>
      </c>
    </row>
    <row r="145" spans="1:8" x14ac:dyDescent="0.2">
      <c r="A145" s="3">
        <v>3040402013</v>
      </c>
      <c r="B145" s="4" t="s">
        <v>193</v>
      </c>
      <c r="C145" s="4" t="s">
        <v>363</v>
      </c>
      <c r="D145" s="3">
        <v>1</v>
      </c>
      <c r="E145" s="3" t="s">
        <v>16</v>
      </c>
      <c r="F145" s="3" t="s">
        <v>293</v>
      </c>
      <c r="G145" s="3" t="s">
        <v>29</v>
      </c>
      <c r="H145" s="3" t="s">
        <v>221</v>
      </c>
    </row>
    <row r="146" spans="1:8" x14ac:dyDescent="0.2">
      <c r="A146" s="3">
        <v>3040402014</v>
      </c>
      <c r="B146" s="4" t="s">
        <v>193</v>
      </c>
      <c r="C146" s="4" t="s">
        <v>364</v>
      </c>
      <c r="D146" s="3">
        <v>1</v>
      </c>
      <c r="E146" s="3" t="s">
        <v>16</v>
      </c>
      <c r="F146" s="3" t="s">
        <v>293</v>
      </c>
      <c r="G146" s="3" t="s">
        <v>29</v>
      </c>
      <c r="H146" s="3" t="s">
        <v>221</v>
      </c>
    </row>
    <row r="147" spans="1:8" x14ac:dyDescent="0.2">
      <c r="A147" s="3">
        <v>3020301001</v>
      </c>
      <c r="B147" s="4" t="s">
        <v>209</v>
      </c>
      <c r="C147" s="4" t="s">
        <v>365</v>
      </c>
      <c r="D147" s="3">
        <v>1</v>
      </c>
      <c r="E147" s="3" t="s">
        <v>16</v>
      </c>
      <c r="F147" s="3" t="s">
        <v>291</v>
      </c>
      <c r="G147" s="3" t="s">
        <v>26</v>
      </c>
      <c r="H147" s="3" t="s">
        <v>221</v>
      </c>
    </row>
    <row r="148" spans="1:8" x14ac:dyDescent="0.2">
      <c r="A148" s="3">
        <v>403030051</v>
      </c>
      <c r="B148" s="4" t="s">
        <v>366</v>
      </c>
      <c r="C148" s="4" t="s">
        <v>367</v>
      </c>
      <c r="D148" s="3">
        <v>3</v>
      </c>
      <c r="E148" s="3" t="s">
        <v>16</v>
      </c>
      <c r="F148" s="3" t="s">
        <v>301</v>
      </c>
      <c r="G148" s="3" t="s">
        <v>32</v>
      </c>
      <c r="H148" s="3" t="s">
        <v>221</v>
      </c>
    </row>
    <row r="149" spans="1:8" x14ac:dyDescent="0.2">
      <c r="A149" s="3">
        <v>403030005</v>
      </c>
      <c r="B149" s="4" t="s">
        <v>366</v>
      </c>
      <c r="C149" s="4" t="s">
        <v>368</v>
      </c>
      <c r="D149" s="3">
        <v>2</v>
      </c>
      <c r="E149" s="3" t="s">
        <v>16</v>
      </c>
      <c r="F149" s="3" t="s">
        <v>301</v>
      </c>
      <c r="G149" s="3" t="s">
        <v>32</v>
      </c>
      <c r="H149" s="3" t="s">
        <v>221</v>
      </c>
    </row>
    <row r="150" spans="1:8" x14ac:dyDescent="0.2">
      <c r="A150" s="3">
        <v>3050401001</v>
      </c>
      <c r="B150" s="4" t="s">
        <v>222</v>
      </c>
      <c r="C150" s="4" t="s">
        <v>223</v>
      </c>
      <c r="D150" s="3">
        <v>1</v>
      </c>
      <c r="E150" s="3" t="s">
        <v>16</v>
      </c>
      <c r="F150" s="3" t="s">
        <v>291</v>
      </c>
      <c r="G150" s="3" t="s">
        <v>26</v>
      </c>
      <c r="H150" s="3" t="s">
        <v>221</v>
      </c>
    </row>
    <row r="151" spans="1:8" x14ac:dyDescent="0.2">
      <c r="A151" s="3">
        <v>402050001</v>
      </c>
      <c r="B151" s="4" t="s">
        <v>522</v>
      </c>
      <c r="C151" s="4" t="s">
        <v>523</v>
      </c>
      <c r="D151" s="3">
        <v>1</v>
      </c>
      <c r="E151" s="3" t="s">
        <v>16</v>
      </c>
      <c r="F151" s="3" t="s">
        <v>289</v>
      </c>
      <c r="G151" s="3" t="s">
        <v>23</v>
      </c>
      <c r="H151" s="3" t="s">
        <v>524</v>
      </c>
    </row>
    <row r="152" spans="1:8" x14ac:dyDescent="0.2">
      <c r="A152" s="3">
        <v>3040502057</v>
      </c>
      <c r="B152" s="4" t="s">
        <v>136</v>
      </c>
      <c r="C152" s="4" t="s">
        <v>369</v>
      </c>
      <c r="D152" s="3">
        <v>1</v>
      </c>
      <c r="E152" s="3" t="s">
        <v>16</v>
      </c>
      <c r="F152" s="3" t="s">
        <v>293</v>
      </c>
      <c r="G152" s="3" t="s">
        <v>29</v>
      </c>
      <c r="H152" s="3" t="s">
        <v>370</v>
      </c>
    </row>
    <row r="153" spans="1:8" x14ac:dyDescent="0.2">
      <c r="A153" s="3">
        <v>3040502056</v>
      </c>
      <c r="B153" s="4" t="s">
        <v>136</v>
      </c>
      <c r="C153" s="4" t="s">
        <v>371</v>
      </c>
      <c r="D153" s="3">
        <v>1</v>
      </c>
      <c r="E153" s="3" t="s">
        <v>16</v>
      </c>
      <c r="F153" s="3" t="s">
        <v>293</v>
      </c>
      <c r="G153" s="3" t="s">
        <v>29</v>
      </c>
      <c r="H153" s="3" t="s">
        <v>370</v>
      </c>
    </row>
    <row r="154" spans="1:8" x14ac:dyDescent="0.2">
      <c r="A154" s="3">
        <v>3050305016</v>
      </c>
      <c r="B154" s="4" t="s">
        <v>527</v>
      </c>
      <c r="C154" s="4" t="s">
        <v>528</v>
      </c>
      <c r="D154" s="3">
        <v>1</v>
      </c>
      <c r="E154" s="3" t="s">
        <v>16</v>
      </c>
      <c r="F154" s="3" t="s">
        <v>291</v>
      </c>
      <c r="G154" s="3" t="s">
        <v>26</v>
      </c>
      <c r="H154" s="3" t="s">
        <v>226</v>
      </c>
    </row>
    <row r="155" spans="1:8" x14ac:dyDescent="0.2">
      <c r="A155" s="3">
        <v>3050305015</v>
      </c>
      <c r="B155" s="4" t="s">
        <v>529</v>
      </c>
      <c r="C155" s="4" t="s">
        <v>530</v>
      </c>
      <c r="D155" s="3">
        <v>1</v>
      </c>
      <c r="E155" s="3" t="s">
        <v>16</v>
      </c>
      <c r="F155" s="3" t="s">
        <v>291</v>
      </c>
      <c r="G155" s="3" t="s">
        <v>26</v>
      </c>
      <c r="H155" s="3" t="s">
        <v>226</v>
      </c>
    </row>
    <row r="156" spans="1:8" x14ac:dyDescent="0.2">
      <c r="A156" s="3">
        <v>3050306011</v>
      </c>
      <c r="B156" s="4" t="s">
        <v>531</v>
      </c>
      <c r="C156" s="4" t="s">
        <v>609</v>
      </c>
      <c r="D156" s="3">
        <v>1</v>
      </c>
      <c r="E156" s="3" t="s">
        <v>16</v>
      </c>
      <c r="F156" s="3" t="s">
        <v>291</v>
      </c>
      <c r="G156" s="3" t="s">
        <v>26</v>
      </c>
      <c r="H156" s="3" t="s">
        <v>226</v>
      </c>
    </row>
    <row r="157" spans="1:8" x14ac:dyDescent="0.2">
      <c r="A157" s="3">
        <v>3030306008</v>
      </c>
      <c r="B157" s="4" t="s">
        <v>235</v>
      </c>
      <c r="C157" s="4" t="s">
        <v>236</v>
      </c>
      <c r="D157" s="3">
        <v>1</v>
      </c>
      <c r="E157" s="3" t="s">
        <v>16</v>
      </c>
      <c r="F157" s="3" t="s">
        <v>295</v>
      </c>
      <c r="G157" s="3" t="s">
        <v>17</v>
      </c>
      <c r="H157" s="3" t="s">
        <v>226</v>
      </c>
    </row>
    <row r="158" spans="1:8" x14ac:dyDescent="0.2">
      <c r="A158" s="3">
        <v>3030314001</v>
      </c>
      <c r="B158" s="4" t="s">
        <v>237</v>
      </c>
      <c r="C158" s="4" t="s">
        <v>238</v>
      </c>
      <c r="D158" s="3">
        <v>1</v>
      </c>
      <c r="E158" s="3" t="s">
        <v>16</v>
      </c>
      <c r="F158" s="3" t="s">
        <v>291</v>
      </c>
      <c r="G158" s="3" t="s">
        <v>26</v>
      </c>
      <c r="H158" s="3" t="s">
        <v>226</v>
      </c>
    </row>
    <row r="159" spans="1:8" x14ac:dyDescent="0.2">
      <c r="A159" s="3">
        <v>3020101003</v>
      </c>
      <c r="B159" s="4" t="s">
        <v>239</v>
      </c>
      <c r="C159" s="4" t="s">
        <v>733</v>
      </c>
      <c r="D159" s="3">
        <v>5</v>
      </c>
      <c r="E159" s="3" t="s">
        <v>16</v>
      </c>
      <c r="F159" s="3" t="s">
        <v>297</v>
      </c>
      <c r="G159" s="3" t="s">
        <v>204</v>
      </c>
      <c r="H159" s="3" t="s">
        <v>226</v>
      </c>
    </row>
    <row r="160" spans="1:8" x14ac:dyDescent="0.2">
      <c r="A160" s="3">
        <v>3030303011</v>
      </c>
      <c r="B160" s="4" t="s">
        <v>611</v>
      </c>
      <c r="C160" s="4" t="s">
        <v>612</v>
      </c>
      <c r="D160" s="3">
        <v>2</v>
      </c>
      <c r="E160" s="3" t="s">
        <v>16</v>
      </c>
      <c r="F160" s="3" t="s">
        <v>291</v>
      </c>
      <c r="G160" s="3" t="s">
        <v>26</v>
      </c>
      <c r="H160" s="3" t="s">
        <v>226</v>
      </c>
    </row>
    <row r="161" spans="1:8" x14ac:dyDescent="0.2">
      <c r="A161" s="3">
        <v>3070212001</v>
      </c>
      <c r="B161" s="4" t="s">
        <v>377</v>
      </c>
      <c r="C161" s="4" t="s">
        <v>378</v>
      </c>
      <c r="D161" s="3">
        <v>1</v>
      </c>
      <c r="E161" s="3" t="s">
        <v>16</v>
      </c>
      <c r="F161" s="3" t="s">
        <v>317</v>
      </c>
      <c r="G161" s="3" t="s">
        <v>318</v>
      </c>
      <c r="H161" s="3" t="s">
        <v>226</v>
      </c>
    </row>
    <row r="162" spans="1:8" x14ac:dyDescent="0.2">
      <c r="A162" s="3">
        <v>3070210001</v>
      </c>
      <c r="B162" s="4" t="s">
        <v>379</v>
      </c>
      <c r="C162" s="4" t="s">
        <v>280</v>
      </c>
      <c r="D162" s="3">
        <v>1</v>
      </c>
      <c r="E162" s="3" t="s">
        <v>16</v>
      </c>
      <c r="F162" s="3" t="s">
        <v>317</v>
      </c>
      <c r="G162" s="3" t="s">
        <v>318</v>
      </c>
      <c r="H162" s="3" t="s">
        <v>226</v>
      </c>
    </row>
    <row r="163" spans="1:8" x14ac:dyDescent="0.2">
      <c r="A163" s="3">
        <v>3050302012</v>
      </c>
      <c r="B163" s="4" t="s">
        <v>1921</v>
      </c>
      <c r="C163" s="4" t="s">
        <v>1922</v>
      </c>
      <c r="D163" s="3">
        <v>1</v>
      </c>
      <c r="E163" s="3" t="s">
        <v>16</v>
      </c>
      <c r="F163" s="3" t="s">
        <v>291</v>
      </c>
      <c r="G163" s="3" t="s">
        <v>26</v>
      </c>
      <c r="H163" s="3" t="s">
        <v>226</v>
      </c>
    </row>
    <row r="164" spans="1:8" x14ac:dyDescent="0.2">
      <c r="A164" s="3">
        <v>3080401031</v>
      </c>
      <c r="B164" s="4" t="s">
        <v>41</v>
      </c>
      <c r="C164" s="4" t="s">
        <v>551</v>
      </c>
      <c r="D164" s="3">
        <v>1</v>
      </c>
      <c r="E164" s="3" t="s">
        <v>16</v>
      </c>
      <c r="F164" s="3" t="s">
        <v>291</v>
      </c>
      <c r="G164" s="3" t="s">
        <v>26</v>
      </c>
      <c r="H164" s="3" t="s">
        <v>249</v>
      </c>
    </row>
    <row r="165" spans="1:8" x14ac:dyDescent="0.2">
      <c r="A165" s="3">
        <v>3080301002</v>
      </c>
      <c r="B165" s="4" t="s">
        <v>247</v>
      </c>
      <c r="C165" s="4" t="s">
        <v>248</v>
      </c>
      <c r="D165" s="3">
        <v>1</v>
      </c>
      <c r="E165" s="3" t="s">
        <v>16</v>
      </c>
      <c r="F165" s="3" t="s">
        <v>295</v>
      </c>
      <c r="G165" s="3" t="s">
        <v>17</v>
      </c>
      <c r="H165" s="3" t="s">
        <v>249</v>
      </c>
    </row>
    <row r="166" spans="1:8" x14ac:dyDescent="0.2">
      <c r="A166" s="3">
        <v>3080107017</v>
      </c>
      <c r="B166" s="4" t="s">
        <v>69</v>
      </c>
      <c r="C166" s="4" t="s">
        <v>251</v>
      </c>
      <c r="D166" s="3">
        <v>4</v>
      </c>
      <c r="E166" s="3" t="s">
        <v>16</v>
      </c>
      <c r="F166" s="3" t="s">
        <v>295</v>
      </c>
      <c r="G166" s="3" t="s">
        <v>17</v>
      </c>
      <c r="H166" s="3" t="s">
        <v>249</v>
      </c>
    </row>
    <row r="167" spans="1:8" x14ac:dyDescent="0.2">
      <c r="A167" s="3">
        <v>3060335005</v>
      </c>
      <c r="B167" s="4" t="s">
        <v>233</v>
      </c>
      <c r="C167" s="4" t="s">
        <v>734</v>
      </c>
      <c r="D167" s="3">
        <v>1</v>
      </c>
      <c r="E167" s="3" t="s">
        <v>16</v>
      </c>
      <c r="F167" s="3" t="s">
        <v>289</v>
      </c>
      <c r="G167" s="3" t="s">
        <v>23</v>
      </c>
      <c r="H167" s="3" t="s">
        <v>254</v>
      </c>
    </row>
    <row r="168" spans="1:8" x14ac:dyDescent="0.2">
      <c r="A168" s="3">
        <v>3060324001</v>
      </c>
      <c r="B168" s="4" t="s">
        <v>735</v>
      </c>
      <c r="C168" s="4" t="s">
        <v>736</v>
      </c>
      <c r="D168" s="3">
        <v>1</v>
      </c>
      <c r="E168" s="3" t="s">
        <v>16</v>
      </c>
      <c r="F168" s="3" t="s">
        <v>289</v>
      </c>
      <c r="G168" s="3" t="s">
        <v>23</v>
      </c>
      <c r="H168" s="3" t="s">
        <v>254</v>
      </c>
    </row>
    <row r="169" spans="1:8" x14ac:dyDescent="0.2">
      <c r="A169" s="3">
        <v>3030315001</v>
      </c>
      <c r="B169" s="4" t="s">
        <v>257</v>
      </c>
      <c r="C169" s="4" t="s">
        <v>258</v>
      </c>
      <c r="D169" s="3">
        <v>2</v>
      </c>
      <c r="E169" s="3" t="s">
        <v>16</v>
      </c>
      <c r="F169" s="3" t="s">
        <v>295</v>
      </c>
      <c r="G169" s="3" t="s">
        <v>17</v>
      </c>
      <c r="H169" s="3" t="s">
        <v>254</v>
      </c>
    </row>
    <row r="170" spans="1:8" x14ac:dyDescent="0.2">
      <c r="A170" s="3">
        <v>3030304002</v>
      </c>
      <c r="B170" s="4" t="s">
        <v>259</v>
      </c>
      <c r="C170" s="4" t="s">
        <v>258</v>
      </c>
      <c r="D170" s="3">
        <v>1</v>
      </c>
      <c r="E170" s="3" t="s">
        <v>16</v>
      </c>
      <c r="F170" s="3" t="s">
        <v>295</v>
      </c>
      <c r="G170" s="3" t="s">
        <v>17</v>
      </c>
      <c r="H170" s="3" t="s">
        <v>254</v>
      </c>
    </row>
    <row r="171" spans="1:8" x14ac:dyDescent="0.2">
      <c r="A171" s="3">
        <v>3030304004</v>
      </c>
      <c r="B171" s="4" t="s">
        <v>260</v>
      </c>
      <c r="C171" s="4" t="s">
        <v>258</v>
      </c>
      <c r="D171" s="3">
        <v>1</v>
      </c>
      <c r="E171" s="3" t="s">
        <v>16</v>
      </c>
      <c r="F171" s="3" t="s">
        <v>295</v>
      </c>
      <c r="G171" s="3" t="s">
        <v>17</v>
      </c>
      <c r="H171" s="3" t="s">
        <v>254</v>
      </c>
    </row>
    <row r="172" spans="1:8" x14ac:dyDescent="0.2">
      <c r="A172" s="3">
        <v>3030316001</v>
      </c>
      <c r="B172" s="4" t="s">
        <v>261</v>
      </c>
      <c r="C172" s="4" t="s">
        <v>262</v>
      </c>
      <c r="D172" s="3">
        <v>3</v>
      </c>
      <c r="E172" s="3" t="s">
        <v>16</v>
      </c>
      <c r="F172" s="3" t="s">
        <v>295</v>
      </c>
      <c r="G172" s="3" t="s">
        <v>17</v>
      </c>
      <c r="H172" s="3" t="s">
        <v>254</v>
      </c>
    </row>
    <row r="173" spans="1:8" x14ac:dyDescent="0.2">
      <c r="A173" s="3">
        <v>3040304005</v>
      </c>
      <c r="B173" s="4" t="s">
        <v>380</v>
      </c>
      <c r="C173" s="4" t="s">
        <v>381</v>
      </c>
      <c r="D173" s="3">
        <v>2</v>
      </c>
      <c r="E173" s="3" t="s">
        <v>16</v>
      </c>
      <c r="F173" s="3" t="s">
        <v>293</v>
      </c>
      <c r="G173" s="3" t="s">
        <v>29</v>
      </c>
      <c r="H173" s="3" t="s">
        <v>254</v>
      </c>
    </row>
    <row r="174" spans="1:8" x14ac:dyDescent="0.2">
      <c r="A174" s="3">
        <v>3040304006</v>
      </c>
      <c r="B174" s="4" t="s">
        <v>380</v>
      </c>
      <c r="C174" s="4" t="s">
        <v>382</v>
      </c>
      <c r="D174" s="3">
        <v>2</v>
      </c>
      <c r="E174" s="3" t="s">
        <v>16</v>
      </c>
      <c r="F174" s="3" t="s">
        <v>293</v>
      </c>
      <c r="G174" s="3" t="s">
        <v>29</v>
      </c>
      <c r="H174" s="3" t="s">
        <v>254</v>
      </c>
    </row>
    <row r="175" spans="1:8" x14ac:dyDescent="0.2">
      <c r="A175" s="3">
        <v>3049902004</v>
      </c>
      <c r="B175" s="4" t="s">
        <v>383</v>
      </c>
      <c r="C175" s="4" t="s">
        <v>384</v>
      </c>
      <c r="D175" s="3">
        <v>2</v>
      </c>
      <c r="E175" s="3" t="s">
        <v>16</v>
      </c>
      <c r="F175" s="3" t="s">
        <v>293</v>
      </c>
      <c r="G175" s="3" t="s">
        <v>29</v>
      </c>
      <c r="H175" s="3" t="s">
        <v>254</v>
      </c>
    </row>
    <row r="176" spans="1:8" x14ac:dyDescent="0.2">
      <c r="A176" s="3">
        <v>3040326018</v>
      </c>
      <c r="B176" s="4" t="s">
        <v>385</v>
      </c>
      <c r="C176" s="4" t="s">
        <v>384</v>
      </c>
      <c r="D176" s="3">
        <v>2</v>
      </c>
      <c r="E176" s="3" t="s">
        <v>16</v>
      </c>
      <c r="F176" s="3" t="s">
        <v>293</v>
      </c>
      <c r="G176" s="3" t="s">
        <v>29</v>
      </c>
      <c r="H176" s="3" t="s">
        <v>254</v>
      </c>
    </row>
    <row r="177" spans="1:8" x14ac:dyDescent="0.2">
      <c r="A177" s="3">
        <v>3040320015</v>
      </c>
      <c r="B177" s="4" t="s">
        <v>269</v>
      </c>
      <c r="C177" s="4" t="s">
        <v>386</v>
      </c>
      <c r="D177" s="3">
        <v>1</v>
      </c>
      <c r="E177" s="3" t="s">
        <v>16</v>
      </c>
      <c r="F177" s="3" t="s">
        <v>293</v>
      </c>
      <c r="G177" s="3" t="s">
        <v>29</v>
      </c>
      <c r="H177" s="3" t="s">
        <v>254</v>
      </c>
    </row>
    <row r="178" spans="1:8" x14ac:dyDescent="0.2">
      <c r="A178" s="3">
        <v>3040320014</v>
      </c>
      <c r="B178" s="4" t="s">
        <v>269</v>
      </c>
      <c r="C178" s="4" t="s">
        <v>387</v>
      </c>
      <c r="D178" s="3">
        <v>1</v>
      </c>
      <c r="E178" s="3" t="s">
        <v>16</v>
      </c>
      <c r="F178" s="3" t="s">
        <v>293</v>
      </c>
      <c r="G178" s="3" t="s">
        <v>29</v>
      </c>
      <c r="H178" s="3" t="s">
        <v>254</v>
      </c>
    </row>
    <row r="179" spans="1:8" x14ac:dyDescent="0.2">
      <c r="A179" s="3">
        <v>3030310004</v>
      </c>
      <c r="B179" s="4" t="s">
        <v>273</v>
      </c>
      <c r="C179" s="4" t="s">
        <v>274</v>
      </c>
      <c r="D179" s="3">
        <v>1</v>
      </c>
      <c r="E179" s="3" t="s">
        <v>16</v>
      </c>
      <c r="F179" s="3" t="s">
        <v>295</v>
      </c>
      <c r="G179" s="3" t="s">
        <v>17</v>
      </c>
      <c r="H179" s="3" t="s">
        <v>254</v>
      </c>
    </row>
    <row r="180" spans="1:8" x14ac:dyDescent="0.2">
      <c r="A180" s="3">
        <v>3030313004</v>
      </c>
      <c r="B180" s="4" t="s">
        <v>275</v>
      </c>
      <c r="C180" s="4" t="s">
        <v>258</v>
      </c>
      <c r="D180" s="3">
        <v>1</v>
      </c>
      <c r="E180" s="3" t="s">
        <v>16</v>
      </c>
      <c r="F180" s="3" t="s">
        <v>295</v>
      </c>
      <c r="G180" s="3" t="s">
        <v>17</v>
      </c>
      <c r="H180" s="3" t="s">
        <v>254</v>
      </c>
    </row>
    <row r="181" spans="1:8" x14ac:dyDescent="0.2">
      <c r="A181" s="3">
        <v>3080308001</v>
      </c>
      <c r="B181" s="4" t="s">
        <v>276</v>
      </c>
      <c r="C181" s="4" t="s">
        <v>258</v>
      </c>
      <c r="D181" s="3">
        <v>1</v>
      </c>
      <c r="E181" s="3" t="s">
        <v>16</v>
      </c>
      <c r="F181" s="3" t="s">
        <v>295</v>
      </c>
      <c r="G181" s="3" t="s">
        <v>17</v>
      </c>
      <c r="H181" s="3" t="s">
        <v>254</v>
      </c>
    </row>
    <row r="182" spans="1:8" x14ac:dyDescent="0.2">
      <c r="A182" s="3">
        <v>3070205003</v>
      </c>
      <c r="B182" s="4" t="s">
        <v>372</v>
      </c>
      <c r="C182" s="4" t="s">
        <v>747</v>
      </c>
      <c r="D182" s="3">
        <v>1</v>
      </c>
      <c r="E182" s="3" t="s">
        <v>16</v>
      </c>
      <c r="F182" s="3" t="s">
        <v>317</v>
      </c>
      <c r="G182" s="3" t="s">
        <v>318</v>
      </c>
      <c r="H182" s="3" t="s">
        <v>254</v>
      </c>
    </row>
    <row r="183" spans="1:8" x14ac:dyDescent="0.2">
      <c r="A183" s="3">
        <v>3070202019</v>
      </c>
      <c r="B183" s="4" t="s">
        <v>388</v>
      </c>
      <c r="C183" s="4" t="s">
        <v>389</v>
      </c>
      <c r="D183" s="3">
        <v>1</v>
      </c>
      <c r="E183" s="3" t="s">
        <v>16</v>
      </c>
      <c r="F183" s="3" t="s">
        <v>317</v>
      </c>
      <c r="G183" s="3" t="s">
        <v>318</v>
      </c>
      <c r="H183" s="3" t="s">
        <v>254</v>
      </c>
    </row>
    <row r="184" spans="1:8" x14ac:dyDescent="0.2">
      <c r="A184" s="3">
        <v>3070209001</v>
      </c>
      <c r="B184" s="4" t="s">
        <v>748</v>
      </c>
      <c r="C184" s="4" t="s">
        <v>246</v>
      </c>
      <c r="D184" s="3">
        <v>1</v>
      </c>
      <c r="E184" s="3" t="s">
        <v>16</v>
      </c>
      <c r="F184" s="3" t="s">
        <v>317</v>
      </c>
      <c r="G184" s="3" t="s">
        <v>318</v>
      </c>
      <c r="H184" s="3" t="s">
        <v>254</v>
      </c>
    </row>
    <row r="185" spans="1:8" x14ac:dyDescent="0.2">
      <c r="A185" s="3">
        <v>3060339002</v>
      </c>
      <c r="B185" s="4" t="s">
        <v>737</v>
      </c>
      <c r="C185" s="4" t="s">
        <v>738</v>
      </c>
      <c r="D185" s="3">
        <v>1</v>
      </c>
      <c r="E185" s="3" t="s">
        <v>16</v>
      </c>
      <c r="F185" s="3" t="s">
        <v>702</v>
      </c>
      <c r="G185" s="3" t="s">
        <v>703</v>
      </c>
      <c r="H185" s="3" t="s">
        <v>254</v>
      </c>
    </row>
    <row r="186" spans="1:8" x14ac:dyDescent="0.2">
      <c r="A186" s="3">
        <v>3060325001</v>
      </c>
      <c r="B186" s="4" t="s">
        <v>739</v>
      </c>
      <c r="C186" s="4" t="s">
        <v>740</v>
      </c>
      <c r="D186" s="3">
        <v>1</v>
      </c>
      <c r="E186" s="3" t="s">
        <v>16</v>
      </c>
      <c r="F186" s="3" t="s">
        <v>702</v>
      </c>
      <c r="G186" s="3" t="s">
        <v>703</v>
      </c>
      <c r="H186" s="3" t="s">
        <v>254</v>
      </c>
    </row>
    <row r="187" spans="1:8" x14ac:dyDescent="0.2">
      <c r="A187" s="3">
        <v>3050303018</v>
      </c>
      <c r="B187" s="4" t="s">
        <v>245</v>
      </c>
      <c r="C187" s="4" t="s">
        <v>613</v>
      </c>
      <c r="D187" s="3">
        <v>1</v>
      </c>
      <c r="E187" s="3" t="s">
        <v>16</v>
      </c>
      <c r="F187" s="3" t="s">
        <v>291</v>
      </c>
      <c r="G187" s="3" t="s">
        <v>26</v>
      </c>
      <c r="H187" s="3" t="s">
        <v>254</v>
      </c>
    </row>
  </sheetData>
  <phoneticPr fontId="2" type="noConversion"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D882D-011E-433C-8E6F-31599D08788A}">
  <dimension ref="A1:H122"/>
  <sheetViews>
    <sheetView workbookViewId="0">
      <selection activeCell="L21" sqref="L21"/>
    </sheetView>
  </sheetViews>
  <sheetFormatPr defaultRowHeight="14.25" x14ac:dyDescent="0.2"/>
  <cols>
    <col min="1" max="1" width="15.625" customWidth="1"/>
    <col min="2" max="3" width="14.625" customWidth="1"/>
  </cols>
  <sheetData>
    <row r="1" spans="1:8" x14ac:dyDescent="0.2">
      <c r="A1" s="3" t="s">
        <v>1975</v>
      </c>
      <c r="B1" s="4"/>
      <c r="C1" s="4"/>
      <c r="D1" s="3"/>
      <c r="E1" s="3"/>
      <c r="F1" s="3"/>
      <c r="G1" s="3"/>
      <c r="H1" s="3"/>
    </row>
    <row r="2" spans="1:8" ht="28.5" x14ac:dyDescent="0.2">
      <c r="A2" s="1" t="s">
        <v>0</v>
      </c>
      <c r="B2" s="2" t="s">
        <v>1</v>
      </c>
      <c r="C2" s="2" t="s">
        <v>2</v>
      </c>
      <c r="D2" s="1" t="s">
        <v>4</v>
      </c>
      <c r="E2" s="1" t="s">
        <v>3</v>
      </c>
      <c r="F2" s="1" t="s">
        <v>5</v>
      </c>
      <c r="G2" s="1" t="s">
        <v>6</v>
      </c>
      <c r="H2" s="1" t="s">
        <v>7</v>
      </c>
    </row>
    <row r="3" spans="1:8" s="10" customFormat="1" x14ac:dyDescent="0.2">
      <c r="A3" s="8" t="s">
        <v>390</v>
      </c>
      <c r="B3" s="9" t="s">
        <v>8</v>
      </c>
      <c r="C3" s="9" t="s">
        <v>9</v>
      </c>
      <c r="D3" s="13">
        <f>0.1399/0.94</f>
        <v>0.14882978723404255</v>
      </c>
      <c r="E3" s="8" t="s">
        <v>596</v>
      </c>
      <c r="F3" s="8" t="s">
        <v>283</v>
      </c>
      <c r="G3" s="8" t="s">
        <v>13</v>
      </c>
      <c r="H3" s="8" t="s">
        <v>12</v>
      </c>
    </row>
    <row r="4" spans="1:8" x14ac:dyDescent="0.2">
      <c r="A4" s="3">
        <v>3098980102</v>
      </c>
      <c r="B4" s="4" t="s">
        <v>1897</v>
      </c>
      <c r="C4" s="4" t="s">
        <v>1898</v>
      </c>
      <c r="D4" s="3">
        <v>1</v>
      </c>
      <c r="E4" s="3" t="s">
        <v>16</v>
      </c>
      <c r="F4" s="3" t="s">
        <v>291</v>
      </c>
      <c r="G4" s="3" t="s">
        <v>26</v>
      </c>
      <c r="H4" s="3" t="s">
        <v>393</v>
      </c>
    </row>
    <row r="5" spans="1:8" x14ac:dyDescent="0.2">
      <c r="A5" s="3">
        <v>3030314005</v>
      </c>
      <c r="B5" s="4" t="s">
        <v>394</v>
      </c>
      <c r="C5" s="4" t="s">
        <v>395</v>
      </c>
      <c r="D5" s="3">
        <v>1</v>
      </c>
      <c r="E5" s="3" t="s">
        <v>16</v>
      </c>
      <c r="F5" s="3" t="s">
        <v>291</v>
      </c>
      <c r="G5" s="3" t="s">
        <v>26</v>
      </c>
      <c r="H5" s="3" t="s">
        <v>18</v>
      </c>
    </row>
    <row r="6" spans="1:8" x14ac:dyDescent="0.2">
      <c r="A6" s="3">
        <v>404090282</v>
      </c>
      <c r="B6" s="4" t="s">
        <v>30</v>
      </c>
      <c r="C6" s="4" t="s">
        <v>757</v>
      </c>
      <c r="D6" s="3">
        <v>1</v>
      </c>
      <c r="E6" s="3" t="s">
        <v>16</v>
      </c>
      <c r="F6" s="3" t="s">
        <v>301</v>
      </c>
      <c r="G6" s="3" t="s">
        <v>32</v>
      </c>
      <c r="H6" s="3" t="s">
        <v>33</v>
      </c>
    </row>
    <row r="7" spans="1:8" x14ac:dyDescent="0.2">
      <c r="A7" s="3">
        <v>404090103</v>
      </c>
      <c r="B7" s="4" t="s">
        <v>30</v>
      </c>
      <c r="C7" s="4" t="s">
        <v>625</v>
      </c>
      <c r="D7" s="3">
        <v>1</v>
      </c>
      <c r="E7" s="3" t="s">
        <v>16</v>
      </c>
      <c r="F7" s="3" t="s">
        <v>301</v>
      </c>
      <c r="G7" s="3" t="s">
        <v>32</v>
      </c>
      <c r="H7" s="3" t="s">
        <v>33</v>
      </c>
    </row>
    <row r="8" spans="1:8" x14ac:dyDescent="0.2">
      <c r="A8" s="3">
        <v>404010128</v>
      </c>
      <c r="B8" s="4" t="s">
        <v>30</v>
      </c>
      <c r="C8" s="4" t="s">
        <v>624</v>
      </c>
      <c r="D8" s="3">
        <v>1</v>
      </c>
      <c r="E8" s="3" t="s">
        <v>16</v>
      </c>
      <c r="F8" s="3" t="s">
        <v>291</v>
      </c>
      <c r="G8" s="3" t="s">
        <v>26</v>
      </c>
      <c r="H8" s="3" t="s">
        <v>33</v>
      </c>
    </row>
    <row r="9" spans="1:8" x14ac:dyDescent="0.2">
      <c r="A9" s="3">
        <v>404040024</v>
      </c>
      <c r="B9" s="4" t="s">
        <v>30</v>
      </c>
      <c r="C9" s="4" t="s">
        <v>756</v>
      </c>
      <c r="D9" s="3">
        <v>1</v>
      </c>
      <c r="E9" s="3" t="s">
        <v>16</v>
      </c>
      <c r="F9" s="3" t="s">
        <v>301</v>
      </c>
      <c r="G9" s="3" t="s">
        <v>32</v>
      </c>
      <c r="H9" s="3" t="s">
        <v>33</v>
      </c>
    </row>
    <row r="10" spans="1:8" x14ac:dyDescent="0.2">
      <c r="A10" s="3">
        <v>3080401008</v>
      </c>
      <c r="B10" s="4" t="s">
        <v>41</v>
      </c>
      <c r="C10" s="4" t="s">
        <v>700</v>
      </c>
      <c r="D10" s="3">
        <v>2</v>
      </c>
      <c r="E10" s="3" t="s">
        <v>16</v>
      </c>
      <c r="F10" s="3" t="s">
        <v>289</v>
      </c>
      <c r="G10" s="3" t="s">
        <v>23</v>
      </c>
      <c r="H10" s="3" t="s">
        <v>40</v>
      </c>
    </row>
    <row r="11" spans="1:8" x14ac:dyDescent="0.2">
      <c r="A11" s="3">
        <v>3080401023</v>
      </c>
      <c r="B11" s="4" t="s">
        <v>41</v>
      </c>
      <c r="C11" s="4" t="s">
        <v>699</v>
      </c>
      <c r="D11" s="3">
        <v>2</v>
      </c>
      <c r="E11" s="3" t="s">
        <v>16</v>
      </c>
      <c r="F11" s="3" t="s">
        <v>289</v>
      </c>
      <c r="G11" s="3" t="s">
        <v>23</v>
      </c>
      <c r="H11" s="3" t="s">
        <v>40</v>
      </c>
    </row>
    <row r="12" spans="1:8" x14ac:dyDescent="0.2">
      <c r="A12" s="3">
        <v>3080401014</v>
      </c>
      <c r="B12" s="4" t="s">
        <v>41</v>
      </c>
      <c r="C12" s="4" t="s">
        <v>417</v>
      </c>
      <c r="D12" s="3">
        <v>4</v>
      </c>
      <c r="E12" s="3" t="s">
        <v>16</v>
      </c>
      <c r="F12" s="3" t="s">
        <v>291</v>
      </c>
      <c r="G12" s="3" t="s">
        <v>26</v>
      </c>
      <c r="H12" s="3" t="s">
        <v>40</v>
      </c>
    </row>
    <row r="13" spans="1:8" x14ac:dyDescent="0.2">
      <c r="A13" s="3">
        <v>3080104081</v>
      </c>
      <c r="B13" s="4" t="s">
        <v>45</v>
      </c>
      <c r="C13" s="4" t="s">
        <v>701</v>
      </c>
      <c r="D13" s="3">
        <v>2</v>
      </c>
      <c r="E13" s="3" t="s">
        <v>16</v>
      </c>
      <c r="F13" s="3" t="s">
        <v>289</v>
      </c>
      <c r="G13" s="3" t="s">
        <v>23</v>
      </c>
      <c r="H13" s="3" t="s">
        <v>40</v>
      </c>
    </row>
    <row r="14" spans="1:8" x14ac:dyDescent="0.2">
      <c r="A14" s="3">
        <v>3080104081</v>
      </c>
      <c r="B14" s="4" t="s">
        <v>45</v>
      </c>
      <c r="C14" s="4" t="s">
        <v>701</v>
      </c>
      <c r="D14" s="3">
        <v>2</v>
      </c>
      <c r="E14" s="3" t="s">
        <v>16</v>
      </c>
      <c r="F14" s="3" t="s">
        <v>702</v>
      </c>
      <c r="G14" s="3" t="s">
        <v>703</v>
      </c>
      <c r="H14" s="3" t="s">
        <v>40</v>
      </c>
    </row>
    <row r="15" spans="1:8" x14ac:dyDescent="0.2">
      <c r="A15" s="3">
        <v>3080104079</v>
      </c>
      <c r="B15" s="4" t="s">
        <v>45</v>
      </c>
      <c r="C15" s="4" t="s">
        <v>627</v>
      </c>
      <c r="D15" s="3">
        <v>4</v>
      </c>
      <c r="E15" s="3" t="s">
        <v>16</v>
      </c>
      <c r="F15" s="3" t="s">
        <v>291</v>
      </c>
      <c r="G15" s="3" t="s">
        <v>26</v>
      </c>
      <c r="H15" s="3" t="s">
        <v>40</v>
      </c>
    </row>
    <row r="16" spans="1:8" x14ac:dyDescent="0.2">
      <c r="A16" s="3">
        <v>3080104099</v>
      </c>
      <c r="B16" s="4" t="s">
        <v>45</v>
      </c>
      <c r="C16" s="4" t="s">
        <v>419</v>
      </c>
      <c r="D16" s="3">
        <v>2</v>
      </c>
      <c r="E16" s="3" t="s">
        <v>16</v>
      </c>
      <c r="F16" s="3" t="s">
        <v>291</v>
      </c>
      <c r="G16" s="3" t="s">
        <v>26</v>
      </c>
      <c r="H16" s="3" t="s">
        <v>40</v>
      </c>
    </row>
    <row r="17" spans="1:8" x14ac:dyDescent="0.2">
      <c r="A17" s="3">
        <v>3080104014</v>
      </c>
      <c r="B17" s="4" t="s">
        <v>45</v>
      </c>
      <c r="C17" s="4" t="s">
        <v>312</v>
      </c>
      <c r="D17" s="3">
        <v>2</v>
      </c>
      <c r="E17" s="3" t="s">
        <v>16</v>
      </c>
      <c r="F17" s="3" t="s">
        <v>293</v>
      </c>
      <c r="G17" s="3" t="s">
        <v>29</v>
      </c>
      <c r="H17" s="3" t="s">
        <v>40</v>
      </c>
    </row>
    <row r="18" spans="1:8" x14ac:dyDescent="0.2">
      <c r="A18" s="3">
        <v>3080105007</v>
      </c>
      <c r="B18" s="4" t="s">
        <v>50</v>
      </c>
      <c r="C18" s="4" t="s">
        <v>52</v>
      </c>
      <c r="D18" s="3">
        <v>2</v>
      </c>
      <c r="E18" s="3" t="s">
        <v>16</v>
      </c>
      <c r="F18" s="3" t="s">
        <v>293</v>
      </c>
      <c r="G18" s="3" t="s">
        <v>29</v>
      </c>
      <c r="H18" s="3" t="s">
        <v>40</v>
      </c>
    </row>
    <row r="19" spans="1:8" x14ac:dyDescent="0.2">
      <c r="A19" s="3">
        <v>3080105004</v>
      </c>
      <c r="B19" s="4" t="s">
        <v>50</v>
      </c>
      <c r="C19" s="4" t="s">
        <v>54</v>
      </c>
      <c r="D19" s="3">
        <v>2</v>
      </c>
      <c r="E19" s="3" t="s">
        <v>16</v>
      </c>
      <c r="F19" s="3" t="s">
        <v>291</v>
      </c>
      <c r="G19" s="3" t="s">
        <v>26</v>
      </c>
      <c r="H19" s="3" t="s">
        <v>40</v>
      </c>
    </row>
    <row r="20" spans="1:8" x14ac:dyDescent="0.2">
      <c r="A20" s="3">
        <v>3080105114</v>
      </c>
      <c r="B20" s="4" t="s">
        <v>50</v>
      </c>
      <c r="C20" s="4" t="s">
        <v>53</v>
      </c>
      <c r="D20" s="3">
        <v>6</v>
      </c>
      <c r="E20" s="3" t="s">
        <v>16</v>
      </c>
      <c r="F20" s="3" t="s">
        <v>702</v>
      </c>
      <c r="G20" s="3" t="s">
        <v>703</v>
      </c>
      <c r="H20" s="3" t="s">
        <v>40</v>
      </c>
    </row>
    <row r="21" spans="1:8" x14ac:dyDescent="0.2">
      <c r="A21" s="3">
        <v>3080105114</v>
      </c>
      <c r="B21" s="4" t="s">
        <v>50</v>
      </c>
      <c r="C21" s="4" t="s">
        <v>53</v>
      </c>
      <c r="D21" s="3">
        <v>5</v>
      </c>
      <c r="E21" s="3" t="s">
        <v>16</v>
      </c>
      <c r="F21" s="3" t="s">
        <v>289</v>
      </c>
      <c r="G21" s="3" t="s">
        <v>23</v>
      </c>
      <c r="H21" s="3" t="s">
        <v>40</v>
      </c>
    </row>
    <row r="22" spans="1:8" x14ac:dyDescent="0.2">
      <c r="A22" s="3">
        <v>3080105114</v>
      </c>
      <c r="B22" s="4" t="s">
        <v>50</v>
      </c>
      <c r="C22" s="4" t="s">
        <v>53</v>
      </c>
      <c r="D22" s="3">
        <v>3</v>
      </c>
      <c r="E22" s="3" t="s">
        <v>16</v>
      </c>
      <c r="F22" s="3" t="s">
        <v>702</v>
      </c>
      <c r="G22" s="3" t="s">
        <v>703</v>
      </c>
      <c r="H22" s="3" t="s">
        <v>40</v>
      </c>
    </row>
    <row r="23" spans="1:8" x14ac:dyDescent="0.2">
      <c r="A23" s="3">
        <v>3080105114</v>
      </c>
      <c r="B23" s="4" t="s">
        <v>50</v>
      </c>
      <c r="C23" s="4" t="s">
        <v>53</v>
      </c>
      <c r="D23" s="3">
        <v>4</v>
      </c>
      <c r="E23" s="3" t="s">
        <v>16</v>
      </c>
      <c r="F23" s="3" t="s">
        <v>289</v>
      </c>
      <c r="G23" s="3" t="s">
        <v>23</v>
      </c>
      <c r="H23" s="3" t="s">
        <v>40</v>
      </c>
    </row>
    <row r="24" spans="1:8" x14ac:dyDescent="0.2">
      <c r="A24" s="3">
        <v>3080105068</v>
      </c>
      <c r="B24" s="4" t="s">
        <v>50</v>
      </c>
      <c r="C24" s="4" t="s">
        <v>314</v>
      </c>
      <c r="D24" s="3">
        <v>10</v>
      </c>
      <c r="E24" s="3" t="s">
        <v>16</v>
      </c>
      <c r="F24" s="3" t="s">
        <v>293</v>
      </c>
      <c r="G24" s="3" t="s">
        <v>29</v>
      </c>
      <c r="H24" s="3" t="s">
        <v>40</v>
      </c>
    </row>
    <row r="25" spans="1:8" x14ac:dyDescent="0.2">
      <c r="A25" s="3">
        <v>3080105004</v>
      </c>
      <c r="B25" s="4" t="s">
        <v>50</v>
      </c>
      <c r="C25" s="4" t="s">
        <v>54</v>
      </c>
      <c r="D25" s="3">
        <v>6</v>
      </c>
      <c r="E25" s="3" t="s">
        <v>16</v>
      </c>
      <c r="F25" s="3" t="s">
        <v>289</v>
      </c>
      <c r="G25" s="3" t="s">
        <v>23</v>
      </c>
      <c r="H25" s="3" t="s">
        <v>40</v>
      </c>
    </row>
    <row r="26" spans="1:8" x14ac:dyDescent="0.2">
      <c r="A26" s="3">
        <v>3080105040</v>
      </c>
      <c r="B26" s="4" t="s">
        <v>50</v>
      </c>
      <c r="C26" s="4" t="s">
        <v>421</v>
      </c>
      <c r="D26" s="3">
        <v>2</v>
      </c>
      <c r="E26" s="3" t="s">
        <v>16</v>
      </c>
      <c r="F26" s="3" t="s">
        <v>291</v>
      </c>
      <c r="G26" s="3" t="s">
        <v>26</v>
      </c>
      <c r="H26" s="3" t="s">
        <v>40</v>
      </c>
    </row>
    <row r="27" spans="1:8" x14ac:dyDescent="0.2">
      <c r="A27" s="3">
        <v>3080105015</v>
      </c>
      <c r="B27" s="4" t="s">
        <v>50</v>
      </c>
      <c r="C27" s="4" t="s">
        <v>422</v>
      </c>
      <c r="D27" s="3">
        <v>6</v>
      </c>
      <c r="E27" s="3" t="s">
        <v>16</v>
      </c>
      <c r="F27" s="3" t="s">
        <v>291</v>
      </c>
      <c r="G27" s="3" t="s">
        <v>26</v>
      </c>
      <c r="H27" s="3" t="s">
        <v>40</v>
      </c>
    </row>
    <row r="28" spans="1:8" x14ac:dyDescent="0.2">
      <c r="A28" s="3">
        <v>3080104033</v>
      </c>
      <c r="B28" s="4" t="s">
        <v>50</v>
      </c>
      <c r="C28" s="4" t="s">
        <v>758</v>
      </c>
      <c r="D28" s="3">
        <v>2</v>
      </c>
      <c r="E28" s="3" t="s">
        <v>16</v>
      </c>
      <c r="F28" s="3" t="s">
        <v>291</v>
      </c>
      <c r="G28" s="3" t="s">
        <v>26</v>
      </c>
      <c r="H28" s="3" t="s">
        <v>40</v>
      </c>
    </row>
    <row r="29" spans="1:8" x14ac:dyDescent="0.2">
      <c r="A29" s="3">
        <v>3080105033</v>
      </c>
      <c r="B29" s="4" t="s">
        <v>50</v>
      </c>
      <c r="C29" s="4" t="s">
        <v>628</v>
      </c>
      <c r="D29" s="3">
        <v>4</v>
      </c>
      <c r="E29" s="3" t="s">
        <v>16</v>
      </c>
      <c r="F29" s="3" t="s">
        <v>293</v>
      </c>
      <c r="G29" s="3" t="s">
        <v>29</v>
      </c>
      <c r="H29" s="3" t="s">
        <v>40</v>
      </c>
    </row>
    <row r="30" spans="1:8" x14ac:dyDescent="0.2">
      <c r="A30" s="3">
        <v>3080501003</v>
      </c>
      <c r="B30" s="4" t="s">
        <v>57</v>
      </c>
      <c r="C30" s="4" t="s">
        <v>630</v>
      </c>
      <c r="D30" s="3">
        <v>2</v>
      </c>
      <c r="E30" s="3" t="s">
        <v>16</v>
      </c>
      <c r="F30" s="3" t="s">
        <v>291</v>
      </c>
      <c r="G30" s="3" t="s">
        <v>26</v>
      </c>
      <c r="H30" s="3" t="s">
        <v>40</v>
      </c>
    </row>
    <row r="31" spans="1:8" x14ac:dyDescent="0.2">
      <c r="A31" s="3">
        <v>3080501013</v>
      </c>
      <c r="B31" s="4" t="s">
        <v>57</v>
      </c>
      <c r="C31" s="4" t="s">
        <v>58</v>
      </c>
      <c r="D31" s="3">
        <v>2</v>
      </c>
      <c r="E31" s="3" t="s">
        <v>16</v>
      </c>
      <c r="F31" s="3" t="s">
        <v>293</v>
      </c>
      <c r="G31" s="3" t="s">
        <v>29</v>
      </c>
      <c r="H31" s="3" t="s">
        <v>40</v>
      </c>
    </row>
    <row r="32" spans="1:8" x14ac:dyDescent="0.2">
      <c r="A32" s="3">
        <v>3080201012</v>
      </c>
      <c r="B32" s="4" t="s">
        <v>60</v>
      </c>
      <c r="C32" s="4" t="s">
        <v>320</v>
      </c>
      <c r="D32" s="3">
        <v>1</v>
      </c>
      <c r="E32" s="3" t="s">
        <v>16</v>
      </c>
      <c r="F32" s="3" t="s">
        <v>289</v>
      </c>
      <c r="G32" s="3" t="s">
        <v>23</v>
      </c>
      <c r="H32" s="3" t="s">
        <v>40</v>
      </c>
    </row>
    <row r="33" spans="1:8" x14ac:dyDescent="0.2">
      <c r="A33" s="3">
        <v>3080201012</v>
      </c>
      <c r="B33" s="4" t="s">
        <v>60</v>
      </c>
      <c r="C33" s="4" t="s">
        <v>320</v>
      </c>
      <c r="D33" s="3">
        <v>1</v>
      </c>
      <c r="E33" s="3" t="s">
        <v>16</v>
      </c>
      <c r="F33" s="3" t="s">
        <v>702</v>
      </c>
      <c r="G33" s="3" t="s">
        <v>703</v>
      </c>
      <c r="H33" s="3" t="s">
        <v>40</v>
      </c>
    </row>
    <row r="34" spans="1:8" x14ac:dyDescent="0.2">
      <c r="A34" s="3">
        <v>3080106015</v>
      </c>
      <c r="B34" s="4" t="s">
        <v>66</v>
      </c>
      <c r="C34" s="4" t="s">
        <v>631</v>
      </c>
      <c r="D34" s="3">
        <v>4</v>
      </c>
      <c r="E34" s="3" t="s">
        <v>16</v>
      </c>
      <c r="F34" s="3" t="s">
        <v>291</v>
      </c>
      <c r="G34" s="3" t="s">
        <v>26</v>
      </c>
      <c r="H34" s="3" t="s">
        <v>40</v>
      </c>
    </row>
    <row r="35" spans="1:8" x14ac:dyDescent="0.2">
      <c r="A35" s="3">
        <v>3080107014</v>
      </c>
      <c r="B35" s="4" t="s">
        <v>69</v>
      </c>
      <c r="C35" s="4" t="s">
        <v>322</v>
      </c>
      <c r="D35" s="3">
        <v>2</v>
      </c>
      <c r="E35" s="3" t="s">
        <v>16</v>
      </c>
      <c r="F35" s="3" t="s">
        <v>291</v>
      </c>
      <c r="G35" s="3" t="s">
        <v>26</v>
      </c>
      <c r="H35" s="3" t="s">
        <v>40</v>
      </c>
    </row>
    <row r="36" spans="1:8" x14ac:dyDescent="0.2">
      <c r="A36" s="3">
        <v>3080107284</v>
      </c>
      <c r="B36" s="4" t="s">
        <v>69</v>
      </c>
      <c r="C36" s="4" t="s">
        <v>706</v>
      </c>
      <c r="D36" s="3">
        <v>1</v>
      </c>
      <c r="E36" s="3" t="s">
        <v>16</v>
      </c>
      <c r="F36" s="3" t="s">
        <v>702</v>
      </c>
      <c r="G36" s="3" t="s">
        <v>703</v>
      </c>
      <c r="H36" s="3" t="s">
        <v>40</v>
      </c>
    </row>
    <row r="37" spans="1:8" x14ac:dyDescent="0.2">
      <c r="A37" s="3">
        <v>3080107089</v>
      </c>
      <c r="B37" s="4" t="s">
        <v>69</v>
      </c>
      <c r="C37" s="4" t="s">
        <v>704</v>
      </c>
      <c r="D37" s="3">
        <v>1</v>
      </c>
      <c r="E37" s="3" t="s">
        <v>16</v>
      </c>
      <c r="F37" s="3" t="s">
        <v>289</v>
      </c>
      <c r="G37" s="3" t="s">
        <v>23</v>
      </c>
      <c r="H37" s="3" t="s">
        <v>40</v>
      </c>
    </row>
    <row r="38" spans="1:8" x14ac:dyDescent="0.2">
      <c r="A38" s="3">
        <v>3080107112</v>
      </c>
      <c r="B38" s="4" t="s">
        <v>69</v>
      </c>
      <c r="C38" s="4" t="s">
        <v>705</v>
      </c>
      <c r="D38" s="3">
        <v>2</v>
      </c>
      <c r="E38" s="3" t="s">
        <v>16</v>
      </c>
      <c r="F38" s="3" t="s">
        <v>289</v>
      </c>
      <c r="G38" s="3" t="s">
        <v>23</v>
      </c>
      <c r="H38" s="3" t="s">
        <v>40</v>
      </c>
    </row>
    <row r="39" spans="1:8" x14ac:dyDescent="0.2">
      <c r="A39" s="3">
        <v>3080107072</v>
      </c>
      <c r="B39" s="4" t="s">
        <v>69</v>
      </c>
      <c r="C39" s="4" t="s">
        <v>435</v>
      </c>
      <c r="D39" s="3">
        <v>4</v>
      </c>
      <c r="E39" s="3" t="s">
        <v>16</v>
      </c>
      <c r="F39" s="3" t="s">
        <v>291</v>
      </c>
      <c r="G39" s="3" t="s">
        <v>26</v>
      </c>
      <c r="H39" s="3" t="s">
        <v>40</v>
      </c>
    </row>
    <row r="40" spans="1:8" x14ac:dyDescent="0.2">
      <c r="A40" s="3">
        <v>3080110010</v>
      </c>
      <c r="B40" s="4" t="s">
        <v>632</v>
      </c>
      <c r="C40" s="4" t="s">
        <v>633</v>
      </c>
      <c r="D40" s="3">
        <v>2</v>
      </c>
      <c r="E40" s="3" t="s">
        <v>16</v>
      </c>
      <c r="F40" s="3" t="s">
        <v>291</v>
      </c>
      <c r="G40" s="3" t="s">
        <v>26</v>
      </c>
      <c r="H40" s="3" t="s">
        <v>40</v>
      </c>
    </row>
    <row r="41" spans="1:8" x14ac:dyDescent="0.2">
      <c r="A41" s="3">
        <v>3080111087</v>
      </c>
      <c r="B41" s="4" t="s">
        <v>79</v>
      </c>
      <c r="C41" s="4" t="s">
        <v>80</v>
      </c>
      <c r="D41" s="3">
        <v>20</v>
      </c>
      <c r="E41" s="3" t="s">
        <v>16</v>
      </c>
      <c r="F41" s="3" t="s">
        <v>291</v>
      </c>
      <c r="G41" s="3" t="s">
        <v>26</v>
      </c>
      <c r="H41" s="3" t="s">
        <v>40</v>
      </c>
    </row>
    <row r="42" spans="1:8" x14ac:dyDescent="0.2">
      <c r="A42" s="3">
        <v>3080111074</v>
      </c>
      <c r="B42" s="4" t="s">
        <v>79</v>
      </c>
      <c r="C42" s="4" t="s">
        <v>634</v>
      </c>
      <c r="D42" s="3">
        <v>4</v>
      </c>
      <c r="E42" s="3" t="s">
        <v>16</v>
      </c>
      <c r="F42" s="3" t="s">
        <v>291</v>
      </c>
      <c r="G42" s="3" t="s">
        <v>26</v>
      </c>
      <c r="H42" s="3" t="s">
        <v>40</v>
      </c>
    </row>
    <row r="43" spans="1:8" x14ac:dyDescent="0.2">
      <c r="A43" s="3">
        <v>407030126</v>
      </c>
      <c r="B43" s="4" t="s">
        <v>81</v>
      </c>
      <c r="C43" s="4" t="s">
        <v>759</v>
      </c>
      <c r="D43" s="3">
        <v>1</v>
      </c>
      <c r="E43" s="3" t="s">
        <v>16</v>
      </c>
      <c r="F43" s="3" t="s">
        <v>301</v>
      </c>
      <c r="G43" s="3" t="s">
        <v>32</v>
      </c>
      <c r="H43" s="3" t="s">
        <v>40</v>
      </c>
    </row>
    <row r="44" spans="1:8" x14ac:dyDescent="0.2">
      <c r="A44" s="3">
        <v>3030101061</v>
      </c>
      <c r="B44" s="4" t="s">
        <v>636</v>
      </c>
      <c r="C44" s="4" t="s">
        <v>760</v>
      </c>
      <c r="D44" s="3">
        <v>1</v>
      </c>
      <c r="E44" s="3" t="s">
        <v>16</v>
      </c>
      <c r="F44" s="3" t="s">
        <v>291</v>
      </c>
      <c r="G44" s="3" t="s">
        <v>26</v>
      </c>
      <c r="H44" s="3" t="s">
        <v>88</v>
      </c>
    </row>
    <row r="45" spans="1:8" x14ac:dyDescent="0.2">
      <c r="A45" s="3">
        <v>3099990501</v>
      </c>
      <c r="B45" s="4" t="s">
        <v>708</v>
      </c>
      <c r="C45" s="4" t="s">
        <v>105</v>
      </c>
      <c r="D45" s="3">
        <v>1</v>
      </c>
      <c r="E45" s="3" t="s">
        <v>16</v>
      </c>
      <c r="F45" s="3" t="s">
        <v>709</v>
      </c>
      <c r="G45" s="3" t="s">
        <v>710</v>
      </c>
      <c r="H45" s="3" t="s">
        <v>103</v>
      </c>
    </row>
    <row r="46" spans="1:8" x14ac:dyDescent="0.2">
      <c r="A46" s="3">
        <v>3099990209</v>
      </c>
      <c r="B46" s="4" t="s">
        <v>1902</v>
      </c>
      <c r="C46" s="4" t="s">
        <v>1932</v>
      </c>
      <c r="D46" s="3">
        <v>1</v>
      </c>
      <c r="E46" s="3" t="s">
        <v>16</v>
      </c>
      <c r="F46" s="3" t="s">
        <v>299</v>
      </c>
      <c r="G46" s="3" t="s">
        <v>106</v>
      </c>
      <c r="H46" s="3" t="s">
        <v>103</v>
      </c>
    </row>
    <row r="47" spans="1:8" x14ac:dyDescent="0.2">
      <c r="A47" s="3">
        <v>402010065</v>
      </c>
      <c r="B47" s="4" t="s">
        <v>882</v>
      </c>
      <c r="C47" s="4" t="s">
        <v>1927</v>
      </c>
      <c r="D47" s="3">
        <v>1</v>
      </c>
      <c r="E47" s="3" t="s">
        <v>16</v>
      </c>
      <c r="F47" s="3" t="s">
        <v>291</v>
      </c>
      <c r="G47" s="3" t="s">
        <v>26</v>
      </c>
      <c r="H47" s="3" t="s">
        <v>109</v>
      </c>
    </row>
    <row r="48" spans="1:8" x14ac:dyDescent="0.2">
      <c r="A48" s="3">
        <v>402030019</v>
      </c>
      <c r="B48" s="4" t="s">
        <v>107</v>
      </c>
      <c r="C48" s="4" t="s">
        <v>638</v>
      </c>
      <c r="D48" s="3">
        <v>2</v>
      </c>
      <c r="E48" s="3" t="s">
        <v>16</v>
      </c>
      <c r="F48" s="3" t="s">
        <v>293</v>
      </c>
      <c r="G48" s="3" t="s">
        <v>29</v>
      </c>
      <c r="H48" s="3" t="s">
        <v>109</v>
      </c>
    </row>
    <row r="49" spans="1:8" x14ac:dyDescent="0.2">
      <c r="A49" s="3">
        <v>402030027</v>
      </c>
      <c r="B49" s="4" t="s">
        <v>107</v>
      </c>
      <c r="C49" s="4" t="s">
        <v>110</v>
      </c>
      <c r="D49" s="3">
        <v>1</v>
      </c>
      <c r="E49" s="3" t="s">
        <v>16</v>
      </c>
      <c r="F49" s="3" t="s">
        <v>289</v>
      </c>
      <c r="G49" s="3" t="s">
        <v>23</v>
      </c>
      <c r="H49" s="3" t="s">
        <v>109</v>
      </c>
    </row>
    <row r="50" spans="1:8" x14ac:dyDescent="0.2">
      <c r="A50" s="3">
        <v>3060210001</v>
      </c>
      <c r="B50" s="4" t="s">
        <v>711</v>
      </c>
      <c r="C50" s="4" t="s">
        <v>712</v>
      </c>
      <c r="D50" s="3">
        <v>4</v>
      </c>
      <c r="E50" s="3" t="s">
        <v>16</v>
      </c>
      <c r="F50" s="3" t="s">
        <v>289</v>
      </c>
      <c r="G50" s="3" t="s">
        <v>23</v>
      </c>
      <c r="H50" s="3" t="s">
        <v>115</v>
      </c>
    </row>
    <row r="51" spans="1:8" x14ac:dyDescent="0.2">
      <c r="A51" s="3">
        <v>3040113002</v>
      </c>
      <c r="B51" s="4" t="s">
        <v>118</v>
      </c>
      <c r="C51" s="4" t="s">
        <v>119</v>
      </c>
      <c r="D51" s="3">
        <v>2</v>
      </c>
      <c r="E51" s="3" t="s">
        <v>16</v>
      </c>
      <c r="F51" s="3" t="s">
        <v>293</v>
      </c>
      <c r="G51" s="3" t="s">
        <v>29</v>
      </c>
      <c r="H51" s="3" t="s">
        <v>115</v>
      </c>
    </row>
    <row r="52" spans="1:8" x14ac:dyDescent="0.2">
      <c r="A52" s="3">
        <v>3040216001</v>
      </c>
      <c r="B52" s="4" t="s">
        <v>328</v>
      </c>
      <c r="C52" s="4" t="s">
        <v>329</v>
      </c>
      <c r="D52" s="3">
        <v>4</v>
      </c>
      <c r="E52" s="3" t="s">
        <v>16</v>
      </c>
      <c r="F52" s="3" t="s">
        <v>293</v>
      </c>
      <c r="G52" s="3" t="s">
        <v>29</v>
      </c>
      <c r="H52" s="3" t="s">
        <v>115</v>
      </c>
    </row>
    <row r="53" spans="1:8" x14ac:dyDescent="0.2">
      <c r="A53" s="3">
        <v>3050203003</v>
      </c>
      <c r="B53" s="4" t="s">
        <v>120</v>
      </c>
      <c r="C53" s="4" t="s">
        <v>457</v>
      </c>
      <c r="D53" s="3">
        <v>2</v>
      </c>
      <c r="E53" s="3" t="s">
        <v>16</v>
      </c>
      <c r="F53" s="3" t="s">
        <v>291</v>
      </c>
      <c r="G53" s="3" t="s">
        <v>26</v>
      </c>
      <c r="H53" s="3" t="s">
        <v>115</v>
      </c>
    </row>
    <row r="54" spans="1:8" x14ac:dyDescent="0.2">
      <c r="A54" s="3">
        <v>3030204008</v>
      </c>
      <c r="B54" s="4" t="s">
        <v>122</v>
      </c>
      <c r="C54" s="4" t="s">
        <v>123</v>
      </c>
      <c r="D54" s="3">
        <v>1</v>
      </c>
      <c r="E54" s="3" t="s">
        <v>16</v>
      </c>
      <c r="F54" s="3" t="s">
        <v>291</v>
      </c>
      <c r="G54" s="3" t="s">
        <v>26</v>
      </c>
      <c r="H54" s="3" t="s">
        <v>115</v>
      </c>
    </row>
    <row r="55" spans="1:8" x14ac:dyDescent="0.2">
      <c r="A55" s="3">
        <v>401040438</v>
      </c>
      <c r="B55" s="4" t="s">
        <v>35</v>
      </c>
      <c r="C55" s="4" t="s">
        <v>639</v>
      </c>
      <c r="D55" s="3">
        <v>1</v>
      </c>
      <c r="E55" s="3" t="s">
        <v>16</v>
      </c>
      <c r="F55" s="3" t="s">
        <v>291</v>
      </c>
      <c r="G55" s="3" t="s">
        <v>26</v>
      </c>
      <c r="H55" s="3" t="s">
        <v>134</v>
      </c>
    </row>
    <row r="56" spans="1:8" x14ac:dyDescent="0.2">
      <c r="A56" s="3">
        <v>3990207002</v>
      </c>
      <c r="B56" s="4" t="s">
        <v>140</v>
      </c>
      <c r="C56" s="4" t="s">
        <v>714</v>
      </c>
      <c r="D56" s="3">
        <v>1</v>
      </c>
      <c r="E56" s="3" t="s">
        <v>16</v>
      </c>
      <c r="F56" s="3" t="s">
        <v>285</v>
      </c>
      <c r="G56" s="3" t="s">
        <v>142</v>
      </c>
      <c r="H56" s="3" t="s">
        <v>143</v>
      </c>
    </row>
    <row r="57" spans="1:8" x14ac:dyDescent="0.2">
      <c r="A57" s="3">
        <v>3030301005</v>
      </c>
      <c r="B57" s="4" t="s">
        <v>144</v>
      </c>
      <c r="C57" s="4" t="s">
        <v>145</v>
      </c>
      <c r="D57" s="3">
        <v>2</v>
      </c>
      <c r="E57" s="3" t="s">
        <v>16</v>
      </c>
      <c r="F57" s="3" t="s">
        <v>291</v>
      </c>
      <c r="G57" s="3" t="s">
        <v>26</v>
      </c>
      <c r="H57" s="3" t="s">
        <v>143</v>
      </c>
    </row>
    <row r="58" spans="1:8" x14ac:dyDescent="0.2">
      <c r="A58" s="3">
        <v>3990206001</v>
      </c>
      <c r="B58" s="4" t="s">
        <v>715</v>
      </c>
      <c r="C58" s="4" t="s">
        <v>716</v>
      </c>
      <c r="D58" s="3">
        <v>1</v>
      </c>
      <c r="E58" s="3" t="s">
        <v>16</v>
      </c>
      <c r="F58" s="3" t="s">
        <v>717</v>
      </c>
      <c r="G58" s="3" t="s">
        <v>718</v>
      </c>
      <c r="H58" s="3" t="s">
        <v>143</v>
      </c>
    </row>
    <row r="59" spans="1:8" x14ac:dyDescent="0.2">
      <c r="A59" s="3">
        <v>3060318001</v>
      </c>
      <c r="B59" s="4" t="s">
        <v>720</v>
      </c>
      <c r="C59" s="4" t="s">
        <v>721</v>
      </c>
      <c r="D59" s="3">
        <v>1</v>
      </c>
      <c r="E59" s="3" t="s">
        <v>16</v>
      </c>
      <c r="F59" s="3" t="s">
        <v>289</v>
      </c>
      <c r="G59" s="3" t="s">
        <v>23</v>
      </c>
      <c r="H59" s="3" t="s">
        <v>154</v>
      </c>
    </row>
    <row r="60" spans="1:8" x14ac:dyDescent="0.2">
      <c r="A60" s="3">
        <v>3060327003</v>
      </c>
      <c r="B60" s="4" t="s">
        <v>722</v>
      </c>
      <c r="C60" s="4" t="s">
        <v>723</v>
      </c>
      <c r="D60" s="3">
        <v>1</v>
      </c>
      <c r="E60" s="3" t="s">
        <v>16</v>
      </c>
      <c r="F60" s="3" t="s">
        <v>289</v>
      </c>
      <c r="G60" s="3" t="s">
        <v>23</v>
      </c>
      <c r="H60" s="3" t="s">
        <v>154</v>
      </c>
    </row>
    <row r="61" spans="1:8" x14ac:dyDescent="0.2">
      <c r="A61" s="3">
        <v>3080507001</v>
      </c>
      <c r="B61" s="4" t="s">
        <v>466</v>
      </c>
      <c r="C61" s="4" t="s">
        <v>467</v>
      </c>
      <c r="D61" s="3">
        <v>4</v>
      </c>
      <c r="E61" s="3" t="s">
        <v>16</v>
      </c>
      <c r="F61" s="3" t="s">
        <v>291</v>
      </c>
      <c r="G61" s="3" t="s">
        <v>26</v>
      </c>
      <c r="H61" s="3" t="s">
        <v>154</v>
      </c>
    </row>
    <row r="62" spans="1:8" x14ac:dyDescent="0.2">
      <c r="A62" s="3">
        <v>3050206006</v>
      </c>
      <c r="B62" s="4" t="s">
        <v>640</v>
      </c>
      <c r="C62" s="4" t="s">
        <v>641</v>
      </c>
      <c r="D62" s="3">
        <v>1</v>
      </c>
      <c r="E62" s="3" t="s">
        <v>16</v>
      </c>
      <c r="F62" s="3" t="s">
        <v>291</v>
      </c>
      <c r="G62" s="3" t="s">
        <v>26</v>
      </c>
      <c r="H62" s="3" t="s">
        <v>154</v>
      </c>
    </row>
    <row r="63" spans="1:8" x14ac:dyDescent="0.2">
      <c r="A63" s="3">
        <v>3110103002</v>
      </c>
      <c r="B63" s="4" t="s">
        <v>473</v>
      </c>
      <c r="C63" s="4" t="s">
        <v>474</v>
      </c>
      <c r="D63" s="3">
        <v>1</v>
      </c>
      <c r="E63" s="3" t="s">
        <v>16</v>
      </c>
      <c r="F63" s="3" t="s">
        <v>291</v>
      </c>
      <c r="G63" s="3" t="s">
        <v>26</v>
      </c>
      <c r="H63" s="3" t="s">
        <v>165</v>
      </c>
    </row>
    <row r="64" spans="1:8" x14ac:dyDescent="0.2">
      <c r="A64" s="3">
        <v>3030314007</v>
      </c>
      <c r="B64" s="4" t="s">
        <v>477</v>
      </c>
      <c r="C64" s="4" t="s">
        <v>478</v>
      </c>
      <c r="D64" s="3">
        <v>1</v>
      </c>
      <c r="E64" s="3" t="s">
        <v>16</v>
      </c>
      <c r="F64" s="3" t="s">
        <v>291</v>
      </c>
      <c r="G64" s="3" t="s">
        <v>26</v>
      </c>
      <c r="H64" s="3" t="s">
        <v>165</v>
      </c>
    </row>
    <row r="65" spans="1:8" x14ac:dyDescent="0.2">
      <c r="A65" s="3">
        <v>3030308013</v>
      </c>
      <c r="B65" s="4" t="s">
        <v>479</v>
      </c>
      <c r="C65" s="4" t="s">
        <v>478</v>
      </c>
      <c r="D65" s="3">
        <v>1</v>
      </c>
      <c r="E65" s="3" t="s">
        <v>16</v>
      </c>
      <c r="F65" s="3" t="s">
        <v>291</v>
      </c>
      <c r="G65" s="3" t="s">
        <v>26</v>
      </c>
      <c r="H65" s="3" t="s">
        <v>165</v>
      </c>
    </row>
    <row r="66" spans="1:8" x14ac:dyDescent="0.2">
      <c r="A66" s="3">
        <v>410010009</v>
      </c>
      <c r="B66" s="4" t="s">
        <v>1904</v>
      </c>
      <c r="C66" s="4" t="s">
        <v>1968</v>
      </c>
      <c r="D66" s="3">
        <v>1</v>
      </c>
      <c r="E66" s="3" t="s">
        <v>16</v>
      </c>
      <c r="F66" s="3" t="s">
        <v>301</v>
      </c>
      <c r="G66" s="3" t="s">
        <v>32</v>
      </c>
      <c r="H66" s="3" t="s">
        <v>1906</v>
      </c>
    </row>
    <row r="67" spans="1:8" x14ac:dyDescent="0.2">
      <c r="A67" s="3">
        <v>3010106010</v>
      </c>
      <c r="B67" s="4" t="s">
        <v>481</v>
      </c>
      <c r="C67" s="4" t="s">
        <v>482</v>
      </c>
      <c r="D67" s="3">
        <v>0.38</v>
      </c>
      <c r="E67" s="3" t="s">
        <v>10</v>
      </c>
      <c r="F67" s="3" t="s">
        <v>284</v>
      </c>
      <c r="G67" s="3" t="s">
        <v>11</v>
      </c>
      <c r="H67" s="3" t="s">
        <v>483</v>
      </c>
    </row>
    <row r="68" spans="1:8" x14ac:dyDescent="0.2">
      <c r="A68" s="3">
        <v>3060333003</v>
      </c>
      <c r="B68" s="4" t="s">
        <v>227</v>
      </c>
      <c r="C68" s="4" t="s">
        <v>724</v>
      </c>
      <c r="D68" s="3">
        <v>1</v>
      </c>
      <c r="E68" s="3" t="s">
        <v>16</v>
      </c>
      <c r="F68" s="3" t="s">
        <v>289</v>
      </c>
      <c r="G68" s="3" t="s">
        <v>23</v>
      </c>
      <c r="H68" s="3" t="s">
        <v>173</v>
      </c>
    </row>
    <row r="69" spans="1:8" x14ac:dyDescent="0.2">
      <c r="A69" s="3">
        <v>3040309001</v>
      </c>
      <c r="B69" s="4" t="s">
        <v>346</v>
      </c>
      <c r="C69" s="4" t="s">
        <v>347</v>
      </c>
      <c r="D69" s="3">
        <v>8</v>
      </c>
      <c r="E69" s="3" t="s">
        <v>16</v>
      </c>
      <c r="F69" s="3" t="s">
        <v>293</v>
      </c>
      <c r="G69" s="3" t="s">
        <v>29</v>
      </c>
      <c r="H69" s="3" t="s">
        <v>173</v>
      </c>
    </row>
    <row r="70" spans="1:8" x14ac:dyDescent="0.2">
      <c r="A70" s="3">
        <v>3060340001</v>
      </c>
      <c r="B70" s="4" t="s">
        <v>725</v>
      </c>
      <c r="C70" s="4" t="s">
        <v>726</v>
      </c>
      <c r="D70" s="3">
        <v>1</v>
      </c>
      <c r="E70" s="3" t="s">
        <v>16</v>
      </c>
      <c r="F70" s="3" t="s">
        <v>702</v>
      </c>
      <c r="G70" s="3" t="s">
        <v>703</v>
      </c>
      <c r="H70" s="3" t="s">
        <v>173</v>
      </c>
    </row>
    <row r="71" spans="1:8" x14ac:dyDescent="0.2">
      <c r="A71" s="3">
        <v>3050302006</v>
      </c>
      <c r="B71" s="4" t="s">
        <v>1921</v>
      </c>
      <c r="C71" s="4" t="s">
        <v>1933</v>
      </c>
      <c r="D71" s="3">
        <v>1</v>
      </c>
      <c r="E71" s="3" t="s">
        <v>16</v>
      </c>
      <c r="F71" s="3" t="s">
        <v>291</v>
      </c>
      <c r="G71" s="3" t="s">
        <v>26</v>
      </c>
      <c r="H71" s="3" t="s">
        <v>173</v>
      </c>
    </row>
    <row r="72" spans="1:8" x14ac:dyDescent="0.2">
      <c r="A72" s="3">
        <v>3020501004</v>
      </c>
      <c r="B72" s="4" t="s">
        <v>183</v>
      </c>
      <c r="C72" s="4" t="s">
        <v>761</v>
      </c>
      <c r="D72" s="3">
        <v>1</v>
      </c>
      <c r="E72" s="3" t="s">
        <v>16</v>
      </c>
      <c r="F72" s="3" t="s">
        <v>291</v>
      </c>
      <c r="G72" s="3" t="s">
        <v>26</v>
      </c>
      <c r="H72" s="3" t="s">
        <v>185</v>
      </c>
    </row>
    <row r="73" spans="1:8" x14ac:dyDescent="0.2">
      <c r="A73" s="3">
        <v>3110203003</v>
      </c>
      <c r="B73" s="4" t="s">
        <v>189</v>
      </c>
      <c r="C73" s="4" t="s">
        <v>643</v>
      </c>
      <c r="D73" s="3">
        <v>1</v>
      </c>
      <c r="E73" s="3" t="s">
        <v>16</v>
      </c>
      <c r="F73" s="3" t="s">
        <v>291</v>
      </c>
      <c r="G73" s="3" t="s">
        <v>26</v>
      </c>
      <c r="H73" s="3" t="s">
        <v>187</v>
      </c>
    </row>
    <row r="74" spans="1:8" x14ac:dyDescent="0.2">
      <c r="A74" s="3">
        <v>3060401001</v>
      </c>
      <c r="B74" s="4" t="s">
        <v>727</v>
      </c>
      <c r="C74" s="4" t="s">
        <v>728</v>
      </c>
      <c r="D74" s="3">
        <v>2</v>
      </c>
      <c r="E74" s="3" t="s">
        <v>16</v>
      </c>
      <c r="F74" s="3" t="s">
        <v>289</v>
      </c>
      <c r="G74" s="3" t="s">
        <v>23</v>
      </c>
      <c r="H74" s="3" t="s">
        <v>192</v>
      </c>
    </row>
    <row r="75" spans="1:8" x14ac:dyDescent="0.2">
      <c r="A75" s="3">
        <v>404110025</v>
      </c>
      <c r="B75" s="4" t="s">
        <v>504</v>
      </c>
      <c r="C75" s="4" t="s">
        <v>762</v>
      </c>
      <c r="D75" s="3">
        <v>1</v>
      </c>
      <c r="E75" s="3" t="s">
        <v>16</v>
      </c>
      <c r="F75" s="3" t="s">
        <v>301</v>
      </c>
      <c r="G75" s="3" t="s">
        <v>32</v>
      </c>
      <c r="H75" s="3" t="s">
        <v>198</v>
      </c>
    </row>
    <row r="76" spans="1:8" x14ac:dyDescent="0.2">
      <c r="A76" s="3">
        <v>401070018</v>
      </c>
      <c r="B76" s="4" t="s">
        <v>35</v>
      </c>
      <c r="C76" s="4" t="s">
        <v>202</v>
      </c>
      <c r="D76" s="3">
        <v>1</v>
      </c>
      <c r="E76" s="3" t="s">
        <v>16</v>
      </c>
      <c r="F76" s="3" t="s">
        <v>291</v>
      </c>
      <c r="G76" s="3" t="s">
        <v>26</v>
      </c>
      <c r="H76" s="3" t="s">
        <v>198</v>
      </c>
    </row>
    <row r="77" spans="1:8" x14ac:dyDescent="0.2">
      <c r="A77" s="3">
        <v>401070022</v>
      </c>
      <c r="B77" s="4" t="s">
        <v>35</v>
      </c>
      <c r="C77" s="4" t="s">
        <v>203</v>
      </c>
      <c r="D77" s="3">
        <v>1</v>
      </c>
      <c r="E77" s="3" t="s">
        <v>16</v>
      </c>
      <c r="F77" s="3" t="s">
        <v>297</v>
      </c>
      <c r="G77" s="3" t="s">
        <v>204</v>
      </c>
      <c r="H77" s="3" t="s">
        <v>198</v>
      </c>
    </row>
    <row r="78" spans="1:8" x14ac:dyDescent="0.2">
      <c r="A78" s="3">
        <v>401040473</v>
      </c>
      <c r="B78" s="4" t="s">
        <v>35</v>
      </c>
      <c r="C78" s="4" t="s">
        <v>645</v>
      </c>
      <c r="D78" s="3">
        <v>1</v>
      </c>
      <c r="E78" s="3" t="s">
        <v>16</v>
      </c>
      <c r="F78" s="3" t="s">
        <v>293</v>
      </c>
      <c r="G78" s="3" t="s">
        <v>29</v>
      </c>
      <c r="H78" s="3" t="s">
        <v>198</v>
      </c>
    </row>
    <row r="79" spans="1:8" x14ac:dyDescent="0.2">
      <c r="A79" s="3">
        <v>3049904001</v>
      </c>
      <c r="B79" s="4" t="s">
        <v>354</v>
      </c>
      <c r="C79" s="4" t="s">
        <v>355</v>
      </c>
      <c r="D79" s="3">
        <v>4</v>
      </c>
      <c r="E79" s="3" t="s">
        <v>16</v>
      </c>
      <c r="F79" s="3" t="s">
        <v>293</v>
      </c>
      <c r="G79" s="3" t="s">
        <v>29</v>
      </c>
      <c r="H79" s="3" t="s">
        <v>214</v>
      </c>
    </row>
    <row r="80" spans="1:8" x14ac:dyDescent="0.2">
      <c r="A80" s="3">
        <v>3049902012</v>
      </c>
      <c r="B80" s="4" t="s">
        <v>518</v>
      </c>
      <c r="C80" s="4" t="s">
        <v>646</v>
      </c>
      <c r="D80" s="3">
        <v>2</v>
      </c>
      <c r="E80" s="3" t="s">
        <v>16</v>
      </c>
      <c r="F80" s="3" t="s">
        <v>293</v>
      </c>
      <c r="G80" s="3" t="s">
        <v>29</v>
      </c>
      <c r="H80" s="3" t="s">
        <v>214</v>
      </c>
    </row>
    <row r="81" spans="1:8" x14ac:dyDescent="0.2">
      <c r="A81" s="3">
        <v>3049902005</v>
      </c>
      <c r="B81" s="4" t="s">
        <v>356</v>
      </c>
      <c r="C81" s="4" t="s">
        <v>357</v>
      </c>
      <c r="D81" s="3">
        <v>2</v>
      </c>
      <c r="E81" s="3" t="s">
        <v>16</v>
      </c>
      <c r="F81" s="3" t="s">
        <v>293</v>
      </c>
      <c r="G81" s="3" t="s">
        <v>29</v>
      </c>
      <c r="H81" s="3" t="s">
        <v>214</v>
      </c>
    </row>
    <row r="82" spans="1:8" x14ac:dyDescent="0.2">
      <c r="A82" s="3">
        <v>3060404036</v>
      </c>
      <c r="B82" s="4" t="s">
        <v>729</v>
      </c>
      <c r="C82" s="4" t="s">
        <v>763</v>
      </c>
      <c r="D82" s="3">
        <v>1</v>
      </c>
      <c r="E82" s="3" t="s">
        <v>16</v>
      </c>
      <c r="F82" s="3" t="s">
        <v>289</v>
      </c>
      <c r="G82" s="3" t="s">
        <v>23</v>
      </c>
      <c r="H82" s="3" t="s">
        <v>221</v>
      </c>
    </row>
    <row r="83" spans="1:8" x14ac:dyDescent="0.2">
      <c r="A83" s="3">
        <v>403030005</v>
      </c>
      <c r="B83" s="4" t="s">
        <v>366</v>
      </c>
      <c r="C83" s="4" t="s">
        <v>368</v>
      </c>
      <c r="D83" s="3">
        <v>2</v>
      </c>
      <c r="E83" s="3" t="s">
        <v>16</v>
      </c>
      <c r="F83" s="3" t="s">
        <v>301</v>
      </c>
      <c r="G83" s="3" t="s">
        <v>32</v>
      </c>
      <c r="H83" s="3" t="s">
        <v>221</v>
      </c>
    </row>
    <row r="84" spans="1:8" x14ac:dyDescent="0.2">
      <c r="A84" s="3">
        <v>403030051</v>
      </c>
      <c r="B84" s="4" t="s">
        <v>366</v>
      </c>
      <c r="C84" s="4" t="s">
        <v>367</v>
      </c>
      <c r="D84" s="3">
        <v>3</v>
      </c>
      <c r="E84" s="3" t="s">
        <v>16</v>
      </c>
      <c r="F84" s="3" t="s">
        <v>301</v>
      </c>
      <c r="G84" s="3" t="s">
        <v>32</v>
      </c>
      <c r="H84" s="3" t="s">
        <v>221</v>
      </c>
    </row>
    <row r="85" spans="1:8" x14ac:dyDescent="0.2">
      <c r="A85" s="3">
        <v>408010147</v>
      </c>
      <c r="B85" s="4" t="s">
        <v>1319</v>
      </c>
      <c r="C85" s="4" t="s">
        <v>1969</v>
      </c>
      <c r="D85" s="3">
        <v>1</v>
      </c>
      <c r="E85" s="3" t="s">
        <v>16</v>
      </c>
      <c r="F85" s="3" t="s">
        <v>291</v>
      </c>
      <c r="G85" s="3" t="s">
        <v>26</v>
      </c>
      <c r="H85" s="3" t="s">
        <v>524</v>
      </c>
    </row>
    <row r="86" spans="1:8" x14ac:dyDescent="0.2">
      <c r="A86" s="3">
        <v>408030098</v>
      </c>
      <c r="B86" s="4" t="s">
        <v>1286</v>
      </c>
      <c r="C86" s="4" t="s">
        <v>1970</v>
      </c>
      <c r="D86" s="3">
        <v>1</v>
      </c>
      <c r="E86" s="3" t="s">
        <v>16</v>
      </c>
      <c r="F86" s="3" t="s">
        <v>291</v>
      </c>
      <c r="G86" s="3" t="s">
        <v>26</v>
      </c>
      <c r="H86" s="3" t="s">
        <v>524</v>
      </c>
    </row>
    <row r="87" spans="1:8" x14ac:dyDescent="0.2">
      <c r="A87" s="3">
        <v>408040038</v>
      </c>
      <c r="B87" s="4" t="s">
        <v>1288</v>
      </c>
      <c r="C87" s="4" t="s">
        <v>1917</v>
      </c>
      <c r="D87" s="3">
        <v>1</v>
      </c>
      <c r="E87" s="3" t="s">
        <v>16</v>
      </c>
      <c r="F87" s="3" t="s">
        <v>301</v>
      </c>
      <c r="G87" s="3" t="s">
        <v>32</v>
      </c>
      <c r="H87" s="3" t="s">
        <v>524</v>
      </c>
    </row>
    <row r="88" spans="1:8" x14ac:dyDescent="0.2">
      <c r="A88" s="3">
        <v>408050051</v>
      </c>
      <c r="B88" s="4" t="s">
        <v>810</v>
      </c>
      <c r="C88" s="4" t="s">
        <v>1971</v>
      </c>
      <c r="D88" s="3">
        <v>1</v>
      </c>
      <c r="E88" s="3" t="s">
        <v>16</v>
      </c>
      <c r="F88" s="3" t="s">
        <v>291</v>
      </c>
      <c r="G88" s="3" t="s">
        <v>26</v>
      </c>
      <c r="H88" s="3" t="s">
        <v>524</v>
      </c>
    </row>
    <row r="89" spans="1:8" x14ac:dyDescent="0.2">
      <c r="A89" s="3">
        <v>408990255</v>
      </c>
      <c r="B89" s="4" t="s">
        <v>1313</v>
      </c>
      <c r="C89" s="4" t="s">
        <v>1972</v>
      </c>
      <c r="D89" s="3">
        <v>1</v>
      </c>
      <c r="E89" s="3" t="s">
        <v>16</v>
      </c>
      <c r="F89" s="3" t="s">
        <v>291</v>
      </c>
      <c r="G89" s="3" t="s">
        <v>26</v>
      </c>
      <c r="H89" s="3" t="s">
        <v>524</v>
      </c>
    </row>
    <row r="90" spans="1:8" x14ac:dyDescent="0.2">
      <c r="A90" s="3">
        <v>408990256</v>
      </c>
      <c r="B90" s="4" t="s">
        <v>1313</v>
      </c>
      <c r="C90" s="4" t="s">
        <v>1973</v>
      </c>
      <c r="D90" s="3">
        <v>1</v>
      </c>
      <c r="E90" s="3" t="s">
        <v>16</v>
      </c>
      <c r="F90" s="3" t="s">
        <v>291</v>
      </c>
      <c r="G90" s="3" t="s">
        <v>26</v>
      </c>
      <c r="H90" s="3" t="s">
        <v>524</v>
      </c>
    </row>
    <row r="91" spans="1:8" x14ac:dyDescent="0.2">
      <c r="A91" s="3">
        <v>408180001</v>
      </c>
      <c r="B91" s="4" t="s">
        <v>1918</v>
      </c>
      <c r="C91" s="4" t="s">
        <v>1919</v>
      </c>
      <c r="D91" s="3">
        <v>1</v>
      </c>
      <c r="E91" s="3" t="s">
        <v>16</v>
      </c>
      <c r="F91" s="3" t="s">
        <v>289</v>
      </c>
      <c r="G91" s="3" t="s">
        <v>23</v>
      </c>
      <c r="H91" s="3" t="s">
        <v>524</v>
      </c>
    </row>
    <row r="92" spans="1:8" x14ac:dyDescent="0.2">
      <c r="A92" s="3">
        <v>407010366</v>
      </c>
      <c r="B92" s="4" t="s">
        <v>149</v>
      </c>
      <c r="C92" s="4" t="s">
        <v>1974</v>
      </c>
      <c r="D92" s="3">
        <v>1</v>
      </c>
      <c r="E92" s="3" t="s">
        <v>16</v>
      </c>
      <c r="F92" s="3" t="s">
        <v>289</v>
      </c>
      <c r="G92" s="3" t="s">
        <v>23</v>
      </c>
      <c r="H92" s="3" t="s">
        <v>524</v>
      </c>
    </row>
    <row r="93" spans="1:8" x14ac:dyDescent="0.2">
      <c r="A93" s="3">
        <v>3040502063</v>
      </c>
      <c r="B93" s="4" t="s">
        <v>136</v>
      </c>
      <c r="C93" s="4" t="s">
        <v>648</v>
      </c>
      <c r="D93" s="3">
        <v>2</v>
      </c>
      <c r="E93" s="3" t="s">
        <v>16</v>
      </c>
      <c r="F93" s="3" t="s">
        <v>293</v>
      </c>
      <c r="G93" s="3" t="s">
        <v>29</v>
      </c>
      <c r="H93" s="3" t="s">
        <v>370</v>
      </c>
    </row>
    <row r="94" spans="1:8" x14ac:dyDescent="0.2">
      <c r="A94" s="3">
        <v>3060301001</v>
      </c>
      <c r="B94" s="4" t="s">
        <v>731</v>
      </c>
      <c r="C94" s="4" t="s">
        <v>732</v>
      </c>
      <c r="D94" s="3">
        <v>1</v>
      </c>
      <c r="E94" s="3" t="s">
        <v>16</v>
      </c>
      <c r="F94" s="3" t="s">
        <v>289</v>
      </c>
      <c r="G94" s="3" t="s">
        <v>23</v>
      </c>
      <c r="H94" s="3" t="s">
        <v>226</v>
      </c>
    </row>
    <row r="95" spans="1:8" x14ac:dyDescent="0.2">
      <c r="A95" s="3">
        <v>3050305016</v>
      </c>
      <c r="B95" s="4" t="s">
        <v>527</v>
      </c>
      <c r="C95" s="4" t="s">
        <v>528</v>
      </c>
      <c r="D95" s="3">
        <v>1</v>
      </c>
      <c r="E95" s="3" t="s">
        <v>16</v>
      </c>
      <c r="F95" s="3" t="s">
        <v>291</v>
      </c>
      <c r="G95" s="3" t="s">
        <v>26</v>
      </c>
      <c r="H95" s="3" t="s">
        <v>226</v>
      </c>
    </row>
    <row r="96" spans="1:8" x14ac:dyDescent="0.2">
      <c r="A96" s="3">
        <v>3050305015</v>
      </c>
      <c r="B96" s="4" t="s">
        <v>529</v>
      </c>
      <c r="C96" s="4" t="s">
        <v>530</v>
      </c>
      <c r="D96" s="3">
        <v>1</v>
      </c>
      <c r="E96" s="3" t="s">
        <v>16</v>
      </c>
      <c r="F96" s="3" t="s">
        <v>291</v>
      </c>
      <c r="G96" s="3" t="s">
        <v>26</v>
      </c>
      <c r="H96" s="3" t="s">
        <v>226</v>
      </c>
    </row>
    <row r="97" spans="1:8" x14ac:dyDescent="0.2">
      <c r="A97" s="3">
        <v>3050306011</v>
      </c>
      <c r="B97" s="4" t="s">
        <v>531</v>
      </c>
      <c r="C97" s="4" t="s">
        <v>609</v>
      </c>
      <c r="D97" s="3">
        <v>1</v>
      </c>
      <c r="E97" s="3" t="s">
        <v>16</v>
      </c>
      <c r="F97" s="3" t="s">
        <v>291</v>
      </c>
      <c r="G97" s="3" t="s">
        <v>26</v>
      </c>
      <c r="H97" s="3" t="s">
        <v>226</v>
      </c>
    </row>
    <row r="98" spans="1:8" x14ac:dyDescent="0.2">
      <c r="A98" s="3">
        <v>3030303046</v>
      </c>
      <c r="B98" s="4" t="s">
        <v>649</v>
      </c>
      <c r="C98" s="4" t="s">
        <v>650</v>
      </c>
      <c r="D98" s="3">
        <v>1</v>
      </c>
      <c r="E98" s="3" t="s">
        <v>16</v>
      </c>
      <c r="F98" s="3" t="s">
        <v>291</v>
      </c>
      <c r="G98" s="3" t="s">
        <v>26</v>
      </c>
      <c r="H98" s="3" t="s">
        <v>226</v>
      </c>
    </row>
    <row r="99" spans="1:8" x14ac:dyDescent="0.2">
      <c r="A99" s="3">
        <v>3030303047</v>
      </c>
      <c r="B99" s="4" t="s">
        <v>651</v>
      </c>
      <c r="C99" s="4" t="s">
        <v>650</v>
      </c>
      <c r="D99" s="3">
        <v>1</v>
      </c>
      <c r="E99" s="3" t="s">
        <v>16</v>
      </c>
      <c r="F99" s="3" t="s">
        <v>291</v>
      </c>
      <c r="G99" s="3" t="s">
        <v>26</v>
      </c>
      <c r="H99" s="3" t="s">
        <v>226</v>
      </c>
    </row>
    <row r="100" spans="1:8" x14ac:dyDescent="0.2">
      <c r="A100" s="3">
        <v>3040312026</v>
      </c>
      <c r="B100" s="4" t="s">
        <v>263</v>
      </c>
      <c r="C100" s="4" t="s">
        <v>652</v>
      </c>
      <c r="D100" s="3">
        <v>2</v>
      </c>
      <c r="E100" s="3" t="s">
        <v>16</v>
      </c>
      <c r="F100" s="3" t="s">
        <v>293</v>
      </c>
      <c r="G100" s="3" t="s">
        <v>29</v>
      </c>
      <c r="H100" s="3" t="s">
        <v>226</v>
      </c>
    </row>
    <row r="101" spans="1:8" x14ac:dyDescent="0.2">
      <c r="A101" s="3">
        <v>3040303008</v>
      </c>
      <c r="B101" s="4" t="s">
        <v>265</v>
      </c>
      <c r="C101" s="4" t="s">
        <v>653</v>
      </c>
      <c r="D101" s="3">
        <v>2</v>
      </c>
      <c r="E101" s="3" t="s">
        <v>16</v>
      </c>
      <c r="F101" s="3" t="s">
        <v>293</v>
      </c>
      <c r="G101" s="3" t="s">
        <v>29</v>
      </c>
      <c r="H101" s="3" t="s">
        <v>226</v>
      </c>
    </row>
    <row r="102" spans="1:8" x14ac:dyDescent="0.2">
      <c r="A102" s="3">
        <v>3040320017</v>
      </c>
      <c r="B102" s="4" t="s">
        <v>269</v>
      </c>
      <c r="C102" s="4" t="s">
        <v>654</v>
      </c>
      <c r="D102" s="3">
        <v>1</v>
      </c>
      <c r="E102" s="3" t="s">
        <v>16</v>
      </c>
      <c r="F102" s="3" t="s">
        <v>293</v>
      </c>
      <c r="G102" s="3" t="s">
        <v>29</v>
      </c>
      <c r="H102" s="3" t="s">
        <v>226</v>
      </c>
    </row>
    <row r="103" spans="1:8" x14ac:dyDescent="0.2">
      <c r="A103" s="3">
        <v>3040320016</v>
      </c>
      <c r="B103" s="4" t="s">
        <v>269</v>
      </c>
      <c r="C103" s="4" t="s">
        <v>655</v>
      </c>
      <c r="D103" s="3">
        <v>1</v>
      </c>
      <c r="E103" s="3" t="s">
        <v>16</v>
      </c>
      <c r="F103" s="3" t="s">
        <v>293</v>
      </c>
      <c r="G103" s="3" t="s">
        <v>29</v>
      </c>
      <c r="H103" s="3" t="s">
        <v>226</v>
      </c>
    </row>
    <row r="104" spans="1:8" x14ac:dyDescent="0.2">
      <c r="A104" s="3">
        <v>3040113006</v>
      </c>
      <c r="B104" s="4" t="s">
        <v>500</v>
      </c>
      <c r="C104" s="4" t="s">
        <v>656</v>
      </c>
      <c r="D104" s="3">
        <v>1</v>
      </c>
      <c r="E104" s="3" t="s">
        <v>16</v>
      </c>
      <c r="F104" s="3" t="s">
        <v>293</v>
      </c>
      <c r="G104" s="3" t="s">
        <v>29</v>
      </c>
      <c r="H104" s="3" t="s">
        <v>226</v>
      </c>
    </row>
    <row r="105" spans="1:8" x14ac:dyDescent="0.2">
      <c r="A105" s="3">
        <v>3040113007</v>
      </c>
      <c r="B105" s="4" t="s">
        <v>500</v>
      </c>
      <c r="C105" s="4" t="s">
        <v>657</v>
      </c>
      <c r="D105" s="3">
        <v>1</v>
      </c>
      <c r="E105" s="3" t="s">
        <v>16</v>
      </c>
      <c r="F105" s="3" t="s">
        <v>293</v>
      </c>
      <c r="G105" s="3" t="s">
        <v>29</v>
      </c>
      <c r="H105" s="3" t="s">
        <v>226</v>
      </c>
    </row>
    <row r="106" spans="1:8" x14ac:dyDescent="0.2">
      <c r="A106" s="3">
        <v>3030313003</v>
      </c>
      <c r="B106" s="4" t="s">
        <v>217</v>
      </c>
      <c r="C106" s="4" t="s">
        <v>544</v>
      </c>
      <c r="D106" s="3">
        <v>8</v>
      </c>
      <c r="E106" s="3" t="s">
        <v>16</v>
      </c>
      <c r="F106" s="3" t="s">
        <v>291</v>
      </c>
      <c r="G106" s="3" t="s">
        <v>26</v>
      </c>
      <c r="H106" s="3" t="s">
        <v>226</v>
      </c>
    </row>
    <row r="107" spans="1:8" x14ac:dyDescent="0.2">
      <c r="A107" s="3">
        <v>3020199010</v>
      </c>
      <c r="B107" s="4" t="s">
        <v>239</v>
      </c>
      <c r="C107" s="4" t="s">
        <v>545</v>
      </c>
      <c r="D107" s="3">
        <v>5</v>
      </c>
      <c r="E107" s="3" t="s">
        <v>16</v>
      </c>
      <c r="F107" s="3" t="s">
        <v>297</v>
      </c>
      <c r="G107" s="3" t="s">
        <v>204</v>
      </c>
      <c r="H107" s="3" t="s">
        <v>226</v>
      </c>
    </row>
    <row r="108" spans="1:8" x14ac:dyDescent="0.2">
      <c r="A108" s="3">
        <v>3050307065</v>
      </c>
      <c r="B108" s="4" t="s">
        <v>765</v>
      </c>
      <c r="C108" s="4" t="s">
        <v>766</v>
      </c>
      <c r="D108" s="3">
        <v>2</v>
      </c>
      <c r="E108" s="3" t="s">
        <v>16</v>
      </c>
      <c r="F108" s="3" t="s">
        <v>291</v>
      </c>
      <c r="G108" s="3" t="s">
        <v>26</v>
      </c>
      <c r="H108" s="3" t="s">
        <v>226</v>
      </c>
    </row>
    <row r="109" spans="1:8" x14ac:dyDescent="0.2">
      <c r="A109" s="3">
        <v>3050305056</v>
      </c>
      <c r="B109" s="4" t="s">
        <v>767</v>
      </c>
      <c r="C109" s="4" t="s">
        <v>766</v>
      </c>
      <c r="D109" s="3">
        <v>1</v>
      </c>
      <c r="E109" s="3" t="s">
        <v>16</v>
      </c>
      <c r="F109" s="3" t="s">
        <v>291</v>
      </c>
      <c r="G109" s="3" t="s">
        <v>26</v>
      </c>
      <c r="H109" s="3" t="s">
        <v>226</v>
      </c>
    </row>
    <row r="110" spans="1:8" x14ac:dyDescent="0.2">
      <c r="A110" s="3">
        <v>3050305019</v>
      </c>
      <c r="B110" s="4" t="s">
        <v>549</v>
      </c>
      <c r="C110" s="4" t="s">
        <v>530</v>
      </c>
      <c r="D110" s="3">
        <v>1</v>
      </c>
      <c r="E110" s="3" t="s">
        <v>16</v>
      </c>
      <c r="F110" s="3" t="s">
        <v>291</v>
      </c>
      <c r="G110" s="3" t="s">
        <v>26</v>
      </c>
      <c r="H110" s="3" t="s">
        <v>226</v>
      </c>
    </row>
    <row r="111" spans="1:8" x14ac:dyDescent="0.2">
      <c r="A111" s="3">
        <v>3050401019</v>
      </c>
      <c r="B111" s="4" t="s">
        <v>222</v>
      </c>
      <c r="C111" s="4" t="s">
        <v>658</v>
      </c>
      <c r="D111" s="3">
        <v>1</v>
      </c>
      <c r="E111" s="3" t="s">
        <v>16</v>
      </c>
      <c r="F111" s="3" t="s">
        <v>291</v>
      </c>
      <c r="G111" s="3" t="s">
        <v>26</v>
      </c>
      <c r="H111" s="3" t="s">
        <v>226</v>
      </c>
    </row>
    <row r="112" spans="1:8" x14ac:dyDescent="0.2">
      <c r="A112" s="3">
        <v>3050305026</v>
      </c>
      <c r="B112" s="4" t="s">
        <v>659</v>
      </c>
      <c r="C112" s="4" t="s">
        <v>660</v>
      </c>
      <c r="D112" s="3">
        <v>1</v>
      </c>
      <c r="E112" s="3" t="s">
        <v>16</v>
      </c>
      <c r="F112" s="3" t="s">
        <v>291</v>
      </c>
      <c r="G112" s="3" t="s">
        <v>26</v>
      </c>
      <c r="H112" s="3" t="s">
        <v>226</v>
      </c>
    </row>
    <row r="113" spans="1:8" x14ac:dyDescent="0.2">
      <c r="A113" s="3">
        <v>3050305027</v>
      </c>
      <c r="B113" s="4" t="s">
        <v>659</v>
      </c>
      <c r="C113" s="4" t="s">
        <v>661</v>
      </c>
      <c r="D113" s="3">
        <v>1</v>
      </c>
      <c r="E113" s="3" t="s">
        <v>16</v>
      </c>
      <c r="F113" s="3" t="s">
        <v>291</v>
      </c>
      <c r="G113" s="3" t="s">
        <v>26</v>
      </c>
      <c r="H113" s="3" t="s">
        <v>226</v>
      </c>
    </row>
    <row r="114" spans="1:8" x14ac:dyDescent="0.2">
      <c r="A114" s="3">
        <v>3080401031</v>
      </c>
      <c r="B114" s="4" t="s">
        <v>41</v>
      </c>
      <c r="C114" s="4" t="s">
        <v>551</v>
      </c>
      <c r="D114" s="3">
        <v>1</v>
      </c>
      <c r="E114" s="3" t="s">
        <v>16</v>
      </c>
      <c r="F114" s="3" t="s">
        <v>291</v>
      </c>
      <c r="G114" s="3" t="s">
        <v>26</v>
      </c>
      <c r="H114" s="3" t="s">
        <v>249</v>
      </c>
    </row>
    <row r="115" spans="1:8" x14ac:dyDescent="0.2">
      <c r="A115" s="3">
        <v>3060335005</v>
      </c>
      <c r="B115" s="4" t="s">
        <v>233</v>
      </c>
      <c r="C115" s="4" t="s">
        <v>734</v>
      </c>
      <c r="D115" s="3">
        <v>1</v>
      </c>
      <c r="E115" s="3" t="s">
        <v>16</v>
      </c>
      <c r="F115" s="3" t="s">
        <v>289</v>
      </c>
      <c r="G115" s="3" t="s">
        <v>23</v>
      </c>
      <c r="H115" s="3" t="s">
        <v>254</v>
      </c>
    </row>
    <row r="116" spans="1:8" x14ac:dyDescent="0.2">
      <c r="A116" s="3">
        <v>3060324001</v>
      </c>
      <c r="B116" s="4" t="s">
        <v>735</v>
      </c>
      <c r="C116" s="4" t="s">
        <v>736</v>
      </c>
      <c r="D116" s="3">
        <v>1</v>
      </c>
      <c r="E116" s="3" t="s">
        <v>16</v>
      </c>
      <c r="F116" s="3" t="s">
        <v>289</v>
      </c>
      <c r="G116" s="3" t="s">
        <v>23</v>
      </c>
      <c r="H116" s="3" t="s">
        <v>254</v>
      </c>
    </row>
    <row r="117" spans="1:8" x14ac:dyDescent="0.2">
      <c r="A117" s="3">
        <v>3049902004</v>
      </c>
      <c r="B117" s="4" t="s">
        <v>383</v>
      </c>
      <c r="C117" s="4" t="s">
        <v>384</v>
      </c>
      <c r="D117" s="3">
        <v>2</v>
      </c>
      <c r="E117" s="3" t="s">
        <v>16</v>
      </c>
      <c r="F117" s="3" t="s">
        <v>293</v>
      </c>
      <c r="G117" s="3" t="s">
        <v>29</v>
      </c>
      <c r="H117" s="3" t="s">
        <v>254</v>
      </c>
    </row>
    <row r="118" spans="1:8" x14ac:dyDescent="0.2">
      <c r="A118" s="3">
        <v>3040326018</v>
      </c>
      <c r="B118" s="4" t="s">
        <v>385</v>
      </c>
      <c r="C118" s="4" t="s">
        <v>384</v>
      </c>
      <c r="D118" s="3">
        <v>2</v>
      </c>
      <c r="E118" s="3" t="s">
        <v>16</v>
      </c>
      <c r="F118" s="3" t="s">
        <v>293</v>
      </c>
      <c r="G118" s="3" t="s">
        <v>29</v>
      </c>
      <c r="H118" s="3" t="s">
        <v>254</v>
      </c>
    </row>
    <row r="119" spans="1:8" x14ac:dyDescent="0.2">
      <c r="A119" s="3">
        <v>3060339002</v>
      </c>
      <c r="B119" s="4" t="s">
        <v>737</v>
      </c>
      <c r="C119" s="4" t="s">
        <v>738</v>
      </c>
      <c r="D119" s="3">
        <v>1</v>
      </c>
      <c r="E119" s="3" t="s">
        <v>16</v>
      </c>
      <c r="F119" s="3" t="s">
        <v>702</v>
      </c>
      <c r="G119" s="3" t="s">
        <v>703</v>
      </c>
      <c r="H119" s="3" t="s">
        <v>254</v>
      </c>
    </row>
    <row r="120" spans="1:8" x14ac:dyDescent="0.2">
      <c r="A120" s="3">
        <v>3060325001</v>
      </c>
      <c r="B120" s="4" t="s">
        <v>739</v>
      </c>
      <c r="C120" s="4" t="s">
        <v>740</v>
      </c>
      <c r="D120" s="3">
        <v>1</v>
      </c>
      <c r="E120" s="3" t="s">
        <v>16</v>
      </c>
      <c r="F120" s="3" t="s">
        <v>702</v>
      </c>
      <c r="G120" s="3" t="s">
        <v>703</v>
      </c>
      <c r="H120" s="3" t="s">
        <v>254</v>
      </c>
    </row>
    <row r="121" spans="1:8" x14ac:dyDescent="0.2">
      <c r="A121" s="3">
        <v>3050303006</v>
      </c>
      <c r="B121" s="4" t="s">
        <v>245</v>
      </c>
      <c r="C121" s="4" t="s">
        <v>587</v>
      </c>
      <c r="D121" s="3">
        <v>1</v>
      </c>
      <c r="E121" s="3" t="s">
        <v>16</v>
      </c>
      <c r="F121" s="3" t="s">
        <v>291</v>
      </c>
      <c r="G121" s="3" t="s">
        <v>26</v>
      </c>
      <c r="H121" s="3" t="s">
        <v>254</v>
      </c>
    </row>
    <row r="122" spans="1:8" x14ac:dyDescent="0.2">
      <c r="A122" s="3">
        <v>3020301012</v>
      </c>
      <c r="B122" s="4" t="s">
        <v>209</v>
      </c>
      <c r="C122" s="4" t="s">
        <v>768</v>
      </c>
      <c r="D122" s="3">
        <v>1</v>
      </c>
      <c r="E122" s="3" t="s">
        <v>16</v>
      </c>
      <c r="F122" s="3" t="s">
        <v>301</v>
      </c>
      <c r="G122" s="3" t="s">
        <v>32</v>
      </c>
      <c r="H122" s="3" t="s">
        <v>769</v>
      </c>
    </row>
  </sheetData>
  <phoneticPr fontId="2" type="noConversion"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F9D4C-FD59-44A2-8564-E1379BF71EE4}">
  <dimension ref="A1:H209"/>
  <sheetViews>
    <sheetView workbookViewId="0">
      <selection activeCell="K21" sqref="K21"/>
    </sheetView>
  </sheetViews>
  <sheetFormatPr defaultRowHeight="14.25" x14ac:dyDescent="0.2"/>
  <cols>
    <col min="1" max="1" width="12" customWidth="1"/>
    <col min="2" max="3" width="13.75" customWidth="1"/>
  </cols>
  <sheetData>
    <row r="1" spans="1:8" x14ac:dyDescent="0.2">
      <c r="A1" s="3" t="s">
        <v>1976</v>
      </c>
      <c r="B1" s="4"/>
      <c r="C1" s="4"/>
      <c r="D1" s="3"/>
      <c r="E1" s="3"/>
      <c r="F1" s="3"/>
      <c r="G1" s="3"/>
      <c r="H1" s="3"/>
    </row>
    <row r="2" spans="1:8" ht="28.5" x14ac:dyDescent="0.2">
      <c r="A2" s="1" t="s">
        <v>0</v>
      </c>
      <c r="B2" s="2" t="s">
        <v>1</v>
      </c>
      <c r="C2" s="2" t="s">
        <v>2</v>
      </c>
      <c r="D2" s="1" t="s">
        <v>4</v>
      </c>
      <c r="E2" s="1" t="s">
        <v>3</v>
      </c>
      <c r="F2" s="1" t="s">
        <v>5</v>
      </c>
      <c r="G2" s="1" t="s">
        <v>6</v>
      </c>
      <c r="H2" s="1" t="s">
        <v>7</v>
      </c>
    </row>
    <row r="3" spans="1:8" s="10" customFormat="1" x14ac:dyDescent="0.2">
      <c r="A3" s="8" t="s">
        <v>390</v>
      </c>
      <c r="B3" s="9" t="s">
        <v>8</v>
      </c>
      <c r="C3" s="9" t="s">
        <v>9</v>
      </c>
      <c r="D3" s="13">
        <f>0.1748/0.94</f>
        <v>0.18595744680851067</v>
      </c>
      <c r="E3" s="8" t="s">
        <v>596</v>
      </c>
      <c r="F3" s="8" t="s">
        <v>283</v>
      </c>
      <c r="G3" s="8" t="s">
        <v>13</v>
      </c>
      <c r="H3" s="8" t="s">
        <v>12</v>
      </c>
    </row>
    <row r="4" spans="1:8" x14ac:dyDescent="0.2">
      <c r="A4" s="3">
        <v>402030028</v>
      </c>
      <c r="B4" s="4" t="s">
        <v>107</v>
      </c>
      <c r="C4" s="4" t="s">
        <v>305</v>
      </c>
      <c r="D4" s="3">
        <v>1</v>
      </c>
      <c r="E4" s="3" t="s">
        <v>16</v>
      </c>
      <c r="F4" s="3" t="s">
        <v>289</v>
      </c>
      <c r="G4" s="3" t="s">
        <v>23</v>
      </c>
      <c r="H4" s="3" t="s">
        <v>306</v>
      </c>
    </row>
    <row r="5" spans="1:8" x14ac:dyDescent="0.2">
      <c r="A5" s="3">
        <v>3099980014</v>
      </c>
      <c r="B5" s="4" t="s">
        <v>391</v>
      </c>
      <c r="C5" s="4" t="s">
        <v>392</v>
      </c>
      <c r="D5" s="3">
        <v>1</v>
      </c>
      <c r="E5" s="3" t="s">
        <v>16</v>
      </c>
      <c r="F5" s="3" t="s">
        <v>291</v>
      </c>
      <c r="G5" s="3" t="s">
        <v>26</v>
      </c>
      <c r="H5" s="3" t="s">
        <v>393</v>
      </c>
    </row>
    <row r="6" spans="1:8" x14ac:dyDescent="0.2">
      <c r="A6" s="3">
        <v>3098980102</v>
      </c>
      <c r="B6" s="4" t="s">
        <v>1897</v>
      </c>
      <c r="C6" s="4" t="s">
        <v>1898</v>
      </c>
      <c r="D6" s="3">
        <v>1</v>
      </c>
      <c r="E6" s="3" t="s">
        <v>16</v>
      </c>
      <c r="F6" s="3" t="s">
        <v>291</v>
      </c>
      <c r="G6" s="3" t="s">
        <v>26</v>
      </c>
      <c r="H6" s="3" t="s">
        <v>393</v>
      </c>
    </row>
    <row r="7" spans="1:8" x14ac:dyDescent="0.2">
      <c r="A7" s="3">
        <v>3030314005</v>
      </c>
      <c r="B7" s="4" t="s">
        <v>394</v>
      </c>
      <c r="C7" s="4" t="s">
        <v>395</v>
      </c>
      <c r="D7" s="3">
        <v>1</v>
      </c>
      <c r="E7" s="3" t="s">
        <v>16</v>
      </c>
      <c r="F7" s="3" t="s">
        <v>291</v>
      </c>
      <c r="G7" s="3" t="s">
        <v>26</v>
      </c>
      <c r="H7" s="3" t="s">
        <v>18</v>
      </c>
    </row>
    <row r="8" spans="1:8" x14ac:dyDescent="0.2">
      <c r="A8" s="3">
        <v>3030210001</v>
      </c>
      <c r="B8" s="4" t="s">
        <v>396</v>
      </c>
      <c r="C8" s="4" t="s">
        <v>397</v>
      </c>
      <c r="D8" s="3">
        <v>1</v>
      </c>
      <c r="E8" s="3" t="s">
        <v>16</v>
      </c>
      <c r="F8" s="3" t="s">
        <v>295</v>
      </c>
      <c r="G8" s="3" t="s">
        <v>17</v>
      </c>
      <c r="H8" s="3" t="s">
        <v>18</v>
      </c>
    </row>
    <row r="9" spans="1:8" x14ac:dyDescent="0.2">
      <c r="A9" s="3">
        <v>3080301001</v>
      </c>
      <c r="B9" s="4" t="s">
        <v>247</v>
      </c>
      <c r="C9" s="4" t="s">
        <v>398</v>
      </c>
      <c r="D9" s="3">
        <v>1</v>
      </c>
      <c r="E9" s="3" t="s">
        <v>16</v>
      </c>
      <c r="F9" s="3" t="s">
        <v>295</v>
      </c>
      <c r="G9" s="3" t="s">
        <v>17</v>
      </c>
      <c r="H9" s="3" t="s">
        <v>18</v>
      </c>
    </row>
    <row r="10" spans="1:8" x14ac:dyDescent="0.2">
      <c r="A10" s="3">
        <v>3040201001</v>
      </c>
      <c r="B10" s="4" t="s">
        <v>399</v>
      </c>
      <c r="C10" s="4" t="s">
        <v>400</v>
      </c>
      <c r="D10" s="3">
        <v>2</v>
      </c>
      <c r="E10" s="3" t="s">
        <v>16</v>
      </c>
      <c r="F10" s="3" t="s">
        <v>293</v>
      </c>
      <c r="G10" s="3" t="s">
        <v>29</v>
      </c>
      <c r="H10" s="3" t="s">
        <v>18</v>
      </c>
    </row>
    <row r="11" spans="1:8" x14ac:dyDescent="0.2">
      <c r="A11" s="3">
        <v>3030202002</v>
      </c>
      <c r="B11" s="4" t="s">
        <v>401</v>
      </c>
      <c r="C11" s="4" t="s">
        <v>402</v>
      </c>
      <c r="D11" s="3">
        <v>1</v>
      </c>
      <c r="E11" s="3" t="s">
        <v>16</v>
      </c>
      <c r="F11" s="3" t="s">
        <v>295</v>
      </c>
      <c r="G11" s="3" t="s">
        <v>17</v>
      </c>
      <c r="H11" s="3" t="s">
        <v>18</v>
      </c>
    </row>
    <row r="12" spans="1:8" x14ac:dyDescent="0.2">
      <c r="A12" s="3">
        <v>3030202003</v>
      </c>
      <c r="B12" s="4" t="s">
        <v>403</v>
      </c>
      <c r="C12" s="4" t="s">
        <v>404</v>
      </c>
      <c r="D12" s="3">
        <v>1</v>
      </c>
      <c r="E12" s="3" t="s">
        <v>16</v>
      </c>
      <c r="F12" s="3" t="s">
        <v>295</v>
      </c>
      <c r="G12" s="3" t="s">
        <v>17</v>
      </c>
      <c r="H12" s="3" t="s">
        <v>18</v>
      </c>
    </row>
    <row r="13" spans="1:8" x14ac:dyDescent="0.2">
      <c r="A13" s="3">
        <v>3030212001</v>
      </c>
      <c r="B13" s="4" t="s">
        <v>405</v>
      </c>
      <c r="C13" s="4" t="s">
        <v>406</v>
      </c>
      <c r="D13" s="3">
        <v>1</v>
      </c>
      <c r="E13" s="3" t="s">
        <v>16</v>
      </c>
      <c r="F13" s="3" t="s">
        <v>295</v>
      </c>
      <c r="G13" s="3" t="s">
        <v>17</v>
      </c>
      <c r="H13" s="3" t="s">
        <v>18</v>
      </c>
    </row>
    <row r="14" spans="1:8" x14ac:dyDescent="0.2">
      <c r="A14" s="3">
        <v>3030206003</v>
      </c>
      <c r="B14" s="4" t="s">
        <v>407</v>
      </c>
      <c r="C14" s="4" t="s">
        <v>408</v>
      </c>
      <c r="D14" s="3">
        <v>1</v>
      </c>
      <c r="E14" s="3" t="s">
        <v>16</v>
      </c>
      <c r="F14" s="3" t="s">
        <v>295</v>
      </c>
      <c r="G14" s="3" t="s">
        <v>17</v>
      </c>
      <c r="H14" s="3" t="s">
        <v>18</v>
      </c>
    </row>
    <row r="15" spans="1:8" x14ac:dyDescent="0.2">
      <c r="A15" s="3">
        <v>404090136</v>
      </c>
      <c r="B15" s="4" t="s">
        <v>30</v>
      </c>
      <c r="C15" s="4" t="s">
        <v>784</v>
      </c>
      <c r="D15" s="3">
        <v>1</v>
      </c>
      <c r="E15" s="3" t="s">
        <v>16</v>
      </c>
      <c r="F15" s="3" t="s">
        <v>301</v>
      </c>
      <c r="G15" s="3" t="s">
        <v>32</v>
      </c>
      <c r="H15" s="3" t="s">
        <v>33</v>
      </c>
    </row>
    <row r="16" spans="1:8" x14ac:dyDescent="0.2">
      <c r="A16" s="3">
        <v>404090225</v>
      </c>
      <c r="B16" s="4" t="s">
        <v>30</v>
      </c>
      <c r="C16" s="4" t="s">
        <v>785</v>
      </c>
      <c r="D16" s="3">
        <v>1</v>
      </c>
      <c r="E16" s="3" t="s">
        <v>16</v>
      </c>
      <c r="F16" s="3" t="s">
        <v>301</v>
      </c>
      <c r="G16" s="3" t="s">
        <v>32</v>
      </c>
      <c r="H16" s="3" t="s">
        <v>33</v>
      </c>
    </row>
    <row r="17" spans="1:8" x14ac:dyDescent="0.2">
      <c r="A17" s="3">
        <v>404020072</v>
      </c>
      <c r="B17" s="4" t="s">
        <v>30</v>
      </c>
      <c r="C17" s="4" t="s">
        <v>308</v>
      </c>
      <c r="D17" s="3">
        <v>1</v>
      </c>
      <c r="E17" s="3" t="s">
        <v>16</v>
      </c>
      <c r="F17" s="3" t="s">
        <v>291</v>
      </c>
      <c r="G17" s="3" t="s">
        <v>26</v>
      </c>
      <c r="H17" s="3" t="s">
        <v>33</v>
      </c>
    </row>
    <row r="18" spans="1:8" x14ac:dyDescent="0.2">
      <c r="A18" s="3">
        <v>401020104</v>
      </c>
      <c r="B18" s="4" t="s">
        <v>35</v>
      </c>
      <c r="C18" s="4" t="s">
        <v>786</v>
      </c>
      <c r="D18" s="3">
        <v>1</v>
      </c>
      <c r="E18" s="3" t="s">
        <v>16</v>
      </c>
      <c r="F18" s="3" t="s">
        <v>301</v>
      </c>
      <c r="G18" s="3" t="s">
        <v>32</v>
      </c>
      <c r="H18" s="3" t="s">
        <v>33</v>
      </c>
    </row>
    <row r="19" spans="1:8" x14ac:dyDescent="0.2">
      <c r="A19" s="3">
        <v>401040087</v>
      </c>
      <c r="B19" s="4" t="s">
        <v>35</v>
      </c>
      <c r="C19" s="4" t="s">
        <v>410</v>
      </c>
      <c r="D19" s="3">
        <v>1</v>
      </c>
      <c r="E19" s="3" t="s">
        <v>16</v>
      </c>
      <c r="F19" s="3" t="s">
        <v>293</v>
      </c>
      <c r="G19" s="3" t="s">
        <v>29</v>
      </c>
      <c r="H19" s="3" t="s">
        <v>33</v>
      </c>
    </row>
    <row r="20" spans="1:8" x14ac:dyDescent="0.2">
      <c r="A20" s="3">
        <v>3080101015</v>
      </c>
      <c r="B20" s="4" t="s">
        <v>411</v>
      </c>
      <c r="C20" s="4" t="s">
        <v>412</v>
      </c>
      <c r="D20" s="3">
        <v>2</v>
      </c>
      <c r="E20" s="3" t="s">
        <v>16</v>
      </c>
      <c r="F20" s="3" t="s">
        <v>293</v>
      </c>
      <c r="G20" s="3" t="s">
        <v>29</v>
      </c>
      <c r="H20" s="3" t="s">
        <v>40</v>
      </c>
    </row>
    <row r="21" spans="1:8" x14ac:dyDescent="0.2">
      <c r="A21" s="3">
        <v>3080101002</v>
      </c>
      <c r="B21" s="4" t="s">
        <v>411</v>
      </c>
      <c r="C21" s="4" t="s">
        <v>413</v>
      </c>
      <c r="D21" s="3">
        <v>2</v>
      </c>
      <c r="E21" s="3" t="s">
        <v>16</v>
      </c>
      <c r="F21" s="3" t="s">
        <v>291</v>
      </c>
      <c r="G21" s="3" t="s">
        <v>26</v>
      </c>
      <c r="H21" s="3" t="s">
        <v>40</v>
      </c>
    </row>
    <row r="22" spans="1:8" x14ac:dyDescent="0.2">
      <c r="A22" s="3">
        <v>3080401064</v>
      </c>
      <c r="B22" s="4" t="s">
        <v>41</v>
      </c>
      <c r="C22" s="4" t="s">
        <v>414</v>
      </c>
      <c r="D22" s="3">
        <v>1</v>
      </c>
      <c r="E22" s="3" t="s">
        <v>16</v>
      </c>
      <c r="F22" s="3" t="s">
        <v>295</v>
      </c>
      <c r="G22" s="3" t="s">
        <v>17</v>
      </c>
      <c r="H22" s="3" t="s">
        <v>40</v>
      </c>
    </row>
    <row r="23" spans="1:8" x14ac:dyDescent="0.2">
      <c r="A23" s="3">
        <v>3080401023</v>
      </c>
      <c r="B23" s="4" t="s">
        <v>41</v>
      </c>
      <c r="C23" s="4" t="s">
        <v>699</v>
      </c>
      <c r="D23" s="3">
        <v>2</v>
      </c>
      <c r="E23" s="3" t="s">
        <v>16</v>
      </c>
      <c r="F23" s="3" t="s">
        <v>289</v>
      </c>
      <c r="G23" s="3" t="s">
        <v>23</v>
      </c>
      <c r="H23" s="3" t="s">
        <v>40</v>
      </c>
    </row>
    <row r="24" spans="1:8" x14ac:dyDescent="0.2">
      <c r="A24" s="3">
        <v>3080401014</v>
      </c>
      <c r="B24" s="4" t="s">
        <v>41</v>
      </c>
      <c r="C24" s="4" t="s">
        <v>417</v>
      </c>
      <c r="D24" s="3">
        <v>4</v>
      </c>
      <c r="E24" s="3" t="s">
        <v>16</v>
      </c>
      <c r="F24" s="3" t="s">
        <v>291</v>
      </c>
      <c r="G24" s="3" t="s">
        <v>26</v>
      </c>
      <c r="H24" s="3" t="s">
        <v>40</v>
      </c>
    </row>
    <row r="25" spans="1:8" x14ac:dyDescent="0.2">
      <c r="A25" s="3">
        <v>3080401016</v>
      </c>
      <c r="B25" s="4" t="s">
        <v>41</v>
      </c>
      <c r="C25" s="4" t="s">
        <v>415</v>
      </c>
      <c r="D25" s="3">
        <v>1</v>
      </c>
      <c r="E25" s="3" t="s">
        <v>16</v>
      </c>
      <c r="F25" s="3" t="s">
        <v>295</v>
      </c>
      <c r="G25" s="3" t="s">
        <v>17</v>
      </c>
      <c r="H25" s="3" t="s">
        <v>40</v>
      </c>
    </row>
    <row r="26" spans="1:8" x14ac:dyDescent="0.2">
      <c r="A26" s="3">
        <v>3080401007</v>
      </c>
      <c r="B26" s="4" t="s">
        <v>41</v>
      </c>
      <c r="C26" s="4" t="s">
        <v>416</v>
      </c>
      <c r="D26" s="3">
        <v>2</v>
      </c>
      <c r="E26" s="3" t="s">
        <v>16</v>
      </c>
      <c r="F26" s="3" t="s">
        <v>293</v>
      </c>
      <c r="G26" s="3" t="s">
        <v>29</v>
      </c>
      <c r="H26" s="3" t="s">
        <v>40</v>
      </c>
    </row>
    <row r="27" spans="1:8" x14ac:dyDescent="0.2">
      <c r="A27" s="3">
        <v>3080401008</v>
      </c>
      <c r="B27" s="4" t="s">
        <v>41</v>
      </c>
      <c r="C27" s="4" t="s">
        <v>700</v>
      </c>
      <c r="D27" s="3">
        <v>2</v>
      </c>
      <c r="E27" s="3" t="s">
        <v>16</v>
      </c>
      <c r="F27" s="3" t="s">
        <v>317</v>
      </c>
      <c r="G27" s="3" t="s">
        <v>318</v>
      </c>
      <c r="H27" s="3" t="s">
        <v>40</v>
      </c>
    </row>
    <row r="28" spans="1:8" x14ac:dyDescent="0.2">
      <c r="A28" s="3">
        <v>3080104018</v>
      </c>
      <c r="B28" s="4" t="s">
        <v>45</v>
      </c>
      <c r="C28" s="4" t="s">
        <v>418</v>
      </c>
      <c r="D28" s="3">
        <v>2</v>
      </c>
      <c r="E28" s="3" t="s">
        <v>16</v>
      </c>
      <c r="F28" s="3" t="s">
        <v>293</v>
      </c>
      <c r="G28" s="3" t="s">
        <v>29</v>
      </c>
      <c r="H28" s="3" t="s">
        <v>40</v>
      </c>
    </row>
    <row r="29" spans="1:8" x14ac:dyDescent="0.2">
      <c r="A29" s="3">
        <v>3080104081</v>
      </c>
      <c r="B29" s="4" t="s">
        <v>45</v>
      </c>
      <c r="C29" s="4" t="s">
        <v>701</v>
      </c>
      <c r="D29" s="3">
        <v>4</v>
      </c>
      <c r="E29" s="3" t="s">
        <v>16</v>
      </c>
      <c r="F29" s="3" t="s">
        <v>289</v>
      </c>
      <c r="G29" s="3" t="s">
        <v>23</v>
      </c>
      <c r="H29" s="3" t="s">
        <v>40</v>
      </c>
    </row>
    <row r="30" spans="1:8" x14ac:dyDescent="0.2">
      <c r="A30" s="3">
        <v>3080104099</v>
      </c>
      <c r="B30" s="4" t="s">
        <v>45</v>
      </c>
      <c r="C30" s="4" t="s">
        <v>419</v>
      </c>
      <c r="D30" s="3">
        <v>2</v>
      </c>
      <c r="E30" s="3" t="s">
        <v>16</v>
      </c>
      <c r="F30" s="3" t="s">
        <v>291</v>
      </c>
      <c r="G30" s="3" t="s">
        <v>26</v>
      </c>
      <c r="H30" s="3" t="s">
        <v>40</v>
      </c>
    </row>
    <row r="31" spans="1:8" x14ac:dyDescent="0.2">
      <c r="A31" s="3">
        <v>3080105121</v>
      </c>
      <c r="B31" s="4" t="s">
        <v>50</v>
      </c>
      <c r="C31" s="4" t="s">
        <v>316</v>
      </c>
      <c r="D31" s="3">
        <v>2</v>
      </c>
      <c r="E31" s="3" t="s">
        <v>16</v>
      </c>
      <c r="F31" s="3" t="s">
        <v>317</v>
      </c>
      <c r="G31" s="3" t="s">
        <v>318</v>
      </c>
      <c r="H31" s="3" t="s">
        <v>40</v>
      </c>
    </row>
    <row r="32" spans="1:8" x14ac:dyDescent="0.2">
      <c r="A32" s="3">
        <v>3080105004</v>
      </c>
      <c r="B32" s="4" t="s">
        <v>50</v>
      </c>
      <c r="C32" s="4" t="s">
        <v>54</v>
      </c>
      <c r="D32" s="3">
        <v>6</v>
      </c>
      <c r="E32" s="3" t="s">
        <v>16</v>
      </c>
      <c r="F32" s="3" t="s">
        <v>289</v>
      </c>
      <c r="G32" s="3" t="s">
        <v>23</v>
      </c>
      <c r="H32" s="3" t="s">
        <v>40</v>
      </c>
    </row>
    <row r="33" spans="1:8" x14ac:dyDescent="0.2">
      <c r="A33" s="3">
        <v>3080105040</v>
      </c>
      <c r="B33" s="4" t="s">
        <v>50</v>
      </c>
      <c r="C33" s="4" t="s">
        <v>421</v>
      </c>
      <c r="D33" s="3">
        <v>12</v>
      </c>
      <c r="E33" s="3" t="s">
        <v>16</v>
      </c>
      <c r="F33" s="3" t="s">
        <v>293</v>
      </c>
      <c r="G33" s="3" t="s">
        <v>29</v>
      </c>
      <c r="H33" s="3" t="s">
        <v>40</v>
      </c>
    </row>
    <row r="34" spans="1:8" x14ac:dyDescent="0.2">
      <c r="A34" s="3">
        <v>3080105015</v>
      </c>
      <c r="B34" s="4" t="s">
        <v>50</v>
      </c>
      <c r="C34" s="4" t="s">
        <v>422</v>
      </c>
      <c r="D34" s="3">
        <v>8</v>
      </c>
      <c r="E34" s="3" t="s">
        <v>16</v>
      </c>
      <c r="F34" s="3" t="s">
        <v>293</v>
      </c>
      <c r="G34" s="3" t="s">
        <v>29</v>
      </c>
      <c r="H34" s="3" t="s">
        <v>40</v>
      </c>
    </row>
    <row r="35" spans="1:8" x14ac:dyDescent="0.2">
      <c r="A35" s="3">
        <v>3080105114</v>
      </c>
      <c r="B35" s="4" t="s">
        <v>50</v>
      </c>
      <c r="C35" s="4" t="s">
        <v>53</v>
      </c>
      <c r="D35" s="3">
        <v>5</v>
      </c>
      <c r="E35" s="3" t="s">
        <v>16</v>
      </c>
      <c r="F35" s="3" t="s">
        <v>289</v>
      </c>
      <c r="G35" s="3" t="s">
        <v>23</v>
      </c>
      <c r="H35" s="3" t="s">
        <v>40</v>
      </c>
    </row>
    <row r="36" spans="1:8" x14ac:dyDescent="0.2">
      <c r="A36" s="3">
        <v>3080105114</v>
      </c>
      <c r="B36" s="4" t="s">
        <v>50</v>
      </c>
      <c r="C36" s="4" t="s">
        <v>53</v>
      </c>
      <c r="D36" s="3">
        <v>6</v>
      </c>
      <c r="E36" s="3" t="s">
        <v>16</v>
      </c>
      <c r="F36" s="3" t="s">
        <v>702</v>
      </c>
      <c r="G36" s="3" t="s">
        <v>703</v>
      </c>
      <c r="H36" s="3" t="s">
        <v>40</v>
      </c>
    </row>
    <row r="37" spans="1:8" x14ac:dyDescent="0.2">
      <c r="A37" s="3">
        <v>3080105114</v>
      </c>
      <c r="B37" s="4" t="s">
        <v>50</v>
      </c>
      <c r="C37" s="4" t="s">
        <v>53</v>
      </c>
      <c r="D37" s="3">
        <v>4</v>
      </c>
      <c r="E37" s="3" t="s">
        <v>16</v>
      </c>
      <c r="F37" s="3" t="s">
        <v>289</v>
      </c>
      <c r="G37" s="3" t="s">
        <v>23</v>
      </c>
      <c r="H37" s="3" t="s">
        <v>40</v>
      </c>
    </row>
    <row r="38" spans="1:8" x14ac:dyDescent="0.2">
      <c r="A38" s="3">
        <v>3080105114</v>
      </c>
      <c r="B38" s="4" t="s">
        <v>50</v>
      </c>
      <c r="C38" s="4" t="s">
        <v>53</v>
      </c>
      <c r="D38" s="3">
        <v>3</v>
      </c>
      <c r="E38" s="3" t="s">
        <v>16</v>
      </c>
      <c r="F38" s="3" t="s">
        <v>702</v>
      </c>
      <c r="G38" s="3" t="s">
        <v>703</v>
      </c>
      <c r="H38" s="3" t="s">
        <v>40</v>
      </c>
    </row>
    <row r="39" spans="1:8" x14ac:dyDescent="0.2">
      <c r="A39" s="3">
        <v>3080105088</v>
      </c>
      <c r="B39" s="4" t="s">
        <v>50</v>
      </c>
      <c r="C39" s="4" t="s">
        <v>423</v>
      </c>
      <c r="D39" s="3">
        <v>2</v>
      </c>
      <c r="E39" s="3" t="s">
        <v>16</v>
      </c>
      <c r="F39" s="3" t="s">
        <v>293</v>
      </c>
      <c r="G39" s="3" t="s">
        <v>29</v>
      </c>
      <c r="H39" s="3" t="s">
        <v>40</v>
      </c>
    </row>
    <row r="40" spans="1:8" x14ac:dyDescent="0.2">
      <c r="A40" s="3">
        <v>3080104055</v>
      </c>
      <c r="B40" s="4" t="s">
        <v>50</v>
      </c>
      <c r="C40" s="4" t="s">
        <v>425</v>
      </c>
      <c r="D40" s="3">
        <v>2</v>
      </c>
      <c r="E40" s="3" t="s">
        <v>16</v>
      </c>
      <c r="F40" s="3" t="s">
        <v>291</v>
      </c>
      <c r="G40" s="3" t="s">
        <v>26</v>
      </c>
      <c r="H40" s="3" t="s">
        <v>40</v>
      </c>
    </row>
    <row r="41" spans="1:8" x14ac:dyDescent="0.2">
      <c r="A41" s="3">
        <v>3080105040</v>
      </c>
      <c r="B41" s="4" t="s">
        <v>50</v>
      </c>
      <c r="C41" s="4" t="s">
        <v>421</v>
      </c>
      <c r="D41" s="3">
        <v>2</v>
      </c>
      <c r="E41" s="3" t="s">
        <v>16</v>
      </c>
      <c r="F41" s="3" t="s">
        <v>291</v>
      </c>
      <c r="G41" s="3" t="s">
        <v>26</v>
      </c>
      <c r="H41" s="3" t="s">
        <v>40</v>
      </c>
    </row>
    <row r="42" spans="1:8" x14ac:dyDescent="0.2">
      <c r="A42" s="3">
        <v>3080105008</v>
      </c>
      <c r="B42" s="4" t="s">
        <v>50</v>
      </c>
      <c r="C42" s="4" t="s">
        <v>424</v>
      </c>
      <c r="D42" s="3">
        <v>8</v>
      </c>
      <c r="E42" s="3" t="s">
        <v>16</v>
      </c>
      <c r="F42" s="3" t="s">
        <v>293</v>
      </c>
      <c r="G42" s="3" t="s">
        <v>29</v>
      </c>
      <c r="H42" s="3" t="s">
        <v>40</v>
      </c>
    </row>
    <row r="43" spans="1:8" x14ac:dyDescent="0.2">
      <c r="A43" s="3">
        <v>3080105021</v>
      </c>
      <c r="B43" s="4" t="s">
        <v>50</v>
      </c>
      <c r="C43" s="4" t="s">
        <v>319</v>
      </c>
      <c r="D43" s="3">
        <v>8</v>
      </c>
      <c r="E43" s="3" t="s">
        <v>16</v>
      </c>
      <c r="F43" s="3" t="s">
        <v>317</v>
      </c>
      <c r="G43" s="3" t="s">
        <v>318</v>
      </c>
      <c r="H43" s="3" t="s">
        <v>40</v>
      </c>
    </row>
    <row r="44" spans="1:8" x14ac:dyDescent="0.2">
      <c r="A44" s="3">
        <v>3080502003</v>
      </c>
      <c r="B44" s="4" t="s">
        <v>55</v>
      </c>
      <c r="C44" s="4" t="s">
        <v>426</v>
      </c>
      <c r="D44" s="3">
        <v>2</v>
      </c>
      <c r="E44" s="3" t="s">
        <v>16</v>
      </c>
      <c r="F44" s="3" t="s">
        <v>291</v>
      </c>
      <c r="G44" s="3" t="s">
        <v>26</v>
      </c>
      <c r="H44" s="3" t="s">
        <v>40</v>
      </c>
    </row>
    <row r="45" spans="1:8" x14ac:dyDescent="0.2">
      <c r="A45" s="3">
        <v>3080502002</v>
      </c>
      <c r="B45" s="4" t="s">
        <v>55</v>
      </c>
      <c r="C45" s="4" t="s">
        <v>56</v>
      </c>
      <c r="D45" s="3">
        <v>1</v>
      </c>
      <c r="E45" s="3" t="s">
        <v>16</v>
      </c>
      <c r="F45" s="3" t="s">
        <v>317</v>
      </c>
      <c r="G45" s="3" t="s">
        <v>318</v>
      </c>
      <c r="H45" s="3" t="s">
        <v>40</v>
      </c>
    </row>
    <row r="46" spans="1:8" x14ac:dyDescent="0.2">
      <c r="A46" s="3">
        <v>3080201005</v>
      </c>
      <c r="B46" s="4" t="s">
        <v>60</v>
      </c>
      <c r="C46" s="4" t="s">
        <v>427</v>
      </c>
      <c r="D46" s="3">
        <v>1</v>
      </c>
      <c r="E46" s="3" t="s">
        <v>16</v>
      </c>
      <c r="F46" s="3" t="s">
        <v>291</v>
      </c>
      <c r="G46" s="3" t="s">
        <v>26</v>
      </c>
      <c r="H46" s="3" t="s">
        <v>40</v>
      </c>
    </row>
    <row r="47" spans="1:8" x14ac:dyDescent="0.2">
      <c r="A47" s="3">
        <v>3080201006</v>
      </c>
      <c r="B47" s="4" t="s">
        <v>60</v>
      </c>
      <c r="C47" s="4" t="s">
        <v>428</v>
      </c>
      <c r="D47" s="3">
        <v>1</v>
      </c>
      <c r="E47" s="3" t="s">
        <v>16</v>
      </c>
      <c r="F47" s="3" t="s">
        <v>291</v>
      </c>
      <c r="G47" s="3" t="s">
        <v>26</v>
      </c>
      <c r="H47" s="3" t="s">
        <v>40</v>
      </c>
    </row>
    <row r="48" spans="1:8" x14ac:dyDescent="0.2">
      <c r="A48" s="3">
        <v>3080201012</v>
      </c>
      <c r="B48" s="4" t="s">
        <v>60</v>
      </c>
      <c r="C48" s="4" t="s">
        <v>320</v>
      </c>
      <c r="D48" s="3">
        <v>2</v>
      </c>
      <c r="E48" s="3" t="s">
        <v>16</v>
      </c>
      <c r="F48" s="3" t="s">
        <v>289</v>
      </c>
      <c r="G48" s="3" t="s">
        <v>23</v>
      </c>
      <c r="H48" s="3" t="s">
        <v>40</v>
      </c>
    </row>
    <row r="49" spans="1:8" x14ac:dyDescent="0.2">
      <c r="A49" s="3">
        <v>3080201012</v>
      </c>
      <c r="B49" s="4" t="s">
        <v>60</v>
      </c>
      <c r="C49" s="4" t="s">
        <v>320</v>
      </c>
      <c r="D49" s="3">
        <v>1</v>
      </c>
      <c r="E49" s="3" t="s">
        <v>16</v>
      </c>
      <c r="F49" s="3" t="s">
        <v>317</v>
      </c>
      <c r="G49" s="3" t="s">
        <v>318</v>
      </c>
      <c r="H49" s="3" t="s">
        <v>40</v>
      </c>
    </row>
    <row r="50" spans="1:8" x14ac:dyDescent="0.2">
      <c r="A50" s="3">
        <v>3080107284</v>
      </c>
      <c r="B50" s="4" t="s">
        <v>69</v>
      </c>
      <c r="C50" s="4" t="s">
        <v>706</v>
      </c>
      <c r="D50" s="3">
        <v>1</v>
      </c>
      <c r="E50" s="3" t="s">
        <v>16</v>
      </c>
      <c r="F50" s="3" t="s">
        <v>317</v>
      </c>
      <c r="G50" s="3" t="s">
        <v>318</v>
      </c>
      <c r="H50" s="3" t="s">
        <v>40</v>
      </c>
    </row>
    <row r="51" spans="1:8" x14ac:dyDescent="0.2">
      <c r="A51" s="3">
        <v>3080107308</v>
      </c>
      <c r="B51" s="4" t="s">
        <v>69</v>
      </c>
      <c r="C51" s="4" t="s">
        <v>433</v>
      </c>
      <c r="D51" s="3">
        <v>2</v>
      </c>
      <c r="E51" s="3" t="s">
        <v>16</v>
      </c>
      <c r="F51" s="3" t="s">
        <v>291</v>
      </c>
      <c r="G51" s="3" t="s">
        <v>26</v>
      </c>
      <c r="H51" s="3" t="s">
        <v>40</v>
      </c>
    </row>
    <row r="52" spans="1:8" x14ac:dyDescent="0.2">
      <c r="A52" s="3">
        <v>3080107305</v>
      </c>
      <c r="B52" s="4" t="s">
        <v>69</v>
      </c>
      <c r="C52" s="4" t="s">
        <v>434</v>
      </c>
      <c r="D52" s="3">
        <v>2</v>
      </c>
      <c r="E52" s="3" t="s">
        <v>16</v>
      </c>
      <c r="F52" s="3" t="s">
        <v>291</v>
      </c>
      <c r="G52" s="3" t="s">
        <v>26</v>
      </c>
      <c r="H52" s="3" t="s">
        <v>40</v>
      </c>
    </row>
    <row r="53" spans="1:8" x14ac:dyDescent="0.2">
      <c r="A53" s="3">
        <v>3080107034</v>
      </c>
      <c r="B53" s="4" t="s">
        <v>69</v>
      </c>
      <c r="C53" s="4" t="s">
        <v>429</v>
      </c>
      <c r="D53" s="3">
        <v>2</v>
      </c>
      <c r="E53" s="3" t="s">
        <v>16</v>
      </c>
      <c r="F53" s="3" t="s">
        <v>295</v>
      </c>
      <c r="G53" s="3" t="s">
        <v>17</v>
      </c>
      <c r="H53" s="3" t="s">
        <v>40</v>
      </c>
    </row>
    <row r="54" spans="1:8" x14ac:dyDescent="0.2">
      <c r="A54" s="3">
        <v>3080107284</v>
      </c>
      <c r="B54" s="4" t="s">
        <v>69</v>
      </c>
      <c r="C54" s="4" t="s">
        <v>706</v>
      </c>
      <c r="D54" s="3">
        <v>1</v>
      </c>
      <c r="E54" s="3" t="s">
        <v>16</v>
      </c>
      <c r="F54" s="3" t="s">
        <v>289</v>
      </c>
      <c r="G54" s="3" t="s">
        <v>23</v>
      </c>
      <c r="H54" s="3" t="s">
        <v>40</v>
      </c>
    </row>
    <row r="55" spans="1:8" x14ac:dyDescent="0.2">
      <c r="A55" s="3">
        <v>3080107160</v>
      </c>
      <c r="B55" s="4" t="s">
        <v>69</v>
      </c>
      <c r="C55" s="4" t="s">
        <v>432</v>
      </c>
      <c r="D55" s="3">
        <v>4</v>
      </c>
      <c r="E55" s="3" t="s">
        <v>16</v>
      </c>
      <c r="F55" s="3" t="s">
        <v>293</v>
      </c>
      <c r="G55" s="3" t="s">
        <v>29</v>
      </c>
      <c r="H55" s="3" t="s">
        <v>40</v>
      </c>
    </row>
    <row r="56" spans="1:8" x14ac:dyDescent="0.2">
      <c r="A56" s="3">
        <v>3080107072</v>
      </c>
      <c r="B56" s="4" t="s">
        <v>69</v>
      </c>
      <c r="C56" s="4" t="s">
        <v>435</v>
      </c>
      <c r="D56" s="3">
        <v>4</v>
      </c>
      <c r="E56" s="3" t="s">
        <v>16</v>
      </c>
      <c r="F56" s="3" t="s">
        <v>291</v>
      </c>
      <c r="G56" s="3" t="s">
        <v>26</v>
      </c>
      <c r="H56" s="3" t="s">
        <v>40</v>
      </c>
    </row>
    <row r="57" spans="1:8" x14ac:dyDescent="0.2">
      <c r="A57" s="3">
        <v>3080107094</v>
      </c>
      <c r="B57" s="4" t="s">
        <v>69</v>
      </c>
      <c r="C57" s="4" t="s">
        <v>436</v>
      </c>
      <c r="D57" s="3">
        <v>2</v>
      </c>
      <c r="E57" s="3" t="s">
        <v>16</v>
      </c>
      <c r="F57" s="3" t="s">
        <v>291</v>
      </c>
      <c r="G57" s="3" t="s">
        <v>26</v>
      </c>
      <c r="H57" s="3" t="s">
        <v>40</v>
      </c>
    </row>
    <row r="58" spans="1:8" x14ac:dyDescent="0.2">
      <c r="A58" s="3">
        <v>3080107111</v>
      </c>
      <c r="B58" s="4" t="s">
        <v>69</v>
      </c>
      <c r="C58" s="4" t="s">
        <v>787</v>
      </c>
      <c r="D58" s="3">
        <v>1</v>
      </c>
      <c r="E58" s="3" t="s">
        <v>16</v>
      </c>
      <c r="F58" s="3" t="s">
        <v>289</v>
      </c>
      <c r="G58" s="3" t="s">
        <v>23</v>
      </c>
      <c r="H58" s="3" t="s">
        <v>40</v>
      </c>
    </row>
    <row r="59" spans="1:8" x14ac:dyDescent="0.2">
      <c r="A59" s="3">
        <v>3080107112</v>
      </c>
      <c r="B59" s="4" t="s">
        <v>69</v>
      </c>
      <c r="C59" s="4" t="s">
        <v>705</v>
      </c>
      <c r="D59" s="3">
        <v>2</v>
      </c>
      <c r="E59" s="3" t="s">
        <v>16</v>
      </c>
      <c r="F59" s="3" t="s">
        <v>289</v>
      </c>
      <c r="G59" s="3" t="s">
        <v>23</v>
      </c>
      <c r="H59" s="3" t="s">
        <v>40</v>
      </c>
    </row>
    <row r="60" spans="1:8" x14ac:dyDescent="0.2">
      <c r="A60" s="3">
        <v>3080107034</v>
      </c>
      <c r="B60" s="4" t="s">
        <v>69</v>
      </c>
      <c r="C60" s="4" t="s">
        <v>429</v>
      </c>
      <c r="D60" s="3">
        <v>6</v>
      </c>
      <c r="E60" s="3" t="s">
        <v>16</v>
      </c>
      <c r="F60" s="3" t="s">
        <v>295</v>
      </c>
      <c r="G60" s="3" t="s">
        <v>17</v>
      </c>
      <c r="H60" s="3" t="s">
        <v>40</v>
      </c>
    </row>
    <row r="61" spans="1:8" x14ac:dyDescent="0.2">
      <c r="A61" s="3">
        <v>3080107002</v>
      </c>
      <c r="B61" s="4" t="s">
        <v>69</v>
      </c>
      <c r="C61" s="4" t="s">
        <v>430</v>
      </c>
      <c r="D61" s="3">
        <v>4</v>
      </c>
      <c r="E61" s="3" t="s">
        <v>16</v>
      </c>
      <c r="F61" s="3" t="s">
        <v>295</v>
      </c>
      <c r="G61" s="3" t="s">
        <v>17</v>
      </c>
      <c r="H61" s="3" t="s">
        <v>40</v>
      </c>
    </row>
    <row r="62" spans="1:8" x14ac:dyDescent="0.2">
      <c r="A62" s="3">
        <v>3080107052</v>
      </c>
      <c r="B62" s="4" t="s">
        <v>69</v>
      </c>
      <c r="C62" s="4" t="s">
        <v>431</v>
      </c>
      <c r="D62" s="3">
        <v>1</v>
      </c>
      <c r="E62" s="3" t="s">
        <v>16</v>
      </c>
      <c r="F62" s="3" t="s">
        <v>295</v>
      </c>
      <c r="G62" s="3" t="s">
        <v>17</v>
      </c>
      <c r="H62" s="3" t="s">
        <v>40</v>
      </c>
    </row>
    <row r="63" spans="1:8" x14ac:dyDescent="0.2">
      <c r="A63" s="3">
        <v>3080108033</v>
      </c>
      <c r="B63" s="4" t="s">
        <v>77</v>
      </c>
      <c r="C63" s="4" t="s">
        <v>438</v>
      </c>
      <c r="D63" s="3">
        <v>4</v>
      </c>
      <c r="E63" s="3" t="s">
        <v>16</v>
      </c>
      <c r="F63" s="3" t="s">
        <v>291</v>
      </c>
      <c r="G63" s="3" t="s">
        <v>26</v>
      </c>
      <c r="H63" s="3" t="s">
        <v>40</v>
      </c>
    </row>
    <row r="64" spans="1:8" x14ac:dyDescent="0.2">
      <c r="A64" s="3">
        <v>3080108025</v>
      </c>
      <c r="B64" s="4" t="s">
        <v>77</v>
      </c>
      <c r="C64" s="4" t="s">
        <v>437</v>
      </c>
      <c r="D64" s="3">
        <v>7</v>
      </c>
      <c r="E64" s="3" t="s">
        <v>16</v>
      </c>
      <c r="F64" s="3" t="s">
        <v>295</v>
      </c>
      <c r="G64" s="3" t="s">
        <v>17</v>
      </c>
      <c r="H64" s="3" t="s">
        <v>40</v>
      </c>
    </row>
    <row r="65" spans="1:8" x14ac:dyDescent="0.2">
      <c r="A65" s="3">
        <v>3080403001</v>
      </c>
      <c r="B65" s="4" t="s">
        <v>439</v>
      </c>
      <c r="C65" s="4" t="s">
        <v>440</v>
      </c>
      <c r="D65" s="3">
        <v>1</v>
      </c>
      <c r="E65" s="3" t="s">
        <v>16</v>
      </c>
      <c r="F65" s="3" t="s">
        <v>295</v>
      </c>
      <c r="G65" s="3" t="s">
        <v>17</v>
      </c>
      <c r="H65" s="3" t="s">
        <v>40</v>
      </c>
    </row>
    <row r="66" spans="1:8" x14ac:dyDescent="0.2">
      <c r="A66" s="3">
        <v>3080109002</v>
      </c>
      <c r="B66" s="4" t="s">
        <v>441</v>
      </c>
      <c r="C66" s="4" t="s">
        <v>442</v>
      </c>
      <c r="D66" s="3">
        <v>2</v>
      </c>
      <c r="E66" s="3" t="s">
        <v>16</v>
      </c>
      <c r="F66" s="3" t="s">
        <v>295</v>
      </c>
      <c r="G66" s="3" t="s">
        <v>17</v>
      </c>
      <c r="H66" s="3" t="s">
        <v>40</v>
      </c>
    </row>
    <row r="67" spans="1:8" x14ac:dyDescent="0.2">
      <c r="A67" s="3">
        <v>3080111087</v>
      </c>
      <c r="B67" s="4" t="s">
        <v>79</v>
      </c>
      <c r="C67" s="4" t="s">
        <v>80</v>
      </c>
      <c r="D67" s="3">
        <v>20</v>
      </c>
      <c r="E67" s="3" t="s">
        <v>16</v>
      </c>
      <c r="F67" s="3" t="s">
        <v>291</v>
      </c>
      <c r="G67" s="3" t="s">
        <v>26</v>
      </c>
      <c r="H67" s="3" t="s">
        <v>40</v>
      </c>
    </row>
    <row r="68" spans="1:8" x14ac:dyDescent="0.2">
      <c r="A68" s="3">
        <v>3080111015</v>
      </c>
      <c r="B68" s="4" t="s">
        <v>79</v>
      </c>
      <c r="C68" s="4" t="s">
        <v>446</v>
      </c>
      <c r="D68" s="3">
        <v>4</v>
      </c>
      <c r="E68" s="3" t="s">
        <v>16</v>
      </c>
      <c r="F68" s="3" t="s">
        <v>291</v>
      </c>
      <c r="G68" s="3" t="s">
        <v>26</v>
      </c>
      <c r="H68" s="3" t="s">
        <v>40</v>
      </c>
    </row>
    <row r="69" spans="1:8" x14ac:dyDescent="0.2">
      <c r="A69" s="3">
        <v>3080111012</v>
      </c>
      <c r="B69" s="4" t="s">
        <v>79</v>
      </c>
      <c r="C69" s="4" t="s">
        <v>443</v>
      </c>
      <c r="D69" s="3">
        <v>2</v>
      </c>
      <c r="E69" s="3" t="s">
        <v>16</v>
      </c>
      <c r="F69" s="3" t="s">
        <v>295</v>
      </c>
      <c r="G69" s="3" t="s">
        <v>17</v>
      </c>
      <c r="H69" s="3" t="s">
        <v>40</v>
      </c>
    </row>
    <row r="70" spans="1:8" x14ac:dyDescent="0.2">
      <c r="A70" s="3">
        <v>3080111006</v>
      </c>
      <c r="B70" s="4" t="s">
        <v>79</v>
      </c>
      <c r="C70" s="4" t="s">
        <v>444</v>
      </c>
      <c r="D70" s="3">
        <v>1</v>
      </c>
      <c r="E70" s="3" t="s">
        <v>16</v>
      </c>
      <c r="F70" s="3" t="s">
        <v>295</v>
      </c>
      <c r="G70" s="3" t="s">
        <v>17</v>
      </c>
      <c r="H70" s="3" t="s">
        <v>40</v>
      </c>
    </row>
    <row r="71" spans="1:8" x14ac:dyDescent="0.2">
      <c r="A71" s="3">
        <v>3080111004</v>
      </c>
      <c r="B71" s="4" t="s">
        <v>79</v>
      </c>
      <c r="C71" s="4" t="s">
        <v>445</v>
      </c>
      <c r="D71" s="3">
        <v>2</v>
      </c>
      <c r="E71" s="3" t="s">
        <v>16</v>
      </c>
      <c r="F71" s="3" t="s">
        <v>293</v>
      </c>
      <c r="G71" s="3" t="s">
        <v>29</v>
      </c>
      <c r="H71" s="3" t="s">
        <v>40</v>
      </c>
    </row>
    <row r="72" spans="1:8" x14ac:dyDescent="0.2">
      <c r="A72" s="3">
        <v>407030049</v>
      </c>
      <c r="B72" s="4" t="s">
        <v>81</v>
      </c>
      <c r="C72" s="4" t="s">
        <v>777</v>
      </c>
      <c r="D72" s="3">
        <v>1</v>
      </c>
      <c r="E72" s="3" t="s">
        <v>16</v>
      </c>
      <c r="F72" s="3" t="s">
        <v>301</v>
      </c>
      <c r="G72" s="3" t="s">
        <v>32</v>
      </c>
      <c r="H72" s="3" t="s">
        <v>40</v>
      </c>
    </row>
    <row r="73" spans="1:8" x14ac:dyDescent="0.2">
      <c r="A73" s="3">
        <v>3099990501</v>
      </c>
      <c r="B73" s="4" t="s">
        <v>708</v>
      </c>
      <c r="C73" s="4" t="s">
        <v>105</v>
      </c>
      <c r="D73" s="3">
        <v>1</v>
      </c>
      <c r="E73" s="3" t="s">
        <v>16</v>
      </c>
      <c r="F73" s="3" t="s">
        <v>709</v>
      </c>
      <c r="G73" s="3" t="s">
        <v>710</v>
      </c>
      <c r="H73" s="3" t="s">
        <v>103</v>
      </c>
    </row>
    <row r="74" spans="1:8" x14ac:dyDescent="0.2">
      <c r="A74" s="3">
        <v>3099990209</v>
      </c>
      <c r="B74" s="4" t="s">
        <v>1902</v>
      </c>
      <c r="C74" s="4" t="s">
        <v>1932</v>
      </c>
      <c r="D74" s="3">
        <v>1</v>
      </c>
      <c r="E74" s="3" t="s">
        <v>16</v>
      </c>
      <c r="F74" s="3" t="s">
        <v>299</v>
      </c>
      <c r="G74" s="3" t="s">
        <v>106</v>
      </c>
      <c r="H74" s="3" t="s">
        <v>103</v>
      </c>
    </row>
    <row r="75" spans="1:8" x14ac:dyDescent="0.2">
      <c r="A75" s="3">
        <v>402010065</v>
      </c>
      <c r="B75" s="4" t="s">
        <v>882</v>
      </c>
      <c r="C75" s="4" t="s">
        <v>1927</v>
      </c>
      <c r="D75" s="3">
        <v>1</v>
      </c>
      <c r="E75" s="3" t="s">
        <v>16</v>
      </c>
      <c r="F75" s="3" t="s">
        <v>291</v>
      </c>
      <c r="G75" s="3" t="s">
        <v>26</v>
      </c>
      <c r="H75" s="3" t="s">
        <v>109</v>
      </c>
    </row>
    <row r="76" spans="1:8" x14ac:dyDescent="0.2">
      <c r="A76" s="3">
        <v>402020002</v>
      </c>
      <c r="B76" s="4" t="s">
        <v>111</v>
      </c>
      <c r="C76" s="4" t="s">
        <v>452</v>
      </c>
      <c r="D76" s="3">
        <v>2</v>
      </c>
      <c r="E76" s="3" t="s">
        <v>16</v>
      </c>
      <c r="F76" s="3" t="s">
        <v>293</v>
      </c>
      <c r="G76" s="3" t="s">
        <v>29</v>
      </c>
      <c r="H76" s="3" t="s">
        <v>109</v>
      </c>
    </row>
    <row r="77" spans="1:8" x14ac:dyDescent="0.2">
      <c r="A77" s="3">
        <v>3060210001</v>
      </c>
      <c r="B77" s="4" t="s">
        <v>711</v>
      </c>
      <c r="C77" s="4" t="s">
        <v>712</v>
      </c>
      <c r="D77" s="3">
        <v>4</v>
      </c>
      <c r="E77" s="3" t="s">
        <v>16</v>
      </c>
      <c r="F77" s="3" t="s">
        <v>289</v>
      </c>
      <c r="G77" s="3" t="s">
        <v>23</v>
      </c>
      <c r="H77" s="3" t="s">
        <v>115</v>
      </c>
    </row>
    <row r="78" spans="1:8" x14ac:dyDescent="0.2">
      <c r="A78" s="3">
        <v>3040216001</v>
      </c>
      <c r="B78" s="4" t="s">
        <v>328</v>
      </c>
      <c r="C78" s="4" t="s">
        <v>329</v>
      </c>
      <c r="D78" s="3">
        <v>4</v>
      </c>
      <c r="E78" s="3" t="s">
        <v>16</v>
      </c>
      <c r="F78" s="3" t="s">
        <v>293</v>
      </c>
      <c r="G78" s="3" t="s">
        <v>29</v>
      </c>
      <c r="H78" s="3" t="s">
        <v>115</v>
      </c>
    </row>
    <row r="79" spans="1:8" x14ac:dyDescent="0.2">
      <c r="A79" s="3">
        <v>3030204017</v>
      </c>
      <c r="B79" s="4" t="s">
        <v>453</v>
      </c>
      <c r="C79" s="4" t="s">
        <v>454</v>
      </c>
      <c r="D79" s="3">
        <v>1</v>
      </c>
      <c r="E79" s="3" t="s">
        <v>16</v>
      </c>
      <c r="F79" s="3" t="s">
        <v>295</v>
      </c>
      <c r="G79" s="3" t="s">
        <v>17</v>
      </c>
      <c r="H79" s="3" t="s">
        <v>115</v>
      </c>
    </row>
    <row r="80" spans="1:8" x14ac:dyDescent="0.2">
      <c r="A80" s="3">
        <v>3030204005</v>
      </c>
      <c r="B80" s="4" t="s">
        <v>455</v>
      </c>
      <c r="C80" s="4" t="s">
        <v>456</v>
      </c>
      <c r="D80" s="3">
        <v>1</v>
      </c>
      <c r="E80" s="3" t="s">
        <v>16</v>
      </c>
      <c r="F80" s="3" t="s">
        <v>295</v>
      </c>
      <c r="G80" s="3" t="s">
        <v>17</v>
      </c>
      <c r="H80" s="3" t="s">
        <v>115</v>
      </c>
    </row>
    <row r="81" spans="1:8" x14ac:dyDescent="0.2">
      <c r="A81" s="3">
        <v>3050203003</v>
      </c>
      <c r="B81" s="4" t="s">
        <v>120</v>
      </c>
      <c r="C81" s="4" t="s">
        <v>457</v>
      </c>
      <c r="D81" s="3">
        <v>2</v>
      </c>
      <c r="E81" s="3" t="s">
        <v>16</v>
      </c>
      <c r="F81" s="3" t="s">
        <v>291</v>
      </c>
      <c r="G81" s="3" t="s">
        <v>26</v>
      </c>
      <c r="H81" s="3" t="s">
        <v>115</v>
      </c>
    </row>
    <row r="82" spans="1:8" x14ac:dyDescent="0.2">
      <c r="A82" s="3">
        <v>3030204008</v>
      </c>
      <c r="B82" s="4" t="s">
        <v>122</v>
      </c>
      <c r="C82" s="4" t="s">
        <v>123</v>
      </c>
      <c r="D82" s="3">
        <v>1</v>
      </c>
      <c r="E82" s="3" t="s">
        <v>16</v>
      </c>
      <c r="F82" s="3" t="s">
        <v>291</v>
      </c>
      <c r="G82" s="3" t="s">
        <v>26</v>
      </c>
      <c r="H82" s="3" t="s">
        <v>115</v>
      </c>
    </row>
    <row r="83" spans="1:8" x14ac:dyDescent="0.2">
      <c r="A83" s="3">
        <v>3070104002</v>
      </c>
      <c r="B83" s="4" t="s">
        <v>128</v>
      </c>
      <c r="C83" s="4" t="s">
        <v>129</v>
      </c>
      <c r="D83" s="3">
        <v>1</v>
      </c>
      <c r="E83" s="3" t="s">
        <v>16</v>
      </c>
      <c r="F83" s="3" t="s">
        <v>317</v>
      </c>
      <c r="G83" s="3" t="s">
        <v>318</v>
      </c>
      <c r="H83" s="3" t="s">
        <v>115</v>
      </c>
    </row>
    <row r="84" spans="1:8" x14ac:dyDescent="0.2">
      <c r="A84" s="3">
        <v>3070104001</v>
      </c>
      <c r="B84" s="4" t="s">
        <v>331</v>
      </c>
      <c r="C84" s="4" t="s">
        <v>332</v>
      </c>
      <c r="D84" s="3">
        <v>1</v>
      </c>
      <c r="E84" s="3" t="s">
        <v>16</v>
      </c>
      <c r="F84" s="3" t="s">
        <v>317</v>
      </c>
      <c r="G84" s="3" t="s">
        <v>318</v>
      </c>
      <c r="H84" s="3" t="s">
        <v>115</v>
      </c>
    </row>
    <row r="85" spans="1:8" x14ac:dyDescent="0.2">
      <c r="A85" s="3">
        <v>3030206001</v>
      </c>
      <c r="B85" s="4" t="s">
        <v>458</v>
      </c>
      <c r="C85" s="4" t="s">
        <v>404</v>
      </c>
      <c r="D85" s="3">
        <v>1</v>
      </c>
      <c r="E85" s="3" t="s">
        <v>16</v>
      </c>
      <c r="F85" s="3" t="s">
        <v>295</v>
      </c>
      <c r="G85" s="3" t="s">
        <v>17</v>
      </c>
      <c r="H85" s="3" t="s">
        <v>132</v>
      </c>
    </row>
    <row r="86" spans="1:8" x14ac:dyDescent="0.2">
      <c r="A86" s="3">
        <v>3040502046</v>
      </c>
      <c r="B86" s="4" t="s">
        <v>136</v>
      </c>
      <c r="C86" s="4" t="s">
        <v>778</v>
      </c>
      <c r="D86" s="3">
        <v>1</v>
      </c>
      <c r="E86" s="3" t="s">
        <v>16</v>
      </c>
      <c r="F86" s="3" t="s">
        <v>293</v>
      </c>
      <c r="G86" s="3" t="s">
        <v>29</v>
      </c>
      <c r="H86" s="3" t="s">
        <v>138</v>
      </c>
    </row>
    <row r="87" spans="1:8" x14ac:dyDescent="0.2">
      <c r="A87" s="3">
        <v>3040502048</v>
      </c>
      <c r="B87" s="4" t="s">
        <v>136</v>
      </c>
      <c r="C87" s="4" t="s">
        <v>779</v>
      </c>
      <c r="D87" s="3">
        <v>1</v>
      </c>
      <c r="E87" s="3" t="s">
        <v>16</v>
      </c>
      <c r="F87" s="3" t="s">
        <v>293</v>
      </c>
      <c r="G87" s="3" t="s">
        <v>29</v>
      </c>
      <c r="H87" s="3" t="s">
        <v>138</v>
      </c>
    </row>
    <row r="88" spans="1:8" x14ac:dyDescent="0.2">
      <c r="A88" s="3">
        <v>3990207002</v>
      </c>
      <c r="B88" s="4" t="s">
        <v>140</v>
      </c>
      <c r="C88" s="4" t="s">
        <v>714</v>
      </c>
      <c r="D88" s="3">
        <v>1</v>
      </c>
      <c r="E88" s="3" t="s">
        <v>16</v>
      </c>
      <c r="F88" s="3" t="s">
        <v>285</v>
      </c>
      <c r="G88" s="3" t="s">
        <v>142</v>
      </c>
      <c r="H88" s="3" t="s">
        <v>143</v>
      </c>
    </row>
    <row r="89" spans="1:8" x14ac:dyDescent="0.2">
      <c r="A89" s="3">
        <v>3030301005</v>
      </c>
      <c r="B89" s="4" t="s">
        <v>144</v>
      </c>
      <c r="C89" s="4" t="s">
        <v>145</v>
      </c>
      <c r="D89" s="3">
        <v>2</v>
      </c>
      <c r="E89" s="3" t="s">
        <v>16</v>
      </c>
      <c r="F89" s="3" t="s">
        <v>291</v>
      </c>
      <c r="G89" s="3" t="s">
        <v>26</v>
      </c>
      <c r="H89" s="3" t="s">
        <v>143</v>
      </c>
    </row>
    <row r="90" spans="1:8" x14ac:dyDescent="0.2">
      <c r="A90" s="3">
        <v>3990204002</v>
      </c>
      <c r="B90" s="4" t="s">
        <v>333</v>
      </c>
      <c r="C90" s="4" t="s">
        <v>334</v>
      </c>
      <c r="D90" s="3">
        <v>1</v>
      </c>
      <c r="E90" s="3" t="s">
        <v>16</v>
      </c>
      <c r="F90" s="3" t="s">
        <v>335</v>
      </c>
      <c r="G90" s="3" t="s">
        <v>336</v>
      </c>
      <c r="H90" s="3" t="s">
        <v>143</v>
      </c>
    </row>
    <row r="91" spans="1:8" x14ac:dyDescent="0.2">
      <c r="A91" s="3">
        <v>3990206001</v>
      </c>
      <c r="B91" s="4" t="s">
        <v>715</v>
      </c>
      <c r="C91" s="4" t="s">
        <v>716</v>
      </c>
      <c r="D91" s="3">
        <v>1</v>
      </c>
      <c r="E91" s="3" t="s">
        <v>16</v>
      </c>
      <c r="F91" s="3" t="s">
        <v>717</v>
      </c>
      <c r="G91" s="3" t="s">
        <v>718</v>
      </c>
      <c r="H91" s="3" t="s">
        <v>143</v>
      </c>
    </row>
    <row r="92" spans="1:8" x14ac:dyDescent="0.2">
      <c r="A92" s="3">
        <v>408090008</v>
      </c>
      <c r="B92" s="4" t="s">
        <v>461</v>
      </c>
      <c r="C92" s="4" t="s">
        <v>462</v>
      </c>
      <c r="D92" s="3">
        <v>1</v>
      </c>
      <c r="E92" s="3" t="s">
        <v>16</v>
      </c>
      <c r="F92" s="3" t="s">
        <v>293</v>
      </c>
      <c r="G92" s="3" t="s">
        <v>29</v>
      </c>
      <c r="H92" s="3" t="s">
        <v>151</v>
      </c>
    </row>
    <row r="93" spans="1:8" x14ac:dyDescent="0.2">
      <c r="A93" s="3">
        <v>408090007</v>
      </c>
      <c r="B93" s="4" t="s">
        <v>463</v>
      </c>
      <c r="C93" s="4" t="s">
        <v>464</v>
      </c>
      <c r="D93" s="3">
        <v>1</v>
      </c>
      <c r="E93" s="3" t="s">
        <v>16</v>
      </c>
      <c r="F93" s="3" t="s">
        <v>293</v>
      </c>
      <c r="G93" s="3" t="s">
        <v>29</v>
      </c>
      <c r="H93" s="3" t="s">
        <v>151</v>
      </c>
    </row>
    <row r="94" spans="1:8" x14ac:dyDescent="0.2">
      <c r="A94" s="3">
        <v>407010060</v>
      </c>
      <c r="B94" s="4" t="s">
        <v>149</v>
      </c>
      <c r="C94" s="4" t="s">
        <v>788</v>
      </c>
      <c r="D94" s="3">
        <v>1</v>
      </c>
      <c r="E94" s="3" t="s">
        <v>16</v>
      </c>
      <c r="F94" s="3" t="s">
        <v>289</v>
      </c>
      <c r="G94" s="3" t="s">
        <v>23</v>
      </c>
      <c r="H94" s="3" t="s">
        <v>151</v>
      </c>
    </row>
    <row r="95" spans="1:8" x14ac:dyDescent="0.2">
      <c r="A95" s="3">
        <v>3060318001</v>
      </c>
      <c r="B95" s="4" t="s">
        <v>720</v>
      </c>
      <c r="C95" s="4" t="s">
        <v>721</v>
      </c>
      <c r="D95" s="3">
        <v>1</v>
      </c>
      <c r="E95" s="3" t="s">
        <v>16</v>
      </c>
      <c r="F95" s="3" t="s">
        <v>289</v>
      </c>
      <c r="G95" s="3" t="s">
        <v>23</v>
      </c>
      <c r="H95" s="3" t="s">
        <v>154</v>
      </c>
    </row>
    <row r="96" spans="1:8" x14ac:dyDescent="0.2">
      <c r="A96" s="3">
        <v>3060327003</v>
      </c>
      <c r="B96" s="4" t="s">
        <v>722</v>
      </c>
      <c r="C96" s="4" t="s">
        <v>723</v>
      </c>
      <c r="D96" s="3">
        <v>1</v>
      </c>
      <c r="E96" s="3" t="s">
        <v>16</v>
      </c>
      <c r="F96" s="3" t="s">
        <v>289</v>
      </c>
      <c r="G96" s="3" t="s">
        <v>23</v>
      </c>
      <c r="H96" s="3" t="s">
        <v>154</v>
      </c>
    </row>
    <row r="97" spans="1:8" x14ac:dyDescent="0.2">
      <c r="A97" s="3">
        <v>3080507001</v>
      </c>
      <c r="B97" s="4" t="s">
        <v>466</v>
      </c>
      <c r="C97" s="4" t="s">
        <v>467</v>
      </c>
      <c r="D97" s="3">
        <v>4</v>
      </c>
      <c r="E97" s="3" t="s">
        <v>16</v>
      </c>
      <c r="F97" s="3" t="s">
        <v>291</v>
      </c>
      <c r="G97" s="3" t="s">
        <v>26</v>
      </c>
      <c r="H97" s="3" t="s">
        <v>154</v>
      </c>
    </row>
    <row r="98" spans="1:8" x14ac:dyDescent="0.2">
      <c r="A98" s="3">
        <v>3030301010</v>
      </c>
      <c r="B98" s="4" t="s">
        <v>468</v>
      </c>
      <c r="C98" s="4" t="s">
        <v>469</v>
      </c>
      <c r="D98" s="3">
        <v>4</v>
      </c>
      <c r="E98" s="3" t="s">
        <v>16</v>
      </c>
      <c r="F98" s="3" t="s">
        <v>295</v>
      </c>
      <c r="G98" s="3" t="s">
        <v>17</v>
      </c>
      <c r="H98" s="3" t="s">
        <v>165</v>
      </c>
    </row>
    <row r="99" spans="1:8" x14ac:dyDescent="0.2">
      <c r="A99" s="3">
        <v>3060347005</v>
      </c>
      <c r="B99" s="4" t="s">
        <v>470</v>
      </c>
      <c r="C99" s="4" t="s">
        <v>471</v>
      </c>
      <c r="D99" s="3">
        <v>1</v>
      </c>
      <c r="E99" s="3" t="s">
        <v>16</v>
      </c>
      <c r="F99" s="3" t="s">
        <v>291</v>
      </c>
      <c r="G99" s="3" t="s">
        <v>26</v>
      </c>
      <c r="H99" s="3" t="s">
        <v>165</v>
      </c>
    </row>
    <row r="100" spans="1:8" x14ac:dyDescent="0.2">
      <c r="A100" s="3">
        <v>3060347006</v>
      </c>
      <c r="B100" s="4" t="s">
        <v>470</v>
      </c>
      <c r="C100" s="4" t="s">
        <v>472</v>
      </c>
      <c r="D100" s="3">
        <v>1</v>
      </c>
      <c r="E100" s="3" t="s">
        <v>16</v>
      </c>
      <c r="F100" s="3" t="s">
        <v>291</v>
      </c>
      <c r="G100" s="3" t="s">
        <v>26</v>
      </c>
      <c r="H100" s="3" t="s">
        <v>165</v>
      </c>
    </row>
    <row r="101" spans="1:8" x14ac:dyDescent="0.2">
      <c r="A101" s="3">
        <v>3110103002</v>
      </c>
      <c r="B101" s="4" t="s">
        <v>473</v>
      </c>
      <c r="C101" s="4" t="s">
        <v>474</v>
      </c>
      <c r="D101" s="3">
        <v>1</v>
      </c>
      <c r="E101" s="3" t="s">
        <v>16</v>
      </c>
      <c r="F101" s="3" t="s">
        <v>291</v>
      </c>
      <c r="G101" s="3" t="s">
        <v>26</v>
      </c>
      <c r="H101" s="3" t="s">
        <v>165</v>
      </c>
    </row>
    <row r="102" spans="1:8" x14ac:dyDescent="0.2">
      <c r="A102" s="3">
        <v>3030316006</v>
      </c>
      <c r="B102" s="4" t="s">
        <v>475</v>
      </c>
      <c r="C102" s="4" t="s">
        <v>476</v>
      </c>
      <c r="D102" s="3">
        <v>1</v>
      </c>
      <c r="E102" s="3" t="s">
        <v>16</v>
      </c>
      <c r="F102" s="3" t="s">
        <v>295</v>
      </c>
      <c r="G102" s="3" t="s">
        <v>17</v>
      </c>
      <c r="H102" s="3" t="s">
        <v>165</v>
      </c>
    </row>
    <row r="103" spans="1:8" x14ac:dyDescent="0.2">
      <c r="A103" s="3">
        <v>3030314007</v>
      </c>
      <c r="B103" s="4" t="s">
        <v>477</v>
      </c>
      <c r="C103" s="4" t="s">
        <v>478</v>
      </c>
      <c r="D103" s="3">
        <v>1</v>
      </c>
      <c r="E103" s="3" t="s">
        <v>16</v>
      </c>
      <c r="F103" s="3" t="s">
        <v>291</v>
      </c>
      <c r="G103" s="3" t="s">
        <v>26</v>
      </c>
      <c r="H103" s="3" t="s">
        <v>165</v>
      </c>
    </row>
    <row r="104" spans="1:8" x14ac:dyDescent="0.2">
      <c r="A104" s="3">
        <v>3030308013</v>
      </c>
      <c r="B104" s="4" t="s">
        <v>479</v>
      </c>
      <c r="C104" s="4" t="s">
        <v>478</v>
      </c>
      <c r="D104" s="3">
        <v>1</v>
      </c>
      <c r="E104" s="3" t="s">
        <v>16</v>
      </c>
      <c r="F104" s="3" t="s">
        <v>291</v>
      </c>
      <c r="G104" s="3" t="s">
        <v>26</v>
      </c>
      <c r="H104" s="3" t="s">
        <v>165</v>
      </c>
    </row>
    <row r="105" spans="1:8" x14ac:dyDescent="0.2">
      <c r="A105" s="3">
        <v>3050310030</v>
      </c>
      <c r="B105" s="4" t="s">
        <v>480</v>
      </c>
      <c r="C105" s="4" t="s">
        <v>469</v>
      </c>
      <c r="D105" s="3">
        <v>2</v>
      </c>
      <c r="E105" s="3" t="s">
        <v>16</v>
      </c>
      <c r="F105" s="3" t="s">
        <v>291</v>
      </c>
      <c r="G105" s="3" t="s">
        <v>26</v>
      </c>
      <c r="H105" s="3" t="s">
        <v>165</v>
      </c>
    </row>
    <row r="106" spans="1:8" x14ac:dyDescent="0.2">
      <c r="A106" s="3">
        <v>3010106010</v>
      </c>
      <c r="B106" s="4" t="s">
        <v>481</v>
      </c>
      <c r="C106" s="4" t="s">
        <v>482</v>
      </c>
      <c r="D106" s="3">
        <v>0.38</v>
      </c>
      <c r="E106" s="3" t="s">
        <v>10</v>
      </c>
      <c r="F106" s="3" t="s">
        <v>284</v>
      </c>
      <c r="G106" s="3" t="s">
        <v>11</v>
      </c>
      <c r="H106" s="3" t="s">
        <v>483</v>
      </c>
    </row>
    <row r="107" spans="1:8" x14ac:dyDescent="0.2">
      <c r="A107" s="3">
        <v>3060333003</v>
      </c>
      <c r="B107" s="4" t="s">
        <v>227</v>
      </c>
      <c r="C107" s="4" t="s">
        <v>724</v>
      </c>
      <c r="D107" s="3">
        <v>1</v>
      </c>
      <c r="E107" s="3" t="s">
        <v>16</v>
      </c>
      <c r="F107" s="3" t="s">
        <v>289</v>
      </c>
      <c r="G107" s="3" t="s">
        <v>23</v>
      </c>
      <c r="H107" s="3" t="s">
        <v>173</v>
      </c>
    </row>
    <row r="108" spans="1:8" x14ac:dyDescent="0.2">
      <c r="A108" s="3">
        <v>3050305013</v>
      </c>
      <c r="B108" s="4" t="s">
        <v>484</v>
      </c>
      <c r="C108" s="4" t="s">
        <v>485</v>
      </c>
      <c r="D108" s="3">
        <v>1</v>
      </c>
      <c r="E108" s="3" t="s">
        <v>16</v>
      </c>
      <c r="F108" s="3" t="s">
        <v>291</v>
      </c>
      <c r="G108" s="3" t="s">
        <v>26</v>
      </c>
      <c r="H108" s="3" t="s">
        <v>173</v>
      </c>
    </row>
    <row r="109" spans="1:8" x14ac:dyDescent="0.2">
      <c r="A109" s="3">
        <v>3040305002</v>
      </c>
      <c r="B109" s="4" t="s">
        <v>486</v>
      </c>
      <c r="C109" s="4" t="s">
        <v>487</v>
      </c>
      <c r="D109" s="3">
        <v>2</v>
      </c>
      <c r="E109" s="3" t="s">
        <v>16</v>
      </c>
      <c r="F109" s="3" t="s">
        <v>293</v>
      </c>
      <c r="G109" s="3" t="s">
        <v>29</v>
      </c>
      <c r="H109" s="3" t="s">
        <v>173</v>
      </c>
    </row>
    <row r="110" spans="1:8" x14ac:dyDescent="0.2">
      <c r="A110" s="3">
        <v>3040313002</v>
      </c>
      <c r="B110" s="4" t="s">
        <v>488</v>
      </c>
      <c r="C110" s="4" t="s">
        <v>489</v>
      </c>
      <c r="D110" s="3">
        <v>8</v>
      </c>
      <c r="E110" s="3" t="s">
        <v>16</v>
      </c>
      <c r="F110" s="3" t="s">
        <v>293</v>
      </c>
      <c r="G110" s="3" t="s">
        <v>29</v>
      </c>
      <c r="H110" s="3" t="s">
        <v>173</v>
      </c>
    </row>
    <row r="111" spans="1:8" x14ac:dyDescent="0.2">
      <c r="A111" s="3">
        <v>3040321001</v>
      </c>
      <c r="B111" s="4" t="s">
        <v>490</v>
      </c>
      <c r="C111" s="4" t="s">
        <v>347</v>
      </c>
      <c r="D111" s="3">
        <v>8</v>
      </c>
      <c r="E111" s="3" t="s">
        <v>16</v>
      </c>
      <c r="F111" s="3" t="s">
        <v>293</v>
      </c>
      <c r="G111" s="3" t="s">
        <v>29</v>
      </c>
      <c r="H111" s="3" t="s">
        <v>173</v>
      </c>
    </row>
    <row r="112" spans="1:8" x14ac:dyDescent="0.2">
      <c r="A112" s="3">
        <v>3040309001</v>
      </c>
      <c r="B112" s="4" t="s">
        <v>346</v>
      </c>
      <c r="C112" s="4" t="s">
        <v>347</v>
      </c>
      <c r="D112" s="3">
        <v>4</v>
      </c>
      <c r="E112" s="3" t="s">
        <v>16</v>
      </c>
      <c r="F112" s="3" t="s">
        <v>293</v>
      </c>
      <c r="G112" s="3" t="s">
        <v>29</v>
      </c>
      <c r="H112" s="3" t="s">
        <v>173</v>
      </c>
    </row>
    <row r="113" spans="1:8" x14ac:dyDescent="0.2">
      <c r="A113" s="3">
        <v>3070201002</v>
      </c>
      <c r="B113" s="4" t="s">
        <v>348</v>
      </c>
      <c r="C113" s="4" t="s">
        <v>349</v>
      </c>
      <c r="D113" s="3">
        <v>1</v>
      </c>
      <c r="E113" s="3" t="s">
        <v>16</v>
      </c>
      <c r="F113" s="3" t="s">
        <v>317</v>
      </c>
      <c r="G113" s="3" t="s">
        <v>318</v>
      </c>
      <c r="H113" s="3" t="s">
        <v>173</v>
      </c>
    </row>
    <row r="114" spans="1:8" x14ac:dyDescent="0.2">
      <c r="A114" s="3">
        <v>3060340001</v>
      </c>
      <c r="B114" s="4" t="s">
        <v>725</v>
      </c>
      <c r="C114" s="4" t="s">
        <v>726</v>
      </c>
      <c r="D114" s="3">
        <v>1</v>
      </c>
      <c r="E114" s="3" t="s">
        <v>16</v>
      </c>
      <c r="F114" s="3" t="s">
        <v>702</v>
      </c>
      <c r="G114" s="3" t="s">
        <v>703</v>
      </c>
      <c r="H114" s="3" t="s">
        <v>173</v>
      </c>
    </row>
    <row r="115" spans="1:8" x14ac:dyDescent="0.2">
      <c r="A115" s="3">
        <v>3050302006</v>
      </c>
      <c r="B115" s="4" t="s">
        <v>1921</v>
      </c>
      <c r="C115" s="4" t="s">
        <v>1933</v>
      </c>
      <c r="D115" s="3">
        <v>1</v>
      </c>
      <c r="E115" s="3" t="s">
        <v>16</v>
      </c>
      <c r="F115" s="3" t="s">
        <v>291</v>
      </c>
      <c r="G115" s="3" t="s">
        <v>26</v>
      </c>
      <c r="H115" s="3" t="s">
        <v>173</v>
      </c>
    </row>
    <row r="116" spans="1:8" x14ac:dyDescent="0.2">
      <c r="A116" s="3">
        <v>3020501014</v>
      </c>
      <c r="B116" s="4" t="s">
        <v>183</v>
      </c>
      <c r="C116" s="4" t="s">
        <v>350</v>
      </c>
      <c r="D116" s="3">
        <v>1</v>
      </c>
      <c r="E116" s="3" t="s">
        <v>16</v>
      </c>
      <c r="F116" s="3" t="s">
        <v>291</v>
      </c>
      <c r="G116" s="3" t="s">
        <v>26</v>
      </c>
      <c r="H116" s="3" t="s">
        <v>185</v>
      </c>
    </row>
    <row r="117" spans="1:8" x14ac:dyDescent="0.2">
      <c r="A117" s="3">
        <v>3030204003</v>
      </c>
      <c r="B117" s="4" t="s">
        <v>492</v>
      </c>
      <c r="C117" s="4" t="s">
        <v>493</v>
      </c>
      <c r="D117" s="3">
        <v>2</v>
      </c>
      <c r="E117" s="3" t="s">
        <v>16</v>
      </c>
      <c r="F117" s="3" t="s">
        <v>295</v>
      </c>
      <c r="G117" s="3" t="s">
        <v>17</v>
      </c>
      <c r="H117" s="3" t="s">
        <v>494</v>
      </c>
    </row>
    <row r="118" spans="1:8" x14ac:dyDescent="0.2">
      <c r="A118" s="3">
        <v>3990201008</v>
      </c>
      <c r="B118" s="4" t="s">
        <v>186</v>
      </c>
      <c r="C118" s="4" t="s">
        <v>495</v>
      </c>
      <c r="D118" s="3">
        <v>1</v>
      </c>
      <c r="E118" s="3" t="s">
        <v>16</v>
      </c>
      <c r="F118" s="3" t="s">
        <v>295</v>
      </c>
      <c r="G118" s="3" t="s">
        <v>17</v>
      </c>
      <c r="H118" s="3" t="s">
        <v>187</v>
      </c>
    </row>
    <row r="119" spans="1:8" x14ac:dyDescent="0.2">
      <c r="A119" s="3">
        <v>3990202007</v>
      </c>
      <c r="B119" s="4" t="s">
        <v>188</v>
      </c>
      <c r="C119" s="4" t="s">
        <v>495</v>
      </c>
      <c r="D119" s="3">
        <v>1</v>
      </c>
      <c r="E119" s="3" t="s">
        <v>16</v>
      </c>
      <c r="F119" s="3" t="s">
        <v>295</v>
      </c>
      <c r="G119" s="3" t="s">
        <v>17</v>
      </c>
      <c r="H119" s="3" t="s">
        <v>187</v>
      </c>
    </row>
    <row r="120" spans="1:8" x14ac:dyDescent="0.2">
      <c r="A120" s="3">
        <v>3990203002</v>
      </c>
      <c r="B120" s="4" t="s">
        <v>189</v>
      </c>
      <c r="C120" s="4" t="s">
        <v>495</v>
      </c>
      <c r="D120" s="3">
        <v>1</v>
      </c>
      <c r="E120" s="3" t="s">
        <v>16</v>
      </c>
      <c r="F120" s="3" t="s">
        <v>295</v>
      </c>
      <c r="G120" s="3" t="s">
        <v>17</v>
      </c>
      <c r="H120" s="3" t="s">
        <v>187</v>
      </c>
    </row>
    <row r="121" spans="1:8" x14ac:dyDescent="0.2">
      <c r="A121" s="3">
        <v>3050405001</v>
      </c>
      <c r="B121" s="4" t="s">
        <v>496</v>
      </c>
      <c r="C121" s="4" t="s">
        <v>497</v>
      </c>
      <c r="D121" s="3">
        <v>1</v>
      </c>
      <c r="E121" s="3" t="s">
        <v>16</v>
      </c>
      <c r="F121" s="3" t="s">
        <v>291</v>
      </c>
      <c r="G121" s="3" t="s">
        <v>26</v>
      </c>
      <c r="H121" s="3" t="s">
        <v>192</v>
      </c>
    </row>
    <row r="122" spans="1:8" x14ac:dyDescent="0.2">
      <c r="A122" s="3">
        <v>3060401001</v>
      </c>
      <c r="B122" s="4" t="s">
        <v>727</v>
      </c>
      <c r="C122" s="4" t="s">
        <v>728</v>
      </c>
      <c r="D122" s="3">
        <v>2</v>
      </c>
      <c r="E122" s="3" t="s">
        <v>16</v>
      </c>
      <c r="F122" s="3" t="s">
        <v>289</v>
      </c>
      <c r="G122" s="3" t="s">
        <v>23</v>
      </c>
      <c r="H122" s="3" t="s">
        <v>192</v>
      </c>
    </row>
    <row r="123" spans="1:8" x14ac:dyDescent="0.2">
      <c r="A123" s="3">
        <v>3030402001</v>
      </c>
      <c r="B123" s="4" t="s">
        <v>498</v>
      </c>
      <c r="C123" s="4" t="s">
        <v>499</v>
      </c>
      <c r="D123" s="3">
        <v>1</v>
      </c>
      <c r="E123" s="3" t="s">
        <v>16</v>
      </c>
      <c r="F123" s="3" t="s">
        <v>295</v>
      </c>
      <c r="G123" s="3" t="s">
        <v>17</v>
      </c>
      <c r="H123" s="3" t="s">
        <v>192</v>
      </c>
    </row>
    <row r="124" spans="1:8" x14ac:dyDescent="0.2">
      <c r="A124" s="3">
        <v>3040402005</v>
      </c>
      <c r="B124" s="4" t="s">
        <v>500</v>
      </c>
      <c r="C124" s="4" t="s">
        <v>501</v>
      </c>
      <c r="D124" s="3">
        <v>1</v>
      </c>
      <c r="E124" s="3" t="s">
        <v>16</v>
      </c>
      <c r="F124" s="3" t="s">
        <v>293</v>
      </c>
      <c r="G124" s="3" t="s">
        <v>29</v>
      </c>
      <c r="H124" s="3" t="s">
        <v>192</v>
      </c>
    </row>
    <row r="125" spans="1:8" x14ac:dyDescent="0.2">
      <c r="A125" s="3">
        <v>3040402006</v>
      </c>
      <c r="B125" s="4" t="s">
        <v>500</v>
      </c>
      <c r="C125" s="4" t="s">
        <v>502</v>
      </c>
      <c r="D125" s="3">
        <v>1</v>
      </c>
      <c r="E125" s="3" t="s">
        <v>16</v>
      </c>
      <c r="F125" s="3" t="s">
        <v>293</v>
      </c>
      <c r="G125" s="3" t="s">
        <v>29</v>
      </c>
      <c r="H125" s="3" t="s">
        <v>192</v>
      </c>
    </row>
    <row r="126" spans="1:8" x14ac:dyDescent="0.2">
      <c r="A126" s="3">
        <v>404100044</v>
      </c>
      <c r="B126" s="4" t="s">
        <v>196</v>
      </c>
      <c r="C126" s="4" t="s">
        <v>789</v>
      </c>
      <c r="D126" s="3">
        <v>1</v>
      </c>
      <c r="E126" s="3" t="s">
        <v>16</v>
      </c>
      <c r="F126" s="3" t="s">
        <v>301</v>
      </c>
      <c r="G126" s="3" t="s">
        <v>32</v>
      </c>
      <c r="H126" s="3" t="s">
        <v>198</v>
      </c>
    </row>
    <row r="127" spans="1:8" x14ac:dyDescent="0.2">
      <c r="A127" s="3">
        <v>404110007</v>
      </c>
      <c r="B127" s="4" t="s">
        <v>504</v>
      </c>
      <c r="C127" s="4" t="s">
        <v>790</v>
      </c>
      <c r="D127" s="3">
        <v>1</v>
      </c>
      <c r="E127" s="3" t="s">
        <v>16</v>
      </c>
      <c r="F127" s="3" t="s">
        <v>301</v>
      </c>
      <c r="G127" s="3" t="s">
        <v>32</v>
      </c>
      <c r="H127" s="3" t="s">
        <v>198</v>
      </c>
    </row>
    <row r="128" spans="1:8" x14ac:dyDescent="0.2">
      <c r="A128" s="3">
        <v>404110008</v>
      </c>
      <c r="B128" s="4" t="s">
        <v>504</v>
      </c>
      <c r="C128" s="4" t="s">
        <v>505</v>
      </c>
      <c r="D128" s="3">
        <v>2</v>
      </c>
      <c r="E128" s="3" t="s">
        <v>16</v>
      </c>
      <c r="F128" s="3" t="s">
        <v>291</v>
      </c>
      <c r="G128" s="3" t="s">
        <v>26</v>
      </c>
      <c r="H128" s="3" t="s">
        <v>198</v>
      </c>
    </row>
    <row r="129" spans="1:8" x14ac:dyDescent="0.2">
      <c r="A129" s="3">
        <v>404110009</v>
      </c>
      <c r="B129" s="4" t="s">
        <v>504</v>
      </c>
      <c r="C129" s="4" t="s">
        <v>791</v>
      </c>
      <c r="D129" s="3">
        <v>1</v>
      </c>
      <c r="E129" s="3" t="s">
        <v>16</v>
      </c>
      <c r="F129" s="3" t="s">
        <v>301</v>
      </c>
      <c r="G129" s="3" t="s">
        <v>32</v>
      </c>
      <c r="H129" s="3" t="s">
        <v>198</v>
      </c>
    </row>
    <row r="130" spans="1:8" x14ac:dyDescent="0.2">
      <c r="A130" s="3">
        <v>404110001</v>
      </c>
      <c r="B130" s="4" t="s">
        <v>504</v>
      </c>
      <c r="C130" s="4" t="s">
        <v>506</v>
      </c>
      <c r="D130" s="3">
        <v>1</v>
      </c>
      <c r="E130" s="3" t="s">
        <v>16</v>
      </c>
      <c r="F130" s="3" t="s">
        <v>291</v>
      </c>
      <c r="G130" s="3" t="s">
        <v>26</v>
      </c>
      <c r="H130" s="3" t="s">
        <v>198</v>
      </c>
    </row>
    <row r="131" spans="1:8" x14ac:dyDescent="0.2">
      <c r="A131" s="3">
        <v>403030012</v>
      </c>
      <c r="B131" s="4" t="s">
        <v>366</v>
      </c>
      <c r="C131" s="4" t="s">
        <v>507</v>
      </c>
      <c r="D131" s="3">
        <v>2</v>
      </c>
      <c r="E131" s="3" t="s">
        <v>16</v>
      </c>
      <c r="F131" s="3" t="s">
        <v>291</v>
      </c>
      <c r="G131" s="3" t="s">
        <v>26</v>
      </c>
      <c r="H131" s="3" t="s">
        <v>198</v>
      </c>
    </row>
    <row r="132" spans="1:8" x14ac:dyDescent="0.2">
      <c r="A132" s="3">
        <v>401070018</v>
      </c>
      <c r="B132" s="4" t="s">
        <v>35</v>
      </c>
      <c r="C132" s="4" t="s">
        <v>202</v>
      </c>
      <c r="D132" s="3">
        <v>1</v>
      </c>
      <c r="E132" s="3" t="s">
        <v>16</v>
      </c>
      <c r="F132" s="3" t="s">
        <v>291</v>
      </c>
      <c r="G132" s="3" t="s">
        <v>26</v>
      </c>
      <c r="H132" s="3" t="s">
        <v>198</v>
      </c>
    </row>
    <row r="133" spans="1:8" x14ac:dyDescent="0.2">
      <c r="A133" s="3">
        <v>401070022</v>
      </c>
      <c r="B133" s="4" t="s">
        <v>35</v>
      </c>
      <c r="C133" s="4" t="s">
        <v>203</v>
      </c>
      <c r="D133" s="3">
        <v>1</v>
      </c>
      <c r="E133" s="3" t="s">
        <v>16</v>
      </c>
      <c r="F133" s="3" t="s">
        <v>297</v>
      </c>
      <c r="G133" s="3" t="s">
        <v>204</v>
      </c>
      <c r="H133" s="3" t="s">
        <v>198</v>
      </c>
    </row>
    <row r="134" spans="1:8" x14ac:dyDescent="0.2">
      <c r="A134" s="3">
        <v>401040100</v>
      </c>
      <c r="B134" s="4" t="s">
        <v>35</v>
      </c>
      <c r="C134" s="4" t="s">
        <v>508</v>
      </c>
      <c r="D134" s="3">
        <v>1</v>
      </c>
      <c r="E134" s="3" t="s">
        <v>16</v>
      </c>
      <c r="F134" s="3" t="s">
        <v>291</v>
      </c>
      <c r="G134" s="3" t="s">
        <v>26</v>
      </c>
      <c r="H134" s="3" t="s">
        <v>198</v>
      </c>
    </row>
    <row r="135" spans="1:8" x14ac:dyDescent="0.2">
      <c r="A135" s="3">
        <v>404100003</v>
      </c>
      <c r="B135" s="4" t="s">
        <v>205</v>
      </c>
      <c r="C135" s="4" t="s">
        <v>509</v>
      </c>
      <c r="D135" s="3">
        <v>1</v>
      </c>
      <c r="E135" s="3" t="s">
        <v>16</v>
      </c>
      <c r="F135" s="3" t="s">
        <v>291</v>
      </c>
      <c r="G135" s="3" t="s">
        <v>26</v>
      </c>
      <c r="H135" s="3" t="s">
        <v>198</v>
      </c>
    </row>
    <row r="136" spans="1:8" x14ac:dyDescent="0.2">
      <c r="A136" s="3">
        <v>404100004</v>
      </c>
      <c r="B136" s="4" t="s">
        <v>207</v>
      </c>
      <c r="C136" s="4" t="s">
        <v>510</v>
      </c>
      <c r="D136" s="3">
        <v>1</v>
      </c>
      <c r="E136" s="3" t="s">
        <v>16</v>
      </c>
      <c r="F136" s="3" t="s">
        <v>291</v>
      </c>
      <c r="G136" s="3" t="s">
        <v>26</v>
      </c>
      <c r="H136" s="3" t="s">
        <v>198</v>
      </c>
    </row>
    <row r="137" spans="1:8" x14ac:dyDescent="0.2">
      <c r="A137" s="3">
        <v>3030305007</v>
      </c>
      <c r="B137" s="4" t="s">
        <v>511</v>
      </c>
      <c r="C137" s="4" t="s">
        <v>512</v>
      </c>
      <c r="D137" s="3">
        <v>1</v>
      </c>
      <c r="E137" s="3" t="s">
        <v>16</v>
      </c>
      <c r="F137" s="3" t="s">
        <v>295</v>
      </c>
      <c r="G137" s="3" t="s">
        <v>17</v>
      </c>
      <c r="H137" s="3" t="s">
        <v>211</v>
      </c>
    </row>
    <row r="138" spans="1:8" x14ac:dyDescent="0.2">
      <c r="A138" s="3">
        <v>3030305006</v>
      </c>
      <c r="B138" s="4" t="s">
        <v>513</v>
      </c>
      <c r="C138" s="4" t="s">
        <v>512</v>
      </c>
      <c r="D138" s="3">
        <v>1</v>
      </c>
      <c r="E138" s="3" t="s">
        <v>16</v>
      </c>
      <c r="F138" s="3" t="s">
        <v>295</v>
      </c>
      <c r="G138" s="3" t="s">
        <v>17</v>
      </c>
      <c r="H138" s="3" t="s">
        <v>211</v>
      </c>
    </row>
    <row r="139" spans="1:8" x14ac:dyDescent="0.2">
      <c r="A139" s="3">
        <v>3069904001</v>
      </c>
      <c r="B139" s="4" t="s">
        <v>514</v>
      </c>
      <c r="C139" s="4" t="s">
        <v>355</v>
      </c>
      <c r="D139" s="3">
        <v>4</v>
      </c>
      <c r="E139" s="3" t="s">
        <v>16</v>
      </c>
      <c r="F139" s="3" t="s">
        <v>295</v>
      </c>
      <c r="G139" s="3" t="s">
        <v>17</v>
      </c>
      <c r="H139" s="3" t="s">
        <v>214</v>
      </c>
    </row>
    <row r="140" spans="1:8" x14ac:dyDescent="0.2">
      <c r="A140" s="3">
        <v>3030201003</v>
      </c>
      <c r="B140" s="4" t="s">
        <v>515</v>
      </c>
      <c r="C140" s="4" t="s">
        <v>516</v>
      </c>
      <c r="D140" s="3">
        <v>1</v>
      </c>
      <c r="E140" s="3" t="s">
        <v>16</v>
      </c>
      <c r="F140" s="3" t="s">
        <v>295</v>
      </c>
      <c r="G140" s="3" t="s">
        <v>17</v>
      </c>
      <c r="H140" s="3" t="s">
        <v>214</v>
      </c>
    </row>
    <row r="141" spans="1:8" x14ac:dyDescent="0.2">
      <c r="A141" s="3">
        <v>3049903001</v>
      </c>
      <c r="B141" s="4" t="s">
        <v>517</v>
      </c>
      <c r="C141" s="4" t="s">
        <v>355</v>
      </c>
      <c r="D141" s="3">
        <v>2</v>
      </c>
      <c r="E141" s="3" t="s">
        <v>16</v>
      </c>
      <c r="F141" s="3" t="s">
        <v>293</v>
      </c>
      <c r="G141" s="3" t="s">
        <v>29</v>
      </c>
      <c r="H141" s="3" t="s">
        <v>214</v>
      </c>
    </row>
    <row r="142" spans="1:8" x14ac:dyDescent="0.2">
      <c r="A142" s="3">
        <v>3049904001</v>
      </c>
      <c r="B142" s="4" t="s">
        <v>354</v>
      </c>
      <c r="C142" s="4" t="s">
        <v>355</v>
      </c>
      <c r="D142" s="3">
        <v>4</v>
      </c>
      <c r="E142" s="3" t="s">
        <v>16</v>
      </c>
      <c r="F142" s="3" t="s">
        <v>293</v>
      </c>
      <c r="G142" s="3" t="s">
        <v>29</v>
      </c>
      <c r="H142" s="3" t="s">
        <v>214</v>
      </c>
    </row>
    <row r="143" spans="1:8" x14ac:dyDescent="0.2">
      <c r="A143" s="3">
        <v>3049902001</v>
      </c>
      <c r="B143" s="4" t="s">
        <v>518</v>
      </c>
      <c r="C143" s="4" t="s">
        <v>355</v>
      </c>
      <c r="D143" s="3">
        <v>2</v>
      </c>
      <c r="E143" s="3" t="s">
        <v>16</v>
      </c>
      <c r="F143" s="3" t="s">
        <v>293</v>
      </c>
      <c r="G143" s="3" t="s">
        <v>29</v>
      </c>
      <c r="H143" s="3" t="s">
        <v>214</v>
      </c>
    </row>
    <row r="144" spans="1:8" x14ac:dyDescent="0.2">
      <c r="A144" s="3">
        <v>3070105007</v>
      </c>
      <c r="B144" s="4" t="s">
        <v>360</v>
      </c>
      <c r="C144" s="4" t="s">
        <v>361</v>
      </c>
      <c r="D144" s="3">
        <v>1</v>
      </c>
      <c r="E144" s="3" t="s">
        <v>16</v>
      </c>
      <c r="F144" s="3" t="s">
        <v>317</v>
      </c>
      <c r="G144" s="3" t="s">
        <v>318</v>
      </c>
      <c r="H144" s="3" t="s">
        <v>214</v>
      </c>
    </row>
    <row r="145" spans="1:8" x14ac:dyDescent="0.2">
      <c r="A145" s="3">
        <v>3070105008</v>
      </c>
      <c r="B145" s="4" t="s">
        <v>362</v>
      </c>
      <c r="C145" s="4" t="s">
        <v>361</v>
      </c>
      <c r="D145" s="3">
        <v>1</v>
      </c>
      <c r="E145" s="3" t="s">
        <v>16</v>
      </c>
      <c r="F145" s="3" t="s">
        <v>317</v>
      </c>
      <c r="G145" s="3" t="s">
        <v>318</v>
      </c>
      <c r="H145" s="3" t="s">
        <v>214</v>
      </c>
    </row>
    <row r="146" spans="1:8" x14ac:dyDescent="0.2">
      <c r="A146" s="3">
        <v>3050204001</v>
      </c>
      <c r="B146" s="4" t="s">
        <v>519</v>
      </c>
      <c r="C146" s="4" t="s">
        <v>355</v>
      </c>
      <c r="D146" s="3">
        <v>2</v>
      </c>
      <c r="E146" s="3" t="s">
        <v>16</v>
      </c>
      <c r="F146" s="3" t="s">
        <v>291</v>
      </c>
      <c r="G146" s="3" t="s">
        <v>26</v>
      </c>
      <c r="H146" s="3" t="s">
        <v>214</v>
      </c>
    </row>
    <row r="147" spans="1:8" x14ac:dyDescent="0.2">
      <c r="A147" s="3">
        <v>3050204002</v>
      </c>
      <c r="B147" s="4" t="s">
        <v>520</v>
      </c>
      <c r="C147" s="4" t="s">
        <v>355</v>
      </c>
      <c r="D147" s="3">
        <v>2</v>
      </c>
      <c r="E147" s="3" t="s">
        <v>16</v>
      </c>
      <c r="F147" s="3" t="s">
        <v>291</v>
      </c>
      <c r="G147" s="3" t="s">
        <v>26</v>
      </c>
      <c r="H147" s="3" t="s">
        <v>214</v>
      </c>
    </row>
    <row r="148" spans="1:8" x14ac:dyDescent="0.2">
      <c r="A148" s="3">
        <v>3060403034</v>
      </c>
      <c r="B148" s="4" t="s">
        <v>190</v>
      </c>
      <c r="C148" s="4" t="s">
        <v>521</v>
      </c>
      <c r="D148" s="3">
        <v>1</v>
      </c>
      <c r="E148" s="3" t="s">
        <v>16</v>
      </c>
      <c r="F148" s="3" t="s">
        <v>295</v>
      </c>
      <c r="G148" s="3" t="s">
        <v>17</v>
      </c>
      <c r="H148" s="3" t="s">
        <v>221</v>
      </c>
    </row>
    <row r="149" spans="1:8" x14ac:dyDescent="0.2">
      <c r="A149" s="3">
        <v>3060404003</v>
      </c>
      <c r="B149" s="4" t="s">
        <v>729</v>
      </c>
      <c r="C149" s="4" t="s">
        <v>730</v>
      </c>
      <c r="D149" s="3">
        <v>1</v>
      </c>
      <c r="E149" s="3" t="s">
        <v>16</v>
      </c>
      <c r="F149" s="3" t="s">
        <v>289</v>
      </c>
      <c r="G149" s="3" t="s">
        <v>23</v>
      </c>
      <c r="H149" s="3" t="s">
        <v>221</v>
      </c>
    </row>
    <row r="150" spans="1:8" x14ac:dyDescent="0.2">
      <c r="A150" s="3">
        <v>3020301001</v>
      </c>
      <c r="B150" s="4" t="s">
        <v>209</v>
      </c>
      <c r="C150" s="4" t="s">
        <v>365</v>
      </c>
      <c r="D150" s="3">
        <v>1</v>
      </c>
      <c r="E150" s="3" t="s">
        <v>16</v>
      </c>
      <c r="F150" s="3" t="s">
        <v>301</v>
      </c>
      <c r="G150" s="3" t="s">
        <v>32</v>
      </c>
      <c r="H150" s="3" t="s">
        <v>221</v>
      </c>
    </row>
    <row r="151" spans="1:8" x14ac:dyDescent="0.2">
      <c r="A151" s="3">
        <v>403030051</v>
      </c>
      <c r="B151" s="4" t="s">
        <v>366</v>
      </c>
      <c r="C151" s="4" t="s">
        <v>367</v>
      </c>
      <c r="D151" s="3">
        <v>3</v>
      </c>
      <c r="E151" s="3" t="s">
        <v>16</v>
      </c>
      <c r="F151" s="3" t="s">
        <v>301</v>
      </c>
      <c r="G151" s="3" t="s">
        <v>32</v>
      </c>
      <c r="H151" s="3" t="s">
        <v>221</v>
      </c>
    </row>
    <row r="152" spans="1:8" x14ac:dyDescent="0.2">
      <c r="A152" s="3">
        <v>403030005</v>
      </c>
      <c r="B152" s="4" t="s">
        <v>366</v>
      </c>
      <c r="C152" s="4" t="s">
        <v>368</v>
      </c>
      <c r="D152" s="3">
        <v>2</v>
      </c>
      <c r="E152" s="3" t="s">
        <v>16</v>
      </c>
      <c r="F152" s="3" t="s">
        <v>301</v>
      </c>
      <c r="G152" s="3" t="s">
        <v>32</v>
      </c>
      <c r="H152" s="3" t="s">
        <v>221</v>
      </c>
    </row>
    <row r="153" spans="1:8" x14ac:dyDescent="0.2">
      <c r="A153" s="3">
        <v>402050001</v>
      </c>
      <c r="B153" s="4" t="s">
        <v>522</v>
      </c>
      <c r="C153" s="4" t="s">
        <v>523</v>
      </c>
      <c r="D153" s="3">
        <v>1</v>
      </c>
      <c r="E153" s="3" t="s">
        <v>16</v>
      </c>
      <c r="F153" s="3" t="s">
        <v>289</v>
      </c>
      <c r="G153" s="3" t="s">
        <v>23</v>
      </c>
      <c r="H153" s="3" t="s">
        <v>524</v>
      </c>
    </row>
    <row r="154" spans="1:8" x14ac:dyDescent="0.2">
      <c r="A154" s="3">
        <v>408120036</v>
      </c>
      <c r="B154" s="4" t="s">
        <v>525</v>
      </c>
      <c r="C154" s="4" t="s">
        <v>526</v>
      </c>
      <c r="D154" s="3">
        <v>2</v>
      </c>
      <c r="E154" s="3" t="s">
        <v>16</v>
      </c>
      <c r="F154" s="3" t="s">
        <v>291</v>
      </c>
      <c r="G154" s="3" t="s">
        <v>26</v>
      </c>
      <c r="H154" s="3" t="s">
        <v>524</v>
      </c>
    </row>
    <row r="155" spans="1:8" x14ac:dyDescent="0.2">
      <c r="A155" s="3">
        <v>3050305016</v>
      </c>
      <c r="B155" s="4" t="s">
        <v>527</v>
      </c>
      <c r="C155" s="4" t="s">
        <v>528</v>
      </c>
      <c r="D155" s="3">
        <v>1</v>
      </c>
      <c r="E155" s="3" t="s">
        <v>16</v>
      </c>
      <c r="F155" s="3" t="s">
        <v>291</v>
      </c>
      <c r="G155" s="3" t="s">
        <v>26</v>
      </c>
      <c r="H155" s="3" t="s">
        <v>226</v>
      </c>
    </row>
    <row r="156" spans="1:8" x14ac:dyDescent="0.2">
      <c r="A156" s="3">
        <v>3050305015</v>
      </c>
      <c r="B156" s="4" t="s">
        <v>529</v>
      </c>
      <c r="C156" s="4" t="s">
        <v>530</v>
      </c>
      <c r="D156" s="3">
        <v>1</v>
      </c>
      <c r="E156" s="3" t="s">
        <v>16</v>
      </c>
      <c r="F156" s="3" t="s">
        <v>291</v>
      </c>
      <c r="G156" s="3" t="s">
        <v>26</v>
      </c>
      <c r="H156" s="3" t="s">
        <v>226</v>
      </c>
    </row>
    <row r="157" spans="1:8" x14ac:dyDescent="0.2">
      <c r="A157" s="3">
        <v>3030309020</v>
      </c>
      <c r="B157" s="4" t="s">
        <v>531</v>
      </c>
      <c r="C157" s="4" t="s">
        <v>532</v>
      </c>
      <c r="D157" s="3">
        <v>1</v>
      </c>
      <c r="E157" s="3" t="s">
        <v>16</v>
      </c>
      <c r="F157" s="3" t="s">
        <v>291</v>
      </c>
      <c r="G157" s="3" t="s">
        <v>26</v>
      </c>
      <c r="H157" s="3" t="s">
        <v>226</v>
      </c>
    </row>
    <row r="158" spans="1:8" x14ac:dyDescent="0.2">
      <c r="A158" s="3">
        <v>3030302002</v>
      </c>
      <c r="B158" s="4" t="s">
        <v>533</v>
      </c>
      <c r="C158" s="4" t="s">
        <v>534</v>
      </c>
      <c r="D158" s="3">
        <v>1</v>
      </c>
      <c r="E158" s="3" t="s">
        <v>16</v>
      </c>
      <c r="F158" s="3" t="s">
        <v>295</v>
      </c>
      <c r="G158" s="3" t="s">
        <v>17</v>
      </c>
      <c r="H158" s="3" t="s">
        <v>226</v>
      </c>
    </row>
    <row r="159" spans="1:8" x14ac:dyDescent="0.2">
      <c r="A159" s="3">
        <v>3030306012</v>
      </c>
      <c r="B159" s="4" t="s">
        <v>535</v>
      </c>
      <c r="C159" s="4" t="s">
        <v>536</v>
      </c>
      <c r="D159" s="3">
        <v>1</v>
      </c>
      <c r="E159" s="3" t="s">
        <v>16</v>
      </c>
      <c r="F159" s="3" t="s">
        <v>295</v>
      </c>
      <c r="G159" s="3" t="s">
        <v>17</v>
      </c>
      <c r="H159" s="3" t="s">
        <v>226</v>
      </c>
    </row>
    <row r="160" spans="1:8" x14ac:dyDescent="0.2">
      <c r="A160" s="3">
        <v>3030306011</v>
      </c>
      <c r="B160" s="4" t="s">
        <v>537</v>
      </c>
      <c r="C160" s="4" t="s">
        <v>536</v>
      </c>
      <c r="D160" s="3">
        <v>1</v>
      </c>
      <c r="E160" s="3" t="s">
        <v>16</v>
      </c>
      <c r="F160" s="3" t="s">
        <v>295</v>
      </c>
      <c r="G160" s="3" t="s">
        <v>17</v>
      </c>
      <c r="H160" s="3" t="s">
        <v>226</v>
      </c>
    </row>
    <row r="161" spans="1:8" x14ac:dyDescent="0.2">
      <c r="A161" s="3">
        <v>3030303002</v>
      </c>
      <c r="B161" s="4" t="s">
        <v>175</v>
      </c>
      <c r="C161" s="4" t="s">
        <v>538</v>
      </c>
      <c r="D161" s="3">
        <v>1</v>
      </c>
      <c r="E161" s="3" t="s">
        <v>16</v>
      </c>
      <c r="F161" s="3" t="s">
        <v>295</v>
      </c>
      <c r="G161" s="3" t="s">
        <v>17</v>
      </c>
      <c r="H161" s="3" t="s">
        <v>226</v>
      </c>
    </row>
    <row r="162" spans="1:8" x14ac:dyDescent="0.2">
      <c r="A162" s="3">
        <v>3030303017</v>
      </c>
      <c r="B162" s="4" t="s">
        <v>539</v>
      </c>
      <c r="C162" s="4" t="s">
        <v>540</v>
      </c>
      <c r="D162" s="3">
        <v>1</v>
      </c>
      <c r="E162" s="3" t="s">
        <v>16</v>
      </c>
      <c r="F162" s="3" t="s">
        <v>295</v>
      </c>
      <c r="G162" s="3" t="s">
        <v>17</v>
      </c>
      <c r="H162" s="3" t="s">
        <v>226</v>
      </c>
    </row>
    <row r="163" spans="1:8" x14ac:dyDescent="0.2">
      <c r="A163" s="3">
        <v>3040312012</v>
      </c>
      <c r="B163" s="4" t="s">
        <v>263</v>
      </c>
      <c r="C163" s="4" t="s">
        <v>541</v>
      </c>
      <c r="D163" s="3">
        <v>2</v>
      </c>
      <c r="E163" s="3" t="s">
        <v>16</v>
      </c>
      <c r="F163" s="3" t="s">
        <v>293</v>
      </c>
      <c r="G163" s="3" t="s">
        <v>29</v>
      </c>
      <c r="H163" s="3" t="s">
        <v>226</v>
      </c>
    </row>
    <row r="164" spans="1:8" x14ac:dyDescent="0.2">
      <c r="A164" s="3">
        <v>3040320010</v>
      </c>
      <c r="B164" s="4" t="s">
        <v>269</v>
      </c>
      <c r="C164" s="4" t="s">
        <v>542</v>
      </c>
      <c r="D164" s="3">
        <v>1</v>
      </c>
      <c r="E164" s="3" t="s">
        <v>16</v>
      </c>
      <c r="F164" s="3" t="s">
        <v>293</v>
      </c>
      <c r="G164" s="3" t="s">
        <v>29</v>
      </c>
      <c r="H164" s="3" t="s">
        <v>226</v>
      </c>
    </row>
    <row r="165" spans="1:8" x14ac:dyDescent="0.2">
      <c r="A165" s="3">
        <v>3040320011</v>
      </c>
      <c r="B165" s="4" t="s">
        <v>269</v>
      </c>
      <c r="C165" s="4" t="s">
        <v>543</v>
      </c>
      <c r="D165" s="3">
        <v>1</v>
      </c>
      <c r="E165" s="3" t="s">
        <v>16</v>
      </c>
      <c r="F165" s="3" t="s">
        <v>293</v>
      </c>
      <c r="G165" s="3" t="s">
        <v>29</v>
      </c>
      <c r="H165" s="3" t="s">
        <v>226</v>
      </c>
    </row>
    <row r="166" spans="1:8" x14ac:dyDescent="0.2">
      <c r="A166" s="3">
        <v>3030313003</v>
      </c>
      <c r="B166" s="4" t="s">
        <v>217</v>
      </c>
      <c r="C166" s="4" t="s">
        <v>544</v>
      </c>
      <c r="D166" s="3">
        <v>8</v>
      </c>
      <c r="E166" s="3" t="s">
        <v>16</v>
      </c>
      <c r="F166" s="3" t="s">
        <v>291</v>
      </c>
      <c r="G166" s="3" t="s">
        <v>26</v>
      </c>
      <c r="H166" s="3" t="s">
        <v>226</v>
      </c>
    </row>
    <row r="167" spans="1:8" x14ac:dyDescent="0.2">
      <c r="A167" s="3">
        <v>3020199010</v>
      </c>
      <c r="B167" s="4" t="s">
        <v>239</v>
      </c>
      <c r="C167" s="4" t="s">
        <v>545</v>
      </c>
      <c r="D167" s="3">
        <v>5</v>
      </c>
      <c r="E167" s="3" t="s">
        <v>16</v>
      </c>
      <c r="F167" s="3" t="s">
        <v>297</v>
      </c>
      <c r="G167" s="3" t="s">
        <v>204</v>
      </c>
      <c r="H167" s="3" t="s">
        <v>226</v>
      </c>
    </row>
    <row r="168" spans="1:8" x14ac:dyDescent="0.2">
      <c r="A168" s="3">
        <v>3070212001</v>
      </c>
      <c r="B168" s="4" t="s">
        <v>377</v>
      </c>
      <c r="C168" s="4" t="s">
        <v>378</v>
      </c>
      <c r="D168" s="3">
        <v>1</v>
      </c>
      <c r="E168" s="3" t="s">
        <v>16</v>
      </c>
      <c r="F168" s="3" t="s">
        <v>317</v>
      </c>
      <c r="G168" s="3" t="s">
        <v>318</v>
      </c>
      <c r="H168" s="3" t="s">
        <v>226</v>
      </c>
    </row>
    <row r="169" spans="1:8" x14ac:dyDescent="0.2">
      <c r="A169" s="3">
        <v>3070210001</v>
      </c>
      <c r="B169" s="4" t="s">
        <v>379</v>
      </c>
      <c r="C169" s="4" t="s">
        <v>280</v>
      </c>
      <c r="D169" s="3">
        <v>1</v>
      </c>
      <c r="E169" s="3" t="s">
        <v>16</v>
      </c>
      <c r="F169" s="3" t="s">
        <v>317</v>
      </c>
      <c r="G169" s="3" t="s">
        <v>318</v>
      </c>
      <c r="H169" s="3" t="s">
        <v>226</v>
      </c>
    </row>
    <row r="170" spans="1:8" x14ac:dyDescent="0.2">
      <c r="A170" s="3">
        <v>3050305019</v>
      </c>
      <c r="B170" s="4" t="s">
        <v>549</v>
      </c>
      <c r="C170" s="4" t="s">
        <v>530</v>
      </c>
      <c r="D170" s="3">
        <v>1</v>
      </c>
      <c r="E170" s="3" t="s">
        <v>16</v>
      </c>
      <c r="F170" s="3" t="s">
        <v>291</v>
      </c>
      <c r="G170" s="3" t="s">
        <v>26</v>
      </c>
      <c r="H170" s="3" t="s">
        <v>226</v>
      </c>
    </row>
    <row r="171" spans="1:8" x14ac:dyDescent="0.2">
      <c r="A171" s="3">
        <v>3050401014</v>
      </c>
      <c r="B171" s="4" t="s">
        <v>222</v>
      </c>
      <c r="C171" s="4" t="s">
        <v>550</v>
      </c>
      <c r="D171" s="3">
        <v>1</v>
      </c>
      <c r="E171" s="3" t="s">
        <v>16</v>
      </c>
      <c r="F171" s="3" t="s">
        <v>291</v>
      </c>
      <c r="G171" s="3" t="s">
        <v>26</v>
      </c>
      <c r="H171" s="3" t="s">
        <v>226</v>
      </c>
    </row>
    <row r="172" spans="1:8" x14ac:dyDescent="0.2">
      <c r="A172" s="3">
        <v>3080401031</v>
      </c>
      <c r="B172" s="4" t="s">
        <v>41</v>
      </c>
      <c r="C172" s="4" t="s">
        <v>551</v>
      </c>
      <c r="D172" s="3">
        <v>1</v>
      </c>
      <c r="E172" s="3" t="s">
        <v>16</v>
      </c>
      <c r="F172" s="3" t="s">
        <v>291</v>
      </c>
      <c r="G172" s="3" t="s">
        <v>26</v>
      </c>
      <c r="H172" s="3" t="s">
        <v>249</v>
      </c>
    </row>
    <row r="173" spans="1:8" x14ac:dyDescent="0.2">
      <c r="A173" s="3">
        <v>3030211001</v>
      </c>
      <c r="B173" s="4" t="s">
        <v>552</v>
      </c>
      <c r="C173" s="4" t="s">
        <v>553</v>
      </c>
      <c r="D173" s="3">
        <v>1</v>
      </c>
      <c r="E173" s="3" t="s">
        <v>16</v>
      </c>
      <c r="F173" s="3" t="s">
        <v>295</v>
      </c>
      <c r="G173" s="3" t="s">
        <v>17</v>
      </c>
      <c r="H173" s="3" t="s">
        <v>249</v>
      </c>
    </row>
    <row r="174" spans="1:8" x14ac:dyDescent="0.2">
      <c r="A174" s="3">
        <v>3080309001</v>
      </c>
      <c r="B174" s="4" t="s">
        <v>554</v>
      </c>
      <c r="C174" s="4" t="s">
        <v>555</v>
      </c>
      <c r="D174" s="3">
        <v>1</v>
      </c>
      <c r="E174" s="3" t="s">
        <v>16</v>
      </c>
      <c r="F174" s="3" t="s">
        <v>295</v>
      </c>
      <c r="G174" s="3" t="s">
        <v>17</v>
      </c>
      <c r="H174" s="3" t="s">
        <v>249</v>
      </c>
    </row>
    <row r="175" spans="1:8" x14ac:dyDescent="0.2">
      <c r="A175" s="3">
        <v>3080107268</v>
      </c>
      <c r="B175" s="4" t="s">
        <v>69</v>
      </c>
      <c r="C175" s="4" t="s">
        <v>556</v>
      </c>
      <c r="D175" s="3">
        <v>2</v>
      </c>
      <c r="E175" s="3" t="s">
        <v>16</v>
      </c>
      <c r="F175" s="3" t="s">
        <v>291</v>
      </c>
      <c r="G175" s="3" t="s">
        <v>26</v>
      </c>
      <c r="H175" s="3" t="s">
        <v>249</v>
      </c>
    </row>
    <row r="176" spans="1:8" x14ac:dyDescent="0.2">
      <c r="A176" s="3">
        <v>3080107269</v>
      </c>
      <c r="B176" s="4" t="s">
        <v>69</v>
      </c>
      <c r="C176" s="4" t="s">
        <v>557</v>
      </c>
      <c r="D176" s="3">
        <v>2</v>
      </c>
      <c r="E176" s="3" t="s">
        <v>16</v>
      </c>
      <c r="F176" s="3" t="s">
        <v>291</v>
      </c>
      <c r="G176" s="3" t="s">
        <v>26</v>
      </c>
      <c r="H176" s="3" t="s">
        <v>249</v>
      </c>
    </row>
    <row r="177" spans="1:8" x14ac:dyDescent="0.2">
      <c r="A177" s="3">
        <v>3060335005</v>
      </c>
      <c r="B177" s="4" t="s">
        <v>233</v>
      </c>
      <c r="C177" s="4" t="s">
        <v>734</v>
      </c>
      <c r="D177" s="3">
        <v>1</v>
      </c>
      <c r="E177" s="3" t="s">
        <v>16</v>
      </c>
      <c r="F177" s="3" t="s">
        <v>289</v>
      </c>
      <c r="G177" s="3" t="s">
        <v>23</v>
      </c>
      <c r="H177" s="3" t="s">
        <v>254</v>
      </c>
    </row>
    <row r="178" spans="1:8" x14ac:dyDescent="0.2">
      <c r="A178" s="3">
        <v>3060324001</v>
      </c>
      <c r="B178" s="4" t="s">
        <v>735</v>
      </c>
      <c r="C178" s="4" t="s">
        <v>736</v>
      </c>
      <c r="D178" s="3">
        <v>1</v>
      </c>
      <c r="E178" s="3" t="s">
        <v>16</v>
      </c>
      <c r="F178" s="3" t="s">
        <v>289</v>
      </c>
      <c r="G178" s="3" t="s">
        <v>23</v>
      </c>
      <c r="H178" s="3" t="s">
        <v>254</v>
      </c>
    </row>
    <row r="179" spans="1:8" x14ac:dyDescent="0.2">
      <c r="A179" s="3">
        <v>3030302001</v>
      </c>
      <c r="B179" s="4" t="s">
        <v>558</v>
      </c>
      <c r="C179" s="4" t="s">
        <v>534</v>
      </c>
      <c r="D179" s="3">
        <v>1</v>
      </c>
      <c r="E179" s="3" t="s">
        <v>16</v>
      </c>
      <c r="F179" s="3" t="s">
        <v>295</v>
      </c>
      <c r="G179" s="3" t="s">
        <v>17</v>
      </c>
      <c r="H179" s="3" t="s">
        <v>254</v>
      </c>
    </row>
    <row r="180" spans="1:8" x14ac:dyDescent="0.2">
      <c r="A180" s="3">
        <v>3030306031</v>
      </c>
      <c r="B180" s="4" t="s">
        <v>559</v>
      </c>
      <c r="C180" s="4" t="s">
        <v>560</v>
      </c>
      <c r="D180" s="3">
        <v>1</v>
      </c>
      <c r="E180" s="3" t="s">
        <v>16</v>
      </c>
      <c r="F180" s="3" t="s">
        <v>295</v>
      </c>
      <c r="G180" s="3" t="s">
        <v>17</v>
      </c>
      <c r="H180" s="3" t="s">
        <v>254</v>
      </c>
    </row>
    <row r="181" spans="1:8" x14ac:dyDescent="0.2">
      <c r="A181" s="3">
        <v>3080311002</v>
      </c>
      <c r="B181" s="4" t="s">
        <v>561</v>
      </c>
      <c r="C181" s="4" t="s">
        <v>536</v>
      </c>
      <c r="D181" s="3">
        <v>1</v>
      </c>
      <c r="E181" s="3" t="s">
        <v>16</v>
      </c>
      <c r="F181" s="3" t="s">
        <v>295</v>
      </c>
      <c r="G181" s="3" t="s">
        <v>17</v>
      </c>
      <c r="H181" s="3" t="s">
        <v>254</v>
      </c>
    </row>
    <row r="182" spans="1:8" x14ac:dyDescent="0.2">
      <c r="A182" s="3">
        <v>3030303016</v>
      </c>
      <c r="B182" s="4" t="s">
        <v>562</v>
      </c>
      <c r="C182" s="4" t="s">
        <v>563</v>
      </c>
      <c r="D182" s="3">
        <v>1</v>
      </c>
      <c r="E182" s="3" t="s">
        <v>16</v>
      </c>
      <c r="F182" s="3" t="s">
        <v>295</v>
      </c>
      <c r="G182" s="3" t="s">
        <v>17</v>
      </c>
      <c r="H182" s="3" t="s">
        <v>254</v>
      </c>
    </row>
    <row r="183" spans="1:8" x14ac:dyDescent="0.2">
      <c r="A183" s="3">
        <v>3030303015</v>
      </c>
      <c r="B183" s="4" t="s">
        <v>564</v>
      </c>
      <c r="C183" s="4" t="s">
        <v>563</v>
      </c>
      <c r="D183" s="3">
        <v>1</v>
      </c>
      <c r="E183" s="3" t="s">
        <v>16</v>
      </c>
      <c r="F183" s="3" t="s">
        <v>295</v>
      </c>
      <c r="G183" s="3" t="s">
        <v>17</v>
      </c>
      <c r="H183" s="3" t="s">
        <v>254</v>
      </c>
    </row>
    <row r="184" spans="1:8" x14ac:dyDescent="0.2">
      <c r="A184" s="3">
        <v>3040323001</v>
      </c>
      <c r="B184" s="4" t="s">
        <v>565</v>
      </c>
      <c r="C184" s="4" t="s">
        <v>566</v>
      </c>
      <c r="D184" s="3">
        <v>2</v>
      </c>
      <c r="E184" s="3" t="s">
        <v>16</v>
      </c>
      <c r="F184" s="3" t="s">
        <v>293</v>
      </c>
      <c r="G184" s="3" t="s">
        <v>29</v>
      </c>
      <c r="H184" s="3" t="s">
        <v>254</v>
      </c>
    </row>
    <row r="185" spans="1:8" x14ac:dyDescent="0.2">
      <c r="A185" s="3">
        <v>3040302001</v>
      </c>
      <c r="B185" s="4" t="s">
        <v>567</v>
      </c>
      <c r="C185" s="4" t="s">
        <v>568</v>
      </c>
      <c r="D185" s="3">
        <v>1</v>
      </c>
      <c r="E185" s="3" t="s">
        <v>16</v>
      </c>
      <c r="F185" s="3" t="s">
        <v>293</v>
      </c>
      <c r="G185" s="3" t="s">
        <v>29</v>
      </c>
      <c r="H185" s="3" t="s">
        <v>254</v>
      </c>
    </row>
    <row r="186" spans="1:8" x14ac:dyDescent="0.2">
      <c r="A186" s="3">
        <v>3040302002</v>
      </c>
      <c r="B186" s="4" t="s">
        <v>567</v>
      </c>
      <c r="C186" s="4" t="s">
        <v>569</v>
      </c>
      <c r="D186" s="3">
        <v>1</v>
      </c>
      <c r="E186" s="3" t="s">
        <v>16</v>
      </c>
      <c r="F186" s="3" t="s">
        <v>293</v>
      </c>
      <c r="G186" s="3" t="s">
        <v>29</v>
      </c>
      <c r="H186" s="3" t="s">
        <v>254</v>
      </c>
    </row>
    <row r="187" spans="1:8" x14ac:dyDescent="0.2">
      <c r="A187" s="3">
        <v>3040324004</v>
      </c>
      <c r="B187" s="4" t="s">
        <v>570</v>
      </c>
      <c r="C187" s="4" t="s">
        <v>536</v>
      </c>
      <c r="D187" s="3">
        <v>2</v>
      </c>
      <c r="E187" s="3" t="s">
        <v>16</v>
      </c>
      <c r="F187" s="3" t="s">
        <v>293</v>
      </c>
      <c r="G187" s="3" t="s">
        <v>29</v>
      </c>
      <c r="H187" s="3" t="s">
        <v>254</v>
      </c>
    </row>
    <row r="188" spans="1:8" x14ac:dyDescent="0.2">
      <c r="A188" s="3">
        <v>3030302008</v>
      </c>
      <c r="B188" s="4" t="s">
        <v>571</v>
      </c>
      <c r="C188" s="4" t="s">
        <v>572</v>
      </c>
      <c r="D188" s="3">
        <v>1</v>
      </c>
      <c r="E188" s="3" t="s">
        <v>16</v>
      </c>
      <c r="F188" s="3" t="s">
        <v>295</v>
      </c>
      <c r="G188" s="3" t="s">
        <v>17</v>
      </c>
      <c r="H188" s="3" t="s">
        <v>254</v>
      </c>
    </row>
    <row r="189" spans="1:8" x14ac:dyDescent="0.2">
      <c r="A189" s="3">
        <v>3030302009</v>
      </c>
      <c r="B189" s="4" t="s">
        <v>571</v>
      </c>
      <c r="C189" s="4" t="s">
        <v>573</v>
      </c>
      <c r="D189" s="3">
        <v>1</v>
      </c>
      <c r="E189" s="3" t="s">
        <v>16</v>
      </c>
      <c r="F189" s="3" t="s">
        <v>295</v>
      </c>
      <c r="G189" s="3" t="s">
        <v>17</v>
      </c>
      <c r="H189" s="3" t="s">
        <v>254</v>
      </c>
    </row>
    <row r="190" spans="1:8" x14ac:dyDescent="0.2">
      <c r="A190" s="3">
        <v>3030302004</v>
      </c>
      <c r="B190" s="4" t="s">
        <v>574</v>
      </c>
      <c r="C190" s="4" t="s">
        <v>575</v>
      </c>
      <c r="D190" s="3">
        <v>1</v>
      </c>
      <c r="E190" s="3" t="s">
        <v>16</v>
      </c>
      <c r="F190" s="3" t="s">
        <v>295</v>
      </c>
      <c r="G190" s="3" t="s">
        <v>17</v>
      </c>
      <c r="H190" s="3" t="s">
        <v>254</v>
      </c>
    </row>
    <row r="191" spans="1:8" x14ac:dyDescent="0.2">
      <c r="A191" s="3">
        <v>3030302006</v>
      </c>
      <c r="B191" s="4" t="s">
        <v>576</v>
      </c>
      <c r="C191" s="4" t="s">
        <v>575</v>
      </c>
      <c r="D191" s="3">
        <v>1</v>
      </c>
      <c r="E191" s="3" t="s">
        <v>16</v>
      </c>
      <c r="F191" s="3" t="s">
        <v>295</v>
      </c>
      <c r="G191" s="3" t="s">
        <v>17</v>
      </c>
      <c r="H191" s="3" t="s">
        <v>254</v>
      </c>
    </row>
    <row r="192" spans="1:8" x14ac:dyDescent="0.2">
      <c r="A192" s="3">
        <v>3030314004</v>
      </c>
      <c r="B192" s="4" t="s">
        <v>577</v>
      </c>
      <c r="C192" s="4" t="s">
        <v>575</v>
      </c>
      <c r="D192" s="3">
        <v>1</v>
      </c>
      <c r="E192" s="3" t="s">
        <v>16</v>
      </c>
      <c r="F192" s="3" t="s">
        <v>295</v>
      </c>
      <c r="G192" s="3" t="s">
        <v>17</v>
      </c>
      <c r="H192" s="3" t="s">
        <v>254</v>
      </c>
    </row>
    <row r="193" spans="1:8" x14ac:dyDescent="0.2">
      <c r="A193" s="3">
        <v>3030308001</v>
      </c>
      <c r="B193" s="4" t="s">
        <v>578</v>
      </c>
      <c r="C193" s="4" t="s">
        <v>575</v>
      </c>
      <c r="D193" s="3">
        <v>1</v>
      </c>
      <c r="E193" s="3" t="s">
        <v>16</v>
      </c>
      <c r="F193" s="3" t="s">
        <v>295</v>
      </c>
      <c r="G193" s="3" t="s">
        <v>17</v>
      </c>
      <c r="H193" s="3" t="s">
        <v>254</v>
      </c>
    </row>
    <row r="194" spans="1:8" x14ac:dyDescent="0.2">
      <c r="A194" s="3">
        <v>3030314003</v>
      </c>
      <c r="B194" s="4" t="s">
        <v>579</v>
      </c>
      <c r="C194" s="4" t="s">
        <v>575</v>
      </c>
      <c r="D194" s="3">
        <v>1</v>
      </c>
      <c r="E194" s="3" t="s">
        <v>16</v>
      </c>
      <c r="F194" s="3" t="s">
        <v>295</v>
      </c>
      <c r="G194" s="3" t="s">
        <v>17</v>
      </c>
      <c r="H194" s="3" t="s">
        <v>254</v>
      </c>
    </row>
    <row r="195" spans="1:8" x14ac:dyDescent="0.2">
      <c r="A195" s="3">
        <v>3030308003</v>
      </c>
      <c r="B195" s="4" t="s">
        <v>580</v>
      </c>
      <c r="C195" s="4" t="s">
        <v>581</v>
      </c>
      <c r="D195" s="3">
        <v>1</v>
      </c>
      <c r="E195" s="3" t="s">
        <v>16</v>
      </c>
      <c r="F195" s="3" t="s">
        <v>295</v>
      </c>
      <c r="G195" s="3" t="s">
        <v>17</v>
      </c>
      <c r="H195" s="3" t="s">
        <v>254</v>
      </c>
    </row>
    <row r="196" spans="1:8" x14ac:dyDescent="0.2">
      <c r="A196" s="3">
        <v>3040325007</v>
      </c>
      <c r="B196" s="4" t="s">
        <v>582</v>
      </c>
      <c r="C196" s="4" t="s">
        <v>543</v>
      </c>
      <c r="D196" s="3">
        <v>1</v>
      </c>
      <c r="E196" s="3" t="s">
        <v>16</v>
      </c>
      <c r="F196" s="3" t="s">
        <v>293</v>
      </c>
      <c r="G196" s="3" t="s">
        <v>29</v>
      </c>
      <c r="H196" s="3" t="s">
        <v>254</v>
      </c>
    </row>
    <row r="197" spans="1:8" x14ac:dyDescent="0.2">
      <c r="A197" s="3">
        <v>3040325008</v>
      </c>
      <c r="B197" s="4" t="s">
        <v>582</v>
      </c>
      <c r="C197" s="4" t="s">
        <v>542</v>
      </c>
      <c r="D197" s="3">
        <v>1</v>
      </c>
      <c r="E197" s="3" t="s">
        <v>16</v>
      </c>
      <c r="F197" s="3" t="s">
        <v>293</v>
      </c>
      <c r="G197" s="3" t="s">
        <v>29</v>
      </c>
      <c r="H197" s="3" t="s">
        <v>254</v>
      </c>
    </row>
    <row r="198" spans="1:8" x14ac:dyDescent="0.2">
      <c r="A198" s="3">
        <v>3040326013</v>
      </c>
      <c r="B198" s="4" t="s">
        <v>546</v>
      </c>
      <c r="C198" s="4" t="s">
        <v>781</v>
      </c>
      <c r="D198" s="3">
        <v>1</v>
      </c>
      <c r="E198" s="3" t="s">
        <v>16</v>
      </c>
      <c r="F198" s="3" t="s">
        <v>293</v>
      </c>
      <c r="G198" s="3" t="s">
        <v>29</v>
      </c>
      <c r="H198" s="3" t="s">
        <v>254</v>
      </c>
    </row>
    <row r="199" spans="1:8" x14ac:dyDescent="0.2">
      <c r="A199" s="3">
        <v>3040326011</v>
      </c>
      <c r="B199" s="4" t="s">
        <v>546</v>
      </c>
      <c r="C199" s="4" t="s">
        <v>782</v>
      </c>
      <c r="D199" s="3">
        <v>1</v>
      </c>
      <c r="E199" s="3" t="s">
        <v>16</v>
      </c>
      <c r="F199" s="3" t="s">
        <v>293</v>
      </c>
      <c r="G199" s="3" t="s">
        <v>29</v>
      </c>
      <c r="H199" s="3" t="s">
        <v>254</v>
      </c>
    </row>
    <row r="200" spans="1:8" x14ac:dyDescent="0.2">
      <c r="A200" s="3">
        <v>3040308003</v>
      </c>
      <c r="B200" s="4" t="s">
        <v>583</v>
      </c>
      <c r="C200" s="4" t="s">
        <v>536</v>
      </c>
      <c r="D200" s="3">
        <v>2</v>
      </c>
      <c r="E200" s="3" t="s">
        <v>16</v>
      </c>
      <c r="F200" s="3" t="s">
        <v>293</v>
      </c>
      <c r="G200" s="3" t="s">
        <v>29</v>
      </c>
      <c r="H200" s="3" t="s">
        <v>254</v>
      </c>
    </row>
    <row r="201" spans="1:8" x14ac:dyDescent="0.2">
      <c r="A201" s="3">
        <v>3030302007</v>
      </c>
      <c r="B201" s="4" t="s">
        <v>584</v>
      </c>
      <c r="C201" s="4" t="s">
        <v>575</v>
      </c>
      <c r="D201" s="3">
        <v>1</v>
      </c>
      <c r="E201" s="3" t="s">
        <v>16</v>
      </c>
      <c r="F201" s="3" t="s">
        <v>295</v>
      </c>
      <c r="G201" s="3" t="s">
        <v>17</v>
      </c>
      <c r="H201" s="3" t="s">
        <v>254</v>
      </c>
    </row>
    <row r="202" spans="1:8" x14ac:dyDescent="0.2">
      <c r="A202" s="3">
        <v>3070205003</v>
      </c>
      <c r="B202" s="4" t="s">
        <v>372</v>
      </c>
      <c r="C202" s="4" t="s">
        <v>747</v>
      </c>
      <c r="D202" s="3">
        <v>1</v>
      </c>
      <c r="E202" s="3" t="s">
        <v>16</v>
      </c>
      <c r="F202" s="3" t="s">
        <v>317</v>
      </c>
      <c r="G202" s="3" t="s">
        <v>318</v>
      </c>
      <c r="H202" s="3" t="s">
        <v>254</v>
      </c>
    </row>
    <row r="203" spans="1:8" x14ac:dyDescent="0.2">
      <c r="A203" s="3">
        <v>3070202019</v>
      </c>
      <c r="B203" s="4" t="s">
        <v>388</v>
      </c>
      <c r="C203" s="4" t="s">
        <v>389</v>
      </c>
      <c r="D203" s="3">
        <v>1</v>
      </c>
      <c r="E203" s="3" t="s">
        <v>16</v>
      </c>
      <c r="F203" s="3" t="s">
        <v>317</v>
      </c>
      <c r="G203" s="3" t="s">
        <v>318</v>
      </c>
      <c r="H203" s="3" t="s">
        <v>254</v>
      </c>
    </row>
    <row r="204" spans="1:8" x14ac:dyDescent="0.2">
      <c r="A204" s="3">
        <v>3070209001</v>
      </c>
      <c r="B204" s="4" t="s">
        <v>748</v>
      </c>
      <c r="C204" s="4" t="s">
        <v>246</v>
      </c>
      <c r="D204" s="3">
        <v>1</v>
      </c>
      <c r="E204" s="3" t="s">
        <v>16</v>
      </c>
      <c r="F204" s="3" t="s">
        <v>317</v>
      </c>
      <c r="G204" s="3" t="s">
        <v>318</v>
      </c>
      <c r="H204" s="3" t="s">
        <v>254</v>
      </c>
    </row>
    <row r="205" spans="1:8" x14ac:dyDescent="0.2">
      <c r="A205" s="3">
        <v>3111601003</v>
      </c>
      <c r="B205" s="4" t="s">
        <v>585</v>
      </c>
      <c r="C205" s="4" t="s">
        <v>586</v>
      </c>
      <c r="D205" s="3">
        <v>2</v>
      </c>
      <c r="E205" s="3" t="s">
        <v>16</v>
      </c>
      <c r="F205" s="3" t="s">
        <v>291</v>
      </c>
      <c r="G205" s="3" t="s">
        <v>26</v>
      </c>
      <c r="H205" s="3" t="s">
        <v>254</v>
      </c>
    </row>
    <row r="206" spans="1:8" x14ac:dyDescent="0.2">
      <c r="A206" s="3">
        <v>3060339002</v>
      </c>
      <c r="B206" s="4" t="s">
        <v>737</v>
      </c>
      <c r="C206" s="4" t="s">
        <v>738</v>
      </c>
      <c r="D206" s="3">
        <v>1</v>
      </c>
      <c r="E206" s="3" t="s">
        <v>16</v>
      </c>
      <c r="F206" s="3" t="s">
        <v>702</v>
      </c>
      <c r="G206" s="3" t="s">
        <v>703</v>
      </c>
      <c r="H206" s="3" t="s">
        <v>254</v>
      </c>
    </row>
    <row r="207" spans="1:8" x14ac:dyDescent="0.2">
      <c r="A207" s="3">
        <v>3060325001</v>
      </c>
      <c r="B207" s="4" t="s">
        <v>739</v>
      </c>
      <c r="C207" s="4" t="s">
        <v>740</v>
      </c>
      <c r="D207" s="3">
        <v>1</v>
      </c>
      <c r="E207" s="3" t="s">
        <v>16</v>
      </c>
      <c r="F207" s="3" t="s">
        <v>289</v>
      </c>
      <c r="G207" s="3" t="s">
        <v>23</v>
      </c>
      <c r="H207" s="3" t="s">
        <v>254</v>
      </c>
    </row>
    <row r="208" spans="1:8" x14ac:dyDescent="0.2">
      <c r="A208" s="3">
        <v>3050303006</v>
      </c>
      <c r="B208" s="4" t="s">
        <v>245</v>
      </c>
      <c r="C208" s="4" t="s">
        <v>587</v>
      </c>
      <c r="D208" s="3">
        <v>1</v>
      </c>
      <c r="E208" s="3" t="s">
        <v>16</v>
      </c>
      <c r="F208" s="3" t="s">
        <v>291</v>
      </c>
      <c r="G208" s="3" t="s">
        <v>26</v>
      </c>
      <c r="H208" s="3" t="s">
        <v>254</v>
      </c>
    </row>
    <row r="209" spans="1:8" x14ac:dyDescent="0.2">
      <c r="A209" s="3">
        <v>3080310002</v>
      </c>
      <c r="B209" s="4" t="s">
        <v>588</v>
      </c>
      <c r="C209" s="4" t="s">
        <v>589</v>
      </c>
      <c r="D209" s="3">
        <v>1</v>
      </c>
      <c r="E209" s="3" t="s">
        <v>16</v>
      </c>
      <c r="F209" s="3" t="s">
        <v>295</v>
      </c>
      <c r="G209" s="3" t="s">
        <v>17</v>
      </c>
      <c r="H209" s="3" t="s">
        <v>590</v>
      </c>
    </row>
  </sheetData>
  <phoneticPr fontId="2" type="noConversion"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DD4FE-59EC-4B1F-AD12-6A10E59C5B7D}">
  <dimension ref="A1:H217"/>
  <sheetViews>
    <sheetView workbookViewId="0">
      <selection activeCell="L15" sqref="L15"/>
    </sheetView>
  </sheetViews>
  <sheetFormatPr defaultRowHeight="14.25" x14ac:dyDescent="0.2"/>
  <cols>
    <col min="1" max="1" width="13" customWidth="1"/>
    <col min="2" max="3" width="14.5" customWidth="1"/>
  </cols>
  <sheetData>
    <row r="1" spans="1:8" x14ac:dyDescent="0.2">
      <c r="A1" s="3" t="s">
        <v>1977</v>
      </c>
      <c r="B1" s="4"/>
      <c r="C1" s="4"/>
      <c r="D1" s="3"/>
      <c r="E1" s="3"/>
      <c r="F1" s="3"/>
      <c r="G1" s="3"/>
      <c r="H1" s="3"/>
    </row>
    <row r="2" spans="1:8" ht="28.5" x14ac:dyDescent="0.2">
      <c r="A2" s="1" t="s">
        <v>0</v>
      </c>
      <c r="B2" s="2" t="s">
        <v>1</v>
      </c>
      <c r="C2" s="2" t="s">
        <v>2</v>
      </c>
      <c r="D2" s="1" t="s">
        <v>4</v>
      </c>
      <c r="E2" s="1" t="s">
        <v>3</v>
      </c>
      <c r="F2" s="1" t="s">
        <v>5</v>
      </c>
      <c r="G2" s="1" t="s">
        <v>6</v>
      </c>
      <c r="H2" s="1" t="s">
        <v>7</v>
      </c>
    </row>
    <row r="3" spans="1:8" s="10" customFormat="1" x14ac:dyDescent="0.2">
      <c r="A3" s="8" t="s">
        <v>390</v>
      </c>
      <c r="B3" s="9" t="s">
        <v>8</v>
      </c>
      <c r="C3" s="9" t="s">
        <v>9</v>
      </c>
      <c r="D3" s="13">
        <f>0.3555/0.94</f>
        <v>0.3781914893617021</v>
      </c>
      <c r="E3" s="8" t="s">
        <v>596</v>
      </c>
      <c r="F3" s="8" t="s">
        <v>283</v>
      </c>
      <c r="G3" s="8" t="s">
        <v>13</v>
      </c>
      <c r="H3" s="8" t="s">
        <v>12</v>
      </c>
    </row>
    <row r="4" spans="1:8" x14ac:dyDescent="0.2">
      <c r="A4" s="3">
        <v>402030028</v>
      </c>
      <c r="B4" s="4" t="s">
        <v>107</v>
      </c>
      <c r="C4" s="4" t="s">
        <v>305</v>
      </c>
      <c r="D4" s="3">
        <v>1</v>
      </c>
      <c r="E4" s="3" t="s">
        <v>16</v>
      </c>
      <c r="F4" s="3" t="s">
        <v>289</v>
      </c>
      <c r="G4" s="3" t="s">
        <v>23</v>
      </c>
      <c r="H4" s="3" t="s">
        <v>306</v>
      </c>
    </row>
    <row r="5" spans="1:8" x14ac:dyDescent="0.2">
      <c r="A5" s="3">
        <v>3099980014</v>
      </c>
      <c r="B5" s="4" t="s">
        <v>391</v>
      </c>
      <c r="C5" s="4" t="s">
        <v>392</v>
      </c>
      <c r="D5" s="3">
        <v>1</v>
      </c>
      <c r="E5" s="3" t="s">
        <v>16</v>
      </c>
      <c r="F5" s="3" t="s">
        <v>291</v>
      </c>
      <c r="G5" s="3" t="s">
        <v>26</v>
      </c>
      <c r="H5" s="3" t="s">
        <v>393</v>
      </c>
    </row>
    <row r="6" spans="1:8" x14ac:dyDescent="0.2">
      <c r="A6" s="3">
        <v>3030314005</v>
      </c>
      <c r="B6" s="4" t="s">
        <v>394</v>
      </c>
      <c r="C6" s="4" t="s">
        <v>395</v>
      </c>
      <c r="D6" s="3">
        <v>1</v>
      </c>
      <c r="E6" s="3" t="s">
        <v>16</v>
      </c>
      <c r="F6" s="3" t="s">
        <v>291</v>
      </c>
      <c r="G6" s="3" t="s">
        <v>26</v>
      </c>
      <c r="H6" s="3" t="s">
        <v>18</v>
      </c>
    </row>
    <row r="7" spans="1:8" x14ac:dyDescent="0.2">
      <c r="A7" s="3">
        <v>3030210001</v>
      </c>
      <c r="B7" s="4" t="s">
        <v>396</v>
      </c>
      <c r="C7" s="4" t="s">
        <v>397</v>
      </c>
      <c r="D7" s="3">
        <v>1</v>
      </c>
      <c r="E7" s="3" t="s">
        <v>16</v>
      </c>
      <c r="F7" s="3" t="s">
        <v>295</v>
      </c>
      <c r="G7" s="3" t="s">
        <v>17</v>
      </c>
      <c r="H7" s="3" t="s">
        <v>18</v>
      </c>
    </row>
    <row r="8" spans="1:8" x14ac:dyDescent="0.2">
      <c r="A8" s="3">
        <v>3080301001</v>
      </c>
      <c r="B8" s="4" t="s">
        <v>247</v>
      </c>
      <c r="C8" s="4" t="s">
        <v>398</v>
      </c>
      <c r="D8" s="3">
        <v>1</v>
      </c>
      <c r="E8" s="3" t="s">
        <v>16</v>
      </c>
      <c r="F8" s="3" t="s">
        <v>295</v>
      </c>
      <c r="G8" s="3" t="s">
        <v>17</v>
      </c>
      <c r="H8" s="3" t="s">
        <v>18</v>
      </c>
    </row>
    <row r="9" spans="1:8" x14ac:dyDescent="0.2">
      <c r="A9" s="3">
        <v>3040201001</v>
      </c>
      <c r="B9" s="4" t="s">
        <v>399</v>
      </c>
      <c r="C9" s="4" t="s">
        <v>400</v>
      </c>
      <c r="D9" s="3">
        <v>2</v>
      </c>
      <c r="E9" s="3" t="s">
        <v>16</v>
      </c>
      <c r="F9" s="3" t="s">
        <v>293</v>
      </c>
      <c r="G9" s="3" t="s">
        <v>29</v>
      </c>
      <c r="H9" s="3" t="s">
        <v>18</v>
      </c>
    </row>
    <row r="10" spans="1:8" x14ac:dyDescent="0.2">
      <c r="A10" s="3">
        <v>3030202002</v>
      </c>
      <c r="B10" s="4" t="s">
        <v>401</v>
      </c>
      <c r="C10" s="4" t="s">
        <v>402</v>
      </c>
      <c r="D10" s="3">
        <v>1</v>
      </c>
      <c r="E10" s="3" t="s">
        <v>16</v>
      </c>
      <c r="F10" s="3" t="s">
        <v>295</v>
      </c>
      <c r="G10" s="3" t="s">
        <v>17</v>
      </c>
      <c r="H10" s="3" t="s">
        <v>18</v>
      </c>
    </row>
    <row r="11" spans="1:8" x14ac:dyDescent="0.2">
      <c r="A11" s="3">
        <v>3030202003</v>
      </c>
      <c r="B11" s="4" t="s">
        <v>403</v>
      </c>
      <c r="C11" s="4" t="s">
        <v>404</v>
      </c>
      <c r="D11" s="3">
        <v>1</v>
      </c>
      <c r="E11" s="3" t="s">
        <v>16</v>
      </c>
      <c r="F11" s="3" t="s">
        <v>295</v>
      </c>
      <c r="G11" s="3" t="s">
        <v>17</v>
      </c>
      <c r="H11" s="3" t="s">
        <v>18</v>
      </c>
    </row>
    <row r="12" spans="1:8" x14ac:dyDescent="0.2">
      <c r="A12" s="3">
        <v>3030212001</v>
      </c>
      <c r="B12" s="4" t="s">
        <v>405</v>
      </c>
      <c r="C12" s="4" t="s">
        <v>406</v>
      </c>
      <c r="D12" s="3">
        <v>1</v>
      </c>
      <c r="E12" s="3" t="s">
        <v>16</v>
      </c>
      <c r="F12" s="3" t="s">
        <v>295</v>
      </c>
      <c r="G12" s="3" t="s">
        <v>17</v>
      </c>
      <c r="H12" s="3" t="s">
        <v>18</v>
      </c>
    </row>
    <row r="13" spans="1:8" x14ac:dyDescent="0.2">
      <c r="A13" s="3">
        <v>3030206003</v>
      </c>
      <c r="B13" s="4" t="s">
        <v>407</v>
      </c>
      <c r="C13" s="4" t="s">
        <v>408</v>
      </c>
      <c r="D13" s="3">
        <v>1</v>
      </c>
      <c r="E13" s="3" t="s">
        <v>16</v>
      </c>
      <c r="F13" s="3" t="s">
        <v>295</v>
      </c>
      <c r="G13" s="3" t="s">
        <v>17</v>
      </c>
      <c r="H13" s="3" t="s">
        <v>18</v>
      </c>
    </row>
    <row r="14" spans="1:8" x14ac:dyDescent="0.2">
      <c r="A14" s="3">
        <v>404090136</v>
      </c>
      <c r="B14" s="4" t="s">
        <v>30</v>
      </c>
      <c r="C14" s="4" t="s">
        <v>784</v>
      </c>
      <c r="D14" s="3">
        <v>1</v>
      </c>
      <c r="E14" s="3" t="s">
        <v>16</v>
      </c>
      <c r="F14" s="3" t="s">
        <v>301</v>
      </c>
      <c r="G14" s="3" t="s">
        <v>32</v>
      </c>
      <c r="H14" s="3" t="s">
        <v>33</v>
      </c>
    </row>
    <row r="15" spans="1:8" x14ac:dyDescent="0.2">
      <c r="A15" s="3">
        <v>404090141</v>
      </c>
      <c r="B15" s="4" t="s">
        <v>30</v>
      </c>
      <c r="C15" s="4" t="s">
        <v>1101</v>
      </c>
      <c r="D15" s="3">
        <v>1</v>
      </c>
      <c r="E15" s="3" t="s">
        <v>16</v>
      </c>
      <c r="F15" s="3" t="s">
        <v>301</v>
      </c>
      <c r="G15" s="3" t="s">
        <v>32</v>
      </c>
      <c r="H15" s="3" t="s">
        <v>33</v>
      </c>
    </row>
    <row r="16" spans="1:8" x14ac:dyDescent="0.2">
      <c r="A16" s="3">
        <v>404020072</v>
      </c>
      <c r="B16" s="4" t="s">
        <v>30</v>
      </c>
      <c r="C16" s="4" t="s">
        <v>308</v>
      </c>
      <c r="D16" s="3">
        <v>1</v>
      </c>
      <c r="E16" s="3" t="s">
        <v>16</v>
      </c>
      <c r="F16" s="3" t="s">
        <v>291</v>
      </c>
      <c r="G16" s="3" t="s">
        <v>26</v>
      </c>
      <c r="H16" s="3" t="s">
        <v>33</v>
      </c>
    </row>
    <row r="17" spans="1:8" x14ac:dyDescent="0.2">
      <c r="A17" s="3">
        <v>401040087</v>
      </c>
      <c r="B17" s="4" t="s">
        <v>35</v>
      </c>
      <c r="C17" s="4" t="s">
        <v>410</v>
      </c>
      <c r="D17" s="3">
        <v>1</v>
      </c>
      <c r="E17" s="3" t="s">
        <v>16</v>
      </c>
      <c r="F17" s="3" t="s">
        <v>293</v>
      </c>
      <c r="G17" s="3" t="s">
        <v>29</v>
      </c>
      <c r="H17" s="3" t="s">
        <v>33</v>
      </c>
    </row>
    <row r="18" spans="1:8" x14ac:dyDescent="0.2">
      <c r="A18" s="3">
        <v>401020086</v>
      </c>
      <c r="B18" s="4" t="s">
        <v>35</v>
      </c>
      <c r="C18" s="4" t="s">
        <v>1102</v>
      </c>
      <c r="D18" s="3">
        <v>1</v>
      </c>
      <c r="E18" s="3" t="s">
        <v>16</v>
      </c>
      <c r="F18" s="3" t="s">
        <v>301</v>
      </c>
      <c r="G18" s="3" t="s">
        <v>32</v>
      </c>
      <c r="H18" s="3" t="s">
        <v>33</v>
      </c>
    </row>
    <row r="19" spans="1:8" x14ac:dyDescent="0.2">
      <c r="A19" s="3">
        <v>3080101015</v>
      </c>
      <c r="B19" s="4" t="s">
        <v>411</v>
      </c>
      <c r="C19" s="4" t="s">
        <v>412</v>
      </c>
      <c r="D19" s="3">
        <v>2</v>
      </c>
      <c r="E19" s="3" t="s">
        <v>16</v>
      </c>
      <c r="F19" s="3" t="s">
        <v>293</v>
      </c>
      <c r="G19" s="3" t="s">
        <v>29</v>
      </c>
      <c r="H19" s="3" t="s">
        <v>40</v>
      </c>
    </row>
    <row r="20" spans="1:8" x14ac:dyDescent="0.2">
      <c r="A20" s="3">
        <v>3080101002</v>
      </c>
      <c r="B20" s="4" t="s">
        <v>411</v>
      </c>
      <c r="C20" s="4" t="s">
        <v>413</v>
      </c>
      <c r="D20" s="3">
        <v>2</v>
      </c>
      <c r="E20" s="3" t="s">
        <v>16</v>
      </c>
      <c r="F20" s="3" t="s">
        <v>291</v>
      </c>
      <c r="G20" s="3" t="s">
        <v>26</v>
      </c>
      <c r="H20" s="3" t="s">
        <v>40</v>
      </c>
    </row>
    <row r="21" spans="1:8" x14ac:dyDescent="0.2">
      <c r="A21" s="3">
        <v>3080401064</v>
      </c>
      <c r="B21" s="4" t="s">
        <v>41</v>
      </c>
      <c r="C21" s="4" t="s">
        <v>414</v>
      </c>
      <c r="D21" s="3">
        <v>1</v>
      </c>
      <c r="E21" s="3" t="s">
        <v>16</v>
      </c>
      <c r="F21" s="3" t="s">
        <v>295</v>
      </c>
      <c r="G21" s="3" t="s">
        <v>17</v>
      </c>
      <c r="H21" s="3" t="s">
        <v>40</v>
      </c>
    </row>
    <row r="22" spans="1:8" x14ac:dyDescent="0.2">
      <c r="A22" s="3">
        <v>3080401023</v>
      </c>
      <c r="B22" s="4" t="s">
        <v>41</v>
      </c>
      <c r="C22" s="4" t="s">
        <v>699</v>
      </c>
      <c r="D22" s="3">
        <v>2</v>
      </c>
      <c r="E22" s="3" t="s">
        <v>16</v>
      </c>
      <c r="F22" s="3" t="s">
        <v>289</v>
      </c>
      <c r="G22" s="3" t="s">
        <v>23</v>
      </c>
      <c r="H22" s="3" t="s">
        <v>40</v>
      </c>
    </row>
    <row r="23" spans="1:8" x14ac:dyDescent="0.2">
      <c r="A23" s="3">
        <v>3080401014</v>
      </c>
      <c r="B23" s="4" t="s">
        <v>41</v>
      </c>
      <c r="C23" s="4" t="s">
        <v>417</v>
      </c>
      <c r="D23" s="3">
        <v>4</v>
      </c>
      <c r="E23" s="3" t="s">
        <v>16</v>
      </c>
      <c r="F23" s="3" t="s">
        <v>291</v>
      </c>
      <c r="G23" s="3" t="s">
        <v>26</v>
      </c>
      <c r="H23" s="3" t="s">
        <v>40</v>
      </c>
    </row>
    <row r="24" spans="1:8" x14ac:dyDescent="0.2">
      <c r="A24" s="3">
        <v>3080401016</v>
      </c>
      <c r="B24" s="4" t="s">
        <v>41</v>
      </c>
      <c r="C24" s="4" t="s">
        <v>415</v>
      </c>
      <c r="D24" s="3">
        <v>1</v>
      </c>
      <c r="E24" s="3" t="s">
        <v>16</v>
      </c>
      <c r="F24" s="3" t="s">
        <v>295</v>
      </c>
      <c r="G24" s="3" t="s">
        <v>17</v>
      </c>
      <c r="H24" s="3" t="s">
        <v>40</v>
      </c>
    </row>
    <row r="25" spans="1:8" x14ac:dyDescent="0.2">
      <c r="A25" s="3">
        <v>3080401007</v>
      </c>
      <c r="B25" s="4" t="s">
        <v>41</v>
      </c>
      <c r="C25" s="4" t="s">
        <v>416</v>
      </c>
      <c r="D25" s="3">
        <v>2</v>
      </c>
      <c r="E25" s="3" t="s">
        <v>16</v>
      </c>
      <c r="F25" s="3" t="s">
        <v>293</v>
      </c>
      <c r="G25" s="3" t="s">
        <v>29</v>
      </c>
      <c r="H25" s="3" t="s">
        <v>40</v>
      </c>
    </row>
    <row r="26" spans="1:8" x14ac:dyDescent="0.2">
      <c r="A26" s="3">
        <v>3080401008</v>
      </c>
      <c r="B26" s="4" t="s">
        <v>41</v>
      </c>
      <c r="C26" s="4" t="s">
        <v>700</v>
      </c>
      <c r="D26" s="3">
        <v>2</v>
      </c>
      <c r="E26" s="3" t="s">
        <v>16</v>
      </c>
      <c r="F26" s="3" t="s">
        <v>317</v>
      </c>
      <c r="G26" s="3" t="s">
        <v>318</v>
      </c>
      <c r="H26" s="3" t="s">
        <v>40</v>
      </c>
    </row>
    <row r="27" spans="1:8" x14ac:dyDescent="0.2">
      <c r="A27" s="3">
        <v>3080104018</v>
      </c>
      <c r="B27" s="4" t="s">
        <v>45</v>
      </c>
      <c r="C27" s="4" t="s">
        <v>418</v>
      </c>
      <c r="D27" s="3">
        <v>2</v>
      </c>
      <c r="E27" s="3" t="s">
        <v>16</v>
      </c>
      <c r="F27" s="3" t="s">
        <v>293</v>
      </c>
      <c r="G27" s="3" t="s">
        <v>29</v>
      </c>
      <c r="H27" s="3" t="s">
        <v>40</v>
      </c>
    </row>
    <row r="28" spans="1:8" x14ac:dyDescent="0.2">
      <c r="A28" s="3">
        <v>3080104081</v>
      </c>
      <c r="B28" s="4" t="s">
        <v>45</v>
      </c>
      <c r="C28" s="4" t="s">
        <v>701</v>
      </c>
      <c r="D28" s="3">
        <v>4</v>
      </c>
      <c r="E28" s="3" t="s">
        <v>16</v>
      </c>
      <c r="F28" s="3" t="s">
        <v>289</v>
      </c>
      <c r="G28" s="3" t="s">
        <v>23</v>
      </c>
      <c r="H28" s="3" t="s">
        <v>40</v>
      </c>
    </row>
    <row r="29" spans="1:8" x14ac:dyDescent="0.2">
      <c r="A29" s="3">
        <v>3080104099</v>
      </c>
      <c r="B29" s="4" t="s">
        <v>45</v>
      </c>
      <c r="C29" s="4" t="s">
        <v>419</v>
      </c>
      <c r="D29" s="3">
        <v>2</v>
      </c>
      <c r="E29" s="3" t="s">
        <v>16</v>
      </c>
      <c r="F29" s="3" t="s">
        <v>291</v>
      </c>
      <c r="G29" s="3" t="s">
        <v>26</v>
      </c>
      <c r="H29" s="3" t="s">
        <v>40</v>
      </c>
    </row>
    <row r="30" spans="1:8" x14ac:dyDescent="0.2">
      <c r="A30" s="3">
        <v>3080105121</v>
      </c>
      <c r="B30" s="4" t="s">
        <v>50</v>
      </c>
      <c r="C30" s="4" t="s">
        <v>316</v>
      </c>
      <c r="D30" s="3">
        <v>2</v>
      </c>
      <c r="E30" s="3" t="s">
        <v>16</v>
      </c>
      <c r="F30" s="3" t="s">
        <v>317</v>
      </c>
      <c r="G30" s="3" t="s">
        <v>318</v>
      </c>
      <c r="H30" s="3" t="s">
        <v>40</v>
      </c>
    </row>
    <row r="31" spans="1:8" x14ac:dyDescent="0.2">
      <c r="A31" s="3">
        <v>3080105004</v>
      </c>
      <c r="B31" s="4" t="s">
        <v>50</v>
      </c>
      <c r="C31" s="4" t="s">
        <v>54</v>
      </c>
      <c r="D31" s="3">
        <v>6</v>
      </c>
      <c r="E31" s="3" t="s">
        <v>16</v>
      </c>
      <c r="F31" s="3" t="s">
        <v>289</v>
      </c>
      <c r="G31" s="3" t="s">
        <v>23</v>
      </c>
      <c r="H31" s="3" t="s">
        <v>40</v>
      </c>
    </row>
    <row r="32" spans="1:8" x14ac:dyDescent="0.2">
      <c r="A32" s="3">
        <v>3080105040</v>
      </c>
      <c r="B32" s="4" t="s">
        <v>50</v>
      </c>
      <c r="C32" s="4" t="s">
        <v>421</v>
      </c>
      <c r="D32" s="3">
        <v>12</v>
      </c>
      <c r="E32" s="3" t="s">
        <v>16</v>
      </c>
      <c r="F32" s="3" t="s">
        <v>293</v>
      </c>
      <c r="G32" s="3" t="s">
        <v>29</v>
      </c>
      <c r="H32" s="3" t="s">
        <v>40</v>
      </c>
    </row>
    <row r="33" spans="1:8" x14ac:dyDescent="0.2">
      <c r="A33" s="3">
        <v>3080105015</v>
      </c>
      <c r="B33" s="4" t="s">
        <v>50</v>
      </c>
      <c r="C33" s="4" t="s">
        <v>422</v>
      </c>
      <c r="D33" s="3">
        <v>8</v>
      </c>
      <c r="E33" s="3" t="s">
        <v>16</v>
      </c>
      <c r="F33" s="3" t="s">
        <v>293</v>
      </c>
      <c r="G33" s="3" t="s">
        <v>29</v>
      </c>
      <c r="H33" s="3" t="s">
        <v>40</v>
      </c>
    </row>
    <row r="34" spans="1:8" x14ac:dyDescent="0.2">
      <c r="A34" s="3">
        <v>3080105114</v>
      </c>
      <c r="B34" s="4" t="s">
        <v>50</v>
      </c>
      <c r="C34" s="4" t="s">
        <v>53</v>
      </c>
      <c r="D34" s="3">
        <v>5</v>
      </c>
      <c r="E34" s="3" t="s">
        <v>16</v>
      </c>
      <c r="F34" s="3" t="s">
        <v>289</v>
      </c>
      <c r="G34" s="3" t="s">
        <v>23</v>
      </c>
      <c r="H34" s="3" t="s">
        <v>40</v>
      </c>
    </row>
    <row r="35" spans="1:8" x14ac:dyDescent="0.2">
      <c r="A35" s="3">
        <v>3080105114</v>
      </c>
      <c r="B35" s="4" t="s">
        <v>50</v>
      </c>
      <c r="C35" s="4" t="s">
        <v>53</v>
      </c>
      <c r="D35" s="3">
        <v>6</v>
      </c>
      <c r="E35" s="3" t="s">
        <v>16</v>
      </c>
      <c r="F35" s="3" t="s">
        <v>702</v>
      </c>
      <c r="G35" s="3" t="s">
        <v>703</v>
      </c>
      <c r="H35" s="3" t="s">
        <v>40</v>
      </c>
    </row>
    <row r="36" spans="1:8" x14ac:dyDescent="0.2">
      <c r="A36" s="3">
        <v>3080105114</v>
      </c>
      <c r="B36" s="4" t="s">
        <v>50</v>
      </c>
      <c r="C36" s="4" t="s">
        <v>53</v>
      </c>
      <c r="D36" s="3">
        <v>4</v>
      </c>
      <c r="E36" s="3" t="s">
        <v>16</v>
      </c>
      <c r="F36" s="3" t="s">
        <v>289</v>
      </c>
      <c r="G36" s="3" t="s">
        <v>23</v>
      </c>
      <c r="H36" s="3" t="s">
        <v>40</v>
      </c>
    </row>
    <row r="37" spans="1:8" x14ac:dyDescent="0.2">
      <c r="A37" s="3">
        <v>3080105114</v>
      </c>
      <c r="B37" s="4" t="s">
        <v>50</v>
      </c>
      <c r="C37" s="4" t="s">
        <v>53</v>
      </c>
      <c r="D37" s="3">
        <v>3</v>
      </c>
      <c r="E37" s="3" t="s">
        <v>16</v>
      </c>
      <c r="F37" s="3" t="s">
        <v>702</v>
      </c>
      <c r="G37" s="3" t="s">
        <v>703</v>
      </c>
      <c r="H37" s="3" t="s">
        <v>40</v>
      </c>
    </row>
    <row r="38" spans="1:8" x14ac:dyDescent="0.2">
      <c r="A38" s="3">
        <v>3080105088</v>
      </c>
      <c r="B38" s="4" t="s">
        <v>50</v>
      </c>
      <c r="C38" s="4" t="s">
        <v>423</v>
      </c>
      <c r="D38" s="3">
        <v>2</v>
      </c>
      <c r="E38" s="3" t="s">
        <v>16</v>
      </c>
      <c r="F38" s="3" t="s">
        <v>293</v>
      </c>
      <c r="G38" s="3" t="s">
        <v>29</v>
      </c>
      <c r="H38" s="3" t="s">
        <v>40</v>
      </c>
    </row>
    <row r="39" spans="1:8" x14ac:dyDescent="0.2">
      <c r="A39" s="3">
        <v>3080104055</v>
      </c>
      <c r="B39" s="4" t="s">
        <v>50</v>
      </c>
      <c r="C39" s="4" t="s">
        <v>425</v>
      </c>
      <c r="D39" s="3">
        <v>2</v>
      </c>
      <c r="E39" s="3" t="s">
        <v>16</v>
      </c>
      <c r="F39" s="3" t="s">
        <v>291</v>
      </c>
      <c r="G39" s="3" t="s">
        <v>26</v>
      </c>
      <c r="H39" s="3" t="s">
        <v>40</v>
      </c>
    </row>
    <row r="40" spans="1:8" x14ac:dyDescent="0.2">
      <c r="A40" s="3">
        <v>3080105040</v>
      </c>
      <c r="B40" s="4" t="s">
        <v>50</v>
      </c>
      <c r="C40" s="4" t="s">
        <v>421</v>
      </c>
      <c r="D40" s="3">
        <v>2</v>
      </c>
      <c r="E40" s="3" t="s">
        <v>16</v>
      </c>
      <c r="F40" s="3" t="s">
        <v>291</v>
      </c>
      <c r="G40" s="3" t="s">
        <v>26</v>
      </c>
      <c r="H40" s="3" t="s">
        <v>40</v>
      </c>
    </row>
    <row r="41" spans="1:8" x14ac:dyDescent="0.2">
      <c r="A41" s="3">
        <v>3080105046</v>
      </c>
      <c r="B41" s="4" t="s">
        <v>50</v>
      </c>
      <c r="C41" s="4" t="s">
        <v>863</v>
      </c>
      <c r="D41" s="3">
        <v>2</v>
      </c>
      <c r="E41" s="3" t="s">
        <v>16</v>
      </c>
      <c r="F41" s="3" t="s">
        <v>291</v>
      </c>
      <c r="G41" s="3" t="s">
        <v>26</v>
      </c>
      <c r="H41" s="3" t="s">
        <v>40</v>
      </c>
    </row>
    <row r="42" spans="1:8" x14ac:dyDescent="0.2">
      <c r="A42" s="3">
        <v>3080105008</v>
      </c>
      <c r="B42" s="4" t="s">
        <v>50</v>
      </c>
      <c r="C42" s="4" t="s">
        <v>424</v>
      </c>
      <c r="D42" s="3">
        <v>8</v>
      </c>
      <c r="E42" s="3" t="s">
        <v>16</v>
      </c>
      <c r="F42" s="3" t="s">
        <v>293</v>
      </c>
      <c r="G42" s="3" t="s">
        <v>29</v>
      </c>
      <c r="H42" s="3" t="s">
        <v>40</v>
      </c>
    </row>
    <row r="43" spans="1:8" x14ac:dyDescent="0.2">
      <c r="A43" s="3">
        <v>3080105021</v>
      </c>
      <c r="B43" s="4" t="s">
        <v>50</v>
      </c>
      <c r="C43" s="4" t="s">
        <v>319</v>
      </c>
      <c r="D43" s="3">
        <v>8</v>
      </c>
      <c r="E43" s="3" t="s">
        <v>16</v>
      </c>
      <c r="F43" s="3" t="s">
        <v>317</v>
      </c>
      <c r="G43" s="3" t="s">
        <v>318</v>
      </c>
      <c r="H43" s="3" t="s">
        <v>40</v>
      </c>
    </row>
    <row r="44" spans="1:8" x14ac:dyDescent="0.2">
      <c r="A44" s="3">
        <v>3080502003</v>
      </c>
      <c r="B44" s="4" t="s">
        <v>55</v>
      </c>
      <c r="C44" s="4" t="s">
        <v>426</v>
      </c>
      <c r="D44" s="3">
        <v>2</v>
      </c>
      <c r="E44" s="3" t="s">
        <v>16</v>
      </c>
      <c r="F44" s="3" t="s">
        <v>291</v>
      </c>
      <c r="G44" s="3" t="s">
        <v>26</v>
      </c>
      <c r="H44" s="3" t="s">
        <v>40</v>
      </c>
    </row>
    <row r="45" spans="1:8" x14ac:dyDescent="0.2">
      <c r="A45" s="3">
        <v>3080502002</v>
      </c>
      <c r="B45" s="4" t="s">
        <v>55</v>
      </c>
      <c r="C45" s="4" t="s">
        <v>56</v>
      </c>
      <c r="D45" s="3">
        <v>1</v>
      </c>
      <c r="E45" s="3" t="s">
        <v>16</v>
      </c>
      <c r="F45" s="3" t="s">
        <v>317</v>
      </c>
      <c r="G45" s="3" t="s">
        <v>318</v>
      </c>
      <c r="H45" s="3" t="s">
        <v>40</v>
      </c>
    </row>
    <row r="46" spans="1:8" x14ac:dyDescent="0.2">
      <c r="A46" s="3">
        <v>3080201005</v>
      </c>
      <c r="B46" s="4" t="s">
        <v>60</v>
      </c>
      <c r="C46" s="4" t="s">
        <v>427</v>
      </c>
      <c r="D46" s="3">
        <v>1</v>
      </c>
      <c r="E46" s="3" t="s">
        <v>16</v>
      </c>
      <c r="F46" s="3" t="s">
        <v>291</v>
      </c>
      <c r="G46" s="3" t="s">
        <v>26</v>
      </c>
      <c r="H46" s="3" t="s">
        <v>40</v>
      </c>
    </row>
    <row r="47" spans="1:8" x14ac:dyDescent="0.2">
      <c r="A47" s="3">
        <v>3080201006</v>
      </c>
      <c r="B47" s="4" t="s">
        <v>60</v>
      </c>
      <c r="C47" s="4" t="s">
        <v>428</v>
      </c>
      <c r="D47" s="3">
        <v>1</v>
      </c>
      <c r="E47" s="3" t="s">
        <v>16</v>
      </c>
      <c r="F47" s="3" t="s">
        <v>291</v>
      </c>
      <c r="G47" s="3" t="s">
        <v>26</v>
      </c>
      <c r="H47" s="3" t="s">
        <v>40</v>
      </c>
    </row>
    <row r="48" spans="1:8" x14ac:dyDescent="0.2">
      <c r="A48" s="3">
        <v>3080201012</v>
      </c>
      <c r="B48" s="4" t="s">
        <v>60</v>
      </c>
      <c r="C48" s="4" t="s">
        <v>320</v>
      </c>
      <c r="D48" s="3">
        <v>2</v>
      </c>
      <c r="E48" s="3" t="s">
        <v>16</v>
      </c>
      <c r="F48" s="3" t="s">
        <v>289</v>
      </c>
      <c r="G48" s="3" t="s">
        <v>23</v>
      </c>
      <c r="H48" s="3" t="s">
        <v>40</v>
      </c>
    </row>
    <row r="49" spans="1:8" x14ac:dyDescent="0.2">
      <c r="A49" s="3">
        <v>3080201012</v>
      </c>
      <c r="B49" s="4" t="s">
        <v>60</v>
      </c>
      <c r="C49" s="4" t="s">
        <v>320</v>
      </c>
      <c r="D49" s="3">
        <v>1</v>
      </c>
      <c r="E49" s="3" t="s">
        <v>16</v>
      </c>
      <c r="F49" s="3" t="s">
        <v>317</v>
      </c>
      <c r="G49" s="3" t="s">
        <v>318</v>
      </c>
      <c r="H49" s="3" t="s">
        <v>40</v>
      </c>
    </row>
    <row r="50" spans="1:8" x14ac:dyDescent="0.2">
      <c r="A50" s="3">
        <v>3080107284</v>
      </c>
      <c r="B50" s="4" t="s">
        <v>69</v>
      </c>
      <c r="C50" s="4" t="s">
        <v>706</v>
      </c>
      <c r="D50" s="3">
        <v>1</v>
      </c>
      <c r="E50" s="3" t="s">
        <v>16</v>
      </c>
      <c r="F50" s="3" t="s">
        <v>317</v>
      </c>
      <c r="G50" s="3" t="s">
        <v>318</v>
      </c>
      <c r="H50" s="3" t="s">
        <v>40</v>
      </c>
    </row>
    <row r="51" spans="1:8" x14ac:dyDescent="0.2">
      <c r="A51" s="3">
        <v>3080107308</v>
      </c>
      <c r="B51" s="4" t="s">
        <v>69</v>
      </c>
      <c r="C51" s="4" t="s">
        <v>433</v>
      </c>
      <c r="D51" s="3">
        <v>2</v>
      </c>
      <c r="E51" s="3" t="s">
        <v>16</v>
      </c>
      <c r="F51" s="3" t="s">
        <v>291</v>
      </c>
      <c r="G51" s="3" t="s">
        <v>26</v>
      </c>
      <c r="H51" s="3" t="s">
        <v>40</v>
      </c>
    </row>
    <row r="52" spans="1:8" x14ac:dyDescent="0.2">
      <c r="A52" s="3">
        <v>3080107305</v>
      </c>
      <c r="B52" s="4" t="s">
        <v>69</v>
      </c>
      <c r="C52" s="4" t="s">
        <v>434</v>
      </c>
      <c r="D52" s="3">
        <v>2</v>
      </c>
      <c r="E52" s="3" t="s">
        <v>16</v>
      </c>
      <c r="F52" s="3" t="s">
        <v>291</v>
      </c>
      <c r="G52" s="3" t="s">
        <v>26</v>
      </c>
      <c r="H52" s="3" t="s">
        <v>40</v>
      </c>
    </row>
    <row r="53" spans="1:8" x14ac:dyDescent="0.2">
      <c r="A53" s="3">
        <v>3080107034</v>
      </c>
      <c r="B53" s="4" t="s">
        <v>69</v>
      </c>
      <c r="C53" s="4" t="s">
        <v>429</v>
      </c>
      <c r="D53" s="3">
        <v>2</v>
      </c>
      <c r="E53" s="3" t="s">
        <v>16</v>
      </c>
      <c r="F53" s="3" t="s">
        <v>295</v>
      </c>
      <c r="G53" s="3" t="s">
        <v>17</v>
      </c>
      <c r="H53" s="3" t="s">
        <v>40</v>
      </c>
    </row>
    <row r="54" spans="1:8" x14ac:dyDescent="0.2">
      <c r="A54" s="3">
        <v>3080107284</v>
      </c>
      <c r="B54" s="4" t="s">
        <v>69</v>
      </c>
      <c r="C54" s="4" t="s">
        <v>706</v>
      </c>
      <c r="D54" s="3">
        <v>1</v>
      </c>
      <c r="E54" s="3" t="s">
        <v>16</v>
      </c>
      <c r="F54" s="3" t="s">
        <v>289</v>
      </c>
      <c r="G54" s="3" t="s">
        <v>23</v>
      </c>
      <c r="H54" s="3" t="s">
        <v>40</v>
      </c>
    </row>
    <row r="55" spans="1:8" x14ac:dyDescent="0.2">
      <c r="A55" s="3">
        <v>3080107160</v>
      </c>
      <c r="B55" s="4" t="s">
        <v>69</v>
      </c>
      <c r="C55" s="4" t="s">
        <v>432</v>
      </c>
      <c r="D55" s="3">
        <v>4</v>
      </c>
      <c r="E55" s="3" t="s">
        <v>16</v>
      </c>
      <c r="F55" s="3" t="s">
        <v>293</v>
      </c>
      <c r="G55" s="3" t="s">
        <v>29</v>
      </c>
      <c r="H55" s="3" t="s">
        <v>40</v>
      </c>
    </row>
    <row r="56" spans="1:8" x14ac:dyDescent="0.2">
      <c r="A56" s="3">
        <v>3080107072</v>
      </c>
      <c r="B56" s="4" t="s">
        <v>69</v>
      </c>
      <c r="C56" s="4" t="s">
        <v>435</v>
      </c>
      <c r="D56" s="3">
        <v>4</v>
      </c>
      <c r="E56" s="3" t="s">
        <v>16</v>
      </c>
      <c r="F56" s="3" t="s">
        <v>291</v>
      </c>
      <c r="G56" s="3" t="s">
        <v>26</v>
      </c>
      <c r="H56" s="3" t="s">
        <v>40</v>
      </c>
    </row>
    <row r="57" spans="1:8" x14ac:dyDescent="0.2">
      <c r="A57" s="3">
        <v>3080107094</v>
      </c>
      <c r="B57" s="4" t="s">
        <v>69</v>
      </c>
      <c r="C57" s="4" t="s">
        <v>436</v>
      </c>
      <c r="D57" s="3">
        <v>2</v>
      </c>
      <c r="E57" s="3" t="s">
        <v>16</v>
      </c>
      <c r="F57" s="3" t="s">
        <v>291</v>
      </c>
      <c r="G57" s="3" t="s">
        <v>26</v>
      </c>
      <c r="H57" s="3" t="s">
        <v>40</v>
      </c>
    </row>
    <row r="58" spans="1:8" x14ac:dyDescent="0.2">
      <c r="A58" s="3">
        <v>3080107111</v>
      </c>
      <c r="B58" s="4" t="s">
        <v>69</v>
      </c>
      <c r="C58" s="4" t="s">
        <v>787</v>
      </c>
      <c r="D58" s="3">
        <v>1</v>
      </c>
      <c r="E58" s="3" t="s">
        <v>16</v>
      </c>
      <c r="F58" s="3" t="s">
        <v>289</v>
      </c>
      <c r="G58" s="3" t="s">
        <v>23</v>
      </c>
      <c r="H58" s="3" t="s">
        <v>40</v>
      </c>
    </row>
    <row r="59" spans="1:8" x14ac:dyDescent="0.2">
      <c r="A59" s="3">
        <v>3080107112</v>
      </c>
      <c r="B59" s="4" t="s">
        <v>69</v>
      </c>
      <c r="C59" s="4" t="s">
        <v>705</v>
      </c>
      <c r="D59" s="3">
        <v>2</v>
      </c>
      <c r="E59" s="3" t="s">
        <v>16</v>
      </c>
      <c r="F59" s="3" t="s">
        <v>289</v>
      </c>
      <c r="G59" s="3" t="s">
        <v>23</v>
      </c>
      <c r="H59" s="3" t="s">
        <v>40</v>
      </c>
    </row>
    <row r="60" spans="1:8" x14ac:dyDescent="0.2">
      <c r="A60" s="3">
        <v>3080107034</v>
      </c>
      <c r="B60" s="4" t="s">
        <v>69</v>
      </c>
      <c r="C60" s="4" t="s">
        <v>429</v>
      </c>
      <c r="D60" s="3">
        <v>6</v>
      </c>
      <c r="E60" s="3" t="s">
        <v>16</v>
      </c>
      <c r="F60" s="3" t="s">
        <v>295</v>
      </c>
      <c r="G60" s="3" t="s">
        <v>17</v>
      </c>
      <c r="H60" s="3" t="s">
        <v>40</v>
      </c>
    </row>
    <row r="61" spans="1:8" x14ac:dyDescent="0.2">
      <c r="A61" s="3">
        <v>3080107002</v>
      </c>
      <c r="B61" s="4" t="s">
        <v>69</v>
      </c>
      <c r="C61" s="4" t="s">
        <v>430</v>
      </c>
      <c r="D61" s="3">
        <v>4</v>
      </c>
      <c r="E61" s="3" t="s">
        <v>16</v>
      </c>
      <c r="F61" s="3" t="s">
        <v>295</v>
      </c>
      <c r="G61" s="3" t="s">
        <v>17</v>
      </c>
      <c r="H61" s="3" t="s">
        <v>40</v>
      </c>
    </row>
    <row r="62" spans="1:8" x14ac:dyDescent="0.2">
      <c r="A62" s="3">
        <v>3080107052</v>
      </c>
      <c r="B62" s="4" t="s">
        <v>69</v>
      </c>
      <c r="C62" s="4" t="s">
        <v>431</v>
      </c>
      <c r="D62" s="3">
        <v>1</v>
      </c>
      <c r="E62" s="3" t="s">
        <v>16</v>
      </c>
      <c r="F62" s="3" t="s">
        <v>295</v>
      </c>
      <c r="G62" s="3" t="s">
        <v>17</v>
      </c>
      <c r="H62" s="3" t="s">
        <v>40</v>
      </c>
    </row>
    <row r="63" spans="1:8" x14ac:dyDescent="0.2">
      <c r="A63" s="3">
        <v>3080108033</v>
      </c>
      <c r="B63" s="4" t="s">
        <v>77</v>
      </c>
      <c r="C63" s="4" t="s">
        <v>438</v>
      </c>
      <c r="D63" s="3">
        <v>4</v>
      </c>
      <c r="E63" s="3" t="s">
        <v>16</v>
      </c>
      <c r="F63" s="3" t="s">
        <v>291</v>
      </c>
      <c r="G63" s="3" t="s">
        <v>26</v>
      </c>
      <c r="H63" s="3" t="s">
        <v>40</v>
      </c>
    </row>
    <row r="64" spans="1:8" x14ac:dyDescent="0.2">
      <c r="A64" s="3">
        <v>3080108025</v>
      </c>
      <c r="B64" s="4" t="s">
        <v>77</v>
      </c>
      <c r="C64" s="4" t="s">
        <v>437</v>
      </c>
      <c r="D64" s="3">
        <v>7</v>
      </c>
      <c r="E64" s="3" t="s">
        <v>16</v>
      </c>
      <c r="F64" s="3" t="s">
        <v>295</v>
      </c>
      <c r="G64" s="3" t="s">
        <v>17</v>
      </c>
      <c r="H64" s="3" t="s">
        <v>40</v>
      </c>
    </row>
    <row r="65" spans="1:8" x14ac:dyDescent="0.2">
      <c r="A65" s="3">
        <v>3080403001</v>
      </c>
      <c r="B65" s="4" t="s">
        <v>439</v>
      </c>
      <c r="C65" s="4" t="s">
        <v>440</v>
      </c>
      <c r="D65" s="3">
        <v>1</v>
      </c>
      <c r="E65" s="3" t="s">
        <v>16</v>
      </c>
      <c r="F65" s="3" t="s">
        <v>295</v>
      </c>
      <c r="G65" s="3" t="s">
        <v>17</v>
      </c>
      <c r="H65" s="3" t="s">
        <v>40</v>
      </c>
    </row>
    <row r="66" spans="1:8" x14ac:dyDescent="0.2">
      <c r="A66" s="3">
        <v>3080109002</v>
      </c>
      <c r="B66" s="4" t="s">
        <v>441</v>
      </c>
      <c r="C66" s="4" t="s">
        <v>442</v>
      </c>
      <c r="D66" s="3">
        <v>2</v>
      </c>
      <c r="E66" s="3" t="s">
        <v>16</v>
      </c>
      <c r="F66" s="3" t="s">
        <v>295</v>
      </c>
      <c r="G66" s="3" t="s">
        <v>17</v>
      </c>
      <c r="H66" s="3" t="s">
        <v>40</v>
      </c>
    </row>
    <row r="67" spans="1:8" x14ac:dyDescent="0.2">
      <c r="A67" s="3">
        <v>3080111087</v>
      </c>
      <c r="B67" s="4" t="s">
        <v>79</v>
      </c>
      <c r="C67" s="4" t="s">
        <v>80</v>
      </c>
      <c r="D67" s="3">
        <v>7</v>
      </c>
      <c r="E67" s="3" t="s">
        <v>16</v>
      </c>
      <c r="F67" s="3" t="s">
        <v>291</v>
      </c>
      <c r="G67" s="3" t="s">
        <v>26</v>
      </c>
      <c r="H67" s="3" t="s">
        <v>40</v>
      </c>
    </row>
    <row r="68" spans="1:8" x14ac:dyDescent="0.2">
      <c r="A68" s="3">
        <v>3080111087</v>
      </c>
      <c r="B68" s="4" t="s">
        <v>79</v>
      </c>
      <c r="C68" s="4" t="s">
        <v>80</v>
      </c>
      <c r="D68" s="3">
        <v>9</v>
      </c>
      <c r="E68" s="3" t="s">
        <v>16</v>
      </c>
      <c r="F68" s="3" t="s">
        <v>291</v>
      </c>
      <c r="G68" s="3" t="s">
        <v>26</v>
      </c>
      <c r="H68" s="3" t="s">
        <v>40</v>
      </c>
    </row>
    <row r="69" spans="1:8" x14ac:dyDescent="0.2">
      <c r="A69" s="3">
        <v>3080111087</v>
      </c>
      <c r="B69" s="4" t="s">
        <v>79</v>
      </c>
      <c r="C69" s="4" t="s">
        <v>80</v>
      </c>
      <c r="D69" s="3">
        <v>4</v>
      </c>
      <c r="E69" s="3" t="s">
        <v>16</v>
      </c>
      <c r="F69" s="3" t="s">
        <v>291</v>
      </c>
      <c r="G69" s="3" t="s">
        <v>26</v>
      </c>
      <c r="H69" s="3" t="s">
        <v>40</v>
      </c>
    </row>
    <row r="70" spans="1:8" x14ac:dyDescent="0.2">
      <c r="A70" s="3">
        <v>3080111015</v>
      </c>
      <c r="B70" s="4" t="s">
        <v>79</v>
      </c>
      <c r="C70" s="4" t="s">
        <v>446</v>
      </c>
      <c r="D70" s="3">
        <v>4</v>
      </c>
      <c r="E70" s="3" t="s">
        <v>16</v>
      </c>
      <c r="F70" s="3" t="s">
        <v>291</v>
      </c>
      <c r="G70" s="3" t="s">
        <v>26</v>
      </c>
      <c r="H70" s="3" t="s">
        <v>40</v>
      </c>
    </row>
    <row r="71" spans="1:8" x14ac:dyDescent="0.2">
      <c r="A71" s="3">
        <v>3080111012</v>
      </c>
      <c r="B71" s="4" t="s">
        <v>79</v>
      </c>
      <c r="C71" s="4" t="s">
        <v>443</v>
      </c>
      <c r="D71" s="3">
        <v>2</v>
      </c>
      <c r="E71" s="3" t="s">
        <v>16</v>
      </c>
      <c r="F71" s="3" t="s">
        <v>295</v>
      </c>
      <c r="G71" s="3" t="s">
        <v>17</v>
      </c>
      <c r="H71" s="3" t="s">
        <v>40</v>
      </c>
    </row>
    <row r="72" spans="1:8" x14ac:dyDescent="0.2">
      <c r="A72" s="3">
        <v>3080111006</v>
      </c>
      <c r="B72" s="4" t="s">
        <v>79</v>
      </c>
      <c r="C72" s="4" t="s">
        <v>444</v>
      </c>
      <c r="D72" s="3">
        <v>1</v>
      </c>
      <c r="E72" s="3" t="s">
        <v>16</v>
      </c>
      <c r="F72" s="3" t="s">
        <v>295</v>
      </c>
      <c r="G72" s="3" t="s">
        <v>17</v>
      </c>
      <c r="H72" s="3" t="s">
        <v>40</v>
      </c>
    </row>
    <row r="73" spans="1:8" x14ac:dyDescent="0.2">
      <c r="A73" s="3">
        <v>3080111004</v>
      </c>
      <c r="B73" s="4" t="s">
        <v>79</v>
      </c>
      <c r="C73" s="4" t="s">
        <v>445</v>
      </c>
      <c r="D73" s="3">
        <v>2</v>
      </c>
      <c r="E73" s="3" t="s">
        <v>16</v>
      </c>
      <c r="F73" s="3" t="s">
        <v>293</v>
      </c>
      <c r="G73" s="3" t="s">
        <v>29</v>
      </c>
      <c r="H73" s="3" t="s">
        <v>40</v>
      </c>
    </row>
    <row r="74" spans="1:8" x14ac:dyDescent="0.2">
      <c r="A74" s="3">
        <v>407030133</v>
      </c>
      <c r="B74" s="4" t="s">
        <v>81</v>
      </c>
      <c r="C74" s="4" t="s">
        <v>1083</v>
      </c>
      <c r="D74" s="3">
        <v>1</v>
      </c>
      <c r="E74" s="3" t="s">
        <v>16</v>
      </c>
      <c r="F74" s="3" t="s">
        <v>301</v>
      </c>
      <c r="G74" s="3" t="s">
        <v>32</v>
      </c>
      <c r="H74" s="3" t="s">
        <v>40</v>
      </c>
    </row>
    <row r="75" spans="1:8" x14ac:dyDescent="0.2">
      <c r="A75" s="3">
        <v>3099990501</v>
      </c>
      <c r="B75" s="4" t="s">
        <v>708</v>
      </c>
      <c r="C75" s="4" t="s">
        <v>105</v>
      </c>
      <c r="D75" s="3">
        <v>1</v>
      </c>
      <c r="E75" s="3" t="s">
        <v>16</v>
      </c>
      <c r="F75" s="3" t="s">
        <v>709</v>
      </c>
      <c r="G75" s="3" t="s">
        <v>710</v>
      </c>
      <c r="H75" s="3" t="s">
        <v>103</v>
      </c>
    </row>
    <row r="76" spans="1:8" x14ac:dyDescent="0.2">
      <c r="A76" s="3">
        <v>3099990104</v>
      </c>
      <c r="B76" s="4" t="s">
        <v>104</v>
      </c>
      <c r="C76" s="4" t="s">
        <v>448</v>
      </c>
      <c r="D76" s="3">
        <v>1</v>
      </c>
      <c r="E76" s="3" t="s">
        <v>16</v>
      </c>
      <c r="F76" s="3" t="s">
        <v>299</v>
      </c>
      <c r="G76" s="3" t="s">
        <v>106</v>
      </c>
      <c r="H76" s="3" t="s">
        <v>103</v>
      </c>
    </row>
    <row r="77" spans="1:8" x14ac:dyDescent="0.2">
      <c r="A77" s="3">
        <v>3099990704</v>
      </c>
      <c r="B77" s="4" t="s">
        <v>449</v>
      </c>
      <c r="C77" s="4" t="s">
        <v>450</v>
      </c>
      <c r="D77" s="3">
        <v>1</v>
      </c>
      <c r="E77" s="3" t="s">
        <v>16</v>
      </c>
      <c r="F77" s="3" t="s">
        <v>299</v>
      </c>
      <c r="G77" s="3" t="s">
        <v>106</v>
      </c>
      <c r="H77" s="3" t="s">
        <v>103</v>
      </c>
    </row>
    <row r="78" spans="1:8" x14ac:dyDescent="0.2">
      <c r="A78" s="3">
        <v>3099990604</v>
      </c>
      <c r="B78" s="4" t="s">
        <v>451</v>
      </c>
      <c r="C78" s="4" t="s">
        <v>450</v>
      </c>
      <c r="D78" s="3">
        <v>1</v>
      </c>
      <c r="E78" s="3" t="s">
        <v>16</v>
      </c>
      <c r="F78" s="3" t="s">
        <v>299</v>
      </c>
      <c r="G78" s="3" t="s">
        <v>106</v>
      </c>
      <c r="H78" s="3" t="s">
        <v>103</v>
      </c>
    </row>
    <row r="79" spans="1:8" x14ac:dyDescent="0.2">
      <c r="A79" s="3">
        <v>402010065</v>
      </c>
      <c r="B79" s="4" t="s">
        <v>882</v>
      </c>
      <c r="C79" s="4" t="s">
        <v>1927</v>
      </c>
      <c r="D79" s="3">
        <v>1</v>
      </c>
      <c r="E79" s="3" t="s">
        <v>16</v>
      </c>
      <c r="F79" s="3" t="s">
        <v>291</v>
      </c>
      <c r="G79" s="3" t="s">
        <v>26</v>
      </c>
      <c r="H79" s="3" t="s">
        <v>109</v>
      </c>
    </row>
    <row r="80" spans="1:8" x14ac:dyDescent="0.2">
      <c r="A80" s="3">
        <v>402020002</v>
      </c>
      <c r="B80" s="4" t="s">
        <v>111</v>
      </c>
      <c r="C80" s="4" t="s">
        <v>452</v>
      </c>
      <c r="D80" s="3">
        <v>2</v>
      </c>
      <c r="E80" s="3" t="s">
        <v>16</v>
      </c>
      <c r="F80" s="3" t="s">
        <v>293</v>
      </c>
      <c r="G80" s="3" t="s">
        <v>29</v>
      </c>
      <c r="H80" s="3" t="s">
        <v>109</v>
      </c>
    </row>
    <row r="81" spans="1:8" x14ac:dyDescent="0.2">
      <c r="A81" s="3">
        <v>3060210001</v>
      </c>
      <c r="B81" s="4" t="s">
        <v>711</v>
      </c>
      <c r="C81" s="4" t="s">
        <v>712</v>
      </c>
      <c r="D81" s="3">
        <v>2</v>
      </c>
      <c r="E81" s="3" t="s">
        <v>16</v>
      </c>
      <c r="F81" s="3" t="s">
        <v>289</v>
      </c>
      <c r="G81" s="3" t="s">
        <v>23</v>
      </c>
      <c r="H81" s="3" t="s">
        <v>115</v>
      </c>
    </row>
    <row r="82" spans="1:8" x14ac:dyDescent="0.2">
      <c r="A82" s="3">
        <v>3040216001</v>
      </c>
      <c r="B82" s="4" t="s">
        <v>328</v>
      </c>
      <c r="C82" s="4" t="s">
        <v>329</v>
      </c>
      <c r="D82" s="3">
        <v>4</v>
      </c>
      <c r="E82" s="3" t="s">
        <v>16</v>
      </c>
      <c r="F82" s="3" t="s">
        <v>293</v>
      </c>
      <c r="G82" s="3" t="s">
        <v>29</v>
      </c>
      <c r="H82" s="3" t="s">
        <v>115</v>
      </c>
    </row>
    <row r="83" spans="1:8" x14ac:dyDescent="0.2">
      <c r="A83" s="3">
        <v>3030204017</v>
      </c>
      <c r="B83" s="4" t="s">
        <v>453</v>
      </c>
      <c r="C83" s="4" t="s">
        <v>454</v>
      </c>
      <c r="D83" s="3">
        <v>1</v>
      </c>
      <c r="E83" s="3" t="s">
        <v>16</v>
      </c>
      <c r="F83" s="3" t="s">
        <v>295</v>
      </c>
      <c r="G83" s="3" t="s">
        <v>17</v>
      </c>
      <c r="H83" s="3" t="s">
        <v>115</v>
      </c>
    </row>
    <row r="84" spans="1:8" x14ac:dyDescent="0.2">
      <c r="A84" s="3">
        <v>3030204005</v>
      </c>
      <c r="B84" s="4" t="s">
        <v>455</v>
      </c>
      <c r="C84" s="4" t="s">
        <v>456</v>
      </c>
      <c r="D84" s="3">
        <v>1</v>
      </c>
      <c r="E84" s="3" t="s">
        <v>16</v>
      </c>
      <c r="F84" s="3" t="s">
        <v>295</v>
      </c>
      <c r="G84" s="3" t="s">
        <v>17</v>
      </c>
      <c r="H84" s="3" t="s">
        <v>115</v>
      </c>
    </row>
    <row r="85" spans="1:8" x14ac:dyDescent="0.2">
      <c r="A85" s="3">
        <v>3050203003</v>
      </c>
      <c r="B85" s="4" t="s">
        <v>120</v>
      </c>
      <c r="C85" s="4" t="s">
        <v>457</v>
      </c>
      <c r="D85" s="3">
        <v>2</v>
      </c>
      <c r="E85" s="3" t="s">
        <v>16</v>
      </c>
      <c r="F85" s="3" t="s">
        <v>291</v>
      </c>
      <c r="G85" s="3" t="s">
        <v>26</v>
      </c>
      <c r="H85" s="3" t="s">
        <v>115</v>
      </c>
    </row>
    <row r="86" spans="1:8" x14ac:dyDescent="0.2">
      <c r="A86" s="3">
        <v>3030204008</v>
      </c>
      <c r="B86" s="4" t="s">
        <v>122</v>
      </c>
      <c r="C86" s="4" t="s">
        <v>123</v>
      </c>
      <c r="D86" s="3">
        <v>1</v>
      </c>
      <c r="E86" s="3" t="s">
        <v>16</v>
      </c>
      <c r="F86" s="3" t="s">
        <v>291</v>
      </c>
      <c r="G86" s="3" t="s">
        <v>26</v>
      </c>
      <c r="H86" s="3" t="s">
        <v>115</v>
      </c>
    </row>
    <row r="87" spans="1:8" x14ac:dyDescent="0.2">
      <c r="A87" s="3">
        <v>3070104002</v>
      </c>
      <c r="B87" s="4" t="s">
        <v>128</v>
      </c>
      <c r="C87" s="4" t="s">
        <v>129</v>
      </c>
      <c r="D87" s="3">
        <v>1</v>
      </c>
      <c r="E87" s="3" t="s">
        <v>16</v>
      </c>
      <c r="F87" s="3" t="s">
        <v>317</v>
      </c>
      <c r="G87" s="3" t="s">
        <v>318</v>
      </c>
      <c r="H87" s="3" t="s">
        <v>115</v>
      </c>
    </row>
    <row r="88" spans="1:8" x14ac:dyDescent="0.2">
      <c r="A88" s="3">
        <v>3070104001</v>
      </c>
      <c r="B88" s="4" t="s">
        <v>331</v>
      </c>
      <c r="C88" s="4" t="s">
        <v>332</v>
      </c>
      <c r="D88" s="3">
        <v>1</v>
      </c>
      <c r="E88" s="3" t="s">
        <v>16</v>
      </c>
      <c r="F88" s="3" t="s">
        <v>317</v>
      </c>
      <c r="G88" s="3" t="s">
        <v>318</v>
      </c>
      <c r="H88" s="3" t="s">
        <v>115</v>
      </c>
    </row>
    <row r="89" spans="1:8" x14ac:dyDescent="0.2">
      <c r="A89" s="3">
        <v>3030206001</v>
      </c>
      <c r="B89" s="4" t="s">
        <v>458</v>
      </c>
      <c r="C89" s="4" t="s">
        <v>404</v>
      </c>
      <c r="D89" s="3">
        <v>1</v>
      </c>
      <c r="E89" s="3" t="s">
        <v>16</v>
      </c>
      <c r="F89" s="3" t="s">
        <v>295</v>
      </c>
      <c r="G89" s="3" t="s">
        <v>17</v>
      </c>
      <c r="H89" s="3" t="s">
        <v>132</v>
      </c>
    </row>
    <row r="90" spans="1:8" x14ac:dyDescent="0.2">
      <c r="A90" s="3">
        <v>3040502046</v>
      </c>
      <c r="B90" s="4" t="s">
        <v>136</v>
      </c>
      <c r="C90" s="4" t="s">
        <v>778</v>
      </c>
      <c r="D90" s="3">
        <v>1</v>
      </c>
      <c r="E90" s="3" t="s">
        <v>16</v>
      </c>
      <c r="F90" s="3" t="s">
        <v>293</v>
      </c>
      <c r="G90" s="3" t="s">
        <v>29</v>
      </c>
      <c r="H90" s="3" t="s">
        <v>138</v>
      </c>
    </row>
    <row r="91" spans="1:8" x14ac:dyDescent="0.2">
      <c r="A91" s="3">
        <v>3040502048</v>
      </c>
      <c r="B91" s="4" t="s">
        <v>136</v>
      </c>
      <c r="C91" s="4" t="s">
        <v>779</v>
      </c>
      <c r="D91" s="3">
        <v>1</v>
      </c>
      <c r="E91" s="3" t="s">
        <v>16</v>
      </c>
      <c r="F91" s="3" t="s">
        <v>293</v>
      </c>
      <c r="G91" s="3" t="s">
        <v>29</v>
      </c>
      <c r="H91" s="3" t="s">
        <v>138</v>
      </c>
    </row>
    <row r="92" spans="1:8" x14ac:dyDescent="0.2">
      <c r="A92" s="3">
        <v>3990207002</v>
      </c>
      <c r="B92" s="4" t="s">
        <v>140</v>
      </c>
      <c r="C92" s="4" t="s">
        <v>714</v>
      </c>
      <c r="D92" s="3">
        <v>1</v>
      </c>
      <c r="E92" s="3" t="s">
        <v>16</v>
      </c>
      <c r="F92" s="3" t="s">
        <v>285</v>
      </c>
      <c r="G92" s="3" t="s">
        <v>142</v>
      </c>
      <c r="H92" s="3" t="s">
        <v>143</v>
      </c>
    </row>
    <row r="93" spans="1:8" x14ac:dyDescent="0.2">
      <c r="A93" s="3">
        <v>3030301005</v>
      </c>
      <c r="B93" s="4" t="s">
        <v>144</v>
      </c>
      <c r="C93" s="4" t="s">
        <v>145</v>
      </c>
      <c r="D93" s="3">
        <v>2</v>
      </c>
      <c r="E93" s="3" t="s">
        <v>16</v>
      </c>
      <c r="F93" s="3" t="s">
        <v>291</v>
      </c>
      <c r="G93" s="3" t="s">
        <v>26</v>
      </c>
      <c r="H93" s="3" t="s">
        <v>143</v>
      </c>
    </row>
    <row r="94" spans="1:8" x14ac:dyDescent="0.2">
      <c r="A94" s="3">
        <v>3990204002</v>
      </c>
      <c r="B94" s="4" t="s">
        <v>333</v>
      </c>
      <c r="C94" s="4" t="s">
        <v>334</v>
      </c>
      <c r="D94" s="3">
        <v>1</v>
      </c>
      <c r="E94" s="3" t="s">
        <v>16</v>
      </c>
      <c r="F94" s="3" t="s">
        <v>335</v>
      </c>
      <c r="G94" s="3" t="s">
        <v>336</v>
      </c>
      <c r="H94" s="3" t="s">
        <v>143</v>
      </c>
    </row>
    <row r="95" spans="1:8" x14ac:dyDescent="0.2">
      <c r="A95" s="3">
        <v>3990206001</v>
      </c>
      <c r="B95" s="4" t="s">
        <v>715</v>
      </c>
      <c r="C95" s="4" t="s">
        <v>716</v>
      </c>
      <c r="D95" s="3">
        <v>1</v>
      </c>
      <c r="E95" s="3" t="s">
        <v>16</v>
      </c>
      <c r="F95" s="3" t="s">
        <v>717</v>
      </c>
      <c r="G95" s="3" t="s">
        <v>718</v>
      </c>
      <c r="H95" s="3" t="s">
        <v>143</v>
      </c>
    </row>
    <row r="96" spans="1:8" x14ac:dyDescent="0.2">
      <c r="A96" s="3">
        <v>3990205003</v>
      </c>
      <c r="B96" s="4" t="s">
        <v>146</v>
      </c>
      <c r="C96" s="4" t="s">
        <v>460</v>
      </c>
      <c r="D96" s="3">
        <v>1</v>
      </c>
      <c r="E96" s="3" t="s">
        <v>16</v>
      </c>
      <c r="F96" s="3" t="s">
        <v>287</v>
      </c>
      <c r="G96" s="3" t="s">
        <v>148</v>
      </c>
      <c r="H96" s="3" t="s">
        <v>143</v>
      </c>
    </row>
    <row r="97" spans="1:8" x14ac:dyDescent="0.2">
      <c r="A97" s="3">
        <v>408090008</v>
      </c>
      <c r="B97" s="4" t="s">
        <v>461</v>
      </c>
      <c r="C97" s="4" t="s">
        <v>462</v>
      </c>
      <c r="D97" s="3">
        <v>1</v>
      </c>
      <c r="E97" s="3" t="s">
        <v>16</v>
      </c>
      <c r="F97" s="3" t="s">
        <v>293</v>
      </c>
      <c r="G97" s="3" t="s">
        <v>29</v>
      </c>
      <c r="H97" s="3" t="s">
        <v>151</v>
      </c>
    </row>
    <row r="98" spans="1:8" x14ac:dyDescent="0.2">
      <c r="A98" s="3">
        <v>408090007</v>
      </c>
      <c r="B98" s="4" t="s">
        <v>463</v>
      </c>
      <c r="C98" s="4" t="s">
        <v>464</v>
      </c>
      <c r="D98" s="3">
        <v>1</v>
      </c>
      <c r="E98" s="3" t="s">
        <v>16</v>
      </c>
      <c r="F98" s="3" t="s">
        <v>293</v>
      </c>
      <c r="G98" s="3" t="s">
        <v>29</v>
      </c>
      <c r="H98" s="3" t="s">
        <v>151</v>
      </c>
    </row>
    <row r="99" spans="1:8" x14ac:dyDescent="0.2">
      <c r="A99" s="3">
        <v>407010094</v>
      </c>
      <c r="B99" s="4" t="s">
        <v>149</v>
      </c>
      <c r="C99" s="4" t="s">
        <v>1103</v>
      </c>
      <c r="D99" s="3">
        <v>1</v>
      </c>
      <c r="E99" s="3" t="s">
        <v>16</v>
      </c>
      <c r="F99" s="3" t="s">
        <v>289</v>
      </c>
      <c r="G99" s="3" t="s">
        <v>23</v>
      </c>
      <c r="H99" s="3" t="s">
        <v>151</v>
      </c>
    </row>
    <row r="100" spans="1:8" x14ac:dyDescent="0.2">
      <c r="A100" s="3">
        <v>3060318001</v>
      </c>
      <c r="B100" s="4" t="s">
        <v>720</v>
      </c>
      <c r="C100" s="4" t="s">
        <v>721</v>
      </c>
      <c r="D100" s="3">
        <v>1</v>
      </c>
      <c r="E100" s="3" t="s">
        <v>16</v>
      </c>
      <c r="F100" s="3" t="s">
        <v>289</v>
      </c>
      <c r="G100" s="3" t="s">
        <v>23</v>
      </c>
      <c r="H100" s="3" t="s">
        <v>154</v>
      </c>
    </row>
    <row r="101" spans="1:8" x14ac:dyDescent="0.2">
      <c r="A101" s="3">
        <v>3060327003</v>
      </c>
      <c r="B101" s="4" t="s">
        <v>722</v>
      </c>
      <c r="C101" s="4" t="s">
        <v>723</v>
      </c>
      <c r="D101" s="3">
        <v>1</v>
      </c>
      <c r="E101" s="3" t="s">
        <v>16</v>
      </c>
      <c r="F101" s="3" t="s">
        <v>289</v>
      </c>
      <c r="G101" s="3" t="s">
        <v>23</v>
      </c>
      <c r="H101" s="3" t="s">
        <v>154</v>
      </c>
    </row>
    <row r="102" spans="1:8" x14ac:dyDescent="0.2">
      <c r="A102" s="3">
        <v>3080507001</v>
      </c>
      <c r="B102" s="4" t="s">
        <v>466</v>
      </c>
      <c r="C102" s="4" t="s">
        <v>467</v>
      </c>
      <c r="D102" s="3">
        <v>4</v>
      </c>
      <c r="E102" s="3" t="s">
        <v>16</v>
      </c>
      <c r="F102" s="3" t="s">
        <v>291</v>
      </c>
      <c r="G102" s="3" t="s">
        <v>26</v>
      </c>
      <c r="H102" s="3" t="s">
        <v>154</v>
      </c>
    </row>
    <row r="103" spans="1:8" x14ac:dyDescent="0.2">
      <c r="A103" s="3">
        <v>3030301010</v>
      </c>
      <c r="B103" s="4" t="s">
        <v>468</v>
      </c>
      <c r="C103" s="4" t="s">
        <v>469</v>
      </c>
      <c r="D103" s="3">
        <v>4</v>
      </c>
      <c r="E103" s="3" t="s">
        <v>16</v>
      </c>
      <c r="F103" s="3" t="s">
        <v>295</v>
      </c>
      <c r="G103" s="3" t="s">
        <v>17</v>
      </c>
      <c r="H103" s="3" t="s">
        <v>165</v>
      </c>
    </row>
    <row r="104" spans="1:8" x14ac:dyDescent="0.2">
      <c r="A104" s="3">
        <v>3060347005</v>
      </c>
      <c r="B104" s="4" t="s">
        <v>470</v>
      </c>
      <c r="C104" s="4" t="s">
        <v>471</v>
      </c>
      <c r="D104" s="3">
        <v>1</v>
      </c>
      <c r="E104" s="3" t="s">
        <v>16</v>
      </c>
      <c r="F104" s="3" t="s">
        <v>291</v>
      </c>
      <c r="G104" s="3" t="s">
        <v>26</v>
      </c>
      <c r="H104" s="3" t="s">
        <v>165</v>
      </c>
    </row>
    <row r="105" spans="1:8" x14ac:dyDescent="0.2">
      <c r="A105" s="3">
        <v>3060347006</v>
      </c>
      <c r="B105" s="4" t="s">
        <v>470</v>
      </c>
      <c r="C105" s="4" t="s">
        <v>472</v>
      </c>
      <c r="D105" s="3">
        <v>1</v>
      </c>
      <c r="E105" s="3" t="s">
        <v>16</v>
      </c>
      <c r="F105" s="3" t="s">
        <v>291</v>
      </c>
      <c r="G105" s="3" t="s">
        <v>26</v>
      </c>
      <c r="H105" s="3" t="s">
        <v>165</v>
      </c>
    </row>
    <row r="106" spans="1:8" x14ac:dyDescent="0.2">
      <c r="A106" s="3">
        <v>3060307003</v>
      </c>
      <c r="B106" s="4" t="s">
        <v>1085</v>
      </c>
      <c r="C106" s="4" t="s">
        <v>1086</v>
      </c>
      <c r="D106" s="3">
        <v>1</v>
      </c>
      <c r="E106" s="3" t="s">
        <v>16</v>
      </c>
      <c r="F106" s="3" t="s">
        <v>291</v>
      </c>
      <c r="G106" s="3" t="s">
        <v>26</v>
      </c>
      <c r="H106" s="3" t="s">
        <v>165</v>
      </c>
    </row>
    <row r="107" spans="1:8" x14ac:dyDescent="0.2">
      <c r="A107" s="3">
        <v>3060307004</v>
      </c>
      <c r="B107" s="4" t="s">
        <v>1085</v>
      </c>
      <c r="C107" s="4" t="s">
        <v>1087</v>
      </c>
      <c r="D107" s="3">
        <v>1</v>
      </c>
      <c r="E107" s="3" t="s">
        <v>16</v>
      </c>
      <c r="F107" s="3" t="s">
        <v>291</v>
      </c>
      <c r="G107" s="3" t="s">
        <v>26</v>
      </c>
      <c r="H107" s="3" t="s">
        <v>165</v>
      </c>
    </row>
    <row r="108" spans="1:8" x14ac:dyDescent="0.2">
      <c r="A108" s="3">
        <v>3110103002</v>
      </c>
      <c r="B108" s="4" t="s">
        <v>473</v>
      </c>
      <c r="C108" s="4" t="s">
        <v>474</v>
      </c>
      <c r="D108" s="3">
        <v>1</v>
      </c>
      <c r="E108" s="3" t="s">
        <v>16</v>
      </c>
      <c r="F108" s="3" t="s">
        <v>291</v>
      </c>
      <c r="G108" s="3" t="s">
        <v>26</v>
      </c>
      <c r="H108" s="3" t="s">
        <v>165</v>
      </c>
    </row>
    <row r="109" spans="1:8" x14ac:dyDescent="0.2">
      <c r="A109" s="3">
        <v>3030316006</v>
      </c>
      <c r="B109" s="4" t="s">
        <v>475</v>
      </c>
      <c r="C109" s="4" t="s">
        <v>476</v>
      </c>
      <c r="D109" s="3">
        <v>1</v>
      </c>
      <c r="E109" s="3" t="s">
        <v>16</v>
      </c>
      <c r="F109" s="3" t="s">
        <v>295</v>
      </c>
      <c r="G109" s="3" t="s">
        <v>17</v>
      </c>
      <c r="H109" s="3" t="s">
        <v>165</v>
      </c>
    </row>
    <row r="110" spans="1:8" x14ac:dyDescent="0.2">
      <c r="A110" s="3">
        <v>3030314007</v>
      </c>
      <c r="B110" s="4" t="s">
        <v>477</v>
      </c>
      <c r="C110" s="4" t="s">
        <v>478</v>
      </c>
      <c r="D110" s="3">
        <v>1</v>
      </c>
      <c r="E110" s="3" t="s">
        <v>16</v>
      </c>
      <c r="F110" s="3" t="s">
        <v>291</v>
      </c>
      <c r="G110" s="3" t="s">
        <v>26</v>
      </c>
      <c r="H110" s="3" t="s">
        <v>165</v>
      </c>
    </row>
    <row r="111" spans="1:8" x14ac:dyDescent="0.2">
      <c r="A111" s="3">
        <v>3030308013</v>
      </c>
      <c r="B111" s="4" t="s">
        <v>479</v>
      </c>
      <c r="C111" s="4" t="s">
        <v>478</v>
      </c>
      <c r="D111" s="3">
        <v>1</v>
      </c>
      <c r="E111" s="3" t="s">
        <v>16</v>
      </c>
      <c r="F111" s="3" t="s">
        <v>291</v>
      </c>
      <c r="G111" s="3" t="s">
        <v>26</v>
      </c>
      <c r="H111" s="3" t="s">
        <v>165</v>
      </c>
    </row>
    <row r="112" spans="1:8" x14ac:dyDescent="0.2">
      <c r="A112" s="3">
        <v>3050310030</v>
      </c>
      <c r="B112" s="4" t="s">
        <v>480</v>
      </c>
      <c r="C112" s="4" t="s">
        <v>469</v>
      </c>
      <c r="D112" s="3">
        <v>2</v>
      </c>
      <c r="E112" s="3" t="s">
        <v>16</v>
      </c>
      <c r="F112" s="3" t="s">
        <v>291</v>
      </c>
      <c r="G112" s="3" t="s">
        <v>26</v>
      </c>
      <c r="H112" s="3" t="s">
        <v>165</v>
      </c>
    </row>
    <row r="113" spans="1:8" x14ac:dyDescent="0.2">
      <c r="A113" s="3">
        <v>3010106010</v>
      </c>
      <c r="B113" s="4" t="s">
        <v>481</v>
      </c>
      <c r="C113" s="4" t="s">
        <v>482</v>
      </c>
      <c r="D113" s="3">
        <v>0.38</v>
      </c>
      <c r="E113" s="3" t="s">
        <v>10</v>
      </c>
      <c r="F113" s="3" t="s">
        <v>284</v>
      </c>
      <c r="G113" s="3" t="s">
        <v>11</v>
      </c>
      <c r="H113" s="3" t="s">
        <v>483</v>
      </c>
    </row>
    <row r="114" spans="1:8" x14ac:dyDescent="0.2">
      <c r="A114" s="3">
        <v>3060333003</v>
      </c>
      <c r="B114" s="4" t="s">
        <v>227</v>
      </c>
      <c r="C114" s="4" t="s">
        <v>724</v>
      </c>
      <c r="D114" s="3">
        <v>1</v>
      </c>
      <c r="E114" s="3" t="s">
        <v>16</v>
      </c>
      <c r="F114" s="3" t="s">
        <v>289</v>
      </c>
      <c r="G114" s="3" t="s">
        <v>23</v>
      </c>
      <c r="H114" s="3" t="s">
        <v>173</v>
      </c>
    </row>
    <row r="115" spans="1:8" x14ac:dyDescent="0.2">
      <c r="A115" s="3">
        <v>3050305013</v>
      </c>
      <c r="B115" s="4" t="s">
        <v>484</v>
      </c>
      <c r="C115" s="4" t="s">
        <v>485</v>
      </c>
      <c r="D115" s="3">
        <v>1</v>
      </c>
      <c r="E115" s="3" t="s">
        <v>16</v>
      </c>
      <c r="F115" s="3" t="s">
        <v>291</v>
      </c>
      <c r="G115" s="3" t="s">
        <v>26</v>
      </c>
      <c r="H115" s="3" t="s">
        <v>173</v>
      </c>
    </row>
    <row r="116" spans="1:8" x14ac:dyDescent="0.2">
      <c r="A116" s="3">
        <v>3040305002</v>
      </c>
      <c r="B116" s="4" t="s">
        <v>486</v>
      </c>
      <c r="C116" s="4" t="s">
        <v>487</v>
      </c>
      <c r="D116" s="3">
        <v>2</v>
      </c>
      <c r="E116" s="3" t="s">
        <v>16</v>
      </c>
      <c r="F116" s="3" t="s">
        <v>293</v>
      </c>
      <c r="G116" s="3" t="s">
        <v>29</v>
      </c>
      <c r="H116" s="3" t="s">
        <v>173</v>
      </c>
    </row>
    <row r="117" spans="1:8" x14ac:dyDescent="0.2">
      <c r="A117" s="3">
        <v>3040313002</v>
      </c>
      <c r="B117" s="4" t="s">
        <v>488</v>
      </c>
      <c r="C117" s="4" t="s">
        <v>489</v>
      </c>
      <c r="D117" s="3">
        <v>8</v>
      </c>
      <c r="E117" s="3" t="s">
        <v>16</v>
      </c>
      <c r="F117" s="3" t="s">
        <v>293</v>
      </c>
      <c r="G117" s="3" t="s">
        <v>29</v>
      </c>
      <c r="H117" s="3" t="s">
        <v>173</v>
      </c>
    </row>
    <row r="118" spans="1:8" x14ac:dyDescent="0.2">
      <c r="A118" s="3">
        <v>3040321001</v>
      </c>
      <c r="B118" s="4" t="s">
        <v>490</v>
      </c>
      <c r="C118" s="4" t="s">
        <v>347</v>
      </c>
      <c r="D118" s="3">
        <v>8</v>
      </c>
      <c r="E118" s="3" t="s">
        <v>16</v>
      </c>
      <c r="F118" s="3" t="s">
        <v>293</v>
      </c>
      <c r="G118" s="3" t="s">
        <v>29</v>
      </c>
      <c r="H118" s="3" t="s">
        <v>173</v>
      </c>
    </row>
    <row r="119" spans="1:8" x14ac:dyDescent="0.2">
      <c r="A119" s="3">
        <v>3040309001</v>
      </c>
      <c r="B119" s="4" t="s">
        <v>346</v>
      </c>
      <c r="C119" s="4" t="s">
        <v>347</v>
      </c>
      <c r="D119" s="3">
        <v>4</v>
      </c>
      <c r="E119" s="3" t="s">
        <v>16</v>
      </c>
      <c r="F119" s="3" t="s">
        <v>293</v>
      </c>
      <c r="G119" s="3" t="s">
        <v>29</v>
      </c>
      <c r="H119" s="3" t="s">
        <v>173</v>
      </c>
    </row>
    <row r="120" spans="1:8" x14ac:dyDescent="0.2">
      <c r="A120" s="3">
        <v>3070201002</v>
      </c>
      <c r="B120" s="4" t="s">
        <v>348</v>
      </c>
      <c r="C120" s="4" t="s">
        <v>349</v>
      </c>
      <c r="D120" s="3">
        <v>1</v>
      </c>
      <c r="E120" s="3" t="s">
        <v>16</v>
      </c>
      <c r="F120" s="3" t="s">
        <v>317</v>
      </c>
      <c r="G120" s="3" t="s">
        <v>318</v>
      </c>
      <c r="H120" s="3" t="s">
        <v>173</v>
      </c>
    </row>
    <row r="121" spans="1:8" x14ac:dyDescent="0.2">
      <c r="A121" s="3">
        <v>3060340001</v>
      </c>
      <c r="B121" s="4" t="s">
        <v>725</v>
      </c>
      <c r="C121" s="4" t="s">
        <v>726</v>
      </c>
      <c r="D121" s="3">
        <v>1</v>
      </c>
      <c r="E121" s="3" t="s">
        <v>16</v>
      </c>
      <c r="F121" s="3" t="s">
        <v>702</v>
      </c>
      <c r="G121" s="3" t="s">
        <v>703</v>
      </c>
      <c r="H121" s="3" t="s">
        <v>173</v>
      </c>
    </row>
    <row r="122" spans="1:8" x14ac:dyDescent="0.2">
      <c r="A122" s="3">
        <v>3050304006</v>
      </c>
      <c r="B122" s="4" t="s">
        <v>181</v>
      </c>
      <c r="C122" s="4" t="s">
        <v>491</v>
      </c>
      <c r="D122" s="3">
        <v>1</v>
      </c>
      <c r="E122" s="3" t="s">
        <v>16</v>
      </c>
      <c r="F122" s="3" t="s">
        <v>291</v>
      </c>
      <c r="G122" s="3" t="s">
        <v>26</v>
      </c>
      <c r="H122" s="3" t="s">
        <v>173</v>
      </c>
    </row>
    <row r="123" spans="1:8" x14ac:dyDescent="0.2">
      <c r="A123" s="3">
        <v>3020501004</v>
      </c>
      <c r="B123" s="4" t="s">
        <v>183</v>
      </c>
      <c r="C123" s="4" t="s">
        <v>761</v>
      </c>
      <c r="D123" s="3">
        <v>1</v>
      </c>
      <c r="E123" s="3" t="s">
        <v>16</v>
      </c>
      <c r="F123" s="3" t="s">
        <v>291</v>
      </c>
      <c r="G123" s="3" t="s">
        <v>26</v>
      </c>
      <c r="H123" s="3" t="s">
        <v>185</v>
      </c>
    </row>
    <row r="124" spans="1:8" x14ac:dyDescent="0.2">
      <c r="A124" s="3">
        <v>3030204003</v>
      </c>
      <c r="B124" s="4" t="s">
        <v>492</v>
      </c>
      <c r="C124" s="4" t="s">
        <v>493</v>
      </c>
      <c r="D124" s="3">
        <v>2</v>
      </c>
      <c r="E124" s="3" t="s">
        <v>16</v>
      </c>
      <c r="F124" s="3" t="s">
        <v>295</v>
      </c>
      <c r="G124" s="3" t="s">
        <v>17</v>
      </c>
      <c r="H124" s="3" t="s">
        <v>494</v>
      </c>
    </row>
    <row r="125" spans="1:8" x14ac:dyDescent="0.2">
      <c r="A125" s="3">
        <v>3990201008</v>
      </c>
      <c r="B125" s="4" t="s">
        <v>186</v>
      </c>
      <c r="C125" s="4" t="s">
        <v>495</v>
      </c>
      <c r="D125" s="3">
        <v>1</v>
      </c>
      <c r="E125" s="3" t="s">
        <v>16</v>
      </c>
      <c r="F125" s="3" t="s">
        <v>295</v>
      </c>
      <c r="G125" s="3" t="s">
        <v>17</v>
      </c>
      <c r="H125" s="3" t="s">
        <v>187</v>
      </c>
    </row>
    <row r="126" spans="1:8" x14ac:dyDescent="0.2">
      <c r="A126" s="3">
        <v>3990202007</v>
      </c>
      <c r="B126" s="4" t="s">
        <v>188</v>
      </c>
      <c r="C126" s="4" t="s">
        <v>495</v>
      </c>
      <c r="D126" s="3">
        <v>1</v>
      </c>
      <c r="E126" s="3" t="s">
        <v>16</v>
      </c>
      <c r="F126" s="3" t="s">
        <v>295</v>
      </c>
      <c r="G126" s="3" t="s">
        <v>17</v>
      </c>
      <c r="H126" s="3" t="s">
        <v>187</v>
      </c>
    </row>
    <row r="127" spans="1:8" x14ac:dyDescent="0.2">
      <c r="A127" s="3">
        <v>3990203002</v>
      </c>
      <c r="B127" s="4" t="s">
        <v>189</v>
      </c>
      <c r="C127" s="4" t="s">
        <v>495</v>
      </c>
      <c r="D127" s="3">
        <v>1</v>
      </c>
      <c r="E127" s="3" t="s">
        <v>16</v>
      </c>
      <c r="F127" s="3" t="s">
        <v>295</v>
      </c>
      <c r="G127" s="3" t="s">
        <v>17</v>
      </c>
      <c r="H127" s="3" t="s">
        <v>187</v>
      </c>
    </row>
    <row r="128" spans="1:8" x14ac:dyDescent="0.2">
      <c r="A128" s="3">
        <v>3050405006</v>
      </c>
      <c r="B128" s="4" t="s">
        <v>1088</v>
      </c>
      <c r="C128" s="4" t="s">
        <v>1089</v>
      </c>
      <c r="D128" s="3">
        <v>1</v>
      </c>
      <c r="E128" s="3" t="s">
        <v>16</v>
      </c>
      <c r="F128" s="3" t="s">
        <v>291</v>
      </c>
      <c r="G128" s="3" t="s">
        <v>26</v>
      </c>
      <c r="H128" s="3" t="s">
        <v>192</v>
      </c>
    </row>
    <row r="129" spans="1:8" x14ac:dyDescent="0.2">
      <c r="A129" s="3">
        <v>3060403035</v>
      </c>
      <c r="B129" s="4" t="s">
        <v>957</v>
      </c>
      <c r="C129" s="4" t="s">
        <v>502</v>
      </c>
      <c r="D129" s="3">
        <v>1</v>
      </c>
      <c r="E129" s="3" t="s">
        <v>16</v>
      </c>
      <c r="F129" s="3" t="s">
        <v>295</v>
      </c>
      <c r="G129" s="3" t="s">
        <v>17</v>
      </c>
      <c r="H129" s="3" t="s">
        <v>192</v>
      </c>
    </row>
    <row r="130" spans="1:8" x14ac:dyDescent="0.2">
      <c r="A130" s="3">
        <v>3060403036</v>
      </c>
      <c r="B130" s="4" t="s">
        <v>957</v>
      </c>
      <c r="C130" s="4" t="s">
        <v>501</v>
      </c>
      <c r="D130" s="3">
        <v>1</v>
      </c>
      <c r="E130" s="3" t="s">
        <v>16</v>
      </c>
      <c r="F130" s="3" t="s">
        <v>295</v>
      </c>
      <c r="G130" s="3" t="s">
        <v>17</v>
      </c>
      <c r="H130" s="3" t="s">
        <v>192</v>
      </c>
    </row>
    <row r="131" spans="1:8" x14ac:dyDescent="0.2">
      <c r="A131" s="3">
        <v>3060401001</v>
      </c>
      <c r="B131" s="4" t="s">
        <v>727</v>
      </c>
      <c r="C131" s="4" t="s">
        <v>728</v>
      </c>
      <c r="D131" s="3">
        <v>2</v>
      </c>
      <c r="E131" s="3" t="s">
        <v>16</v>
      </c>
      <c r="F131" s="3" t="s">
        <v>289</v>
      </c>
      <c r="G131" s="3" t="s">
        <v>23</v>
      </c>
      <c r="H131" s="3" t="s">
        <v>192</v>
      </c>
    </row>
    <row r="132" spans="1:8" x14ac:dyDescent="0.2">
      <c r="A132" s="3">
        <v>3030402001</v>
      </c>
      <c r="B132" s="4" t="s">
        <v>498</v>
      </c>
      <c r="C132" s="4" t="s">
        <v>499</v>
      </c>
      <c r="D132" s="3">
        <v>1</v>
      </c>
      <c r="E132" s="3" t="s">
        <v>16</v>
      </c>
      <c r="F132" s="3" t="s">
        <v>295</v>
      </c>
      <c r="G132" s="3" t="s">
        <v>17</v>
      </c>
      <c r="H132" s="3" t="s">
        <v>192</v>
      </c>
    </row>
    <row r="133" spans="1:8" x14ac:dyDescent="0.2">
      <c r="A133" s="3">
        <v>3040402005</v>
      </c>
      <c r="B133" s="4" t="s">
        <v>500</v>
      </c>
      <c r="C133" s="4" t="s">
        <v>501</v>
      </c>
      <c r="D133" s="3">
        <v>1</v>
      </c>
      <c r="E133" s="3" t="s">
        <v>16</v>
      </c>
      <c r="F133" s="3" t="s">
        <v>293</v>
      </c>
      <c r="G133" s="3" t="s">
        <v>29</v>
      </c>
      <c r="H133" s="3" t="s">
        <v>192</v>
      </c>
    </row>
    <row r="134" spans="1:8" x14ac:dyDescent="0.2">
      <c r="A134" s="3">
        <v>3040402006</v>
      </c>
      <c r="B134" s="4" t="s">
        <v>500</v>
      </c>
      <c r="C134" s="4" t="s">
        <v>502</v>
      </c>
      <c r="D134" s="3">
        <v>1</v>
      </c>
      <c r="E134" s="3" t="s">
        <v>16</v>
      </c>
      <c r="F134" s="3" t="s">
        <v>293</v>
      </c>
      <c r="G134" s="3" t="s">
        <v>29</v>
      </c>
      <c r="H134" s="3" t="s">
        <v>192</v>
      </c>
    </row>
    <row r="135" spans="1:8" x14ac:dyDescent="0.2">
      <c r="A135" s="3">
        <v>3020301004</v>
      </c>
      <c r="B135" s="4" t="s">
        <v>209</v>
      </c>
      <c r="C135" s="4" t="s">
        <v>1090</v>
      </c>
      <c r="D135" s="3">
        <v>1</v>
      </c>
      <c r="E135" s="3" t="s">
        <v>16</v>
      </c>
      <c r="F135" s="3" t="s">
        <v>301</v>
      </c>
      <c r="G135" s="3" t="s">
        <v>32</v>
      </c>
      <c r="H135" s="3" t="s">
        <v>192</v>
      </c>
    </row>
    <row r="136" spans="1:8" x14ac:dyDescent="0.2">
      <c r="A136" s="3">
        <v>404100035</v>
      </c>
      <c r="B136" s="4" t="s">
        <v>196</v>
      </c>
      <c r="C136" s="4" t="s">
        <v>1104</v>
      </c>
      <c r="D136" s="3">
        <v>1</v>
      </c>
      <c r="E136" s="3" t="s">
        <v>16</v>
      </c>
      <c r="F136" s="3" t="s">
        <v>301</v>
      </c>
      <c r="G136" s="3" t="s">
        <v>32</v>
      </c>
      <c r="H136" s="3" t="s">
        <v>198</v>
      </c>
    </row>
    <row r="137" spans="1:8" x14ac:dyDescent="0.2">
      <c r="A137" s="3">
        <v>404110007</v>
      </c>
      <c r="B137" s="4" t="s">
        <v>504</v>
      </c>
      <c r="C137" s="4" t="s">
        <v>790</v>
      </c>
      <c r="D137" s="3">
        <v>1</v>
      </c>
      <c r="E137" s="3" t="s">
        <v>16</v>
      </c>
      <c r="F137" s="3" t="s">
        <v>301</v>
      </c>
      <c r="G137" s="3" t="s">
        <v>32</v>
      </c>
      <c r="H137" s="3" t="s">
        <v>198</v>
      </c>
    </row>
    <row r="138" spans="1:8" x14ac:dyDescent="0.2">
      <c r="A138" s="3">
        <v>404110008</v>
      </c>
      <c r="B138" s="4" t="s">
        <v>504</v>
      </c>
      <c r="C138" s="4" t="s">
        <v>505</v>
      </c>
      <c r="D138" s="3">
        <v>2</v>
      </c>
      <c r="E138" s="3" t="s">
        <v>16</v>
      </c>
      <c r="F138" s="3" t="s">
        <v>291</v>
      </c>
      <c r="G138" s="3" t="s">
        <v>26</v>
      </c>
      <c r="H138" s="3" t="s">
        <v>198</v>
      </c>
    </row>
    <row r="139" spans="1:8" x14ac:dyDescent="0.2">
      <c r="A139" s="3">
        <v>404110009</v>
      </c>
      <c r="B139" s="4" t="s">
        <v>504</v>
      </c>
      <c r="C139" s="4" t="s">
        <v>791</v>
      </c>
      <c r="D139" s="3">
        <v>1</v>
      </c>
      <c r="E139" s="3" t="s">
        <v>16</v>
      </c>
      <c r="F139" s="3" t="s">
        <v>301</v>
      </c>
      <c r="G139" s="3" t="s">
        <v>32</v>
      </c>
      <c r="H139" s="3" t="s">
        <v>198</v>
      </c>
    </row>
    <row r="140" spans="1:8" x14ac:dyDescent="0.2">
      <c r="A140" s="3">
        <v>404110001</v>
      </c>
      <c r="B140" s="4" t="s">
        <v>504</v>
      </c>
      <c r="C140" s="4" t="s">
        <v>506</v>
      </c>
      <c r="D140" s="3">
        <v>1</v>
      </c>
      <c r="E140" s="3" t="s">
        <v>16</v>
      </c>
      <c r="F140" s="3" t="s">
        <v>291</v>
      </c>
      <c r="G140" s="3" t="s">
        <v>26</v>
      </c>
      <c r="H140" s="3" t="s">
        <v>198</v>
      </c>
    </row>
    <row r="141" spans="1:8" x14ac:dyDescent="0.2">
      <c r="A141" s="3">
        <v>403030012</v>
      </c>
      <c r="B141" s="4" t="s">
        <v>366</v>
      </c>
      <c r="C141" s="4" t="s">
        <v>507</v>
      </c>
      <c r="D141" s="3">
        <v>2</v>
      </c>
      <c r="E141" s="3" t="s">
        <v>16</v>
      </c>
      <c r="F141" s="3" t="s">
        <v>291</v>
      </c>
      <c r="G141" s="3" t="s">
        <v>26</v>
      </c>
      <c r="H141" s="3" t="s">
        <v>198</v>
      </c>
    </row>
    <row r="142" spans="1:8" x14ac:dyDescent="0.2">
      <c r="A142" s="3">
        <v>401070018</v>
      </c>
      <c r="B142" s="4" t="s">
        <v>35</v>
      </c>
      <c r="C142" s="4" t="s">
        <v>202</v>
      </c>
      <c r="D142" s="3">
        <v>1</v>
      </c>
      <c r="E142" s="3" t="s">
        <v>16</v>
      </c>
      <c r="F142" s="3" t="s">
        <v>291</v>
      </c>
      <c r="G142" s="3" t="s">
        <v>26</v>
      </c>
      <c r="H142" s="3" t="s">
        <v>198</v>
      </c>
    </row>
    <row r="143" spans="1:8" x14ac:dyDescent="0.2">
      <c r="A143" s="3">
        <v>401070022</v>
      </c>
      <c r="B143" s="4" t="s">
        <v>35</v>
      </c>
      <c r="C143" s="4" t="s">
        <v>203</v>
      </c>
      <c r="D143" s="3">
        <v>1</v>
      </c>
      <c r="E143" s="3" t="s">
        <v>16</v>
      </c>
      <c r="F143" s="3" t="s">
        <v>297</v>
      </c>
      <c r="G143" s="3" t="s">
        <v>204</v>
      </c>
      <c r="H143" s="3" t="s">
        <v>198</v>
      </c>
    </row>
    <row r="144" spans="1:8" x14ac:dyDescent="0.2">
      <c r="A144" s="3">
        <v>401040100</v>
      </c>
      <c r="B144" s="4" t="s">
        <v>35</v>
      </c>
      <c r="C144" s="4" t="s">
        <v>508</v>
      </c>
      <c r="D144" s="3">
        <v>1</v>
      </c>
      <c r="E144" s="3" t="s">
        <v>16</v>
      </c>
      <c r="F144" s="3" t="s">
        <v>291</v>
      </c>
      <c r="G144" s="3" t="s">
        <v>26</v>
      </c>
      <c r="H144" s="3" t="s">
        <v>198</v>
      </c>
    </row>
    <row r="145" spans="1:8" x14ac:dyDescent="0.2">
      <c r="A145" s="3">
        <v>404100003</v>
      </c>
      <c r="B145" s="4" t="s">
        <v>205</v>
      </c>
      <c r="C145" s="4" t="s">
        <v>509</v>
      </c>
      <c r="D145" s="3">
        <v>1</v>
      </c>
      <c r="E145" s="3" t="s">
        <v>16</v>
      </c>
      <c r="F145" s="3" t="s">
        <v>291</v>
      </c>
      <c r="G145" s="3" t="s">
        <v>26</v>
      </c>
      <c r="H145" s="3" t="s">
        <v>198</v>
      </c>
    </row>
    <row r="146" spans="1:8" x14ac:dyDescent="0.2">
      <c r="A146" s="3">
        <v>404100004</v>
      </c>
      <c r="B146" s="4" t="s">
        <v>207</v>
      </c>
      <c r="C146" s="4" t="s">
        <v>510</v>
      </c>
      <c r="D146" s="3">
        <v>1</v>
      </c>
      <c r="E146" s="3" t="s">
        <v>16</v>
      </c>
      <c r="F146" s="3" t="s">
        <v>291</v>
      </c>
      <c r="G146" s="3" t="s">
        <v>26</v>
      </c>
      <c r="H146" s="3" t="s">
        <v>198</v>
      </c>
    </row>
    <row r="147" spans="1:8" x14ac:dyDescent="0.2">
      <c r="A147" s="3">
        <v>3030305007</v>
      </c>
      <c r="B147" s="4" t="s">
        <v>511</v>
      </c>
      <c r="C147" s="4" t="s">
        <v>512</v>
      </c>
      <c r="D147" s="3">
        <v>1</v>
      </c>
      <c r="E147" s="3" t="s">
        <v>16</v>
      </c>
      <c r="F147" s="3" t="s">
        <v>295</v>
      </c>
      <c r="G147" s="3" t="s">
        <v>17</v>
      </c>
      <c r="H147" s="3" t="s">
        <v>211</v>
      </c>
    </row>
    <row r="148" spans="1:8" x14ac:dyDescent="0.2">
      <c r="A148" s="3">
        <v>3030305006</v>
      </c>
      <c r="B148" s="4" t="s">
        <v>513</v>
      </c>
      <c r="C148" s="4" t="s">
        <v>512</v>
      </c>
      <c r="D148" s="3">
        <v>1</v>
      </c>
      <c r="E148" s="3" t="s">
        <v>16</v>
      </c>
      <c r="F148" s="3" t="s">
        <v>295</v>
      </c>
      <c r="G148" s="3" t="s">
        <v>17</v>
      </c>
      <c r="H148" s="3" t="s">
        <v>211</v>
      </c>
    </row>
    <row r="149" spans="1:8" x14ac:dyDescent="0.2">
      <c r="A149" s="3">
        <v>3069904001</v>
      </c>
      <c r="B149" s="4" t="s">
        <v>514</v>
      </c>
      <c r="C149" s="4" t="s">
        <v>355</v>
      </c>
      <c r="D149" s="3">
        <v>4</v>
      </c>
      <c r="E149" s="3" t="s">
        <v>16</v>
      </c>
      <c r="F149" s="3" t="s">
        <v>295</v>
      </c>
      <c r="G149" s="3" t="s">
        <v>17</v>
      </c>
      <c r="H149" s="3" t="s">
        <v>214</v>
      </c>
    </row>
    <row r="150" spans="1:8" x14ac:dyDescent="0.2">
      <c r="A150" s="3">
        <v>3030201003</v>
      </c>
      <c r="B150" s="4" t="s">
        <v>515</v>
      </c>
      <c r="C150" s="4" t="s">
        <v>516</v>
      </c>
      <c r="D150" s="3">
        <v>1</v>
      </c>
      <c r="E150" s="3" t="s">
        <v>16</v>
      </c>
      <c r="F150" s="3" t="s">
        <v>295</v>
      </c>
      <c r="G150" s="3" t="s">
        <v>17</v>
      </c>
      <c r="H150" s="3" t="s">
        <v>214</v>
      </c>
    </row>
    <row r="151" spans="1:8" x14ac:dyDescent="0.2">
      <c r="A151" s="3">
        <v>3049903001</v>
      </c>
      <c r="B151" s="4" t="s">
        <v>517</v>
      </c>
      <c r="C151" s="4" t="s">
        <v>355</v>
      </c>
      <c r="D151" s="3">
        <v>2</v>
      </c>
      <c r="E151" s="3" t="s">
        <v>16</v>
      </c>
      <c r="F151" s="3" t="s">
        <v>293</v>
      </c>
      <c r="G151" s="3" t="s">
        <v>29</v>
      </c>
      <c r="H151" s="3" t="s">
        <v>214</v>
      </c>
    </row>
    <row r="152" spans="1:8" x14ac:dyDescent="0.2">
      <c r="A152" s="3">
        <v>3049904001</v>
      </c>
      <c r="B152" s="4" t="s">
        <v>354</v>
      </c>
      <c r="C152" s="4" t="s">
        <v>355</v>
      </c>
      <c r="D152" s="3">
        <v>4</v>
      </c>
      <c r="E152" s="3" t="s">
        <v>16</v>
      </c>
      <c r="F152" s="3" t="s">
        <v>293</v>
      </c>
      <c r="G152" s="3" t="s">
        <v>29</v>
      </c>
      <c r="H152" s="3" t="s">
        <v>214</v>
      </c>
    </row>
    <row r="153" spans="1:8" x14ac:dyDescent="0.2">
      <c r="A153" s="3">
        <v>3049902001</v>
      </c>
      <c r="B153" s="4" t="s">
        <v>518</v>
      </c>
      <c r="C153" s="4" t="s">
        <v>355</v>
      </c>
      <c r="D153" s="3">
        <v>2</v>
      </c>
      <c r="E153" s="3" t="s">
        <v>16</v>
      </c>
      <c r="F153" s="3" t="s">
        <v>293</v>
      </c>
      <c r="G153" s="3" t="s">
        <v>29</v>
      </c>
      <c r="H153" s="3" t="s">
        <v>214</v>
      </c>
    </row>
    <row r="154" spans="1:8" x14ac:dyDescent="0.2">
      <c r="A154" s="3">
        <v>3070105007</v>
      </c>
      <c r="B154" s="4" t="s">
        <v>360</v>
      </c>
      <c r="C154" s="4" t="s">
        <v>361</v>
      </c>
      <c r="D154" s="3">
        <v>1</v>
      </c>
      <c r="E154" s="3" t="s">
        <v>16</v>
      </c>
      <c r="F154" s="3" t="s">
        <v>317</v>
      </c>
      <c r="G154" s="3" t="s">
        <v>318</v>
      </c>
      <c r="H154" s="3" t="s">
        <v>214</v>
      </c>
    </row>
    <row r="155" spans="1:8" x14ac:dyDescent="0.2">
      <c r="A155" s="3">
        <v>3070105008</v>
      </c>
      <c r="B155" s="4" t="s">
        <v>362</v>
      </c>
      <c r="C155" s="4" t="s">
        <v>361</v>
      </c>
      <c r="D155" s="3">
        <v>1</v>
      </c>
      <c r="E155" s="3" t="s">
        <v>16</v>
      </c>
      <c r="F155" s="3" t="s">
        <v>317</v>
      </c>
      <c r="G155" s="3" t="s">
        <v>318</v>
      </c>
      <c r="H155" s="3" t="s">
        <v>214</v>
      </c>
    </row>
    <row r="156" spans="1:8" x14ac:dyDescent="0.2">
      <c r="A156" s="3">
        <v>3050204001</v>
      </c>
      <c r="B156" s="4" t="s">
        <v>519</v>
      </c>
      <c r="C156" s="4" t="s">
        <v>355</v>
      </c>
      <c r="D156" s="3">
        <v>2</v>
      </c>
      <c r="E156" s="3" t="s">
        <v>16</v>
      </c>
      <c r="F156" s="3" t="s">
        <v>291</v>
      </c>
      <c r="G156" s="3" t="s">
        <v>26</v>
      </c>
      <c r="H156" s="3" t="s">
        <v>214</v>
      </c>
    </row>
    <row r="157" spans="1:8" x14ac:dyDescent="0.2">
      <c r="A157" s="3">
        <v>3050204002</v>
      </c>
      <c r="B157" s="4" t="s">
        <v>520</v>
      </c>
      <c r="C157" s="4" t="s">
        <v>355</v>
      </c>
      <c r="D157" s="3">
        <v>2</v>
      </c>
      <c r="E157" s="3" t="s">
        <v>16</v>
      </c>
      <c r="F157" s="3" t="s">
        <v>291</v>
      </c>
      <c r="G157" s="3" t="s">
        <v>26</v>
      </c>
      <c r="H157" s="3" t="s">
        <v>214</v>
      </c>
    </row>
    <row r="158" spans="1:8" x14ac:dyDescent="0.2">
      <c r="A158" s="3">
        <v>403030051</v>
      </c>
      <c r="B158" s="4" t="s">
        <v>366</v>
      </c>
      <c r="C158" s="4" t="s">
        <v>367</v>
      </c>
      <c r="D158" s="3">
        <v>3</v>
      </c>
      <c r="E158" s="3" t="s">
        <v>16</v>
      </c>
      <c r="F158" s="3" t="s">
        <v>301</v>
      </c>
      <c r="G158" s="3" t="s">
        <v>32</v>
      </c>
      <c r="H158" s="3" t="s">
        <v>221</v>
      </c>
    </row>
    <row r="159" spans="1:8" x14ac:dyDescent="0.2">
      <c r="A159" s="3">
        <v>403030005</v>
      </c>
      <c r="B159" s="4" t="s">
        <v>366</v>
      </c>
      <c r="C159" s="4" t="s">
        <v>368</v>
      </c>
      <c r="D159" s="3">
        <v>2</v>
      </c>
      <c r="E159" s="3" t="s">
        <v>16</v>
      </c>
      <c r="F159" s="3" t="s">
        <v>301</v>
      </c>
      <c r="G159" s="3" t="s">
        <v>32</v>
      </c>
      <c r="H159" s="3" t="s">
        <v>221</v>
      </c>
    </row>
    <row r="160" spans="1:8" x14ac:dyDescent="0.2">
      <c r="A160" s="3">
        <v>402050001</v>
      </c>
      <c r="B160" s="4" t="s">
        <v>522</v>
      </c>
      <c r="C160" s="4" t="s">
        <v>523</v>
      </c>
      <c r="D160" s="3">
        <v>1</v>
      </c>
      <c r="E160" s="3" t="s">
        <v>16</v>
      </c>
      <c r="F160" s="3" t="s">
        <v>289</v>
      </c>
      <c r="G160" s="3" t="s">
        <v>23</v>
      </c>
      <c r="H160" s="3" t="s">
        <v>524</v>
      </c>
    </row>
    <row r="161" spans="1:8" x14ac:dyDescent="0.2">
      <c r="A161" s="3">
        <v>408120036</v>
      </c>
      <c r="B161" s="4" t="s">
        <v>525</v>
      </c>
      <c r="C161" s="4" t="s">
        <v>526</v>
      </c>
      <c r="D161" s="3">
        <v>2</v>
      </c>
      <c r="E161" s="3" t="s">
        <v>16</v>
      </c>
      <c r="F161" s="3" t="s">
        <v>291</v>
      </c>
      <c r="G161" s="3" t="s">
        <v>26</v>
      </c>
      <c r="H161" s="3" t="s">
        <v>524</v>
      </c>
    </row>
    <row r="162" spans="1:8" x14ac:dyDescent="0.2">
      <c r="A162" s="3">
        <v>3050305016</v>
      </c>
      <c r="B162" s="4" t="s">
        <v>527</v>
      </c>
      <c r="C162" s="4" t="s">
        <v>528</v>
      </c>
      <c r="D162" s="3">
        <v>1</v>
      </c>
      <c r="E162" s="3" t="s">
        <v>16</v>
      </c>
      <c r="F162" s="3" t="s">
        <v>291</v>
      </c>
      <c r="G162" s="3" t="s">
        <v>26</v>
      </c>
      <c r="H162" s="3" t="s">
        <v>226</v>
      </c>
    </row>
    <row r="163" spans="1:8" x14ac:dyDescent="0.2">
      <c r="A163" s="3">
        <v>3050305015</v>
      </c>
      <c r="B163" s="4" t="s">
        <v>529</v>
      </c>
      <c r="C163" s="4" t="s">
        <v>530</v>
      </c>
      <c r="D163" s="3">
        <v>1</v>
      </c>
      <c r="E163" s="3" t="s">
        <v>16</v>
      </c>
      <c r="F163" s="3" t="s">
        <v>291</v>
      </c>
      <c r="G163" s="3" t="s">
        <v>26</v>
      </c>
      <c r="H163" s="3" t="s">
        <v>226</v>
      </c>
    </row>
    <row r="164" spans="1:8" x14ac:dyDescent="0.2">
      <c r="A164" s="3">
        <v>3030309020</v>
      </c>
      <c r="B164" s="4" t="s">
        <v>531</v>
      </c>
      <c r="C164" s="4" t="s">
        <v>532</v>
      </c>
      <c r="D164" s="3">
        <v>1</v>
      </c>
      <c r="E164" s="3" t="s">
        <v>16</v>
      </c>
      <c r="F164" s="3" t="s">
        <v>291</v>
      </c>
      <c r="G164" s="3" t="s">
        <v>26</v>
      </c>
      <c r="H164" s="3" t="s">
        <v>226</v>
      </c>
    </row>
    <row r="165" spans="1:8" x14ac:dyDescent="0.2">
      <c r="A165" s="3">
        <v>3030302002</v>
      </c>
      <c r="B165" s="4" t="s">
        <v>533</v>
      </c>
      <c r="C165" s="4" t="s">
        <v>534</v>
      </c>
      <c r="D165" s="3">
        <v>1</v>
      </c>
      <c r="E165" s="3" t="s">
        <v>16</v>
      </c>
      <c r="F165" s="3" t="s">
        <v>295</v>
      </c>
      <c r="G165" s="3" t="s">
        <v>17</v>
      </c>
      <c r="H165" s="3" t="s">
        <v>226</v>
      </c>
    </row>
    <row r="166" spans="1:8" x14ac:dyDescent="0.2">
      <c r="A166" s="3">
        <v>3030306012</v>
      </c>
      <c r="B166" s="4" t="s">
        <v>535</v>
      </c>
      <c r="C166" s="4" t="s">
        <v>536</v>
      </c>
      <c r="D166" s="3">
        <v>1</v>
      </c>
      <c r="E166" s="3" t="s">
        <v>16</v>
      </c>
      <c r="F166" s="3" t="s">
        <v>295</v>
      </c>
      <c r="G166" s="3" t="s">
        <v>17</v>
      </c>
      <c r="H166" s="3" t="s">
        <v>226</v>
      </c>
    </row>
    <row r="167" spans="1:8" x14ac:dyDescent="0.2">
      <c r="A167" s="3">
        <v>3030306011</v>
      </c>
      <c r="B167" s="4" t="s">
        <v>537</v>
      </c>
      <c r="C167" s="4" t="s">
        <v>536</v>
      </c>
      <c r="D167" s="3">
        <v>1</v>
      </c>
      <c r="E167" s="3" t="s">
        <v>16</v>
      </c>
      <c r="F167" s="3" t="s">
        <v>295</v>
      </c>
      <c r="G167" s="3" t="s">
        <v>17</v>
      </c>
      <c r="H167" s="3" t="s">
        <v>226</v>
      </c>
    </row>
    <row r="168" spans="1:8" x14ac:dyDescent="0.2">
      <c r="A168" s="3">
        <v>3030303002</v>
      </c>
      <c r="B168" s="4" t="s">
        <v>175</v>
      </c>
      <c r="C168" s="4" t="s">
        <v>538</v>
      </c>
      <c r="D168" s="3">
        <v>1</v>
      </c>
      <c r="E168" s="3" t="s">
        <v>16</v>
      </c>
      <c r="F168" s="3" t="s">
        <v>295</v>
      </c>
      <c r="G168" s="3" t="s">
        <v>17</v>
      </c>
      <c r="H168" s="3" t="s">
        <v>226</v>
      </c>
    </row>
    <row r="169" spans="1:8" x14ac:dyDescent="0.2">
      <c r="A169" s="3">
        <v>3030303017</v>
      </c>
      <c r="B169" s="4" t="s">
        <v>539</v>
      </c>
      <c r="C169" s="4" t="s">
        <v>540</v>
      </c>
      <c r="D169" s="3">
        <v>1</v>
      </c>
      <c r="E169" s="3" t="s">
        <v>16</v>
      </c>
      <c r="F169" s="3" t="s">
        <v>295</v>
      </c>
      <c r="G169" s="3" t="s">
        <v>17</v>
      </c>
      <c r="H169" s="3" t="s">
        <v>226</v>
      </c>
    </row>
    <row r="170" spans="1:8" x14ac:dyDescent="0.2">
      <c r="A170" s="3">
        <v>3040312012</v>
      </c>
      <c r="B170" s="4" t="s">
        <v>263</v>
      </c>
      <c r="C170" s="4" t="s">
        <v>541</v>
      </c>
      <c r="D170" s="3">
        <v>2</v>
      </c>
      <c r="E170" s="3" t="s">
        <v>16</v>
      </c>
      <c r="F170" s="3" t="s">
        <v>293</v>
      </c>
      <c r="G170" s="3" t="s">
        <v>29</v>
      </c>
      <c r="H170" s="3" t="s">
        <v>226</v>
      </c>
    </row>
    <row r="171" spans="1:8" x14ac:dyDescent="0.2">
      <c r="A171" s="3">
        <v>3040320010</v>
      </c>
      <c r="B171" s="4" t="s">
        <v>269</v>
      </c>
      <c r="C171" s="4" t="s">
        <v>542</v>
      </c>
      <c r="D171" s="3">
        <v>1</v>
      </c>
      <c r="E171" s="3" t="s">
        <v>16</v>
      </c>
      <c r="F171" s="3" t="s">
        <v>293</v>
      </c>
      <c r="G171" s="3" t="s">
        <v>29</v>
      </c>
      <c r="H171" s="3" t="s">
        <v>226</v>
      </c>
    </row>
    <row r="172" spans="1:8" x14ac:dyDescent="0.2">
      <c r="A172" s="3">
        <v>3040320011</v>
      </c>
      <c r="B172" s="4" t="s">
        <v>269</v>
      </c>
      <c r="C172" s="4" t="s">
        <v>543</v>
      </c>
      <c r="D172" s="3">
        <v>1</v>
      </c>
      <c r="E172" s="3" t="s">
        <v>16</v>
      </c>
      <c r="F172" s="3" t="s">
        <v>293</v>
      </c>
      <c r="G172" s="3" t="s">
        <v>29</v>
      </c>
      <c r="H172" s="3" t="s">
        <v>226</v>
      </c>
    </row>
    <row r="173" spans="1:8" x14ac:dyDescent="0.2">
      <c r="A173" s="3">
        <v>3030313003</v>
      </c>
      <c r="B173" s="4" t="s">
        <v>217</v>
      </c>
      <c r="C173" s="4" t="s">
        <v>544</v>
      </c>
      <c r="D173" s="3">
        <v>8</v>
      </c>
      <c r="E173" s="3" t="s">
        <v>16</v>
      </c>
      <c r="F173" s="3" t="s">
        <v>291</v>
      </c>
      <c r="G173" s="3" t="s">
        <v>26</v>
      </c>
      <c r="H173" s="3" t="s">
        <v>226</v>
      </c>
    </row>
    <row r="174" spans="1:8" x14ac:dyDescent="0.2">
      <c r="A174" s="3">
        <v>3020101004</v>
      </c>
      <c r="B174" s="4" t="s">
        <v>239</v>
      </c>
      <c r="C174" s="4" t="s">
        <v>1098</v>
      </c>
      <c r="D174" s="3">
        <v>5</v>
      </c>
      <c r="E174" s="3" t="s">
        <v>16</v>
      </c>
      <c r="F174" s="3" t="s">
        <v>297</v>
      </c>
      <c r="G174" s="3" t="s">
        <v>204</v>
      </c>
      <c r="H174" s="3" t="s">
        <v>226</v>
      </c>
    </row>
    <row r="175" spans="1:8" x14ac:dyDescent="0.2">
      <c r="A175" s="3">
        <v>3070212001</v>
      </c>
      <c r="B175" s="4" t="s">
        <v>377</v>
      </c>
      <c r="C175" s="4" t="s">
        <v>378</v>
      </c>
      <c r="D175" s="3">
        <v>1</v>
      </c>
      <c r="E175" s="3" t="s">
        <v>16</v>
      </c>
      <c r="F175" s="3" t="s">
        <v>317</v>
      </c>
      <c r="G175" s="3" t="s">
        <v>318</v>
      </c>
      <c r="H175" s="3" t="s">
        <v>226</v>
      </c>
    </row>
    <row r="176" spans="1:8" x14ac:dyDescent="0.2">
      <c r="A176" s="3">
        <v>3070210001</v>
      </c>
      <c r="B176" s="4" t="s">
        <v>379</v>
      </c>
      <c r="C176" s="4" t="s">
        <v>280</v>
      </c>
      <c r="D176" s="3">
        <v>1</v>
      </c>
      <c r="E176" s="3" t="s">
        <v>16</v>
      </c>
      <c r="F176" s="3" t="s">
        <v>317</v>
      </c>
      <c r="G176" s="3" t="s">
        <v>318</v>
      </c>
      <c r="H176" s="3" t="s">
        <v>226</v>
      </c>
    </row>
    <row r="177" spans="1:8" x14ac:dyDescent="0.2">
      <c r="A177" s="3">
        <v>3050305019</v>
      </c>
      <c r="B177" s="4" t="s">
        <v>549</v>
      </c>
      <c r="C177" s="4" t="s">
        <v>530</v>
      </c>
      <c r="D177" s="3">
        <v>1</v>
      </c>
      <c r="E177" s="3" t="s">
        <v>16</v>
      </c>
      <c r="F177" s="3" t="s">
        <v>291</v>
      </c>
      <c r="G177" s="3" t="s">
        <v>26</v>
      </c>
      <c r="H177" s="3" t="s">
        <v>226</v>
      </c>
    </row>
    <row r="178" spans="1:8" x14ac:dyDescent="0.2">
      <c r="A178" s="3">
        <v>3050401014</v>
      </c>
      <c r="B178" s="4" t="s">
        <v>222</v>
      </c>
      <c r="C178" s="4" t="s">
        <v>550</v>
      </c>
      <c r="D178" s="3">
        <v>1</v>
      </c>
      <c r="E178" s="3" t="s">
        <v>16</v>
      </c>
      <c r="F178" s="3" t="s">
        <v>291</v>
      </c>
      <c r="G178" s="3" t="s">
        <v>26</v>
      </c>
      <c r="H178" s="3" t="s">
        <v>226</v>
      </c>
    </row>
    <row r="179" spans="1:8" x14ac:dyDescent="0.2">
      <c r="A179" s="3">
        <v>3080401031</v>
      </c>
      <c r="B179" s="4" t="s">
        <v>41</v>
      </c>
      <c r="C179" s="4" t="s">
        <v>551</v>
      </c>
      <c r="D179" s="3">
        <v>1</v>
      </c>
      <c r="E179" s="3" t="s">
        <v>16</v>
      </c>
      <c r="F179" s="3" t="s">
        <v>291</v>
      </c>
      <c r="G179" s="3" t="s">
        <v>26</v>
      </c>
      <c r="H179" s="3" t="s">
        <v>249</v>
      </c>
    </row>
    <row r="180" spans="1:8" x14ac:dyDescent="0.2">
      <c r="A180" s="3">
        <v>3030211001</v>
      </c>
      <c r="B180" s="4" t="s">
        <v>552</v>
      </c>
      <c r="C180" s="4" t="s">
        <v>553</v>
      </c>
      <c r="D180" s="3">
        <v>1</v>
      </c>
      <c r="E180" s="3" t="s">
        <v>16</v>
      </c>
      <c r="F180" s="3" t="s">
        <v>295</v>
      </c>
      <c r="G180" s="3" t="s">
        <v>17</v>
      </c>
      <c r="H180" s="3" t="s">
        <v>249</v>
      </c>
    </row>
    <row r="181" spans="1:8" x14ac:dyDescent="0.2">
      <c r="A181" s="3">
        <v>3080309001</v>
      </c>
      <c r="B181" s="4" t="s">
        <v>554</v>
      </c>
      <c r="C181" s="4" t="s">
        <v>555</v>
      </c>
      <c r="D181" s="3">
        <v>1</v>
      </c>
      <c r="E181" s="3" t="s">
        <v>16</v>
      </c>
      <c r="F181" s="3" t="s">
        <v>295</v>
      </c>
      <c r="G181" s="3" t="s">
        <v>17</v>
      </c>
      <c r="H181" s="3" t="s">
        <v>249</v>
      </c>
    </row>
    <row r="182" spans="1:8" x14ac:dyDescent="0.2">
      <c r="A182" s="3">
        <v>3080107268</v>
      </c>
      <c r="B182" s="4" t="s">
        <v>69</v>
      </c>
      <c r="C182" s="4" t="s">
        <v>556</v>
      </c>
      <c r="D182" s="3">
        <v>2</v>
      </c>
      <c r="E182" s="3" t="s">
        <v>16</v>
      </c>
      <c r="F182" s="3" t="s">
        <v>291</v>
      </c>
      <c r="G182" s="3" t="s">
        <v>26</v>
      </c>
      <c r="H182" s="3" t="s">
        <v>249</v>
      </c>
    </row>
    <row r="183" spans="1:8" x14ac:dyDescent="0.2">
      <c r="A183" s="3">
        <v>3080107269</v>
      </c>
      <c r="B183" s="4" t="s">
        <v>69</v>
      </c>
      <c r="C183" s="4" t="s">
        <v>557</v>
      </c>
      <c r="D183" s="3">
        <v>2</v>
      </c>
      <c r="E183" s="3" t="s">
        <v>16</v>
      </c>
      <c r="F183" s="3" t="s">
        <v>291</v>
      </c>
      <c r="G183" s="3" t="s">
        <v>26</v>
      </c>
      <c r="H183" s="3" t="s">
        <v>249</v>
      </c>
    </row>
    <row r="184" spans="1:8" x14ac:dyDescent="0.2">
      <c r="A184" s="3">
        <v>3060335005</v>
      </c>
      <c r="B184" s="4" t="s">
        <v>233</v>
      </c>
      <c r="C184" s="4" t="s">
        <v>734</v>
      </c>
      <c r="D184" s="3">
        <v>1</v>
      </c>
      <c r="E184" s="3" t="s">
        <v>16</v>
      </c>
      <c r="F184" s="3" t="s">
        <v>289</v>
      </c>
      <c r="G184" s="3" t="s">
        <v>23</v>
      </c>
      <c r="H184" s="3" t="s">
        <v>254</v>
      </c>
    </row>
    <row r="185" spans="1:8" x14ac:dyDescent="0.2">
      <c r="A185" s="3">
        <v>3060324001</v>
      </c>
      <c r="B185" s="4" t="s">
        <v>735</v>
      </c>
      <c r="C185" s="4" t="s">
        <v>736</v>
      </c>
      <c r="D185" s="3">
        <v>1</v>
      </c>
      <c r="E185" s="3" t="s">
        <v>16</v>
      </c>
      <c r="F185" s="3" t="s">
        <v>289</v>
      </c>
      <c r="G185" s="3" t="s">
        <v>23</v>
      </c>
      <c r="H185" s="3" t="s">
        <v>254</v>
      </c>
    </row>
    <row r="186" spans="1:8" x14ac:dyDescent="0.2">
      <c r="A186" s="3">
        <v>3030302001</v>
      </c>
      <c r="B186" s="4" t="s">
        <v>558</v>
      </c>
      <c r="C186" s="4" t="s">
        <v>534</v>
      </c>
      <c r="D186" s="3">
        <v>1</v>
      </c>
      <c r="E186" s="3" t="s">
        <v>16</v>
      </c>
      <c r="F186" s="3" t="s">
        <v>295</v>
      </c>
      <c r="G186" s="3" t="s">
        <v>17</v>
      </c>
      <c r="H186" s="3" t="s">
        <v>254</v>
      </c>
    </row>
    <row r="187" spans="1:8" x14ac:dyDescent="0.2">
      <c r="A187" s="3">
        <v>3030306031</v>
      </c>
      <c r="B187" s="4" t="s">
        <v>559</v>
      </c>
      <c r="C187" s="4" t="s">
        <v>560</v>
      </c>
      <c r="D187" s="3">
        <v>1</v>
      </c>
      <c r="E187" s="3" t="s">
        <v>16</v>
      </c>
      <c r="F187" s="3" t="s">
        <v>295</v>
      </c>
      <c r="G187" s="3" t="s">
        <v>17</v>
      </c>
      <c r="H187" s="3" t="s">
        <v>254</v>
      </c>
    </row>
    <row r="188" spans="1:8" x14ac:dyDescent="0.2">
      <c r="A188" s="3">
        <v>3080311002</v>
      </c>
      <c r="B188" s="4" t="s">
        <v>561</v>
      </c>
      <c r="C188" s="4" t="s">
        <v>536</v>
      </c>
      <c r="D188" s="3">
        <v>1</v>
      </c>
      <c r="E188" s="3" t="s">
        <v>16</v>
      </c>
      <c r="F188" s="3" t="s">
        <v>295</v>
      </c>
      <c r="G188" s="3" t="s">
        <v>17</v>
      </c>
      <c r="H188" s="3" t="s">
        <v>254</v>
      </c>
    </row>
    <row r="189" spans="1:8" x14ac:dyDescent="0.2">
      <c r="A189" s="3">
        <v>3030303016</v>
      </c>
      <c r="B189" s="4" t="s">
        <v>562</v>
      </c>
      <c r="C189" s="4" t="s">
        <v>563</v>
      </c>
      <c r="D189" s="3">
        <v>1</v>
      </c>
      <c r="E189" s="3" t="s">
        <v>16</v>
      </c>
      <c r="F189" s="3" t="s">
        <v>295</v>
      </c>
      <c r="G189" s="3" t="s">
        <v>17</v>
      </c>
      <c r="H189" s="3" t="s">
        <v>254</v>
      </c>
    </row>
    <row r="190" spans="1:8" x14ac:dyDescent="0.2">
      <c r="A190" s="3">
        <v>3030303015</v>
      </c>
      <c r="B190" s="4" t="s">
        <v>564</v>
      </c>
      <c r="C190" s="4" t="s">
        <v>563</v>
      </c>
      <c r="D190" s="3">
        <v>1</v>
      </c>
      <c r="E190" s="3" t="s">
        <v>16</v>
      </c>
      <c r="F190" s="3" t="s">
        <v>295</v>
      </c>
      <c r="G190" s="3" t="s">
        <v>17</v>
      </c>
      <c r="H190" s="3" t="s">
        <v>254</v>
      </c>
    </row>
    <row r="191" spans="1:8" x14ac:dyDescent="0.2">
      <c r="A191" s="3">
        <v>3040323001</v>
      </c>
      <c r="B191" s="4" t="s">
        <v>565</v>
      </c>
      <c r="C191" s="4" t="s">
        <v>566</v>
      </c>
      <c r="D191" s="3">
        <v>2</v>
      </c>
      <c r="E191" s="3" t="s">
        <v>16</v>
      </c>
      <c r="F191" s="3" t="s">
        <v>293</v>
      </c>
      <c r="G191" s="3" t="s">
        <v>29</v>
      </c>
      <c r="H191" s="3" t="s">
        <v>254</v>
      </c>
    </row>
    <row r="192" spans="1:8" x14ac:dyDescent="0.2">
      <c r="A192" s="3">
        <v>3040302001</v>
      </c>
      <c r="B192" s="4" t="s">
        <v>567</v>
      </c>
      <c r="C192" s="4" t="s">
        <v>568</v>
      </c>
      <c r="D192" s="3">
        <v>1</v>
      </c>
      <c r="E192" s="3" t="s">
        <v>16</v>
      </c>
      <c r="F192" s="3" t="s">
        <v>293</v>
      </c>
      <c r="G192" s="3" t="s">
        <v>29</v>
      </c>
      <c r="H192" s="3" t="s">
        <v>254</v>
      </c>
    </row>
    <row r="193" spans="1:8" x14ac:dyDescent="0.2">
      <c r="A193" s="3">
        <v>3040302002</v>
      </c>
      <c r="B193" s="4" t="s">
        <v>567</v>
      </c>
      <c r="C193" s="4" t="s">
        <v>569</v>
      </c>
      <c r="D193" s="3">
        <v>1</v>
      </c>
      <c r="E193" s="3" t="s">
        <v>16</v>
      </c>
      <c r="F193" s="3" t="s">
        <v>293</v>
      </c>
      <c r="G193" s="3" t="s">
        <v>29</v>
      </c>
      <c r="H193" s="3" t="s">
        <v>254</v>
      </c>
    </row>
    <row r="194" spans="1:8" x14ac:dyDescent="0.2">
      <c r="A194" s="3">
        <v>3040324004</v>
      </c>
      <c r="B194" s="4" t="s">
        <v>570</v>
      </c>
      <c r="C194" s="4" t="s">
        <v>536</v>
      </c>
      <c r="D194" s="3">
        <v>2</v>
      </c>
      <c r="E194" s="3" t="s">
        <v>16</v>
      </c>
      <c r="F194" s="3" t="s">
        <v>293</v>
      </c>
      <c r="G194" s="3" t="s">
        <v>29</v>
      </c>
      <c r="H194" s="3" t="s">
        <v>254</v>
      </c>
    </row>
    <row r="195" spans="1:8" x14ac:dyDescent="0.2">
      <c r="A195" s="3">
        <v>3030302008</v>
      </c>
      <c r="B195" s="4" t="s">
        <v>571</v>
      </c>
      <c r="C195" s="4" t="s">
        <v>572</v>
      </c>
      <c r="D195" s="3">
        <v>1</v>
      </c>
      <c r="E195" s="3" t="s">
        <v>16</v>
      </c>
      <c r="F195" s="3" t="s">
        <v>295</v>
      </c>
      <c r="G195" s="3" t="s">
        <v>17</v>
      </c>
      <c r="H195" s="3" t="s">
        <v>254</v>
      </c>
    </row>
    <row r="196" spans="1:8" x14ac:dyDescent="0.2">
      <c r="A196" s="3">
        <v>3030302009</v>
      </c>
      <c r="B196" s="4" t="s">
        <v>571</v>
      </c>
      <c r="C196" s="4" t="s">
        <v>573</v>
      </c>
      <c r="D196" s="3">
        <v>1</v>
      </c>
      <c r="E196" s="3" t="s">
        <v>16</v>
      </c>
      <c r="F196" s="3" t="s">
        <v>295</v>
      </c>
      <c r="G196" s="3" t="s">
        <v>17</v>
      </c>
      <c r="H196" s="3" t="s">
        <v>254</v>
      </c>
    </row>
    <row r="197" spans="1:8" x14ac:dyDescent="0.2">
      <c r="A197" s="3">
        <v>3030302004</v>
      </c>
      <c r="B197" s="4" t="s">
        <v>574</v>
      </c>
      <c r="C197" s="4" t="s">
        <v>575</v>
      </c>
      <c r="D197" s="3">
        <v>1</v>
      </c>
      <c r="E197" s="3" t="s">
        <v>16</v>
      </c>
      <c r="F197" s="3" t="s">
        <v>295</v>
      </c>
      <c r="G197" s="3" t="s">
        <v>17</v>
      </c>
      <c r="H197" s="3" t="s">
        <v>254</v>
      </c>
    </row>
    <row r="198" spans="1:8" x14ac:dyDescent="0.2">
      <c r="A198" s="3">
        <v>3030302006</v>
      </c>
      <c r="B198" s="4" t="s">
        <v>576</v>
      </c>
      <c r="C198" s="4" t="s">
        <v>575</v>
      </c>
      <c r="D198" s="3">
        <v>1</v>
      </c>
      <c r="E198" s="3" t="s">
        <v>16</v>
      </c>
      <c r="F198" s="3" t="s">
        <v>295</v>
      </c>
      <c r="G198" s="3" t="s">
        <v>17</v>
      </c>
      <c r="H198" s="3" t="s">
        <v>254</v>
      </c>
    </row>
    <row r="199" spans="1:8" x14ac:dyDescent="0.2">
      <c r="A199" s="3">
        <v>3030314004</v>
      </c>
      <c r="B199" s="4" t="s">
        <v>577</v>
      </c>
      <c r="C199" s="4" t="s">
        <v>575</v>
      </c>
      <c r="D199" s="3">
        <v>1</v>
      </c>
      <c r="E199" s="3" t="s">
        <v>16</v>
      </c>
      <c r="F199" s="3" t="s">
        <v>295</v>
      </c>
      <c r="G199" s="3" t="s">
        <v>17</v>
      </c>
      <c r="H199" s="3" t="s">
        <v>254</v>
      </c>
    </row>
    <row r="200" spans="1:8" x14ac:dyDescent="0.2">
      <c r="A200" s="3">
        <v>3030308001</v>
      </c>
      <c r="B200" s="4" t="s">
        <v>578</v>
      </c>
      <c r="C200" s="4" t="s">
        <v>575</v>
      </c>
      <c r="D200" s="3">
        <v>1</v>
      </c>
      <c r="E200" s="3" t="s">
        <v>16</v>
      </c>
      <c r="F200" s="3" t="s">
        <v>295</v>
      </c>
      <c r="G200" s="3" t="s">
        <v>17</v>
      </c>
      <c r="H200" s="3" t="s">
        <v>254</v>
      </c>
    </row>
    <row r="201" spans="1:8" x14ac:dyDescent="0.2">
      <c r="A201" s="3">
        <v>3030314003</v>
      </c>
      <c r="B201" s="4" t="s">
        <v>579</v>
      </c>
      <c r="C201" s="4" t="s">
        <v>575</v>
      </c>
      <c r="D201" s="3">
        <v>1</v>
      </c>
      <c r="E201" s="3" t="s">
        <v>16</v>
      </c>
      <c r="F201" s="3" t="s">
        <v>295</v>
      </c>
      <c r="G201" s="3" t="s">
        <v>17</v>
      </c>
      <c r="H201" s="3" t="s">
        <v>254</v>
      </c>
    </row>
    <row r="202" spans="1:8" x14ac:dyDescent="0.2">
      <c r="A202" s="3">
        <v>3030308003</v>
      </c>
      <c r="B202" s="4" t="s">
        <v>580</v>
      </c>
      <c r="C202" s="4" t="s">
        <v>581</v>
      </c>
      <c r="D202" s="3">
        <v>1</v>
      </c>
      <c r="E202" s="3" t="s">
        <v>16</v>
      </c>
      <c r="F202" s="3" t="s">
        <v>295</v>
      </c>
      <c r="G202" s="3" t="s">
        <v>17</v>
      </c>
      <c r="H202" s="3" t="s">
        <v>254</v>
      </c>
    </row>
    <row r="203" spans="1:8" x14ac:dyDescent="0.2">
      <c r="A203" s="3">
        <v>3040325007</v>
      </c>
      <c r="B203" s="4" t="s">
        <v>582</v>
      </c>
      <c r="C203" s="4" t="s">
        <v>543</v>
      </c>
      <c r="D203" s="3">
        <v>1</v>
      </c>
      <c r="E203" s="3" t="s">
        <v>16</v>
      </c>
      <c r="F203" s="3" t="s">
        <v>293</v>
      </c>
      <c r="G203" s="3" t="s">
        <v>29</v>
      </c>
      <c r="H203" s="3" t="s">
        <v>254</v>
      </c>
    </row>
    <row r="204" spans="1:8" x14ac:dyDescent="0.2">
      <c r="A204" s="3">
        <v>3040325008</v>
      </c>
      <c r="B204" s="4" t="s">
        <v>582</v>
      </c>
      <c r="C204" s="4" t="s">
        <v>542</v>
      </c>
      <c r="D204" s="3">
        <v>1</v>
      </c>
      <c r="E204" s="3" t="s">
        <v>16</v>
      </c>
      <c r="F204" s="3" t="s">
        <v>293</v>
      </c>
      <c r="G204" s="3" t="s">
        <v>29</v>
      </c>
      <c r="H204" s="3" t="s">
        <v>254</v>
      </c>
    </row>
    <row r="205" spans="1:8" x14ac:dyDescent="0.2">
      <c r="A205" s="3">
        <v>3040326013</v>
      </c>
      <c r="B205" s="4" t="s">
        <v>546</v>
      </c>
      <c r="C205" s="4" t="s">
        <v>781</v>
      </c>
      <c r="D205" s="3">
        <v>1</v>
      </c>
      <c r="E205" s="3" t="s">
        <v>16</v>
      </c>
      <c r="F205" s="3" t="s">
        <v>293</v>
      </c>
      <c r="G205" s="3" t="s">
        <v>29</v>
      </c>
      <c r="H205" s="3" t="s">
        <v>254</v>
      </c>
    </row>
    <row r="206" spans="1:8" x14ac:dyDescent="0.2">
      <c r="A206" s="3">
        <v>3040326011</v>
      </c>
      <c r="B206" s="4" t="s">
        <v>546</v>
      </c>
      <c r="C206" s="4" t="s">
        <v>782</v>
      </c>
      <c r="D206" s="3">
        <v>1</v>
      </c>
      <c r="E206" s="3" t="s">
        <v>16</v>
      </c>
      <c r="F206" s="3" t="s">
        <v>293</v>
      </c>
      <c r="G206" s="3" t="s">
        <v>29</v>
      </c>
      <c r="H206" s="3" t="s">
        <v>254</v>
      </c>
    </row>
    <row r="207" spans="1:8" x14ac:dyDescent="0.2">
      <c r="A207" s="3">
        <v>3040308003</v>
      </c>
      <c r="B207" s="4" t="s">
        <v>583</v>
      </c>
      <c r="C207" s="4" t="s">
        <v>536</v>
      </c>
      <c r="D207" s="3">
        <v>2</v>
      </c>
      <c r="E207" s="3" t="s">
        <v>16</v>
      </c>
      <c r="F207" s="3" t="s">
        <v>293</v>
      </c>
      <c r="G207" s="3" t="s">
        <v>29</v>
      </c>
      <c r="H207" s="3" t="s">
        <v>254</v>
      </c>
    </row>
    <row r="208" spans="1:8" x14ac:dyDescent="0.2">
      <c r="A208" s="3">
        <v>3030302007</v>
      </c>
      <c r="B208" s="4" t="s">
        <v>584</v>
      </c>
      <c r="C208" s="4" t="s">
        <v>575</v>
      </c>
      <c r="D208" s="3">
        <v>1</v>
      </c>
      <c r="E208" s="3" t="s">
        <v>16</v>
      </c>
      <c r="F208" s="3" t="s">
        <v>295</v>
      </c>
      <c r="G208" s="3" t="s">
        <v>17</v>
      </c>
      <c r="H208" s="3" t="s">
        <v>254</v>
      </c>
    </row>
    <row r="209" spans="1:8" x14ac:dyDescent="0.2">
      <c r="A209" s="3">
        <v>3070205003</v>
      </c>
      <c r="B209" s="4" t="s">
        <v>372</v>
      </c>
      <c r="C209" s="4" t="s">
        <v>747</v>
      </c>
      <c r="D209" s="3">
        <v>1</v>
      </c>
      <c r="E209" s="3" t="s">
        <v>16</v>
      </c>
      <c r="F209" s="3" t="s">
        <v>317</v>
      </c>
      <c r="G209" s="3" t="s">
        <v>318</v>
      </c>
      <c r="H209" s="3" t="s">
        <v>254</v>
      </c>
    </row>
    <row r="210" spans="1:8" x14ac:dyDescent="0.2">
      <c r="A210" s="3">
        <v>3070202019</v>
      </c>
      <c r="B210" s="4" t="s">
        <v>388</v>
      </c>
      <c r="C210" s="4" t="s">
        <v>389</v>
      </c>
      <c r="D210" s="3">
        <v>1</v>
      </c>
      <c r="E210" s="3" t="s">
        <v>16</v>
      </c>
      <c r="F210" s="3" t="s">
        <v>317</v>
      </c>
      <c r="G210" s="3" t="s">
        <v>318</v>
      </c>
      <c r="H210" s="3" t="s">
        <v>254</v>
      </c>
    </row>
    <row r="211" spans="1:8" x14ac:dyDescent="0.2">
      <c r="A211" s="3">
        <v>3070209001</v>
      </c>
      <c r="B211" s="4" t="s">
        <v>748</v>
      </c>
      <c r="C211" s="4" t="s">
        <v>246</v>
      </c>
      <c r="D211" s="3">
        <v>1</v>
      </c>
      <c r="E211" s="3" t="s">
        <v>16</v>
      </c>
      <c r="F211" s="3" t="s">
        <v>317</v>
      </c>
      <c r="G211" s="3" t="s">
        <v>318</v>
      </c>
      <c r="H211" s="3" t="s">
        <v>254</v>
      </c>
    </row>
    <row r="212" spans="1:8" x14ac:dyDescent="0.2">
      <c r="A212" s="3">
        <v>3111601003</v>
      </c>
      <c r="B212" s="4" t="s">
        <v>585</v>
      </c>
      <c r="C212" s="4" t="s">
        <v>586</v>
      </c>
      <c r="D212" s="3">
        <v>2</v>
      </c>
      <c r="E212" s="3" t="s">
        <v>16</v>
      </c>
      <c r="F212" s="3" t="s">
        <v>291</v>
      </c>
      <c r="G212" s="3" t="s">
        <v>26</v>
      </c>
      <c r="H212" s="3" t="s">
        <v>254</v>
      </c>
    </row>
    <row r="213" spans="1:8" x14ac:dyDescent="0.2">
      <c r="A213" s="3">
        <v>3060339002</v>
      </c>
      <c r="B213" s="4" t="s">
        <v>737</v>
      </c>
      <c r="C213" s="4" t="s">
        <v>738</v>
      </c>
      <c r="D213" s="3">
        <v>1</v>
      </c>
      <c r="E213" s="3" t="s">
        <v>16</v>
      </c>
      <c r="F213" s="3" t="s">
        <v>702</v>
      </c>
      <c r="G213" s="3" t="s">
        <v>703</v>
      </c>
      <c r="H213" s="3" t="s">
        <v>254</v>
      </c>
    </row>
    <row r="214" spans="1:8" x14ac:dyDescent="0.2">
      <c r="A214" s="3">
        <v>3060325001</v>
      </c>
      <c r="B214" s="4" t="s">
        <v>739</v>
      </c>
      <c r="C214" s="4" t="s">
        <v>740</v>
      </c>
      <c r="D214" s="3">
        <v>1</v>
      </c>
      <c r="E214" s="3" t="s">
        <v>16</v>
      </c>
      <c r="F214" s="3" t="s">
        <v>289</v>
      </c>
      <c r="G214" s="3" t="s">
        <v>23</v>
      </c>
      <c r="H214" s="3" t="s">
        <v>254</v>
      </c>
    </row>
    <row r="215" spans="1:8" x14ac:dyDescent="0.2">
      <c r="A215" s="3">
        <v>3050303006</v>
      </c>
      <c r="B215" s="4" t="s">
        <v>245</v>
      </c>
      <c r="C215" s="4" t="s">
        <v>587</v>
      </c>
      <c r="D215" s="3">
        <v>1</v>
      </c>
      <c r="E215" s="3" t="s">
        <v>16</v>
      </c>
      <c r="F215" s="3" t="s">
        <v>291</v>
      </c>
      <c r="G215" s="3" t="s">
        <v>26</v>
      </c>
      <c r="H215" s="3" t="s">
        <v>254</v>
      </c>
    </row>
    <row r="216" spans="1:8" x14ac:dyDescent="0.2">
      <c r="A216" s="3">
        <v>3080310002</v>
      </c>
      <c r="B216" s="4" t="s">
        <v>588</v>
      </c>
      <c r="C216" s="4" t="s">
        <v>589</v>
      </c>
      <c r="D216" s="3">
        <v>1</v>
      </c>
      <c r="E216" s="3" t="s">
        <v>16</v>
      </c>
      <c r="F216" s="3" t="s">
        <v>295</v>
      </c>
      <c r="G216" s="3" t="s">
        <v>17</v>
      </c>
      <c r="H216" s="3" t="s">
        <v>590</v>
      </c>
    </row>
    <row r="217" spans="1:8" x14ac:dyDescent="0.2">
      <c r="A217" s="3">
        <v>3060404006</v>
      </c>
      <c r="B217" s="4" t="s">
        <v>729</v>
      </c>
      <c r="C217" s="4" t="s">
        <v>1099</v>
      </c>
      <c r="D217" s="3">
        <v>1</v>
      </c>
      <c r="E217" s="3" t="s">
        <v>16</v>
      </c>
      <c r="F217" s="3" t="s">
        <v>289</v>
      </c>
      <c r="G217" s="3" t="s">
        <v>23</v>
      </c>
      <c r="H217" s="3" t="s">
        <v>769</v>
      </c>
    </row>
  </sheetData>
  <phoneticPr fontId="2" type="noConversion"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F0510-0DFE-4C30-B916-1869719E5238}">
  <dimension ref="A1:H86"/>
  <sheetViews>
    <sheetView workbookViewId="0">
      <selection activeCell="N22" sqref="N22"/>
    </sheetView>
  </sheetViews>
  <sheetFormatPr defaultRowHeight="14.25" x14ac:dyDescent="0.2"/>
  <cols>
    <col min="1" max="1" width="13.375" customWidth="1"/>
  </cols>
  <sheetData>
    <row r="1" spans="1:8" x14ac:dyDescent="0.2">
      <c r="A1" s="3" t="s">
        <v>1982</v>
      </c>
      <c r="B1" s="4"/>
      <c r="C1" s="4"/>
      <c r="D1" s="3"/>
      <c r="E1" s="3"/>
      <c r="F1" s="3"/>
      <c r="G1" s="3"/>
      <c r="H1" s="3"/>
    </row>
    <row r="2" spans="1:8" ht="28.5" x14ac:dyDescent="0.2">
      <c r="A2" s="1" t="s">
        <v>0</v>
      </c>
      <c r="B2" s="2" t="s">
        <v>1</v>
      </c>
      <c r="C2" s="2" t="s">
        <v>2</v>
      </c>
      <c r="D2" s="1" t="s">
        <v>4</v>
      </c>
      <c r="E2" s="1" t="s">
        <v>3</v>
      </c>
      <c r="F2" s="1" t="s">
        <v>5</v>
      </c>
      <c r="G2" s="1" t="s">
        <v>6</v>
      </c>
      <c r="H2" s="1" t="s">
        <v>7</v>
      </c>
    </row>
    <row r="3" spans="1:8" s="10" customFormat="1" x14ac:dyDescent="0.2">
      <c r="A3" s="8" t="s">
        <v>390</v>
      </c>
      <c r="B3" s="9" t="s">
        <v>8</v>
      </c>
      <c r="C3" s="9" t="s">
        <v>9</v>
      </c>
      <c r="D3" s="13">
        <f>0.1107/0.94</f>
        <v>0.11776595744680853</v>
      </c>
      <c r="E3" s="8" t="s">
        <v>596</v>
      </c>
      <c r="F3" s="8" t="s">
        <v>283</v>
      </c>
      <c r="G3" s="8" t="s">
        <v>13</v>
      </c>
      <c r="H3" s="8" t="s">
        <v>12</v>
      </c>
    </row>
    <row r="4" spans="1:8" x14ac:dyDescent="0.2">
      <c r="A4" s="3">
        <v>3098980102</v>
      </c>
      <c r="B4" s="4" t="s">
        <v>1897</v>
      </c>
      <c r="C4" s="4" t="s">
        <v>1898</v>
      </c>
      <c r="D4" s="3">
        <v>1</v>
      </c>
      <c r="E4" s="3" t="s">
        <v>16</v>
      </c>
      <c r="F4" s="3" t="s">
        <v>291</v>
      </c>
      <c r="G4" s="3" t="s">
        <v>26</v>
      </c>
      <c r="H4" s="3" t="s">
        <v>393</v>
      </c>
    </row>
    <row r="5" spans="1:8" x14ac:dyDescent="0.2">
      <c r="A5" s="3">
        <v>3060503002</v>
      </c>
      <c r="B5" s="4" t="s">
        <v>21</v>
      </c>
      <c r="C5" s="4" t="s">
        <v>22</v>
      </c>
      <c r="D5" s="3">
        <v>1</v>
      </c>
      <c r="E5" s="3" t="s">
        <v>16</v>
      </c>
      <c r="F5" s="3" t="s">
        <v>289</v>
      </c>
      <c r="G5" s="3" t="s">
        <v>23</v>
      </c>
      <c r="H5" s="3" t="s">
        <v>18</v>
      </c>
    </row>
    <row r="6" spans="1:8" x14ac:dyDescent="0.2">
      <c r="A6" s="3">
        <v>3040207001</v>
      </c>
      <c r="B6" s="4" t="s">
        <v>665</v>
      </c>
      <c r="C6" s="4" t="s">
        <v>666</v>
      </c>
      <c r="D6" s="3">
        <v>2</v>
      </c>
      <c r="E6" s="3" t="s">
        <v>16</v>
      </c>
      <c r="F6" s="3" t="s">
        <v>293</v>
      </c>
      <c r="G6" s="3" t="s">
        <v>29</v>
      </c>
      <c r="H6" s="3" t="s">
        <v>18</v>
      </c>
    </row>
    <row r="7" spans="1:8" x14ac:dyDescent="0.2">
      <c r="A7" s="3">
        <v>404090223</v>
      </c>
      <c r="B7" s="4" t="s">
        <v>30</v>
      </c>
      <c r="C7" s="4" t="s">
        <v>1141</v>
      </c>
      <c r="D7" s="3">
        <v>1</v>
      </c>
      <c r="E7" s="3" t="s">
        <v>16</v>
      </c>
      <c r="F7" s="3" t="s">
        <v>301</v>
      </c>
      <c r="G7" s="3" t="s">
        <v>32</v>
      </c>
      <c r="H7" s="3" t="s">
        <v>33</v>
      </c>
    </row>
    <row r="8" spans="1:8" x14ac:dyDescent="0.2">
      <c r="A8" s="3">
        <v>404090304</v>
      </c>
      <c r="B8" s="4" t="s">
        <v>30</v>
      </c>
      <c r="C8" s="4" t="s">
        <v>1978</v>
      </c>
      <c r="D8" s="3">
        <v>1</v>
      </c>
      <c r="E8" s="3" t="s">
        <v>16</v>
      </c>
      <c r="F8" s="3" t="s">
        <v>301</v>
      </c>
      <c r="G8" s="3" t="s">
        <v>32</v>
      </c>
      <c r="H8" s="3" t="s">
        <v>33</v>
      </c>
    </row>
    <row r="9" spans="1:8" x14ac:dyDescent="0.2">
      <c r="A9" s="3">
        <v>404020119</v>
      </c>
      <c r="B9" s="4" t="s">
        <v>30</v>
      </c>
      <c r="C9" s="4" t="s">
        <v>1979</v>
      </c>
      <c r="D9" s="3">
        <v>1</v>
      </c>
      <c r="E9" s="3" t="s">
        <v>16</v>
      </c>
      <c r="F9" s="3" t="s">
        <v>301</v>
      </c>
      <c r="G9" s="3" t="s">
        <v>32</v>
      </c>
      <c r="H9" s="3" t="s">
        <v>33</v>
      </c>
    </row>
    <row r="10" spans="1:8" x14ac:dyDescent="0.2">
      <c r="A10" s="3">
        <v>404020120</v>
      </c>
      <c r="B10" s="4" t="s">
        <v>30</v>
      </c>
      <c r="C10" s="4" t="s">
        <v>1980</v>
      </c>
      <c r="D10" s="3">
        <v>1</v>
      </c>
      <c r="E10" s="3" t="s">
        <v>16</v>
      </c>
      <c r="F10" s="3" t="s">
        <v>301</v>
      </c>
      <c r="G10" s="3" t="s">
        <v>32</v>
      </c>
      <c r="H10" s="3" t="s">
        <v>33</v>
      </c>
    </row>
    <row r="11" spans="1:8" x14ac:dyDescent="0.2">
      <c r="A11" s="3">
        <v>404020029</v>
      </c>
      <c r="B11" s="4" t="s">
        <v>30</v>
      </c>
      <c r="C11" s="4" t="s">
        <v>31</v>
      </c>
      <c r="D11" s="3">
        <v>2</v>
      </c>
      <c r="E11" s="3" t="s">
        <v>16</v>
      </c>
      <c r="F11" s="3" t="s">
        <v>301</v>
      </c>
      <c r="G11" s="3" t="s">
        <v>32</v>
      </c>
      <c r="H11" s="3" t="s">
        <v>33</v>
      </c>
    </row>
    <row r="12" spans="1:8" x14ac:dyDescent="0.2">
      <c r="A12" s="3">
        <v>401020322</v>
      </c>
      <c r="B12" s="4" t="s">
        <v>35</v>
      </c>
      <c r="C12" s="4" t="s">
        <v>1981</v>
      </c>
      <c r="D12" s="3">
        <v>1</v>
      </c>
      <c r="E12" s="3" t="s">
        <v>16</v>
      </c>
      <c r="F12" s="3" t="s">
        <v>301</v>
      </c>
      <c r="G12" s="3" t="s">
        <v>32</v>
      </c>
      <c r="H12" s="3" t="s">
        <v>33</v>
      </c>
    </row>
    <row r="13" spans="1:8" x14ac:dyDescent="0.2">
      <c r="A13" s="3">
        <v>401040028</v>
      </c>
      <c r="B13" s="4" t="s">
        <v>35</v>
      </c>
      <c r="C13" s="4" t="s">
        <v>37</v>
      </c>
      <c r="D13" s="3">
        <v>1</v>
      </c>
      <c r="E13" s="3" t="s">
        <v>16</v>
      </c>
      <c r="F13" s="3" t="s">
        <v>291</v>
      </c>
      <c r="G13" s="3" t="s">
        <v>26</v>
      </c>
      <c r="H13" s="3" t="s">
        <v>33</v>
      </c>
    </row>
    <row r="14" spans="1:8" x14ac:dyDescent="0.2">
      <c r="A14" s="3">
        <v>409010006</v>
      </c>
      <c r="B14" s="4" t="s">
        <v>668</v>
      </c>
      <c r="C14" s="4" t="s">
        <v>669</v>
      </c>
      <c r="D14" s="3">
        <v>1</v>
      </c>
      <c r="E14" s="3" t="s">
        <v>16</v>
      </c>
      <c r="F14" s="3" t="s">
        <v>291</v>
      </c>
      <c r="G14" s="3" t="s">
        <v>26</v>
      </c>
      <c r="H14" s="3" t="s">
        <v>40</v>
      </c>
    </row>
    <row r="15" spans="1:8" x14ac:dyDescent="0.2">
      <c r="A15" s="3">
        <v>409010007</v>
      </c>
      <c r="B15" s="4" t="s">
        <v>670</v>
      </c>
      <c r="C15" s="4" t="s">
        <v>671</v>
      </c>
      <c r="D15" s="3">
        <v>1</v>
      </c>
      <c r="E15" s="3" t="s">
        <v>16</v>
      </c>
      <c r="F15" s="3" t="s">
        <v>291</v>
      </c>
      <c r="G15" s="3" t="s">
        <v>26</v>
      </c>
      <c r="H15" s="3" t="s">
        <v>40</v>
      </c>
    </row>
    <row r="16" spans="1:8" x14ac:dyDescent="0.2">
      <c r="A16" s="3">
        <v>409010058</v>
      </c>
      <c r="B16" s="4" t="s">
        <v>672</v>
      </c>
      <c r="C16" s="4" t="s">
        <v>673</v>
      </c>
      <c r="D16" s="3">
        <v>1</v>
      </c>
      <c r="E16" s="3" t="s">
        <v>16</v>
      </c>
      <c r="F16" s="3" t="s">
        <v>291</v>
      </c>
      <c r="G16" s="3" t="s">
        <v>26</v>
      </c>
      <c r="H16" s="3" t="s">
        <v>40</v>
      </c>
    </row>
    <row r="17" spans="1:8" x14ac:dyDescent="0.2">
      <c r="A17" s="3">
        <v>3080102003</v>
      </c>
      <c r="B17" s="4" t="s">
        <v>38</v>
      </c>
      <c r="C17" s="4" t="s">
        <v>39</v>
      </c>
      <c r="D17" s="3">
        <v>1</v>
      </c>
      <c r="E17" s="3" t="s">
        <v>16</v>
      </c>
      <c r="F17" s="3" t="s">
        <v>289</v>
      </c>
      <c r="G17" s="3" t="s">
        <v>23</v>
      </c>
      <c r="H17" s="3" t="s">
        <v>40</v>
      </c>
    </row>
    <row r="18" spans="1:8" x14ac:dyDescent="0.2">
      <c r="A18" s="3">
        <v>3080104020</v>
      </c>
      <c r="B18" s="4" t="s">
        <v>45</v>
      </c>
      <c r="C18" s="4" t="s">
        <v>46</v>
      </c>
      <c r="D18" s="3">
        <v>2</v>
      </c>
      <c r="E18" s="3" t="s">
        <v>16</v>
      </c>
      <c r="F18" s="3" t="s">
        <v>291</v>
      </c>
      <c r="G18" s="3" t="s">
        <v>26</v>
      </c>
      <c r="H18" s="3" t="s">
        <v>40</v>
      </c>
    </row>
    <row r="19" spans="1:8" x14ac:dyDescent="0.2">
      <c r="A19" s="3">
        <v>3080105007</v>
      </c>
      <c r="B19" s="4" t="s">
        <v>50</v>
      </c>
      <c r="C19" s="4" t="s">
        <v>52</v>
      </c>
      <c r="D19" s="3">
        <v>2</v>
      </c>
      <c r="E19" s="3" t="s">
        <v>16</v>
      </c>
      <c r="F19" s="3" t="s">
        <v>289</v>
      </c>
      <c r="G19" s="3" t="s">
        <v>23</v>
      </c>
      <c r="H19" s="3" t="s">
        <v>40</v>
      </c>
    </row>
    <row r="20" spans="1:8" x14ac:dyDescent="0.2">
      <c r="A20" s="3">
        <v>3080105007</v>
      </c>
      <c r="B20" s="4" t="s">
        <v>50</v>
      </c>
      <c r="C20" s="4" t="s">
        <v>52</v>
      </c>
      <c r="D20" s="3">
        <v>2</v>
      </c>
      <c r="E20" s="3" t="s">
        <v>16</v>
      </c>
      <c r="F20" s="3" t="s">
        <v>293</v>
      </c>
      <c r="G20" s="3" t="s">
        <v>29</v>
      </c>
      <c r="H20" s="3" t="s">
        <v>40</v>
      </c>
    </row>
    <row r="21" spans="1:8" x14ac:dyDescent="0.2">
      <c r="A21" s="3">
        <v>3080105114</v>
      </c>
      <c r="B21" s="4" t="s">
        <v>50</v>
      </c>
      <c r="C21" s="4" t="s">
        <v>53</v>
      </c>
      <c r="D21" s="3">
        <v>4</v>
      </c>
      <c r="E21" s="3" t="s">
        <v>16</v>
      </c>
      <c r="F21" s="3" t="s">
        <v>289</v>
      </c>
      <c r="G21" s="3" t="s">
        <v>23</v>
      </c>
      <c r="H21" s="3" t="s">
        <v>40</v>
      </c>
    </row>
    <row r="22" spans="1:8" x14ac:dyDescent="0.2">
      <c r="A22" s="3">
        <v>3080105114</v>
      </c>
      <c r="B22" s="4" t="s">
        <v>50</v>
      </c>
      <c r="C22" s="4" t="s">
        <v>53</v>
      </c>
      <c r="D22" s="3">
        <v>4</v>
      </c>
      <c r="E22" s="3" t="s">
        <v>16</v>
      </c>
      <c r="F22" s="3" t="s">
        <v>289</v>
      </c>
      <c r="G22" s="3" t="s">
        <v>23</v>
      </c>
      <c r="H22" s="3" t="s">
        <v>40</v>
      </c>
    </row>
    <row r="23" spans="1:8" x14ac:dyDescent="0.2">
      <c r="A23" s="3">
        <v>3080105111</v>
      </c>
      <c r="B23" s="4" t="s">
        <v>50</v>
      </c>
      <c r="C23" s="4" t="s">
        <v>599</v>
      </c>
      <c r="D23" s="3">
        <v>4</v>
      </c>
      <c r="E23" s="3" t="s">
        <v>16</v>
      </c>
      <c r="F23" s="3" t="s">
        <v>291</v>
      </c>
      <c r="G23" s="3" t="s">
        <v>26</v>
      </c>
      <c r="H23" s="3" t="s">
        <v>40</v>
      </c>
    </row>
    <row r="24" spans="1:8" x14ac:dyDescent="0.2">
      <c r="A24" s="3">
        <v>3080105007</v>
      </c>
      <c r="B24" s="4" t="s">
        <v>50</v>
      </c>
      <c r="C24" s="4" t="s">
        <v>52</v>
      </c>
      <c r="D24" s="3">
        <v>8</v>
      </c>
      <c r="E24" s="3" t="s">
        <v>16</v>
      </c>
      <c r="F24" s="3" t="s">
        <v>289</v>
      </c>
      <c r="G24" s="3" t="s">
        <v>23</v>
      </c>
      <c r="H24" s="3" t="s">
        <v>40</v>
      </c>
    </row>
    <row r="25" spans="1:8" x14ac:dyDescent="0.2">
      <c r="A25" s="3">
        <v>3080105013</v>
      </c>
      <c r="B25" s="4" t="s">
        <v>50</v>
      </c>
      <c r="C25" s="4" t="s">
        <v>51</v>
      </c>
      <c r="D25" s="3">
        <v>12</v>
      </c>
      <c r="E25" s="3" t="s">
        <v>16</v>
      </c>
      <c r="F25" s="3" t="s">
        <v>293</v>
      </c>
      <c r="G25" s="3" t="s">
        <v>29</v>
      </c>
      <c r="H25" s="3" t="s">
        <v>40</v>
      </c>
    </row>
    <row r="26" spans="1:8" x14ac:dyDescent="0.2">
      <c r="A26" s="3">
        <v>3080105013</v>
      </c>
      <c r="B26" s="4" t="s">
        <v>50</v>
      </c>
      <c r="C26" s="4" t="s">
        <v>51</v>
      </c>
      <c r="D26" s="3">
        <v>2</v>
      </c>
      <c r="E26" s="3" t="s">
        <v>16</v>
      </c>
      <c r="F26" s="3" t="s">
        <v>291</v>
      </c>
      <c r="G26" s="3" t="s">
        <v>26</v>
      </c>
      <c r="H26" s="3" t="s">
        <v>40</v>
      </c>
    </row>
    <row r="27" spans="1:8" x14ac:dyDescent="0.2">
      <c r="A27" s="3">
        <v>3080105004</v>
      </c>
      <c r="B27" s="4" t="s">
        <v>50</v>
      </c>
      <c r="C27" s="4" t="s">
        <v>54</v>
      </c>
      <c r="D27" s="3">
        <v>1</v>
      </c>
      <c r="E27" s="3" t="s">
        <v>16</v>
      </c>
      <c r="F27" s="3" t="s">
        <v>289</v>
      </c>
      <c r="G27" s="3" t="s">
        <v>23</v>
      </c>
      <c r="H27" s="3" t="s">
        <v>40</v>
      </c>
    </row>
    <row r="28" spans="1:8" x14ac:dyDescent="0.2">
      <c r="A28" s="3">
        <v>3080502002</v>
      </c>
      <c r="B28" s="4" t="s">
        <v>55</v>
      </c>
      <c r="C28" s="4" t="s">
        <v>56</v>
      </c>
      <c r="D28" s="3">
        <v>4</v>
      </c>
      <c r="E28" s="3" t="s">
        <v>16</v>
      </c>
      <c r="F28" s="3" t="s">
        <v>293</v>
      </c>
      <c r="G28" s="3" t="s">
        <v>29</v>
      </c>
      <c r="H28" s="3" t="s">
        <v>40</v>
      </c>
    </row>
    <row r="29" spans="1:8" x14ac:dyDescent="0.2">
      <c r="A29" s="3">
        <v>3080501013</v>
      </c>
      <c r="B29" s="4" t="s">
        <v>57</v>
      </c>
      <c r="C29" s="4" t="s">
        <v>58</v>
      </c>
      <c r="D29" s="3">
        <v>2</v>
      </c>
      <c r="E29" s="3" t="s">
        <v>16</v>
      </c>
      <c r="F29" s="3" t="s">
        <v>293</v>
      </c>
      <c r="G29" s="3" t="s">
        <v>29</v>
      </c>
      <c r="H29" s="3" t="s">
        <v>40</v>
      </c>
    </row>
    <row r="30" spans="1:8" x14ac:dyDescent="0.2">
      <c r="A30" s="3">
        <v>3080501003</v>
      </c>
      <c r="B30" s="4" t="s">
        <v>57</v>
      </c>
      <c r="C30" s="4" t="s">
        <v>630</v>
      </c>
      <c r="D30" s="3">
        <v>8</v>
      </c>
      <c r="E30" s="3" t="s">
        <v>16</v>
      </c>
      <c r="F30" s="3" t="s">
        <v>291</v>
      </c>
      <c r="G30" s="3" t="s">
        <v>26</v>
      </c>
      <c r="H30" s="3" t="s">
        <v>40</v>
      </c>
    </row>
    <row r="31" spans="1:8" x14ac:dyDescent="0.2">
      <c r="A31" s="3">
        <v>3080201004</v>
      </c>
      <c r="B31" s="4" t="s">
        <v>60</v>
      </c>
      <c r="C31" s="4" t="s">
        <v>61</v>
      </c>
      <c r="D31" s="3">
        <v>4</v>
      </c>
      <c r="E31" s="3" t="s">
        <v>16</v>
      </c>
      <c r="F31" s="3" t="s">
        <v>291</v>
      </c>
      <c r="G31" s="3" t="s">
        <v>26</v>
      </c>
      <c r="H31" s="3" t="s">
        <v>40</v>
      </c>
    </row>
    <row r="32" spans="1:8" x14ac:dyDescent="0.2">
      <c r="A32" s="3">
        <v>3080107130</v>
      </c>
      <c r="B32" s="4" t="s">
        <v>69</v>
      </c>
      <c r="C32" s="4" t="s">
        <v>70</v>
      </c>
      <c r="D32" s="3">
        <v>4</v>
      </c>
      <c r="E32" s="3" t="s">
        <v>16</v>
      </c>
      <c r="F32" s="3" t="s">
        <v>293</v>
      </c>
      <c r="G32" s="3" t="s">
        <v>29</v>
      </c>
      <c r="H32" s="3" t="s">
        <v>40</v>
      </c>
    </row>
    <row r="33" spans="1:8" x14ac:dyDescent="0.2">
      <c r="A33" s="3">
        <v>3080107038</v>
      </c>
      <c r="B33" s="4" t="s">
        <v>69</v>
      </c>
      <c r="C33" s="4" t="s">
        <v>72</v>
      </c>
      <c r="D33" s="3">
        <v>2</v>
      </c>
      <c r="E33" s="3" t="s">
        <v>16</v>
      </c>
      <c r="F33" s="3" t="s">
        <v>289</v>
      </c>
      <c r="G33" s="3" t="s">
        <v>23</v>
      </c>
      <c r="H33" s="3" t="s">
        <v>40</v>
      </c>
    </row>
    <row r="34" spans="1:8" x14ac:dyDescent="0.2">
      <c r="A34" s="3">
        <v>3080107035</v>
      </c>
      <c r="B34" s="4" t="s">
        <v>69</v>
      </c>
      <c r="C34" s="4" t="s">
        <v>675</v>
      </c>
      <c r="D34" s="3">
        <v>4</v>
      </c>
      <c r="E34" s="3" t="s">
        <v>16</v>
      </c>
      <c r="F34" s="3" t="s">
        <v>293</v>
      </c>
      <c r="G34" s="3" t="s">
        <v>29</v>
      </c>
      <c r="H34" s="3" t="s">
        <v>40</v>
      </c>
    </row>
    <row r="35" spans="1:8" x14ac:dyDescent="0.2">
      <c r="A35" s="3">
        <v>3080107024</v>
      </c>
      <c r="B35" s="4" t="s">
        <v>69</v>
      </c>
      <c r="C35" s="4" t="s">
        <v>1143</v>
      </c>
      <c r="D35" s="3">
        <v>4</v>
      </c>
      <c r="E35" s="3" t="s">
        <v>16</v>
      </c>
      <c r="F35" s="3" t="s">
        <v>291</v>
      </c>
      <c r="G35" s="3" t="s">
        <v>26</v>
      </c>
      <c r="H35" s="3" t="s">
        <v>40</v>
      </c>
    </row>
    <row r="36" spans="1:8" x14ac:dyDescent="0.2">
      <c r="A36" s="3">
        <v>3080107015</v>
      </c>
      <c r="B36" s="4" t="s">
        <v>69</v>
      </c>
      <c r="C36" s="4" t="s">
        <v>73</v>
      </c>
      <c r="D36" s="3">
        <v>6</v>
      </c>
      <c r="E36" s="3" t="s">
        <v>16</v>
      </c>
      <c r="F36" s="3" t="s">
        <v>291</v>
      </c>
      <c r="G36" s="3" t="s">
        <v>26</v>
      </c>
      <c r="H36" s="3" t="s">
        <v>40</v>
      </c>
    </row>
    <row r="37" spans="1:8" x14ac:dyDescent="0.2">
      <c r="A37" s="3">
        <v>3080111087</v>
      </c>
      <c r="B37" s="4" t="s">
        <v>79</v>
      </c>
      <c r="C37" s="4" t="s">
        <v>80</v>
      </c>
      <c r="D37" s="3">
        <v>18</v>
      </c>
      <c r="E37" s="3" t="s">
        <v>16</v>
      </c>
      <c r="F37" s="3" t="s">
        <v>291</v>
      </c>
      <c r="G37" s="3" t="s">
        <v>26</v>
      </c>
      <c r="H37" s="3" t="s">
        <v>40</v>
      </c>
    </row>
    <row r="38" spans="1:8" x14ac:dyDescent="0.2">
      <c r="A38" s="3">
        <v>3030101028</v>
      </c>
      <c r="B38" s="4" t="s">
        <v>636</v>
      </c>
      <c r="C38" s="4" t="s">
        <v>1144</v>
      </c>
      <c r="D38" s="3">
        <v>1</v>
      </c>
      <c r="E38" s="3" t="s">
        <v>16</v>
      </c>
      <c r="F38" s="3" t="s">
        <v>291</v>
      </c>
      <c r="G38" s="3" t="s">
        <v>26</v>
      </c>
      <c r="H38" s="3" t="s">
        <v>88</v>
      </c>
    </row>
    <row r="39" spans="1:8" x14ac:dyDescent="0.2">
      <c r="A39" s="3">
        <v>3099991203</v>
      </c>
      <c r="B39" s="4" t="s">
        <v>101</v>
      </c>
      <c r="C39" s="4" t="s">
        <v>102</v>
      </c>
      <c r="D39" s="3">
        <v>1</v>
      </c>
      <c r="E39" s="3" t="s">
        <v>16</v>
      </c>
      <c r="F39" s="3" t="s">
        <v>289</v>
      </c>
      <c r="G39" s="3" t="s">
        <v>23</v>
      </c>
      <c r="H39" s="3" t="s">
        <v>103</v>
      </c>
    </row>
    <row r="40" spans="1:8" x14ac:dyDescent="0.2">
      <c r="A40" s="3">
        <v>3099990225</v>
      </c>
      <c r="B40" s="4" t="s">
        <v>1902</v>
      </c>
      <c r="C40" s="4" t="s">
        <v>1903</v>
      </c>
      <c r="D40" s="3">
        <v>1</v>
      </c>
      <c r="E40" s="3" t="s">
        <v>16</v>
      </c>
      <c r="F40" s="3" t="s">
        <v>299</v>
      </c>
      <c r="G40" s="3" t="s">
        <v>106</v>
      </c>
      <c r="H40" s="3" t="s">
        <v>103</v>
      </c>
    </row>
    <row r="41" spans="1:8" x14ac:dyDescent="0.2">
      <c r="A41" s="3">
        <v>402010065</v>
      </c>
      <c r="B41" s="4" t="s">
        <v>882</v>
      </c>
      <c r="C41" s="4" t="s">
        <v>1927</v>
      </c>
      <c r="D41" s="3">
        <v>1</v>
      </c>
      <c r="E41" s="3" t="s">
        <v>16</v>
      </c>
      <c r="F41" s="3" t="s">
        <v>291</v>
      </c>
      <c r="G41" s="3" t="s">
        <v>26</v>
      </c>
      <c r="H41" s="3" t="s">
        <v>109</v>
      </c>
    </row>
    <row r="42" spans="1:8" x14ac:dyDescent="0.2">
      <c r="A42" s="3">
        <v>402030029</v>
      </c>
      <c r="B42" s="4" t="s">
        <v>107</v>
      </c>
      <c r="C42" s="4" t="s">
        <v>108</v>
      </c>
      <c r="D42" s="3">
        <v>1</v>
      </c>
      <c r="E42" s="3" t="s">
        <v>16</v>
      </c>
      <c r="F42" s="3" t="s">
        <v>289</v>
      </c>
      <c r="G42" s="3" t="s">
        <v>23</v>
      </c>
      <c r="H42" s="3" t="s">
        <v>109</v>
      </c>
    </row>
    <row r="43" spans="1:8" x14ac:dyDescent="0.2">
      <c r="A43" s="3">
        <v>402020006</v>
      </c>
      <c r="B43" s="4" t="s">
        <v>111</v>
      </c>
      <c r="C43" s="4" t="s">
        <v>112</v>
      </c>
      <c r="D43" s="3">
        <v>2</v>
      </c>
      <c r="E43" s="3" t="s">
        <v>16</v>
      </c>
      <c r="F43" s="3" t="s">
        <v>293</v>
      </c>
      <c r="G43" s="3" t="s">
        <v>29</v>
      </c>
      <c r="H43" s="3" t="s">
        <v>109</v>
      </c>
    </row>
    <row r="44" spans="1:8" x14ac:dyDescent="0.2">
      <c r="A44" s="3">
        <v>3060209002</v>
      </c>
      <c r="B44" s="4" t="s">
        <v>113</v>
      </c>
      <c r="C44" s="4" t="s">
        <v>114</v>
      </c>
      <c r="D44" s="3">
        <v>2</v>
      </c>
      <c r="E44" s="3" t="s">
        <v>16</v>
      </c>
      <c r="F44" s="3" t="s">
        <v>289</v>
      </c>
      <c r="G44" s="3" t="s">
        <v>23</v>
      </c>
      <c r="H44" s="3" t="s">
        <v>115</v>
      </c>
    </row>
    <row r="45" spans="1:8" x14ac:dyDescent="0.2">
      <c r="A45" s="3">
        <v>3040113002</v>
      </c>
      <c r="B45" s="4" t="s">
        <v>118</v>
      </c>
      <c r="C45" s="4" t="s">
        <v>119</v>
      </c>
      <c r="D45" s="3">
        <v>2</v>
      </c>
      <c r="E45" s="3" t="s">
        <v>16</v>
      </c>
      <c r="F45" s="3" t="s">
        <v>293</v>
      </c>
      <c r="G45" s="3" t="s">
        <v>29</v>
      </c>
      <c r="H45" s="3" t="s">
        <v>115</v>
      </c>
    </row>
    <row r="46" spans="1:8" x14ac:dyDescent="0.2">
      <c r="A46" s="3">
        <v>3060201006</v>
      </c>
      <c r="B46" s="4" t="s">
        <v>663</v>
      </c>
      <c r="C46" s="4" t="s">
        <v>1145</v>
      </c>
      <c r="D46" s="3">
        <v>1</v>
      </c>
      <c r="E46" s="3" t="s">
        <v>16</v>
      </c>
      <c r="F46" s="3" t="s">
        <v>289</v>
      </c>
      <c r="G46" s="3" t="s">
        <v>23</v>
      </c>
      <c r="H46" s="3" t="s">
        <v>132</v>
      </c>
    </row>
    <row r="47" spans="1:8" x14ac:dyDescent="0.2">
      <c r="A47" s="3">
        <v>404040025</v>
      </c>
      <c r="B47" s="4" t="s">
        <v>30</v>
      </c>
      <c r="C47" s="4" t="s">
        <v>133</v>
      </c>
      <c r="D47" s="3">
        <v>2</v>
      </c>
      <c r="E47" s="3" t="s">
        <v>16</v>
      </c>
      <c r="F47" s="3" t="s">
        <v>291</v>
      </c>
      <c r="G47" s="3" t="s">
        <v>26</v>
      </c>
      <c r="H47" s="3" t="s">
        <v>134</v>
      </c>
    </row>
    <row r="48" spans="1:8" x14ac:dyDescent="0.2">
      <c r="A48" s="3">
        <v>3040502040</v>
      </c>
      <c r="B48" s="4" t="s">
        <v>136</v>
      </c>
      <c r="C48" s="4" t="s">
        <v>679</v>
      </c>
      <c r="D48" s="3">
        <v>1</v>
      </c>
      <c r="E48" s="3" t="s">
        <v>16</v>
      </c>
      <c r="F48" s="3" t="s">
        <v>293</v>
      </c>
      <c r="G48" s="3" t="s">
        <v>29</v>
      </c>
      <c r="H48" s="3" t="s">
        <v>138</v>
      </c>
    </row>
    <row r="49" spans="1:8" x14ac:dyDescent="0.2">
      <c r="A49" s="3">
        <v>3040502001</v>
      </c>
      <c r="B49" s="4" t="s">
        <v>136</v>
      </c>
      <c r="C49" s="4" t="s">
        <v>678</v>
      </c>
      <c r="D49" s="3">
        <v>1</v>
      </c>
      <c r="E49" s="3" t="s">
        <v>16</v>
      </c>
      <c r="F49" s="3" t="s">
        <v>293</v>
      </c>
      <c r="G49" s="3" t="s">
        <v>29</v>
      </c>
      <c r="H49" s="3" t="s">
        <v>138</v>
      </c>
    </row>
    <row r="50" spans="1:8" x14ac:dyDescent="0.2">
      <c r="A50" s="3">
        <v>3990207001</v>
      </c>
      <c r="B50" s="4" t="s">
        <v>140</v>
      </c>
      <c r="C50" s="4" t="s">
        <v>141</v>
      </c>
      <c r="D50" s="3">
        <v>1</v>
      </c>
      <c r="E50" s="3" t="s">
        <v>16</v>
      </c>
      <c r="F50" s="3" t="s">
        <v>285</v>
      </c>
      <c r="G50" s="3" t="s">
        <v>142</v>
      </c>
      <c r="H50" s="3" t="s">
        <v>143</v>
      </c>
    </row>
    <row r="51" spans="1:8" x14ac:dyDescent="0.2">
      <c r="A51" s="3">
        <v>407020013</v>
      </c>
      <c r="B51" s="4" t="s">
        <v>680</v>
      </c>
      <c r="C51" s="4" t="s">
        <v>681</v>
      </c>
      <c r="D51" s="3">
        <v>1</v>
      </c>
      <c r="E51" s="3" t="s">
        <v>16</v>
      </c>
      <c r="F51" s="3" t="s">
        <v>289</v>
      </c>
      <c r="G51" s="3" t="s">
        <v>23</v>
      </c>
      <c r="H51" s="3" t="s">
        <v>151</v>
      </c>
    </row>
    <row r="52" spans="1:8" x14ac:dyDescent="0.2">
      <c r="A52" s="3">
        <v>3070103002</v>
      </c>
      <c r="B52" s="4" t="s">
        <v>152</v>
      </c>
      <c r="C52" s="4" t="s">
        <v>153</v>
      </c>
      <c r="D52" s="3">
        <v>1</v>
      </c>
      <c r="E52" s="3" t="s">
        <v>16</v>
      </c>
      <c r="F52" s="3" t="s">
        <v>289</v>
      </c>
      <c r="G52" s="3" t="s">
        <v>23</v>
      </c>
      <c r="H52" s="3" t="s">
        <v>154</v>
      </c>
    </row>
    <row r="53" spans="1:8" x14ac:dyDescent="0.2">
      <c r="A53" s="3">
        <v>3040211002</v>
      </c>
      <c r="B53" s="4" t="s">
        <v>157</v>
      </c>
      <c r="C53" s="4" t="s">
        <v>158</v>
      </c>
      <c r="D53" s="3">
        <v>2</v>
      </c>
      <c r="E53" s="3" t="s">
        <v>16</v>
      </c>
      <c r="F53" s="3" t="s">
        <v>293</v>
      </c>
      <c r="G53" s="3" t="s">
        <v>29</v>
      </c>
      <c r="H53" s="3" t="s">
        <v>154</v>
      </c>
    </row>
    <row r="54" spans="1:8" x14ac:dyDescent="0.2">
      <c r="A54" s="3">
        <v>3040217003</v>
      </c>
      <c r="B54" s="4" t="s">
        <v>159</v>
      </c>
      <c r="C54" s="4" t="s">
        <v>160</v>
      </c>
      <c r="D54" s="3">
        <v>2</v>
      </c>
      <c r="E54" s="3" t="s">
        <v>16</v>
      </c>
      <c r="F54" s="3" t="s">
        <v>293</v>
      </c>
      <c r="G54" s="3" t="s">
        <v>29</v>
      </c>
      <c r="H54" s="3" t="s">
        <v>154</v>
      </c>
    </row>
    <row r="55" spans="1:8" x14ac:dyDescent="0.2">
      <c r="A55" s="3">
        <v>3060306001</v>
      </c>
      <c r="B55" s="4" t="s">
        <v>163</v>
      </c>
      <c r="C55" s="4" t="s">
        <v>164</v>
      </c>
      <c r="D55" s="3">
        <v>1</v>
      </c>
      <c r="E55" s="3" t="s">
        <v>16</v>
      </c>
      <c r="F55" s="3" t="s">
        <v>289</v>
      </c>
      <c r="G55" s="3" t="s">
        <v>23</v>
      </c>
      <c r="H55" s="3" t="s">
        <v>165</v>
      </c>
    </row>
    <row r="56" spans="1:8" x14ac:dyDescent="0.2">
      <c r="A56" s="3">
        <v>3010106010</v>
      </c>
      <c r="B56" s="4" t="s">
        <v>481</v>
      </c>
      <c r="C56" s="4" t="s">
        <v>482</v>
      </c>
      <c r="D56" s="3">
        <v>0.38</v>
      </c>
      <c r="E56" s="3" t="s">
        <v>10</v>
      </c>
      <c r="F56" s="3" t="s">
        <v>284</v>
      </c>
      <c r="G56" s="3" t="s">
        <v>11</v>
      </c>
      <c r="H56" s="3" t="s">
        <v>483</v>
      </c>
    </row>
    <row r="57" spans="1:8" x14ac:dyDescent="0.2">
      <c r="A57" s="3">
        <v>3060344001</v>
      </c>
      <c r="B57" s="4" t="s">
        <v>682</v>
      </c>
      <c r="C57" s="4" t="s">
        <v>1147</v>
      </c>
      <c r="D57" s="3">
        <v>1</v>
      </c>
      <c r="E57" s="3" t="s">
        <v>16</v>
      </c>
      <c r="F57" s="3" t="s">
        <v>291</v>
      </c>
      <c r="G57" s="3" t="s">
        <v>26</v>
      </c>
      <c r="H57" s="3" t="s">
        <v>173</v>
      </c>
    </row>
    <row r="58" spans="1:8" x14ac:dyDescent="0.2">
      <c r="A58" s="3">
        <v>3060310001</v>
      </c>
      <c r="B58" s="4" t="s">
        <v>171</v>
      </c>
      <c r="C58" s="4" t="s">
        <v>172</v>
      </c>
      <c r="D58" s="3">
        <v>1</v>
      </c>
      <c r="E58" s="3" t="s">
        <v>16</v>
      </c>
      <c r="F58" s="3" t="s">
        <v>289</v>
      </c>
      <c r="G58" s="3" t="s">
        <v>23</v>
      </c>
      <c r="H58" s="3" t="s">
        <v>173</v>
      </c>
    </row>
    <row r="59" spans="1:8" x14ac:dyDescent="0.2">
      <c r="A59" s="3">
        <v>3060311001</v>
      </c>
      <c r="B59" s="4" t="s">
        <v>174</v>
      </c>
      <c r="C59" s="4" t="s">
        <v>172</v>
      </c>
      <c r="D59" s="3">
        <v>1</v>
      </c>
      <c r="E59" s="3" t="s">
        <v>16</v>
      </c>
      <c r="F59" s="3" t="s">
        <v>289</v>
      </c>
      <c r="G59" s="3" t="s">
        <v>23</v>
      </c>
      <c r="H59" s="3" t="s">
        <v>173</v>
      </c>
    </row>
    <row r="60" spans="1:8" x14ac:dyDescent="0.2">
      <c r="A60" s="3">
        <v>3020502023</v>
      </c>
      <c r="B60" s="4" t="s">
        <v>183</v>
      </c>
      <c r="C60" s="4" t="s">
        <v>184</v>
      </c>
      <c r="D60" s="3">
        <v>1</v>
      </c>
      <c r="E60" s="3" t="s">
        <v>16</v>
      </c>
      <c r="F60" s="3" t="s">
        <v>291</v>
      </c>
      <c r="G60" s="3" t="s">
        <v>26</v>
      </c>
      <c r="H60" s="3" t="s">
        <v>185</v>
      </c>
    </row>
    <row r="61" spans="1:8" x14ac:dyDescent="0.2">
      <c r="A61" s="3">
        <v>3040402001</v>
      </c>
      <c r="B61" s="4" t="s">
        <v>193</v>
      </c>
      <c r="C61" s="4" t="s">
        <v>194</v>
      </c>
      <c r="D61" s="3">
        <v>1</v>
      </c>
      <c r="E61" s="3" t="s">
        <v>16</v>
      </c>
      <c r="F61" s="3" t="s">
        <v>293</v>
      </c>
      <c r="G61" s="3" t="s">
        <v>29</v>
      </c>
      <c r="H61" s="3" t="s">
        <v>192</v>
      </c>
    </row>
    <row r="62" spans="1:8" x14ac:dyDescent="0.2">
      <c r="A62" s="3">
        <v>3040402002</v>
      </c>
      <c r="B62" s="4" t="s">
        <v>193</v>
      </c>
      <c r="C62" s="4" t="s">
        <v>195</v>
      </c>
      <c r="D62" s="3">
        <v>1</v>
      </c>
      <c r="E62" s="3" t="s">
        <v>16</v>
      </c>
      <c r="F62" s="3" t="s">
        <v>293</v>
      </c>
      <c r="G62" s="3" t="s">
        <v>29</v>
      </c>
      <c r="H62" s="3" t="s">
        <v>192</v>
      </c>
    </row>
    <row r="63" spans="1:8" x14ac:dyDescent="0.2">
      <c r="A63" s="3">
        <v>404030020</v>
      </c>
      <c r="B63" s="4" t="s">
        <v>30</v>
      </c>
      <c r="C63" s="4" t="s">
        <v>689</v>
      </c>
      <c r="D63" s="3">
        <v>1</v>
      </c>
      <c r="E63" s="3" t="s">
        <v>16</v>
      </c>
      <c r="F63" s="3" t="s">
        <v>289</v>
      </c>
      <c r="G63" s="3" t="s">
        <v>23</v>
      </c>
      <c r="H63" s="3" t="s">
        <v>198</v>
      </c>
    </row>
    <row r="64" spans="1:8" x14ac:dyDescent="0.2">
      <c r="A64" s="3">
        <v>404020035</v>
      </c>
      <c r="B64" s="4" t="s">
        <v>30</v>
      </c>
      <c r="C64" s="4" t="s">
        <v>199</v>
      </c>
      <c r="D64" s="3">
        <v>1</v>
      </c>
      <c r="E64" s="3" t="s">
        <v>16</v>
      </c>
      <c r="F64" s="3" t="s">
        <v>291</v>
      </c>
      <c r="G64" s="3" t="s">
        <v>26</v>
      </c>
      <c r="H64" s="3" t="s">
        <v>198</v>
      </c>
    </row>
    <row r="65" spans="1:8" x14ac:dyDescent="0.2">
      <c r="A65" s="3">
        <v>403030019</v>
      </c>
      <c r="B65" s="4" t="s">
        <v>801</v>
      </c>
      <c r="C65" s="4" t="s">
        <v>1151</v>
      </c>
      <c r="D65" s="3">
        <v>2</v>
      </c>
      <c r="E65" s="3" t="s">
        <v>16</v>
      </c>
      <c r="F65" s="3" t="s">
        <v>291</v>
      </c>
      <c r="G65" s="3" t="s">
        <v>26</v>
      </c>
      <c r="H65" s="3" t="s">
        <v>198</v>
      </c>
    </row>
    <row r="66" spans="1:8" x14ac:dyDescent="0.2">
      <c r="A66" s="3">
        <v>401070018</v>
      </c>
      <c r="B66" s="4" t="s">
        <v>35</v>
      </c>
      <c r="C66" s="4" t="s">
        <v>202</v>
      </c>
      <c r="D66" s="3">
        <v>1</v>
      </c>
      <c r="E66" s="3" t="s">
        <v>16</v>
      </c>
      <c r="F66" s="3" t="s">
        <v>291</v>
      </c>
      <c r="G66" s="3" t="s">
        <v>26</v>
      </c>
      <c r="H66" s="3" t="s">
        <v>198</v>
      </c>
    </row>
    <row r="67" spans="1:8" x14ac:dyDescent="0.2">
      <c r="A67" s="3">
        <v>401070022</v>
      </c>
      <c r="B67" s="4" t="s">
        <v>35</v>
      </c>
      <c r="C67" s="4" t="s">
        <v>203</v>
      </c>
      <c r="D67" s="3">
        <v>1</v>
      </c>
      <c r="E67" s="3" t="s">
        <v>16</v>
      </c>
      <c r="F67" s="3" t="s">
        <v>297</v>
      </c>
      <c r="G67" s="3" t="s">
        <v>204</v>
      </c>
      <c r="H67" s="3" t="s">
        <v>198</v>
      </c>
    </row>
    <row r="68" spans="1:8" x14ac:dyDescent="0.2">
      <c r="A68" s="3">
        <v>3020302013</v>
      </c>
      <c r="B68" s="4" t="s">
        <v>209</v>
      </c>
      <c r="C68" s="4" t="s">
        <v>210</v>
      </c>
      <c r="D68" s="3">
        <v>1</v>
      </c>
      <c r="E68" s="3" t="s">
        <v>16</v>
      </c>
      <c r="F68" s="3" t="s">
        <v>291</v>
      </c>
      <c r="G68" s="3" t="s">
        <v>26</v>
      </c>
      <c r="H68" s="3" t="s">
        <v>211</v>
      </c>
    </row>
    <row r="69" spans="1:8" x14ac:dyDescent="0.2">
      <c r="A69" s="3">
        <v>3050401005</v>
      </c>
      <c r="B69" s="4" t="s">
        <v>222</v>
      </c>
      <c r="C69" s="4" t="s">
        <v>690</v>
      </c>
      <c r="D69" s="3">
        <v>1</v>
      </c>
      <c r="E69" s="3" t="s">
        <v>16</v>
      </c>
      <c r="F69" s="3" t="s">
        <v>291</v>
      </c>
      <c r="G69" s="3" t="s">
        <v>26</v>
      </c>
      <c r="H69" s="3" t="s">
        <v>221</v>
      </c>
    </row>
    <row r="70" spans="1:8" x14ac:dyDescent="0.2">
      <c r="A70" s="3">
        <v>3060333002</v>
      </c>
      <c r="B70" s="4" t="s">
        <v>227</v>
      </c>
      <c r="C70" s="4" t="s">
        <v>228</v>
      </c>
      <c r="D70" s="3">
        <v>1</v>
      </c>
      <c r="E70" s="3" t="s">
        <v>16</v>
      </c>
      <c r="F70" s="3" t="s">
        <v>289</v>
      </c>
      <c r="G70" s="3" t="s">
        <v>23</v>
      </c>
      <c r="H70" s="3" t="s">
        <v>226</v>
      </c>
    </row>
    <row r="71" spans="1:8" x14ac:dyDescent="0.2">
      <c r="A71" s="3">
        <v>3060308002</v>
      </c>
      <c r="B71" s="4" t="s">
        <v>229</v>
      </c>
      <c r="C71" s="4" t="s">
        <v>230</v>
      </c>
      <c r="D71" s="3">
        <v>1</v>
      </c>
      <c r="E71" s="3" t="s">
        <v>16</v>
      </c>
      <c r="F71" s="3" t="s">
        <v>289</v>
      </c>
      <c r="G71" s="3" t="s">
        <v>23</v>
      </c>
      <c r="H71" s="3" t="s">
        <v>226</v>
      </c>
    </row>
    <row r="72" spans="1:8" x14ac:dyDescent="0.2">
      <c r="A72" s="3">
        <v>3060303001</v>
      </c>
      <c r="B72" s="4" t="s">
        <v>231</v>
      </c>
      <c r="C72" s="4" t="s">
        <v>232</v>
      </c>
      <c r="D72" s="3">
        <v>1</v>
      </c>
      <c r="E72" s="3" t="s">
        <v>16</v>
      </c>
      <c r="F72" s="3" t="s">
        <v>289</v>
      </c>
      <c r="G72" s="3" t="s">
        <v>23</v>
      </c>
      <c r="H72" s="3" t="s">
        <v>226</v>
      </c>
    </row>
    <row r="73" spans="1:8" x14ac:dyDescent="0.2">
      <c r="A73" s="3">
        <v>3060335004</v>
      </c>
      <c r="B73" s="4" t="s">
        <v>233</v>
      </c>
      <c r="C73" s="4" t="s">
        <v>234</v>
      </c>
      <c r="D73" s="3">
        <v>1</v>
      </c>
      <c r="E73" s="3" t="s">
        <v>16</v>
      </c>
      <c r="F73" s="3" t="s">
        <v>289</v>
      </c>
      <c r="G73" s="3" t="s">
        <v>23</v>
      </c>
      <c r="H73" s="3" t="s">
        <v>226</v>
      </c>
    </row>
    <row r="74" spans="1:8" x14ac:dyDescent="0.2">
      <c r="A74" s="3">
        <v>3020104001</v>
      </c>
      <c r="B74" s="4" t="s">
        <v>239</v>
      </c>
      <c r="C74" s="4" t="s">
        <v>240</v>
      </c>
      <c r="D74" s="3">
        <v>5</v>
      </c>
      <c r="E74" s="3" t="s">
        <v>16</v>
      </c>
      <c r="F74" s="3" t="s">
        <v>297</v>
      </c>
      <c r="G74" s="3" t="s">
        <v>204</v>
      </c>
      <c r="H74" s="3" t="s">
        <v>226</v>
      </c>
    </row>
    <row r="75" spans="1:8" x14ac:dyDescent="0.2">
      <c r="A75" s="3">
        <v>3030303011</v>
      </c>
      <c r="B75" s="4" t="s">
        <v>611</v>
      </c>
      <c r="C75" s="4" t="s">
        <v>612</v>
      </c>
      <c r="D75" s="3">
        <v>2</v>
      </c>
      <c r="E75" s="3" t="s">
        <v>16</v>
      </c>
      <c r="F75" s="3" t="s">
        <v>291</v>
      </c>
      <c r="G75" s="3" t="s">
        <v>26</v>
      </c>
      <c r="H75" s="3" t="s">
        <v>226</v>
      </c>
    </row>
    <row r="76" spans="1:8" x14ac:dyDescent="0.2">
      <c r="A76" s="3">
        <v>3030303010</v>
      </c>
      <c r="B76" s="4" t="s">
        <v>611</v>
      </c>
      <c r="C76" s="4" t="s">
        <v>258</v>
      </c>
      <c r="D76" s="3">
        <v>1</v>
      </c>
      <c r="E76" s="3" t="s">
        <v>16</v>
      </c>
      <c r="F76" s="3" t="s">
        <v>291</v>
      </c>
      <c r="G76" s="3" t="s">
        <v>26</v>
      </c>
      <c r="H76" s="3" t="s">
        <v>226</v>
      </c>
    </row>
    <row r="77" spans="1:8" x14ac:dyDescent="0.2">
      <c r="A77" s="3">
        <v>3050302012</v>
      </c>
      <c r="B77" s="4" t="s">
        <v>1921</v>
      </c>
      <c r="C77" s="4" t="s">
        <v>1922</v>
      </c>
      <c r="D77" s="3">
        <v>1</v>
      </c>
      <c r="E77" s="3" t="s">
        <v>16</v>
      </c>
      <c r="F77" s="3" t="s">
        <v>291</v>
      </c>
      <c r="G77" s="3" t="s">
        <v>26</v>
      </c>
      <c r="H77" s="3" t="s">
        <v>226</v>
      </c>
    </row>
    <row r="78" spans="1:8" x14ac:dyDescent="0.2">
      <c r="A78" s="3">
        <v>3050303002</v>
      </c>
      <c r="B78" s="4" t="s">
        <v>245</v>
      </c>
      <c r="C78" s="4" t="s">
        <v>246</v>
      </c>
      <c r="D78" s="3">
        <v>1</v>
      </c>
      <c r="E78" s="3" t="s">
        <v>16</v>
      </c>
      <c r="F78" s="3" t="s">
        <v>291</v>
      </c>
      <c r="G78" s="3" t="s">
        <v>26</v>
      </c>
      <c r="H78" s="3" t="s">
        <v>226</v>
      </c>
    </row>
    <row r="79" spans="1:8" x14ac:dyDescent="0.2">
      <c r="A79" s="3">
        <v>3080107017</v>
      </c>
      <c r="B79" s="4" t="s">
        <v>69</v>
      </c>
      <c r="C79" s="4" t="s">
        <v>251</v>
      </c>
      <c r="D79" s="3">
        <v>4</v>
      </c>
      <c r="E79" s="3" t="s">
        <v>16</v>
      </c>
      <c r="F79" s="3" t="s">
        <v>289</v>
      </c>
      <c r="G79" s="3" t="s">
        <v>23</v>
      </c>
      <c r="H79" s="3" t="s">
        <v>249</v>
      </c>
    </row>
    <row r="80" spans="1:8" x14ac:dyDescent="0.2">
      <c r="A80" s="3">
        <v>3080107017</v>
      </c>
      <c r="B80" s="4" t="s">
        <v>69</v>
      </c>
      <c r="C80" s="4" t="s">
        <v>251</v>
      </c>
      <c r="D80" s="3">
        <v>2</v>
      </c>
      <c r="E80" s="3" t="s">
        <v>16</v>
      </c>
      <c r="F80" s="3" t="s">
        <v>289</v>
      </c>
      <c r="G80" s="3" t="s">
        <v>23</v>
      </c>
      <c r="H80" s="3" t="s">
        <v>249</v>
      </c>
    </row>
    <row r="81" spans="1:8" x14ac:dyDescent="0.2">
      <c r="A81" s="3">
        <v>3060309001</v>
      </c>
      <c r="B81" s="4" t="s">
        <v>252</v>
      </c>
      <c r="C81" s="4" t="s">
        <v>253</v>
      </c>
      <c r="D81" s="3">
        <v>1</v>
      </c>
      <c r="E81" s="3" t="s">
        <v>16</v>
      </c>
      <c r="F81" s="3" t="s">
        <v>289</v>
      </c>
      <c r="G81" s="3" t="s">
        <v>23</v>
      </c>
      <c r="H81" s="3" t="s">
        <v>254</v>
      </c>
    </row>
    <row r="82" spans="1:8" x14ac:dyDescent="0.2">
      <c r="A82" s="3">
        <v>3060341001</v>
      </c>
      <c r="B82" s="4" t="s">
        <v>255</v>
      </c>
      <c r="C82" s="4" t="s">
        <v>256</v>
      </c>
      <c r="D82" s="3">
        <v>1</v>
      </c>
      <c r="E82" s="3" t="s">
        <v>16</v>
      </c>
      <c r="F82" s="3" t="s">
        <v>289</v>
      </c>
      <c r="G82" s="3" t="s">
        <v>23</v>
      </c>
      <c r="H82" s="3" t="s">
        <v>254</v>
      </c>
    </row>
    <row r="83" spans="1:8" x14ac:dyDescent="0.2">
      <c r="A83" s="3">
        <v>3040312007</v>
      </c>
      <c r="B83" s="4" t="s">
        <v>263</v>
      </c>
      <c r="C83" s="4" t="s">
        <v>264</v>
      </c>
      <c r="D83" s="3">
        <v>2</v>
      </c>
      <c r="E83" s="3" t="s">
        <v>16</v>
      </c>
      <c r="F83" s="3" t="s">
        <v>293</v>
      </c>
      <c r="G83" s="3" t="s">
        <v>29</v>
      </c>
      <c r="H83" s="3" t="s">
        <v>254</v>
      </c>
    </row>
    <row r="84" spans="1:8" x14ac:dyDescent="0.2">
      <c r="A84" s="3">
        <v>3040303001</v>
      </c>
      <c r="B84" s="4" t="s">
        <v>265</v>
      </c>
      <c r="C84" s="4" t="s">
        <v>266</v>
      </c>
      <c r="D84" s="3">
        <v>2</v>
      </c>
      <c r="E84" s="3" t="s">
        <v>16</v>
      </c>
      <c r="F84" s="3" t="s">
        <v>293</v>
      </c>
      <c r="G84" s="3" t="s">
        <v>29</v>
      </c>
      <c r="H84" s="3" t="s">
        <v>254</v>
      </c>
    </row>
    <row r="85" spans="1:8" x14ac:dyDescent="0.2">
      <c r="A85" s="3">
        <v>3040320003</v>
      </c>
      <c r="B85" s="4" t="s">
        <v>269</v>
      </c>
      <c r="C85" s="4" t="s">
        <v>270</v>
      </c>
      <c r="D85" s="3">
        <v>2</v>
      </c>
      <c r="E85" s="3" t="s">
        <v>16</v>
      </c>
      <c r="F85" s="3" t="s">
        <v>293</v>
      </c>
      <c r="G85" s="3" t="s">
        <v>29</v>
      </c>
      <c r="H85" s="3" t="s">
        <v>254</v>
      </c>
    </row>
    <row r="86" spans="1:8" x14ac:dyDescent="0.2">
      <c r="A86" s="3">
        <v>3040314001</v>
      </c>
      <c r="B86" s="4" t="s">
        <v>271</v>
      </c>
      <c r="C86" s="4" t="s">
        <v>272</v>
      </c>
      <c r="D86" s="3">
        <v>2</v>
      </c>
      <c r="E86" s="3" t="s">
        <v>16</v>
      </c>
      <c r="F86" s="3" t="s">
        <v>293</v>
      </c>
      <c r="G86" s="3" t="s">
        <v>29</v>
      </c>
      <c r="H86" s="3" t="s">
        <v>254</v>
      </c>
    </row>
  </sheetData>
  <phoneticPr fontId="2" type="noConversion"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43D63-783B-4DAB-8397-0C3AF828870A}">
  <dimension ref="A1:H205"/>
  <sheetViews>
    <sheetView workbookViewId="0">
      <selection activeCell="M18" sqref="M18"/>
    </sheetView>
  </sheetViews>
  <sheetFormatPr defaultRowHeight="14.25" x14ac:dyDescent="0.2"/>
  <cols>
    <col min="1" max="1" width="13.25" customWidth="1"/>
    <col min="2" max="3" width="15" customWidth="1"/>
  </cols>
  <sheetData>
    <row r="1" spans="1:8" x14ac:dyDescent="0.2">
      <c r="A1" s="3" t="s">
        <v>1987</v>
      </c>
      <c r="B1" s="4"/>
      <c r="C1" s="4"/>
      <c r="D1" s="3"/>
      <c r="E1" s="3"/>
      <c r="F1" s="3"/>
      <c r="G1" s="3"/>
      <c r="H1" s="3"/>
    </row>
    <row r="2" spans="1:8" ht="28.5" x14ac:dyDescent="0.2">
      <c r="A2" s="1" t="s">
        <v>0</v>
      </c>
      <c r="B2" s="2" t="s">
        <v>1</v>
      </c>
      <c r="C2" s="2" t="s">
        <v>2</v>
      </c>
      <c r="D2" s="1" t="s">
        <v>4</v>
      </c>
      <c r="E2" s="1" t="s">
        <v>3</v>
      </c>
      <c r="F2" s="1" t="s">
        <v>5</v>
      </c>
      <c r="G2" s="1" t="s">
        <v>6</v>
      </c>
      <c r="H2" s="1" t="s">
        <v>7</v>
      </c>
    </row>
    <row r="3" spans="1:8" s="10" customFormat="1" x14ac:dyDescent="0.2">
      <c r="A3" s="8" t="s">
        <v>390</v>
      </c>
      <c r="B3" s="9" t="s">
        <v>8</v>
      </c>
      <c r="C3" s="9" t="s">
        <v>9</v>
      </c>
      <c r="D3" s="13">
        <f>0.1457/0.94</f>
        <v>0.155</v>
      </c>
      <c r="E3" s="8" t="s">
        <v>596</v>
      </c>
      <c r="F3" s="8" t="s">
        <v>283</v>
      </c>
      <c r="G3" s="8" t="s">
        <v>13</v>
      </c>
      <c r="H3" s="8" t="s">
        <v>12</v>
      </c>
    </row>
    <row r="4" spans="1:8" x14ac:dyDescent="0.2">
      <c r="A4" s="3">
        <v>40901009</v>
      </c>
      <c r="B4" s="4" t="s">
        <v>801</v>
      </c>
      <c r="C4" s="4" t="s">
        <v>1153</v>
      </c>
      <c r="D4" s="3">
        <v>1</v>
      </c>
      <c r="E4" s="3" t="s">
        <v>16</v>
      </c>
      <c r="F4" s="3" t="s">
        <v>289</v>
      </c>
      <c r="G4" s="3" t="s">
        <v>23</v>
      </c>
      <c r="H4" s="3" t="s">
        <v>306</v>
      </c>
    </row>
    <row r="5" spans="1:8" x14ac:dyDescent="0.2">
      <c r="A5" s="3">
        <v>3099980015</v>
      </c>
      <c r="B5" s="4" t="s">
        <v>1983</v>
      </c>
      <c r="C5" s="4" t="s">
        <v>1984</v>
      </c>
      <c r="D5" s="3">
        <v>1</v>
      </c>
      <c r="E5" s="3" t="s">
        <v>16</v>
      </c>
      <c r="F5" s="3" t="s">
        <v>284</v>
      </c>
      <c r="G5" s="3" t="s">
        <v>11</v>
      </c>
      <c r="H5" s="3" t="s">
        <v>393</v>
      </c>
    </row>
    <row r="6" spans="1:8" x14ac:dyDescent="0.2">
      <c r="A6" s="3">
        <v>3099980014</v>
      </c>
      <c r="B6" s="4" t="s">
        <v>391</v>
      </c>
      <c r="C6" s="4" t="s">
        <v>392</v>
      </c>
      <c r="D6" s="3">
        <v>1</v>
      </c>
      <c r="E6" s="3" t="s">
        <v>16</v>
      </c>
      <c r="F6" s="3" t="s">
        <v>291</v>
      </c>
      <c r="G6" s="3" t="s">
        <v>26</v>
      </c>
      <c r="H6" s="3" t="s">
        <v>393</v>
      </c>
    </row>
    <row r="7" spans="1:8" x14ac:dyDescent="0.2">
      <c r="A7" s="3">
        <v>3098980102</v>
      </c>
      <c r="B7" s="4" t="s">
        <v>1897</v>
      </c>
      <c r="C7" s="4" t="s">
        <v>1898</v>
      </c>
      <c r="D7" s="3">
        <v>1</v>
      </c>
      <c r="E7" s="3" t="s">
        <v>16</v>
      </c>
      <c r="F7" s="3" t="s">
        <v>291</v>
      </c>
      <c r="G7" s="3" t="s">
        <v>26</v>
      </c>
      <c r="H7" s="3" t="s">
        <v>393</v>
      </c>
    </row>
    <row r="8" spans="1:8" x14ac:dyDescent="0.2">
      <c r="A8" s="3">
        <v>3030314005</v>
      </c>
      <c r="B8" s="4" t="s">
        <v>394</v>
      </c>
      <c r="C8" s="4" t="s">
        <v>395</v>
      </c>
      <c r="D8" s="3">
        <v>1</v>
      </c>
      <c r="E8" s="3" t="s">
        <v>16</v>
      </c>
      <c r="F8" s="3" t="s">
        <v>291</v>
      </c>
      <c r="G8" s="3" t="s">
        <v>26</v>
      </c>
      <c r="H8" s="3" t="s">
        <v>18</v>
      </c>
    </row>
    <row r="9" spans="1:8" x14ac:dyDescent="0.2">
      <c r="A9" s="3">
        <v>3030210001</v>
      </c>
      <c r="B9" s="4" t="s">
        <v>396</v>
      </c>
      <c r="C9" s="4" t="s">
        <v>397</v>
      </c>
      <c r="D9" s="3">
        <v>1</v>
      </c>
      <c r="E9" s="3" t="s">
        <v>16</v>
      </c>
      <c r="F9" s="3" t="s">
        <v>295</v>
      </c>
      <c r="G9" s="3" t="s">
        <v>17</v>
      </c>
      <c r="H9" s="3" t="s">
        <v>18</v>
      </c>
    </row>
    <row r="10" spans="1:8" x14ac:dyDescent="0.2">
      <c r="A10" s="3">
        <v>3080301001</v>
      </c>
      <c r="B10" s="4" t="s">
        <v>247</v>
      </c>
      <c r="C10" s="4" t="s">
        <v>398</v>
      </c>
      <c r="D10" s="3">
        <v>1</v>
      </c>
      <c r="E10" s="3" t="s">
        <v>16</v>
      </c>
      <c r="F10" s="3" t="s">
        <v>295</v>
      </c>
      <c r="G10" s="3" t="s">
        <v>17</v>
      </c>
      <c r="H10" s="3" t="s">
        <v>18</v>
      </c>
    </row>
    <row r="11" spans="1:8" x14ac:dyDescent="0.2">
      <c r="A11" s="3">
        <v>3040201001</v>
      </c>
      <c r="B11" s="4" t="s">
        <v>399</v>
      </c>
      <c r="C11" s="4" t="s">
        <v>400</v>
      </c>
      <c r="D11" s="3">
        <v>2</v>
      </c>
      <c r="E11" s="3" t="s">
        <v>16</v>
      </c>
      <c r="F11" s="3" t="s">
        <v>293</v>
      </c>
      <c r="G11" s="3" t="s">
        <v>29</v>
      </c>
      <c r="H11" s="3" t="s">
        <v>18</v>
      </c>
    </row>
    <row r="12" spans="1:8" x14ac:dyDescent="0.2">
      <c r="A12" s="3">
        <v>3030202002</v>
      </c>
      <c r="B12" s="4" t="s">
        <v>401</v>
      </c>
      <c r="C12" s="4" t="s">
        <v>402</v>
      </c>
      <c r="D12" s="3">
        <v>1</v>
      </c>
      <c r="E12" s="3" t="s">
        <v>16</v>
      </c>
      <c r="F12" s="3" t="s">
        <v>295</v>
      </c>
      <c r="G12" s="3" t="s">
        <v>17</v>
      </c>
      <c r="H12" s="3" t="s">
        <v>18</v>
      </c>
    </row>
    <row r="13" spans="1:8" x14ac:dyDescent="0.2">
      <c r="A13" s="3">
        <v>3030202003</v>
      </c>
      <c r="B13" s="4" t="s">
        <v>403</v>
      </c>
      <c r="C13" s="4" t="s">
        <v>404</v>
      </c>
      <c r="D13" s="3">
        <v>1</v>
      </c>
      <c r="E13" s="3" t="s">
        <v>16</v>
      </c>
      <c r="F13" s="3" t="s">
        <v>295</v>
      </c>
      <c r="G13" s="3" t="s">
        <v>17</v>
      </c>
      <c r="H13" s="3" t="s">
        <v>18</v>
      </c>
    </row>
    <row r="14" spans="1:8" x14ac:dyDescent="0.2">
      <c r="A14" s="3">
        <v>3030212001</v>
      </c>
      <c r="B14" s="4" t="s">
        <v>405</v>
      </c>
      <c r="C14" s="4" t="s">
        <v>406</v>
      </c>
      <c r="D14" s="3">
        <v>1</v>
      </c>
      <c r="E14" s="3" t="s">
        <v>16</v>
      </c>
      <c r="F14" s="3" t="s">
        <v>295</v>
      </c>
      <c r="G14" s="3" t="s">
        <v>17</v>
      </c>
      <c r="H14" s="3" t="s">
        <v>18</v>
      </c>
    </row>
    <row r="15" spans="1:8" x14ac:dyDescent="0.2">
      <c r="A15" s="3">
        <v>3030206003</v>
      </c>
      <c r="B15" s="4" t="s">
        <v>407</v>
      </c>
      <c r="C15" s="4" t="s">
        <v>408</v>
      </c>
      <c r="D15" s="3">
        <v>1</v>
      </c>
      <c r="E15" s="3" t="s">
        <v>16</v>
      </c>
      <c r="F15" s="3" t="s">
        <v>295</v>
      </c>
      <c r="G15" s="3" t="s">
        <v>17</v>
      </c>
      <c r="H15" s="3" t="s">
        <v>18</v>
      </c>
    </row>
    <row r="16" spans="1:8" x14ac:dyDescent="0.2">
      <c r="A16" s="3">
        <v>404020072</v>
      </c>
      <c r="B16" s="4" t="s">
        <v>30</v>
      </c>
      <c r="C16" s="4" t="s">
        <v>308</v>
      </c>
      <c r="D16" s="3">
        <v>1</v>
      </c>
      <c r="E16" s="3" t="s">
        <v>16</v>
      </c>
      <c r="F16" s="3" t="s">
        <v>291</v>
      </c>
      <c r="G16" s="3" t="s">
        <v>26</v>
      </c>
      <c r="H16" s="3" t="s">
        <v>33</v>
      </c>
    </row>
    <row r="17" spans="1:8" x14ac:dyDescent="0.2">
      <c r="A17" s="3">
        <v>401020110</v>
      </c>
      <c r="B17" s="4" t="s">
        <v>35</v>
      </c>
      <c r="C17" s="4" t="s">
        <v>1154</v>
      </c>
      <c r="D17" s="3">
        <v>1</v>
      </c>
      <c r="E17" s="3" t="s">
        <v>16</v>
      </c>
      <c r="F17" s="3" t="s">
        <v>301</v>
      </c>
      <c r="G17" s="3" t="s">
        <v>32</v>
      </c>
      <c r="H17" s="3" t="s">
        <v>33</v>
      </c>
    </row>
    <row r="18" spans="1:8" x14ac:dyDescent="0.2">
      <c r="A18" s="3">
        <v>3080101015</v>
      </c>
      <c r="B18" s="4" t="s">
        <v>411</v>
      </c>
      <c r="C18" s="4" t="s">
        <v>412</v>
      </c>
      <c r="D18" s="3">
        <v>2</v>
      </c>
      <c r="E18" s="3" t="s">
        <v>16</v>
      </c>
      <c r="F18" s="3" t="s">
        <v>293</v>
      </c>
      <c r="G18" s="3" t="s">
        <v>29</v>
      </c>
      <c r="H18" s="3" t="s">
        <v>40</v>
      </c>
    </row>
    <row r="19" spans="1:8" x14ac:dyDescent="0.2">
      <c r="A19" s="3">
        <v>3080101002</v>
      </c>
      <c r="B19" s="4" t="s">
        <v>411</v>
      </c>
      <c r="C19" s="4" t="s">
        <v>413</v>
      </c>
      <c r="D19" s="3">
        <v>2</v>
      </c>
      <c r="E19" s="3" t="s">
        <v>16</v>
      </c>
      <c r="F19" s="3" t="s">
        <v>291</v>
      </c>
      <c r="G19" s="3" t="s">
        <v>26</v>
      </c>
      <c r="H19" s="3" t="s">
        <v>40</v>
      </c>
    </row>
    <row r="20" spans="1:8" x14ac:dyDescent="0.2">
      <c r="A20" s="3">
        <v>3080101002</v>
      </c>
      <c r="B20" s="4" t="s">
        <v>411</v>
      </c>
      <c r="C20" s="4" t="s">
        <v>413</v>
      </c>
      <c r="D20" s="3">
        <v>19</v>
      </c>
      <c r="E20" s="3" t="s">
        <v>16</v>
      </c>
      <c r="F20" s="3" t="s">
        <v>289</v>
      </c>
      <c r="G20" s="3" t="s">
        <v>23</v>
      </c>
      <c r="H20" s="3" t="s">
        <v>40</v>
      </c>
    </row>
    <row r="21" spans="1:8" x14ac:dyDescent="0.2">
      <c r="A21" s="3">
        <v>3080401064</v>
      </c>
      <c r="B21" s="4" t="s">
        <v>41</v>
      </c>
      <c r="C21" s="4" t="s">
        <v>414</v>
      </c>
      <c r="D21" s="3">
        <v>1</v>
      </c>
      <c r="E21" s="3" t="s">
        <v>16</v>
      </c>
      <c r="F21" s="3" t="s">
        <v>295</v>
      </c>
      <c r="G21" s="3" t="s">
        <v>17</v>
      </c>
      <c r="H21" s="3" t="s">
        <v>40</v>
      </c>
    </row>
    <row r="22" spans="1:8" x14ac:dyDescent="0.2">
      <c r="A22" s="3">
        <v>3080401014</v>
      </c>
      <c r="B22" s="4" t="s">
        <v>41</v>
      </c>
      <c r="C22" s="4" t="s">
        <v>417</v>
      </c>
      <c r="D22" s="3">
        <v>4</v>
      </c>
      <c r="E22" s="3" t="s">
        <v>16</v>
      </c>
      <c r="F22" s="3" t="s">
        <v>291</v>
      </c>
      <c r="G22" s="3" t="s">
        <v>26</v>
      </c>
      <c r="H22" s="3" t="s">
        <v>40</v>
      </c>
    </row>
    <row r="23" spans="1:8" x14ac:dyDescent="0.2">
      <c r="A23" s="3">
        <v>3080401016</v>
      </c>
      <c r="B23" s="4" t="s">
        <v>41</v>
      </c>
      <c r="C23" s="4" t="s">
        <v>415</v>
      </c>
      <c r="D23" s="3">
        <v>1</v>
      </c>
      <c r="E23" s="3" t="s">
        <v>16</v>
      </c>
      <c r="F23" s="3" t="s">
        <v>295</v>
      </c>
      <c r="G23" s="3" t="s">
        <v>17</v>
      </c>
      <c r="H23" s="3" t="s">
        <v>40</v>
      </c>
    </row>
    <row r="24" spans="1:8" x14ac:dyDescent="0.2">
      <c r="A24" s="3">
        <v>3080401007</v>
      </c>
      <c r="B24" s="4" t="s">
        <v>41</v>
      </c>
      <c r="C24" s="4" t="s">
        <v>416</v>
      </c>
      <c r="D24" s="3">
        <v>2</v>
      </c>
      <c r="E24" s="3" t="s">
        <v>16</v>
      </c>
      <c r="F24" s="3" t="s">
        <v>293</v>
      </c>
      <c r="G24" s="3" t="s">
        <v>29</v>
      </c>
      <c r="H24" s="3" t="s">
        <v>40</v>
      </c>
    </row>
    <row r="25" spans="1:8" x14ac:dyDescent="0.2">
      <c r="A25" s="3">
        <v>3080104018</v>
      </c>
      <c r="B25" s="4" t="s">
        <v>45</v>
      </c>
      <c r="C25" s="4" t="s">
        <v>418</v>
      </c>
      <c r="D25" s="3">
        <v>2</v>
      </c>
      <c r="E25" s="3" t="s">
        <v>16</v>
      </c>
      <c r="F25" s="3" t="s">
        <v>293</v>
      </c>
      <c r="G25" s="3" t="s">
        <v>29</v>
      </c>
      <c r="H25" s="3" t="s">
        <v>40</v>
      </c>
    </row>
    <row r="26" spans="1:8" x14ac:dyDescent="0.2">
      <c r="A26" s="3">
        <v>3080104099</v>
      </c>
      <c r="B26" s="4" t="s">
        <v>45</v>
      </c>
      <c r="C26" s="4" t="s">
        <v>419</v>
      </c>
      <c r="D26" s="3">
        <v>2</v>
      </c>
      <c r="E26" s="3" t="s">
        <v>16</v>
      </c>
      <c r="F26" s="3" t="s">
        <v>291</v>
      </c>
      <c r="G26" s="3" t="s">
        <v>26</v>
      </c>
      <c r="H26" s="3" t="s">
        <v>40</v>
      </c>
    </row>
    <row r="27" spans="1:8" x14ac:dyDescent="0.2">
      <c r="A27" s="3">
        <v>3080104073</v>
      </c>
      <c r="B27" s="4" t="s">
        <v>45</v>
      </c>
      <c r="C27" s="4" t="s">
        <v>1155</v>
      </c>
      <c r="D27" s="3">
        <v>3</v>
      </c>
      <c r="E27" s="3" t="s">
        <v>16</v>
      </c>
      <c r="F27" s="3" t="s">
        <v>289</v>
      </c>
      <c r="G27" s="3" t="s">
        <v>23</v>
      </c>
      <c r="H27" s="3" t="s">
        <v>40</v>
      </c>
    </row>
    <row r="28" spans="1:8" x14ac:dyDescent="0.2">
      <c r="A28" s="3">
        <v>3080105006</v>
      </c>
      <c r="B28" s="4" t="s">
        <v>50</v>
      </c>
      <c r="C28" s="4" t="s">
        <v>1157</v>
      </c>
      <c r="D28" s="3">
        <v>8</v>
      </c>
      <c r="E28" s="3" t="s">
        <v>16</v>
      </c>
      <c r="F28" s="3" t="s">
        <v>289</v>
      </c>
      <c r="G28" s="3" t="s">
        <v>23</v>
      </c>
      <c r="H28" s="3" t="s">
        <v>40</v>
      </c>
    </row>
    <row r="29" spans="1:8" x14ac:dyDescent="0.2">
      <c r="A29" s="3">
        <v>3080105015</v>
      </c>
      <c r="B29" s="4" t="s">
        <v>50</v>
      </c>
      <c r="C29" s="4" t="s">
        <v>422</v>
      </c>
      <c r="D29" s="3">
        <v>8</v>
      </c>
      <c r="E29" s="3" t="s">
        <v>16</v>
      </c>
      <c r="F29" s="3" t="s">
        <v>293</v>
      </c>
      <c r="G29" s="3" t="s">
        <v>29</v>
      </c>
      <c r="H29" s="3" t="s">
        <v>40</v>
      </c>
    </row>
    <row r="30" spans="1:8" x14ac:dyDescent="0.2">
      <c r="A30" s="3">
        <v>3080105014</v>
      </c>
      <c r="B30" s="4" t="s">
        <v>50</v>
      </c>
      <c r="C30" s="4" t="s">
        <v>1238</v>
      </c>
      <c r="D30" s="3">
        <v>2</v>
      </c>
      <c r="E30" s="3" t="s">
        <v>16</v>
      </c>
      <c r="F30" s="3" t="s">
        <v>289</v>
      </c>
      <c r="G30" s="3" t="s">
        <v>23</v>
      </c>
      <c r="H30" s="3" t="s">
        <v>40</v>
      </c>
    </row>
    <row r="31" spans="1:8" x14ac:dyDescent="0.2">
      <c r="A31" s="3">
        <v>3080105088</v>
      </c>
      <c r="B31" s="4" t="s">
        <v>50</v>
      </c>
      <c r="C31" s="4" t="s">
        <v>423</v>
      </c>
      <c r="D31" s="3">
        <v>2</v>
      </c>
      <c r="E31" s="3" t="s">
        <v>16</v>
      </c>
      <c r="F31" s="3" t="s">
        <v>293</v>
      </c>
      <c r="G31" s="3" t="s">
        <v>29</v>
      </c>
      <c r="H31" s="3" t="s">
        <v>40</v>
      </c>
    </row>
    <row r="32" spans="1:8" x14ac:dyDescent="0.2">
      <c r="A32" s="3">
        <v>3080104055</v>
      </c>
      <c r="B32" s="4" t="s">
        <v>50</v>
      </c>
      <c r="C32" s="4" t="s">
        <v>425</v>
      </c>
      <c r="D32" s="3">
        <v>2</v>
      </c>
      <c r="E32" s="3" t="s">
        <v>16</v>
      </c>
      <c r="F32" s="3" t="s">
        <v>291</v>
      </c>
      <c r="G32" s="3" t="s">
        <v>26</v>
      </c>
      <c r="H32" s="3" t="s">
        <v>40</v>
      </c>
    </row>
    <row r="33" spans="1:8" x14ac:dyDescent="0.2">
      <c r="A33" s="3">
        <v>3080105040</v>
      </c>
      <c r="B33" s="4" t="s">
        <v>50</v>
      </c>
      <c r="C33" s="4" t="s">
        <v>421</v>
      </c>
      <c r="D33" s="3">
        <v>2</v>
      </c>
      <c r="E33" s="3" t="s">
        <v>16</v>
      </c>
      <c r="F33" s="3" t="s">
        <v>291</v>
      </c>
      <c r="G33" s="3" t="s">
        <v>26</v>
      </c>
      <c r="H33" s="3" t="s">
        <v>40</v>
      </c>
    </row>
    <row r="34" spans="1:8" x14ac:dyDescent="0.2">
      <c r="A34" s="3">
        <v>3080105040</v>
      </c>
      <c r="B34" s="4" t="s">
        <v>50</v>
      </c>
      <c r="C34" s="4" t="s">
        <v>421</v>
      </c>
      <c r="D34" s="3">
        <v>14</v>
      </c>
      <c r="E34" s="3" t="s">
        <v>16</v>
      </c>
      <c r="F34" s="3" t="s">
        <v>293</v>
      </c>
      <c r="G34" s="3" t="s">
        <v>29</v>
      </c>
      <c r="H34" s="3" t="s">
        <v>40</v>
      </c>
    </row>
    <row r="35" spans="1:8" x14ac:dyDescent="0.2">
      <c r="A35" s="3">
        <v>3080105023</v>
      </c>
      <c r="B35" s="4" t="s">
        <v>50</v>
      </c>
      <c r="C35" s="4" t="s">
        <v>1159</v>
      </c>
      <c r="D35" s="3">
        <v>4</v>
      </c>
      <c r="E35" s="3" t="s">
        <v>16</v>
      </c>
      <c r="F35" s="3" t="s">
        <v>289</v>
      </c>
      <c r="G35" s="3" t="s">
        <v>23</v>
      </c>
      <c r="H35" s="3" t="s">
        <v>40</v>
      </c>
    </row>
    <row r="36" spans="1:8" x14ac:dyDescent="0.2">
      <c r="A36" s="3">
        <v>3080105008</v>
      </c>
      <c r="B36" s="4" t="s">
        <v>50</v>
      </c>
      <c r="C36" s="4" t="s">
        <v>424</v>
      </c>
      <c r="D36" s="3">
        <v>8</v>
      </c>
      <c r="E36" s="3" t="s">
        <v>16</v>
      </c>
      <c r="F36" s="3" t="s">
        <v>293</v>
      </c>
      <c r="G36" s="3" t="s">
        <v>29</v>
      </c>
      <c r="H36" s="3" t="s">
        <v>40</v>
      </c>
    </row>
    <row r="37" spans="1:8" x14ac:dyDescent="0.2">
      <c r="A37" s="3">
        <v>3080502004</v>
      </c>
      <c r="B37" s="4" t="s">
        <v>55</v>
      </c>
      <c r="C37" s="4" t="s">
        <v>1239</v>
      </c>
      <c r="D37" s="3">
        <v>2</v>
      </c>
      <c r="E37" s="3" t="s">
        <v>16</v>
      </c>
      <c r="F37" s="3" t="s">
        <v>291</v>
      </c>
      <c r="G37" s="3" t="s">
        <v>26</v>
      </c>
      <c r="H37" s="3" t="s">
        <v>40</v>
      </c>
    </row>
    <row r="38" spans="1:8" x14ac:dyDescent="0.2">
      <c r="A38" s="3">
        <v>3080201005</v>
      </c>
      <c r="B38" s="4" t="s">
        <v>60</v>
      </c>
      <c r="C38" s="4" t="s">
        <v>427</v>
      </c>
      <c r="D38" s="3">
        <v>1</v>
      </c>
      <c r="E38" s="3" t="s">
        <v>16</v>
      </c>
      <c r="F38" s="3" t="s">
        <v>291</v>
      </c>
      <c r="G38" s="3" t="s">
        <v>26</v>
      </c>
      <c r="H38" s="3" t="s">
        <v>40</v>
      </c>
    </row>
    <row r="39" spans="1:8" x14ac:dyDescent="0.2">
      <c r="A39" s="3">
        <v>3080201006</v>
      </c>
      <c r="B39" s="4" t="s">
        <v>60</v>
      </c>
      <c r="C39" s="4" t="s">
        <v>428</v>
      </c>
      <c r="D39" s="3">
        <v>1</v>
      </c>
      <c r="E39" s="3" t="s">
        <v>16</v>
      </c>
      <c r="F39" s="3" t="s">
        <v>291</v>
      </c>
      <c r="G39" s="3" t="s">
        <v>26</v>
      </c>
      <c r="H39" s="3" t="s">
        <v>40</v>
      </c>
    </row>
    <row r="40" spans="1:8" x14ac:dyDescent="0.2">
      <c r="A40" s="3">
        <v>3080107308</v>
      </c>
      <c r="B40" s="4" t="s">
        <v>69</v>
      </c>
      <c r="C40" s="4" t="s">
        <v>433</v>
      </c>
      <c r="D40" s="3">
        <v>2</v>
      </c>
      <c r="E40" s="3" t="s">
        <v>16</v>
      </c>
      <c r="F40" s="3" t="s">
        <v>291</v>
      </c>
      <c r="G40" s="3" t="s">
        <v>26</v>
      </c>
      <c r="H40" s="3" t="s">
        <v>40</v>
      </c>
    </row>
    <row r="41" spans="1:8" x14ac:dyDescent="0.2">
      <c r="A41" s="3">
        <v>3080107306</v>
      </c>
      <c r="B41" s="4" t="s">
        <v>69</v>
      </c>
      <c r="C41" s="4" t="s">
        <v>1240</v>
      </c>
      <c r="D41" s="3">
        <v>2</v>
      </c>
      <c r="E41" s="3" t="s">
        <v>16</v>
      </c>
      <c r="F41" s="3" t="s">
        <v>291</v>
      </c>
      <c r="G41" s="3" t="s">
        <v>26</v>
      </c>
      <c r="H41" s="3" t="s">
        <v>40</v>
      </c>
    </row>
    <row r="42" spans="1:8" x14ac:dyDescent="0.2">
      <c r="A42" s="3">
        <v>3080107271</v>
      </c>
      <c r="B42" s="4" t="s">
        <v>69</v>
      </c>
      <c r="C42" s="4" t="s">
        <v>1161</v>
      </c>
      <c r="D42" s="3">
        <v>2</v>
      </c>
      <c r="E42" s="3" t="s">
        <v>16</v>
      </c>
      <c r="F42" s="3" t="s">
        <v>289</v>
      </c>
      <c r="G42" s="3" t="s">
        <v>23</v>
      </c>
      <c r="H42" s="3" t="s">
        <v>40</v>
      </c>
    </row>
    <row r="43" spans="1:8" x14ac:dyDescent="0.2">
      <c r="A43" s="3">
        <v>3080107034</v>
      </c>
      <c r="B43" s="4" t="s">
        <v>69</v>
      </c>
      <c r="C43" s="4" t="s">
        <v>429</v>
      </c>
      <c r="D43" s="3">
        <v>2</v>
      </c>
      <c r="E43" s="3" t="s">
        <v>16</v>
      </c>
      <c r="F43" s="3" t="s">
        <v>295</v>
      </c>
      <c r="G43" s="3" t="s">
        <v>17</v>
      </c>
      <c r="H43" s="3" t="s">
        <v>40</v>
      </c>
    </row>
    <row r="44" spans="1:8" x14ac:dyDescent="0.2">
      <c r="A44" s="3">
        <v>3080107160</v>
      </c>
      <c r="B44" s="4" t="s">
        <v>69</v>
      </c>
      <c r="C44" s="4" t="s">
        <v>432</v>
      </c>
      <c r="D44" s="3">
        <v>4</v>
      </c>
      <c r="E44" s="3" t="s">
        <v>16</v>
      </c>
      <c r="F44" s="3" t="s">
        <v>293</v>
      </c>
      <c r="G44" s="3" t="s">
        <v>29</v>
      </c>
      <c r="H44" s="3" t="s">
        <v>40</v>
      </c>
    </row>
    <row r="45" spans="1:8" x14ac:dyDescent="0.2">
      <c r="A45" s="3">
        <v>3080107072</v>
      </c>
      <c r="B45" s="4" t="s">
        <v>69</v>
      </c>
      <c r="C45" s="4" t="s">
        <v>435</v>
      </c>
      <c r="D45" s="3">
        <v>4</v>
      </c>
      <c r="E45" s="3" t="s">
        <v>16</v>
      </c>
      <c r="F45" s="3" t="s">
        <v>291</v>
      </c>
      <c r="G45" s="3" t="s">
        <v>26</v>
      </c>
      <c r="H45" s="3" t="s">
        <v>40</v>
      </c>
    </row>
    <row r="46" spans="1:8" x14ac:dyDescent="0.2">
      <c r="A46" s="3">
        <v>3080107094</v>
      </c>
      <c r="B46" s="4" t="s">
        <v>69</v>
      </c>
      <c r="C46" s="4" t="s">
        <v>436</v>
      </c>
      <c r="D46" s="3">
        <v>2</v>
      </c>
      <c r="E46" s="3" t="s">
        <v>16</v>
      </c>
      <c r="F46" s="3" t="s">
        <v>291</v>
      </c>
      <c r="G46" s="3" t="s">
        <v>26</v>
      </c>
      <c r="H46" s="3" t="s">
        <v>40</v>
      </c>
    </row>
    <row r="47" spans="1:8" x14ac:dyDescent="0.2">
      <c r="A47" s="3">
        <v>3080107034</v>
      </c>
      <c r="B47" s="4" t="s">
        <v>69</v>
      </c>
      <c r="C47" s="4" t="s">
        <v>429</v>
      </c>
      <c r="D47" s="3">
        <v>6</v>
      </c>
      <c r="E47" s="3" t="s">
        <v>16</v>
      </c>
      <c r="F47" s="3" t="s">
        <v>295</v>
      </c>
      <c r="G47" s="3" t="s">
        <v>17</v>
      </c>
      <c r="H47" s="3" t="s">
        <v>40</v>
      </c>
    </row>
    <row r="48" spans="1:8" x14ac:dyDescent="0.2">
      <c r="A48" s="3">
        <v>3080107002</v>
      </c>
      <c r="B48" s="4" t="s">
        <v>69</v>
      </c>
      <c r="C48" s="4" t="s">
        <v>430</v>
      </c>
      <c r="D48" s="3">
        <v>4</v>
      </c>
      <c r="E48" s="3" t="s">
        <v>16</v>
      </c>
      <c r="F48" s="3" t="s">
        <v>295</v>
      </c>
      <c r="G48" s="3" t="s">
        <v>17</v>
      </c>
      <c r="H48" s="3" t="s">
        <v>40</v>
      </c>
    </row>
    <row r="49" spans="1:8" x14ac:dyDescent="0.2">
      <c r="A49" s="3">
        <v>3080107052</v>
      </c>
      <c r="B49" s="4" t="s">
        <v>69</v>
      </c>
      <c r="C49" s="4" t="s">
        <v>431</v>
      </c>
      <c r="D49" s="3">
        <v>1</v>
      </c>
      <c r="E49" s="3" t="s">
        <v>16</v>
      </c>
      <c r="F49" s="3" t="s">
        <v>295</v>
      </c>
      <c r="G49" s="3" t="s">
        <v>17</v>
      </c>
      <c r="H49" s="3" t="s">
        <v>40</v>
      </c>
    </row>
    <row r="50" spans="1:8" x14ac:dyDescent="0.2">
      <c r="A50" s="3">
        <v>3080107092</v>
      </c>
      <c r="B50" s="4" t="s">
        <v>69</v>
      </c>
      <c r="C50" s="4" t="s">
        <v>1162</v>
      </c>
      <c r="D50" s="3">
        <v>4</v>
      </c>
      <c r="E50" s="3" t="s">
        <v>16</v>
      </c>
      <c r="F50" s="3" t="s">
        <v>289</v>
      </c>
      <c r="G50" s="3" t="s">
        <v>23</v>
      </c>
      <c r="H50" s="3" t="s">
        <v>40</v>
      </c>
    </row>
    <row r="51" spans="1:8" x14ac:dyDescent="0.2">
      <c r="A51" s="3">
        <v>3080108052</v>
      </c>
      <c r="B51" s="4" t="s">
        <v>77</v>
      </c>
      <c r="C51" s="4" t="s">
        <v>1164</v>
      </c>
      <c r="D51" s="3">
        <v>1</v>
      </c>
      <c r="E51" s="3" t="s">
        <v>16</v>
      </c>
      <c r="F51" s="3" t="s">
        <v>289</v>
      </c>
      <c r="G51" s="3" t="s">
        <v>23</v>
      </c>
      <c r="H51" s="3" t="s">
        <v>40</v>
      </c>
    </row>
    <row r="52" spans="1:8" x14ac:dyDescent="0.2">
      <c r="A52" s="3">
        <v>3080101008</v>
      </c>
      <c r="B52" s="4" t="s">
        <v>77</v>
      </c>
      <c r="C52" s="4" t="s">
        <v>1165</v>
      </c>
      <c r="D52" s="3">
        <v>4</v>
      </c>
      <c r="E52" s="3" t="s">
        <v>16</v>
      </c>
      <c r="F52" s="3" t="s">
        <v>289</v>
      </c>
      <c r="G52" s="3" t="s">
        <v>23</v>
      </c>
      <c r="H52" s="3" t="s">
        <v>40</v>
      </c>
    </row>
    <row r="53" spans="1:8" x14ac:dyDescent="0.2">
      <c r="A53" s="3">
        <v>3080108033</v>
      </c>
      <c r="B53" s="4" t="s">
        <v>77</v>
      </c>
      <c r="C53" s="4" t="s">
        <v>438</v>
      </c>
      <c r="D53" s="3">
        <v>4</v>
      </c>
      <c r="E53" s="3" t="s">
        <v>16</v>
      </c>
      <c r="F53" s="3" t="s">
        <v>291</v>
      </c>
      <c r="G53" s="3" t="s">
        <v>26</v>
      </c>
      <c r="H53" s="3" t="s">
        <v>40</v>
      </c>
    </row>
    <row r="54" spans="1:8" x14ac:dyDescent="0.2">
      <c r="A54" s="3">
        <v>3080108025</v>
      </c>
      <c r="B54" s="4" t="s">
        <v>77</v>
      </c>
      <c r="C54" s="4" t="s">
        <v>437</v>
      </c>
      <c r="D54" s="3">
        <v>7</v>
      </c>
      <c r="E54" s="3" t="s">
        <v>16</v>
      </c>
      <c r="F54" s="3" t="s">
        <v>295</v>
      </c>
      <c r="G54" s="3" t="s">
        <v>17</v>
      </c>
      <c r="H54" s="3" t="s">
        <v>40</v>
      </c>
    </row>
    <row r="55" spans="1:8" x14ac:dyDescent="0.2">
      <c r="A55" s="3">
        <v>3080108040</v>
      </c>
      <c r="B55" s="4" t="s">
        <v>77</v>
      </c>
      <c r="C55" s="4" t="s">
        <v>1166</v>
      </c>
      <c r="D55" s="3">
        <v>2</v>
      </c>
      <c r="E55" s="3" t="s">
        <v>16</v>
      </c>
      <c r="F55" s="3" t="s">
        <v>289</v>
      </c>
      <c r="G55" s="3" t="s">
        <v>23</v>
      </c>
      <c r="H55" s="3" t="s">
        <v>40</v>
      </c>
    </row>
    <row r="56" spans="1:8" x14ac:dyDescent="0.2">
      <c r="A56" s="3">
        <v>3080403001</v>
      </c>
      <c r="B56" s="4" t="s">
        <v>439</v>
      </c>
      <c r="C56" s="4" t="s">
        <v>440</v>
      </c>
      <c r="D56" s="3">
        <v>1</v>
      </c>
      <c r="E56" s="3" t="s">
        <v>16</v>
      </c>
      <c r="F56" s="3" t="s">
        <v>295</v>
      </c>
      <c r="G56" s="3" t="s">
        <v>17</v>
      </c>
      <c r="H56" s="3" t="s">
        <v>40</v>
      </c>
    </row>
    <row r="57" spans="1:8" x14ac:dyDescent="0.2">
      <c r="A57" s="3">
        <v>3080109002</v>
      </c>
      <c r="B57" s="4" t="s">
        <v>441</v>
      </c>
      <c r="C57" s="4" t="s">
        <v>442</v>
      </c>
      <c r="D57" s="3">
        <v>2</v>
      </c>
      <c r="E57" s="3" t="s">
        <v>16</v>
      </c>
      <c r="F57" s="3" t="s">
        <v>295</v>
      </c>
      <c r="G57" s="3" t="s">
        <v>17</v>
      </c>
      <c r="H57" s="3" t="s">
        <v>40</v>
      </c>
    </row>
    <row r="58" spans="1:8" x14ac:dyDescent="0.2">
      <c r="A58" s="3">
        <v>3080111087</v>
      </c>
      <c r="B58" s="4" t="s">
        <v>79</v>
      </c>
      <c r="C58" s="4" t="s">
        <v>80</v>
      </c>
      <c r="D58" s="3">
        <v>15</v>
      </c>
      <c r="E58" s="3" t="s">
        <v>16</v>
      </c>
      <c r="F58" s="3" t="s">
        <v>291</v>
      </c>
      <c r="G58" s="3" t="s">
        <v>26</v>
      </c>
      <c r="H58" s="3" t="s">
        <v>40</v>
      </c>
    </row>
    <row r="59" spans="1:8" x14ac:dyDescent="0.2">
      <c r="A59" s="3">
        <v>3080111087</v>
      </c>
      <c r="B59" s="4" t="s">
        <v>79</v>
      </c>
      <c r="C59" s="4" t="s">
        <v>80</v>
      </c>
      <c r="D59" s="3">
        <v>1</v>
      </c>
      <c r="E59" s="3" t="s">
        <v>16</v>
      </c>
      <c r="F59" s="3" t="s">
        <v>291</v>
      </c>
      <c r="G59" s="3" t="s">
        <v>26</v>
      </c>
      <c r="H59" s="3" t="s">
        <v>40</v>
      </c>
    </row>
    <row r="60" spans="1:8" x14ac:dyDescent="0.2">
      <c r="A60" s="3">
        <v>3080111015</v>
      </c>
      <c r="B60" s="4" t="s">
        <v>79</v>
      </c>
      <c r="C60" s="4" t="s">
        <v>446</v>
      </c>
      <c r="D60" s="3">
        <v>4</v>
      </c>
      <c r="E60" s="3" t="s">
        <v>16</v>
      </c>
      <c r="F60" s="3" t="s">
        <v>291</v>
      </c>
      <c r="G60" s="3" t="s">
        <v>26</v>
      </c>
      <c r="H60" s="3" t="s">
        <v>40</v>
      </c>
    </row>
    <row r="61" spans="1:8" x14ac:dyDescent="0.2">
      <c r="A61" s="3">
        <v>3080111012</v>
      </c>
      <c r="B61" s="4" t="s">
        <v>79</v>
      </c>
      <c r="C61" s="4" t="s">
        <v>443</v>
      </c>
      <c r="D61" s="3">
        <v>2</v>
      </c>
      <c r="E61" s="3" t="s">
        <v>16</v>
      </c>
      <c r="F61" s="3" t="s">
        <v>295</v>
      </c>
      <c r="G61" s="3" t="s">
        <v>17</v>
      </c>
      <c r="H61" s="3" t="s">
        <v>40</v>
      </c>
    </row>
    <row r="62" spans="1:8" x14ac:dyDescent="0.2">
      <c r="A62" s="3">
        <v>3080111006</v>
      </c>
      <c r="B62" s="4" t="s">
        <v>79</v>
      </c>
      <c r="C62" s="4" t="s">
        <v>444</v>
      </c>
      <c r="D62" s="3">
        <v>1</v>
      </c>
      <c r="E62" s="3" t="s">
        <v>16</v>
      </c>
      <c r="F62" s="3" t="s">
        <v>295</v>
      </c>
      <c r="G62" s="3" t="s">
        <v>17</v>
      </c>
      <c r="H62" s="3" t="s">
        <v>40</v>
      </c>
    </row>
    <row r="63" spans="1:8" x14ac:dyDescent="0.2">
      <c r="A63" s="3">
        <v>3080111004</v>
      </c>
      <c r="B63" s="4" t="s">
        <v>79</v>
      </c>
      <c r="C63" s="4" t="s">
        <v>445</v>
      </c>
      <c r="D63" s="3">
        <v>2</v>
      </c>
      <c r="E63" s="3" t="s">
        <v>16</v>
      </c>
      <c r="F63" s="3" t="s">
        <v>293</v>
      </c>
      <c r="G63" s="3" t="s">
        <v>29</v>
      </c>
      <c r="H63" s="3" t="s">
        <v>40</v>
      </c>
    </row>
    <row r="64" spans="1:8" x14ac:dyDescent="0.2">
      <c r="A64" s="3">
        <v>407030052</v>
      </c>
      <c r="B64" s="4" t="s">
        <v>81</v>
      </c>
      <c r="C64" s="4" t="s">
        <v>1241</v>
      </c>
      <c r="D64" s="3">
        <v>1</v>
      </c>
      <c r="E64" s="3" t="s">
        <v>16</v>
      </c>
      <c r="F64" s="3" t="s">
        <v>301</v>
      </c>
      <c r="G64" s="3" t="s">
        <v>32</v>
      </c>
      <c r="H64" s="3" t="s">
        <v>40</v>
      </c>
    </row>
    <row r="65" spans="1:8" x14ac:dyDescent="0.2">
      <c r="A65" s="3">
        <v>3099990213</v>
      </c>
      <c r="B65" s="4" t="s">
        <v>1902</v>
      </c>
      <c r="C65" s="4" t="s">
        <v>1985</v>
      </c>
      <c r="D65" s="3">
        <v>1</v>
      </c>
      <c r="E65" s="3" t="s">
        <v>16</v>
      </c>
      <c r="F65" s="3" t="s">
        <v>299</v>
      </c>
      <c r="G65" s="3" t="s">
        <v>106</v>
      </c>
      <c r="H65" s="3" t="s">
        <v>103</v>
      </c>
    </row>
    <row r="66" spans="1:8" x14ac:dyDescent="0.2">
      <c r="A66" s="3">
        <v>402010065</v>
      </c>
      <c r="B66" s="4" t="s">
        <v>882</v>
      </c>
      <c r="C66" s="4" t="s">
        <v>1927</v>
      </c>
      <c r="D66" s="3">
        <v>1</v>
      </c>
      <c r="E66" s="3" t="s">
        <v>16</v>
      </c>
      <c r="F66" s="3" t="s">
        <v>291</v>
      </c>
      <c r="G66" s="3" t="s">
        <v>26</v>
      </c>
      <c r="H66" s="3" t="s">
        <v>109</v>
      </c>
    </row>
    <row r="67" spans="1:8" x14ac:dyDescent="0.2">
      <c r="A67" s="3">
        <v>402030026</v>
      </c>
      <c r="B67" s="4" t="s">
        <v>107</v>
      </c>
      <c r="C67" s="4" t="s">
        <v>1171</v>
      </c>
      <c r="D67" s="3">
        <v>1</v>
      </c>
      <c r="E67" s="3" t="s">
        <v>16</v>
      </c>
      <c r="F67" s="3" t="s">
        <v>289</v>
      </c>
      <c r="G67" s="3" t="s">
        <v>23</v>
      </c>
      <c r="H67" s="3" t="s">
        <v>109</v>
      </c>
    </row>
    <row r="68" spans="1:8" x14ac:dyDescent="0.2">
      <c r="A68" s="3">
        <v>402020002</v>
      </c>
      <c r="B68" s="4" t="s">
        <v>111</v>
      </c>
      <c r="C68" s="4" t="s">
        <v>452</v>
      </c>
      <c r="D68" s="3">
        <v>2</v>
      </c>
      <c r="E68" s="3" t="s">
        <v>16</v>
      </c>
      <c r="F68" s="3" t="s">
        <v>293</v>
      </c>
      <c r="G68" s="3" t="s">
        <v>29</v>
      </c>
      <c r="H68" s="3" t="s">
        <v>109</v>
      </c>
    </row>
    <row r="69" spans="1:8" x14ac:dyDescent="0.2">
      <c r="A69" s="3">
        <v>3060209002</v>
      </c>
      <c r="B69" s="4" t="s">
        <v>113</v>
      </c>
      <c r="C69" s="4" t="s">
        <v>114</v>
      </c>
      <c r="D69" s="3">
        <v>2</v>
      </c>
      <c r="E69" s="3" t="s">
        <v>16</v>
      </c>
      <c r="F69" s="3" t="s">
        <v>289</v>
      </c>
      <c r="G69" s="3" t="s">
        <v>23</v>
      </c>
      <c r="H69" s="3" t="s">
        <v>115</v>
      </c>
    </row>
    <row r="70" spans="1:8" x14ac:dyDescent="0.2">
      <c r="A70" s="3">
        <v>3040216001</v>
      </c>
      <c r="B70" s="4" t="s">
        <v>328</v>
      </c>
      <c r="C70" s="4" t="s">
        <v>329</v>
      </c>
      <c r="D70" s="3">
        <v>4</v>
      </c>
      <c r="E70" s="3" t="s">
        <v>16</v>
      </c>
      <c r="F70" s="3" t="s">
        <v>293</v>
      </c>
      <c r="G70" s="3" t="s">
        <v>29</v>
      </c>
      <c r="H70" s="3" t="s">
        <v>115</v>
      </c>
    </row>
    <row r="71" spans="1:8" x14ac:dyDescent="0.2">
      <c r="A71" s="3">
        <v>3030204017</v>
      </c>
      <c r="B71" s="4" t="s">
        <v>453</v>
      </c>
      <c r="C71" s="4" t="s">
        <v>454</v>
      </c>
      <c r="D71" s="3">
        <v>1</v>
      </c>
      <c r="E71" s="3" t="s">
        <v>16</v>
      </c>
      <c r="F71" s="3" t="s">
        <v>295</v>
      </c>
      <c r="G71" s="3" t="s">
        <v>17</v>
      </c>
      <c r="H71" s="3" t="s">
        <v>115</v>
      </c>
    </row>
    <row r="72" spans="1:8" x14ac:dyDescent="0.2">
      <c r="A72" s="3">
        <v>3030204005</v>
      </c>
      <c r="B72" s="4" t="s">
        <v>455</v>
      </c>
      <c r="C72" s="4" t="s">
        <v>456</v>
      </c>
      <c r="D72" s="3">
        <v>1</v>
      </c>
      <c r="E72" s="3" t="s">
        <v>16</v>
      </c>
      <c r="F72" s="3" t="s">
        <v>295</v>
      </c>
      <c r="G72" s="3" t="s">
        <v>17</v>
      </c>
      <c r="H72" s="3" t="s">
        <v>115</v>
      </c>
    </row>
    <row r="73" spans="1:8" x14ac:dyDescent="0.2">
      <c r="A73" s="3">
        <v>3050203003</v>
      </c>
      <c r="B73" s="4" t="s">
        <v>120</v>
      </c>
      <c r="C73" s="4" t="s">
        <v>457</v>
      </c>
      <c r="D73" s="3">
        <v>2</v>
      </c>
      <c r="E73" s="3" t="s">
        <v>16</v>
      </c>
      <c r="F73" s="3" t="s">
        <v>291</v>
      </c>
      <c r="G73" s="3" t="s">
        <v>26</v>
      </c>
      <c r="H73" s="3" t="s">
        <v>115</v>
      </c>
    </row>
    <row r="74" spans="1:8" x14ac:dyDescent="0.2">
      <c r="A74" s="3">
        <v>3030204008</v>
      </c>
      <c r="B74" s="4" t="s">
        <v>122</v>
      </c>
      <c r="C74" s="4" t="s">
        <v>123</v>
      </c>
      <c r="D74" s="3">
        <v>1</v>
      </c>
      <c r="E74" s="3" t="s">
        <v>16</v>
      </c>
      <c r="F74" s="3" t="s">
        <v>291</v>
      </c>
      <c r="G74" s="3" t="s">
        <v>26</v>
      </c>
      <c r="H74" s="3" t="s">
        <v>115</v>
      </c>
    </row>
    <row r="75" spans="1:8" x14ac:dyDescent="0.2">
      <c r="A75" s="3">
        <v>3030206001</v>
      </c>
      <c r="B75" s="4" t="s">
        <v>458</v>
      </c>
      <c r="C75" s="4" t="s">
        <v>404</v>
      </c>
      <c r="D75" s="3">
        <v>1</v>
      </c>
      <c r="E75" s="3" t="s">
        <v>16</v>
      </c>
      <c r="F75" s="3" t="s">
        <v>295</v>
      </c>
      <c r="G75" s="3" t="s">
        <v>17</v>
      </c>
      <c r="H75" s="3" t="s">
        <v>132</v>
      </c>
    </row>
    <row r="76" spans="1:8" x14ac:dyDescent="0.2">
      <c r="A76" s="3">
        <v>401020109</v>
      </c>
      <c r="B76" s="4" t="s">
        <v>35</v>
      </c>
      <c r="C76" s="4" t="s">
        <v>1172</v>
      </c>
      <c r="D76" s="3">
        <v>1</v>
      </c>
      <c r="E76" s="3" t="s">
        <v>16</v>
      </c>
      <c r="F76" s="3" t="s">
        <v>291</v>
      </c>
      <c r="G76" s="3" t="s">
        <v>26</v>
      </c>
      <c r="H76" s="3" t="s">
        <v>134</v>
      </c>
    </row>
    <row r="77" spans="1:8" x14ac:dyDescent="0.2">
      <c r="A77" s="3">
        <v>3040502053</v>
      </c>
      <c r="B77" s="4" t="s">
        <v>136</v>
      </c>
      <c r="C77" s="4" t="s">
        <v>1117</v>
      </c>
      <c r="D77" s="3">
        <v>1</v>
      </c>
      <c r="E77" s="3" t="s">
        <v>16</v>
      </c>
      <c r="F77" s="3" t="s">
        <v>293</v>
      </c>
      <c r="G77" s="3" t="s">
        <v>29</v>
      </c>
      <c r="H77" s="3" t="s">
        <v>138</v>
      </c>
    </row>
    <row r="78" spans="1:8" x14ac:dyDescent="0.2">
      <c r="A78" s="3">
        <v>3040502052</v>
      </c>
      <c r="B78" s="4" t="s">
        <v>136</v>
      </c>
      <c r="C78" s="4" t="s">
        <v>1118</v>
      </c>
      <c r="D78" s="3">
        <v>1</v>
      </c>
      <c r="E78" s="3" t="s">
        <v>16</v>
      </c>
      <c r="F78" s="3" t="s">
        <v>293</v>
      </c>
      <c r="G78" s="3" t="s">
        <v>29</v>
      </c>
      <c r="H78" s="3" t="s">
        <v>138</v>
      </c>
    </row>
    <row r="79" spans="1:8" x14ac:dyDescent="0.2">
      <c r="A79" s="3">
        <v>3110207001</v>
      </c>
      <c r="B79" s="4" t="s">
        <v>140</v>
      </c>
      <c r="C79" s="4" t="s">
        <v>1173</v>
      </c>
      <c r="D79" s="3">
        <v>1</v>
      </c>
      <c r="E79" s="3" t="s">
        <v>16</v>
      </c>
      <c r="F79" s="3" t="s">
        <v>285</v>
      </c>
      <c r="G79" s="3" t="s">
        <v>142</v>
      </c>
      <c r="H79" s="3" t="s">
        <v>143</v>
      </c>
    </row>
    <row r="80" spans="1:8" x14ac:dyDescent="0.2">
      <c r="A80" s="3">
        <v>3030301005</v>
      </c>
      <c r="B80" s="4" t="s">
        <v>144</v>
      </c>
      <c r="C80" s="4" t="s">
        <v>145</v>
      </c>
      <c r="D80" s="3">
        <v>2</v>
      </c>
      <c r="E80" s="3" t="s">
        <v>16</v>
      </c>
      <c r="F80" s="3" t="s">
        <v>291</v>
      </c>
      <c r="G80" s="3" t="s">
        <v>26</v>
      </c>
      <c r="H80" s="3" t="s">
        <v>143</v>
      </c>
    </row>
    <row r="81" spans="1:8" x14ac:dyDescent="0.2">
      <c r="A81" s="3">
        <v>3110206001</v>
      </c>
      <c r="B81" s="4" t="s">
        <v>715</v>
      </c>
      <c r="C81" s="4" t="s">
        <v>1175</v>
      </c>
      <c r="D81" s="3">
        <v>1</v>
      </c>
      <c r="E81" s="3" t="s">
        <v>16</v>
      </c>
      <c r="F81" s="3" t="s">
        <v>285</v>
      </c>
      <c r="G81" s="3" t="s">
        <v>142</v>
      </c>
      <c r="H81" s="3" t="s">
        <v>143</v>
      </c>
    </row>
    <row r="82" spans="1:8" x14ac:dyDescent="0.2">
      <c r="A82" s="3">
        <v>408090008</v>
      </c>
      <c r="B82" s="4" t="s">
        <v>461</v>
      </c>
      <c r="C82" s="4" t="s">
        <v>462</v>
      </c>
      <c r="D82" s="3">
        <v>1</v>
      </c>
      <c r="E82" s="3" t="s">
        <v>16</v>
      </c>
      <c r="F82" s="3" t="s">
        <v>293</v>
      </c>
      <c r="G82" s="3" t="s">
        <v>29</v>
      </c>
      <c r="H82" s="3" t="s">
        <v>151</v>
      </c>
    </row>
    <row r="83" spans="1:8" x14ac:dyDescent="0.2">
      <c r="A83" s="3">
        <v>408090007</v>
      </c>
      <c r="B83" s="4" t="s">
        <v>463</v>
      </c>
      <c r="C83" s="4" t="s">
        <v>464</v>
      </c>
      <c r="D83" s="3">
        <v>1</v>
      </c>
      <c r="E83" s="3" t="s">
        <v>16</v>
      </c>
      <c r="F83" s="3" t="s">
        <v>293</v>
      </c>
      <c r="G83" s="3" t="s">
        <v>29</v>
      </c>
      <c r="H83" s="3" t="s">
        <v>151</v>
      </c>
    </row>
    <row r="84" spans="1:8" x14ac:dyDescent="0.2">
      <c r="A84" s="3">
        <v>3060204002</v>
      </c>
      <c r="B84" s="4" t="s">
        <v>1176</v>
      </c>
      <c r="C84" s="4" t="s">
        <v>1177</v>
      </c>
      <c r="D84" s="3">
        <v>1</v>
      </c>
      <c r="E84" s="3" t="s">
        <v>16</v>
      </c>
      <c r="F84" s="3" t="s">
        <v>289</v>
      </c>
      <c r="G84" s="3" t="s">
        <v>23</v>
      </c>
      <c r="H84" s="3" t="s">
        <v>154</v>
      </c>
    </row>
    <row r="85" spans="1:8" x14ac:dyDescent="0.2">
      <c r="A85" s="3">
        <v>3060206002</v>
      </c>
      <c r="B85" s="4" t="s">
        <v>1178</v>
      </c>
      <c r="C85" s="4" t="s">
        <v>1179</v>
      </c>
      <c r="D85" s="3">
        <v>1</v>
      </c>
      <c r="E85" s="3" t="s">
        <v>16</v>
      </c>
      <c r="F85" s="3" t="s">
        <v>289</v>
      </c>
      <c r="G85" s="3" t="s">
        <v>23</v>
      </c>
      <c r="H85" s="3" t="s">
        <v>154</v>
      </c>
    </row>
    <row r="86" spans="1:8" x14ac:dyDescent="0.2">
      <c r="A86" s="3">
        <v>3060211003</v>
      </c>
      <c r="B86" s="4" t="s">
        <v>1180</v>
      </c>
      <c r="C86" s="4" t="s">
        <v>1181</v>
      </c>
      <c r="D86" s="3">
        <v>1</v>
      </c>
      <c r="E86" s="3" t="s">
        <v>16</v>
      </c>
      <c r="F86" s="3" t="s">
        <v>289</v>
      </c>
      <c r="G86" s="3" t="s">
        <v>23</v>
      </c>
      <c r="H86" s="3" t="s">
        <v>154</v>
      </c>
    </row>
    <row r="87" spans="1:8" x14ac:dyDescent="0.2">
      <c r="A87" s="3">
        <v>3060328001</v>
      </c>
      <c r="B87" s="4" t="s">
        <v>1182</v>
      </c>
      <c r="C87" s="4" t="s">
        <v>1183</v>
      </c>
      <c r="D87" s="3">
        <v>1</v>
      </c>
      <c r="E87" s="3" t="s">
        <v>16</v>
      </c>
      <c r="F87" s="3" t="s">
        <v>289</v>
      </c>
      <c r="G87" s="3" t="s">
        <v>23</v>
      </c>
      <c r="H87" s="3" t="s">
        <v>165</v>
      </c>
    </row>
    <row r="88" spans="1:8" x14ac:dyDescent="0.2">
      <c r="A88" s="3">
        <v>3060328002</v>
      </c>
      <c r="B88" s="4" t="s">
        <v>1182</v>
      </c>
      <c r="C88" s="4" t="s">
        <v>1184</v>
      </c>
      <c r="D88" s="3">
        <v>1</v>
      </c>
      <c r="E88" s="3" t="s">
        <v>16</v>
      </c>
      <c r="F88" s="3" t="s">
        <v>289</v>
      </c>
      <c r="G88" s="3" t="s">
        <v>23</v>
      </c>
      <c r="H88" s="3" t="s">
        <v>165</v>
      </c>
    </row>
    <row r="89" spans="1:8" x14ac:dyDescent="0.2">
      <c r="A89" s="3">
        <v>3030301010</v>
      </c>
      <c r="B89" s="4" t="s">
        <v>468</v>
      </c>
      <c r="C89" s="4" t="s">
        <v>469</v>
      </c>
      <c r="D89" s="3">
        <v>4</v>
      </c>
      <c r="E89" s="3" t="s">
        <v>16</v>
      </c>
      <c r="F89" s="3" t="s">
        <v>295</v>
      </c>
      <c r="G89" s="3" t="s">
        <v>17</v>
      </c>
      <c r="H89" s="3" t="s">
        <v>165</v>
      </c>
    </row>
    <row r="90" spans="1:8" x14ac:dyDescent="0.2">
      <c r="A90" s="3">
        <v>3060347005</v>
      </c>
      <c r="B90" s="4" t="s">
        <v>470</v>
      </c>
      <c r="C90" s="4" t="s">
        <v>471</v>
      </c>
      <c r="D90" s="3">
        <v>1</v>
      </c>
      <c r="E90" s="3" t="s">
        <v>16</v>
      </c>
      <c r="F90" s="3" t="s">
        <v>291</v>
      </c>
      <c r="G90" s="3" t="s">
        <v>26</v>
      </c>
      <c r="H90" s="3" t="s">
        <v>165</v>
      </c>
    </row>
    <row r="91" spans="1:8" x14ac:dyDescent="0.2">
      <c r="A91" s="3">
        <v>3060347006</v>
      </c>
      <c r="B91" s="4" t="s">
        <v>470</v>
      </c>
      <c r="C91" s="4" t="s">
        <v>472</v>
      </c>
      <c r="D91" s="3">
        <v>1</v>
      </c>
      <c r="E91" s="3" t="s">
        <v>16</v>
      </c>
      <c r="F91" s="3" t="s">
        <v>291</v>
      </c>
      <c r="G91" s="3" t="s">
        <v>26</v>
      </c>
      <c r="H91" s="3" t="s">
        <v>165</v>
      </c>
    </row>
    <row r="92" spans="1:8" x14ac:dyDescent="0.2">
      <c r="A92" s="3">
        <v>3110103002</v>
      </c>
      <c r="B92" s="4" t="s">
        <v>473</v>
      </c>
      <c r="C92" s="4" t="s">
        <v>474</v>
      </c>
      <c r="D92" s="3">
        <v>1</v>
      </c>
      <c r="E92" s="3" t="s">
        <v>16</v>
      </c>
      <c r="F92" s="3" t="s">
        <v>291</v>
      </c>
      <c r="G92" s="3" t="s">
        <v>26</v>
      </c>
      <c r="H92" s="3" t="s">
        <v>165</v>
      </c>
    </row>
    <row r="93" spans="1:8" x14ac:dyDescent="0.2">
      <c r="A93" s="3">
        <v>3030316006</v>
      </c>
      <c r="B93" s="4" t="s">
        <v>475</v>
      </c>
      <c r="C93" s="4" t="s">
        <v>476</v>
      </c>
      <c r="D93" s="3">
        <v>1</v>
      </c>
      <c r="E93" s="3" t="s">
        <v>16</v>
      </c>
      <c r="F93" s="3" t="s">
        <v>295</v>
      </c>
      <c r="G93" s="3" t="s">
        <v>17</v>
      </c>
      <c r="H93" s="3" t="s">
        <v>165</v>
      </c>
    </row>
    <row r="94" spans="1:8" x14ac:dyDescent="0.2">
      <c r="A94" s="3">
        <v>3040326008</v>
      </c>
      <c r="B94" s="4" t="s">
        <v>546</v>
      </c>
      <c r="C94" s="4" t="s">
        <v>1121</v>
      </c>
      <c r="D94" s="3">
        <v>1</v>
      </c>
      <c r="E94" s="3" t="s">
        <v>16</v>
      </c>
      <c r="F94" s="3" t="s">
        <v>293</v>
      </c>
      <c r="G94" s="3" t="s">
        <v>29</v>
      </c>
      <c r="H94" s="3" t="s">
        <v>165</v>
      </c>
    </row>
    <row r="95" spans="1:8" x14ac:dyDescent="0.2">
      <c r="A95" s="3">
        <v>3040326007</v>
      </c>
      <c r="B95" s="4" t="s">
        <v>546</v>
      </c>
      <c r="C95" s="4" t="s">
        <v>1122</v>
      </c>
      <c r="D95" s="3">
        <v>1</v>
      </c>
      <c r="E95" s="3" t="s">
        <v>16</v>
      </c>
      <c r="F95" s="3" t="s">
        <v>293</v>
      </c>
      <c r="G95" s="3" t="s">
        <v>29</v>
      </c>
      <c r="H95" s="3" t="s">
        <v>165</v>
      </c>
    </row>
    <row r="96" spans="1:8" x14ac:dyDescent="0.2">
      <c r="A96" s="3">
        <v>3030314007</v>
      </c>
      <c r="B96" s="4" t="s">
        <v>477</v>
      </c>
      <c r="C96" s="4" t="s">
        <v>478</v>
      </c>
      <c r="D96" s="3">
        <v>1</v>
      </c>
      <c r="E96" s="3" t="s">
        <v>16</v>
      </c>
      <c r="F96" s="3" t="s">
        <v>291</v>
      </c>
      <c r="G96" s="3" t="s">
        <v>26</v>
      </c>
      <c r="H96" s="3" t="s">
        <v>165</v>
      </c>
    </row>
    <row r="97" spans="1:8" x14ac:dyDescent="0.2">
      <c r="A97" s="3">
        <v>3030308013</v>
      </c>
      <c r="B97" s="4" t="s">
        <v>479</v>
      </c>
      <c r="C97" s="4" t="s">
        <v>478</v>
      </c>
      <c r="D97" s="3">
        <v>1</v>
      </c>
      <c r="E97" s="3" t="s">
        <v>16</v>
      </c>
      <c r="F97" s="3" t="s">
        <v>291</v>
      </c>
      <c r="G97" s="3" t="s">
        <v>26</v>
      </c>
      <c r="H97" s="3" t="s">
        <v>165</v>
      </c>
    </row>
    <row r="98" spans="1:8" x14ac:dyDescent="0.2">
      <c r="A98" s="3">
        <v>3050310030</v>
      </c>
      <c r="B98" s="4" t="s">
        <v>480</v>
      </c>
      <c r="C98" s="4" t="s">
        <v>469</v>
      </c>
      <c r="D98" s="3">
        <v>2</v>
      </c>
      <c r="E98" s="3" t="s">
        <v>16</v>
      </c>
      <c r="F98" s="3" t="s">
        <v>291</v>
      </c>
      <c r="G98" s="3" t="s">
        <v>26</v>
      </c>
      <c r="H98" s="3" t="s">
        <v>165</v>
      </c>
    </row>
    <row r="99" spans="1:8" x14ac:dyDescent="0.2">
      <c r="A99" s="3">
        <v>3010106010</v>
      </c>
      <c r="B99" s="4" t="s">
        <v>481</v>
      </c>
      <c r="C99" s="4" t="s">
        <v>482</v>
      </c>
      <c r="D99" s="3">
        <v>0.4</v>
      </c>
      <c r="E99" s="3" t="s">
        <v>10</v>
      </c>
      <c r="F99" s="3" t="s">
        <v>284</v>
      </c>
      <c r="G99" s="3" t="s">
        <v>11</v>
      </c>
      <c r="H99" s="3" t="s">
        <v>483</v>
      </c>
    </row>
    <row r="100" spans="1:8" x14ac:dyDescent="0.2">
      <c r="A100" s="3">
        <v>3060304005</v>
      </c>
      <c r="B100" s="4" t="s">
        <v>1194</v>
      </c>
      <c r="C100" s="4" t="s">
        <v>1196</v>
      </c>
      <c r="D100" s="3">
        <v>3</v>
      </c>
      <c r="E100" s="3" t="s">
        <v>16</v>
      </c>
      <c r="F100" s="3" t="s">
        <v>289</v>
      </c>
      <c r="G100" s="3" t="s">
        <v>23</v>
      </c>
      <c r="H100" s="3" t="s">
        <v>173</v>
      </c>
    </row>
    <row r="101" spans="1:8" x14ac:dyDescent="0.2">
      <c r="A101" s="3">
        <v>3050305013</v>
      </c>
      <c r="B101" s="4" t="s">
        <v>484</v>
      </c>
      <c r="C101" s="4" t="s">
        <v>485</v>
      </c>
      <c r="D101" s="3">
        <v>1</v>
      </c>
      <c r="E101" s="3" t="s">
        <v>16</v>
      </c>
      <c r="F101" s="3" t="s">
        <v>291</v>
      </c>
      <c r="G101" s="3" t="s">
        <v>26</v>
      </c>
      <c r="H101" s="3" t="s">
        <v>173</v>
      </c>
    </row>
    <row r="102" spans="1:8" x14ac:dyDescent="0.2">
      <c r="A102" s="3">
        <v>3040305002</v>
      </c>
      <c r="B102" s="4" t="s">
        <v>486</v>
      </c>
      <c r="C102" s="4" t="s">
        <v>487</v>
      </c>
      <c r="D102" s="3">
        <v>2</v>
      </c>
      <c r="E102" s="3" t="s">
        <v>16</v>
      </c>
      <c r="F102" s="3" t="s">
        <v>293</v>
      </c>
      <c r="G102" s="3" t="s">
        <v>29</v>
      </c>
      <c r="H102" s="3" t="s">
        <v>173</v>
      </c>
    </row>
    <row r="103" spans="1:8" x14ac:dyDescent="0.2">
      <c r="A103" s="3">
        <v>3040313002</v>
      </c>
      <c r="B103" s="4" t="s">
        <v>488</v>
      </c>
      <c r="C103" s="4" t="s">
        <v>489</v>
      </c>
      <c r="D103" s="3">
        <v>8</v>
      </c>
      <c r="E103" s="3" t="s">
        <v>16</v>
      </c>
      <c r="F103" s="3" t="s">
        <v>293</v>
      </c>
      <c r="G103" s="3" t="s">
        <v>29</v>
      </c>
      <c r="H103" s="3" t="s">
        <v>173</v>
      </c>
    </row>
    <row r="104" spans="1:8" x14ac:dyDescent="0.2">
      <c r="A104" s="3">
        <v>3040321001</v>
      </c>
      <c r="B104" s="4" t="s">
        <v>490</v>
      </c>
      <c r="C104" s="4" t="s">
        <v>347</v>
      </c>
      <c r="D104" s="3">
        <v>8</v>
      </c>
      <c r="E104" s="3" t="s">
        <v>16</v>
      </c>
      <c r="F104" s="3" t="s">
        <v>293</v>
      </c>
      <c r="G104" s="3" t="s">
        <v>29</v>
      </c>
      <c r="H104" s="3" t="s">
        <v>173</v>
      </c>
    </row>
    <row r="105" spans="1:8" x14ac:dyDescent="0.2">
      <c r="A105" s="3">
        <v>3040309001</v>
      </c>
      <c r="B105" s="4" t="s">
        <v>346</v>
      </c>
      <c r="C105" s="4" t="s">
        <v>347</v>
      </c>
      <c r="D105" s="3">
        <v>4</v>
      </c>
      <c r="E105" s="3" t="s">
        <v>16</v>
      </c>
      <c r="F105" s="3" t="s">
        <v>293</v>
      </c>
      <c r="G105" s="3" t="s">
        <v>29</v>
      </c>
      <c r="H105" s="3" t="s">
        <v>173</v>
      </c>
    </row>
    <row r="106" spans="1:8" x14ac:dyDescent="0.2">
      <c r="A106" s="3">
        <v>3020501004</v>
      </c>
      <c r="B106" s="4" t="s">
        <v>183</v>
      </c>
      <c r="C106" s="4" t="s">
        <v>761</v>
      </c>
      <c r="D106" s="3">
        <v>1</v>
      </c>
      <c r="E106" s="3" t="s">
        <v>16</v>
      </c>
      <c r="F106" s="3" t="s">
        <v>291</v>
      </c>
      <c r="G106" s="3" t="s">
        <v>26</v>
      </c>
      <c r="H106" s="3" t="s">
        <v>185</v>
      </c>
    </row>
    <row r="107" spans="1:8" x14ac:dyDescent="0.2">
      <c r="A107" s="3">
        <v>3030204003</v>
      </c>
      <c r="B107" s="4" t="s">
        <v>492</v>
      </c>
      <c r="C107" s="4" t="s">
        <v>493</v>
      </c>
      <c r="D107" s="3">
        <v>2</v>
      </c>
      <c r="E107" s="3" t="s">
        <v>16</v>
      </c>
      <c r="F107" s="3" t="s">
        <v>295</v>
      </c>
      <c r="G107" s="3" t="s">
        <v>17</v>
      </c>
      <c r="H107" s="3" t="s">
        <v>494</v>
      </c>
    </row>
    <row r="108" spans="1:8" x14ac:dyDescent="0.2">
      <c r="A108" s="3">
        <v>3990201008</v>
      </c>
      <c r="B108" s="4" t="s">
        <v>186</v>
      </c>
      <c r="C108" s="4" t="s">
        <v>495</v>
      </c>
      <c r="D108" s="3">
        <v>1</v>
      </c>
      <c r="E108" s="3" t="s">
        <v>16</v>
      </c>
      <c r="F108" s="3" t="s">
        <v>295</v>
      </c>
      <c r="G108" s="3" t="s">
        <v>17</v>
      </c>
      <c r="H108" s="3" t="s">
        <v>187</v>
      </c>
    </row>
    <row r="109" spans="1:8" x14ac:dyDescent="0.2">
      <c r="A109" s="3">
        <v>3990202007</v>
      </c>
      <c r="B109" s="4" t="s">
        <v>188</v>
      </c>
      <c r="C109" s="4" t="s">
        <v>495</v>
      </c>
      <c r="D109" s="3">
        <v>1</v>
      </c>
      <c r="E109" s="3" t="s">
        <v>16</v>
      </c>
      <c r="F109" s="3" t="s">
        <v>295</v>
      </c>
      <c r="G109" s="3" t="s">
        <v>17</v>
      </c>
      <c r="H109" s="3" t="s">
        <v>187</v>
      </c>
    </row>
    <row r="110" spans="1:8" x14ac:dyDescent="0.2">
      <c r="A110" s="3">
        <v>3990203002</v>
      </c>
      <c r="B110" s="4" t="s">
        <v>189</v>
      </c>
      <c r="C110" s="4" t="s">
        <v>495</v>
      </c>
      <c r="D110" s="3">
        <v>1</v>
      </c>
      <c r="E110" s="3" t="s">
        <v>16</v>
      </c>
      <c r="F110" s="3" t="s">
        <v>295</v>
      </c>
      <c r="G110" s="3" t="s">
        <v>17</v>
      </c>
      <c r="H110" s="3" t="s">
        <v>187</v>
      </c>
    </row>
    <row r="111" spans="1:8" x14ac:dyDescent="0.2">
      <c r="A111" s="3">
        <v>3060403047</v>
      </c>
      <c r="B111" s="4" t="s">
        <v>190</v>
      </c>
      <c r="C111" s="4" t="s">
        <v>1242</v>
      </c>
      <c r="D111" s="3">
        <v>1</v>
      </c>
      <c r="E111" s="3" t="s">
        <v>16</v>
      </c>
      <c r="F111" s="3" t="s">
        <v>295</v>
      </c>
      <c r="G111" s="3" t="s">
        <v>17</v>
      </c>
      <c r="H111" s="3" t="s">
        <v>192</v>
      </c>
    </row>
    <row r="112" spans="1:8" x14ac:dyDescent="0.2">
      <c r="A112" s="3">
        <v>3050405002</v>
      </c>
      <c r="B112" s="4" t="s">
        <v>496</v>
      </c>
      <c r="C112" s="4" t="s">
        <v>1243</v>
      </c>
      <c r="D112" s="3">
        <v>1</v>
      </c>
      <c r="E112" s="3" t="s">
        <v>16</v>
      </c>
      <c r="F112" s="3" t="s">
        <v>291</v>
      </c>
      <c r="G112" s="3" t="s">
        <v>26</v>
      </c>
      <c r="H112" s="3" t="s">
        <v>192</v>
      </c>
    </row>
    <row r="113" spans="1:8" x14ac:dyDescent="0.2">
      <c r="A113" s="3">
        <v>3030402001</v>
      </c>
      <c r="B113" s="4" t="s">
        <v>498</v>
      </c>
      <c r="C113" s="4" t="s">
        <v>499</v>
      </c>
      <c r="D113" s="3">
        <v>1</v>
      </c>
      <c r="E113" s="3" t="s">
        <v>16</v>
      </c>
      <c r="F113" s="3" t="s">
        <v>295</v>
      </c>
      <c r="G113" s="3" t="s">
        <v>17</v>
      </c>
      <c r="H113" s="3" t="s">
        <v>192</v>
      </c>
    </row>
    <row r="114" spans="1:8" x14ac:dyDescent="0.2">
      <c r="A114" s="3">
        <v>3040402009</v>
      </c>
      <c r="B114" s="4" t="s">
        <v>500</v>
      </c>
      <c r="C114" s="4" t="s">
        <v>1244</v>
      </c>
      <c r="D114" s="3">
        <v>1</v>
      </c>
      <c r="E114" s="3" t="s">
        <v>16</v>
      </c>
      <c r="F114" s="3" t="s">
        <v>293</v>
      </c>
      <c r="G114" s="3" t="s">
        <v>29</v>
      </c>
      <c r="H114" s="3" t="s">
        <v>192</v>
      </c>
    </row>
    <row r="115" spans="1:8" x14ac:dyDescent="0.2">
      <c r="A115" s="3">
        <v>3040402010</v>
      </c>
      <c r="B115" s="4" t="s">
        <v>500</v>
      </c>
      <c r="C115" s="4" t="s">
        <v>1245</v>
      </c>
      <c r="D115" s="3">
        <v>1</v>
      </c>
      <c r="E115" s="3" t="s">
        <v>16</v>
      </c>
      <c r="F115" s="3" t="s">
        <v>293</v>
      </c>
      <c r="G115" s="3" t="s">
        <v>29</v>
      </c>
      <c r="H115" s="3" t="s">
        <v>192</v>
      </c>
    </row>
    <row r="116" spans="1:8" x14ac:dyDescent="0.2">
      <c r="A116" s="3">
        <v>404100037</v>
      </c>
      <c r="B116" s="4" t="s">
        <v>1201</v>
      </c>
      <c r="C116" s="4" t="s">
        <v>1202</v>
      </c>
      <c r="D116" s="3">
        <v>1</v>
      </c>
      <c r="E116" s="3" t="s">
        <v>16</v>
      </c>
      <c r="F116" s="3" t="s">
        <v>301</v>
      </c>
      <c r="G116" s="3" t="s">
        <v>32</v>
      </c>
      <c r="H116" s="3" t="s">
        <v>198</v>
      </c>
    </row>
    <row r="117" spans="1:8" x14ac:dyDescent="0.2">
      <c r="A117" s="3">
        <v>404100039</v>
      </c>
      <c r="B117" s="4" t="s">
        <v>196</v>
      </c>
      <c r="C117" s="4" t="s">
        <v>1203</v>
      </c>
      <c r="D117" s="3">
        <v>1</v>
      </c>
      <c r="E117" s="3" t="s">
        <v>16</v>
      </c>
      <c r="F117" s="3" t="s">
        <v>301</v>
      </c>
      <c r="G117" s="3" t="s">
        <v>32</v>
      </c>
      <c r="H117" s="3" t="s">
        <v>198</v>
      </c>
    </row>
    <row r="118" spans="1:8" x14ac:dyDescent="0.2">
      <c r="A118" s="3">
        <v>404110008</v>
      </c>
      <c r="B118" s="4" t="s">
        <v>504</v>
      </c>
      <c r="C118" s="4" t="s">
        <v>505</v>
      </c>
      <c r="D118" s="3">
        <v>2</v>
      </c>
      <c r="E118" s="3" t="s">
        <v>16</v>
      </c>
      <c r="F118" s="3" t="s">
        <v>291</v>
      </c>
      <c r="G118" s="3" t="s">
        <v>26</v>
      </c>
      <c r="H118" s="3" t="s">
        <v>198</v>
      </c>
    </row>
    <row r="119" spans="1:8" x14ac:dyDescent="0.2">
      <c r="A119" s="3">
        <v>404110001</v>
      </c>
      <c r="B119" s="4" t="s">
        <v>504</v>
      </c>
      <c r="C119" s="4" t="s">
        <v>506</v>
      </c>
      <c r="D119" s="3">
        <v>1</v>
      </c>
      <c r="E119" s="3" t="s">
        <v>16</v>
      </c>
      <c r="F119" s="3" t="s">
        <v>291</v>
      </c>
      <c r="G119" s="3" t="s">
        <v>26</v>
      </c>
      <c r="H119" s="3" t="s">
        <v>198</v>
      </c>
    </row>
    <row r="120" spans="1:8" x14ac:dyDescent="0.2">
      <c r="A120" s="3">
        <v>404100025</v>
      </c>
      <c r="B120" s="4" t="s">
        <v>1093</v>
      </c>
      <c r="C120" s="4" t="s">
        <v>1094</v>
      </c>
      <c r="D120" s="3">
        <v>1</v>
      </c>
      <c r="E120" s="3" t="s">
        <v>16</v>
      </c>
      <c r="F120" s="3" t="s">
        <v>301</v>
      </c>
      <c r="G120" s="3" t="s">
        <v>32</v>
      </c>
      <c r="H120" s="3" t="s">
        <v>198</v>
      </c>
    </row>
    <row r="121" spans="1:8" x14ac:dyDescent="0.2">
      <c r="A121" s="3">
        <v>403030054</v>
      </c>
      <c r="B121" s="4" t="s">
        <v>801</v>
      </c>
      <c r="C121" s="4" t="s">
        <v>1205</v>
      </c>
      <c r="D121" s="3">
        <v>1</v>
      </c>
      <c r="E121" s="3" t="s">
        <v>16</v>
      </c>
      <c r="F121" s="3" t="s">
        <v>301</v>
      </c>
      <c r="G121" s="3" t="s">
        <v>32</v>
      </c>
      <c r="H121" s="3" t="s">
        <v>198</v>
      </c>
    </row>
    <row r="122" spans="1:8" x14ac:dyDescent="0.2">
      <c r="A122" s="3">
        <v>403030012</v>
      </c>
      <c r="B122" s="4" t="s">
        <v>366</v>
      </c>
      <c r="C122" s="4" t="s">
        <v>507</v>
      </c>
      <c r="D122" s="3">
        <v>2</v>
      </c>
      <c r="E122" s="3" t="s">
        <v>16</v>
      </c>
      <c r="F122" s="3" t="s">
        <v>291</v>
      </c>
      <c r="G122" s="3" t="s">
        <v>26</v>
      </c>
      <c r="H122" s="3" t="s">
        <v>198</v>
      </c>
    </row>
    <row r="123" spans="1:8" x14ac:dyDescent="0.2">
      <c r="A123" s="3">
        <v>401070018</v>
      </c>
      <c r="B123" s="4" t="s">
        <v>35</v>
      </c>
      <c r="C123" s="4" t="s">
        <v>202</v>
      </c>
      <c r="D123" s="3">
        <v>1</v>
      </c>
      <c r="E123" s="3" t="s">
        <v>16</v>
      </c>
      <c r="F123" s="3" t="s">
        <v>291</v>
      </c>
      <c r="G123" s="3" t="s">
        <v>26</v>
      </c>
      <c r="H123" s="3" t="s">
        <v>198</v>
      </c>
    </row>
    <row r="124" spans="1:8" x14ac:dyDescent="0.2">
      <c r="A124" s="3">
        <v>401070022</v>
      </c>
      <c r="B124" s="4" t="s">
        <v>35</v>
      </c>
      <c r="C124" s="4" t="s">
        <v>203</v>
      </c>
      <c r="D124" s="3">
        <v>1</v>
      </c>
      <c r="E124" s="3" t="s">
        <v>16</v>
      </c>
      <c r="F124" s="3" t="s">
        <v>301</v>
      </c>
      <c r="G124" s="3" t="s">
        <v>32</v>
      </c>
      <c r="H124" s="3" t="s">
        <v>198</v>
      </c>
    </row>
    <row r="125" spans="1:8" x14ac:dyDescent="0.2">
      <c r="A125" s="3">
        <v>404100041</v>
      </c>
      <c r="B125" s="4" t="s">
        <v>205</v>
      </c>
      <c r="C125" s="4" t="s">
        <v>1206</v>
      </c>
      <c r="D125" s="3">
        <v>1</v>
      </c>
      <c r="E125" s="3" t="s">
        <v>16</v>
      </c>
      <c r="F125" s="3" t="s">
        <v>291</v>
      </c>
      <c r="G125" s="3" t="s">
        <v>26</v>
      </c>
      <c r="H125" s="3" t="s">
        <v>198</v>
      </c>
    </row>
    <row r="126" spans="1:8" x14ac:dyDescent="0.2">
      <c r="A126" s="3">
        <v>404100040</v>
      </c>
      <c r="B126" s="4" t="s">
        <v>207</v>
      </c>
      <c r="C126" s="4" t="s">
        <v>1207</v>
      </c>
      <c r="D126" s="3">
        <v>1</v>
      </c>
      <c r="E126" s="3" t="s">
        <v>16</v>
      </c>
      <c r="F126" s="3" t="s">
        <v>291</v>
      </c>
      <c r="G126" s="3" t="s">
        <v>26</v>
      </c>
      <c r="H126" s="3" t="s">
        <v>198</v>
      </c>
    </row>
    <row r="127" spans="1:8" x14ac:dyDescent="0.2">
      <c r="A127" s="3">
        <v>3030305007</v>
      </c>
      <c r="B127" s="4" t="s">
        <v>511</v>
      </c>
      <c r="C127" s="4" t="s">
        <v>512</v>
      </c>
      <c r="D127" s="3">
        <v>1</v>
      </c>
      <c r="E127" s="3" t="s">
        <v>16</v>
      </c>
      <c r="F127" s="3" t="s">
        <v>295</v>
      </c>
      <c r="G127" s="3" t="s">
        <v>17</v>
      </c>
      <c r="H127" s="3" t="s">
        <v>211</v>
      </c>
    </row>
    <row r="128" spans="1:8" x14ac:dyDescent="0.2">
      <c r="A128" s="3">
        <v>3030305006</v>
      </c>
      <c r="B128" s="4" t="s">
        <v>513</v>
      </c>
      <c r="C128" s="4" t="s">
        <v>512</v>
      </c>
      <c r="D128" s="3">
        <v>1</v>
      </c>
      <c r="E128" s="3" t="s">
        <v>16</v>
      </c>
      <c r="F128" s="3" t="s">
        <v>295</v>
      </c>
      <c r="G128" s="3" t="s">
        <v>17</v>
      </c>
      <c r="H128" s="3" t="s">
        <v>211</v>
      </c>
    </row>
    <row r="129" spans="1:8" x14ac:dyDescent="0.2">
      <c r="A129" s="3">
        <v>3069904001</v>
      </c>
      <c r="B129" s="4" t="s">
        <v>514</v>
      </c>
      <c r="C129" s="4" t="s">
        <v>355</v>
      </c>
      <c r="D129" s="3">
        <v>4</v>
      </c>
      <c r="E129" s="3" t="s">
        <v>16</v>
      </c>
      <c r="F129" s="3" t="s">
        <v>295</v>
      </c>
      <c r="G129" s="3" t="s">
        <v>17</v>
      </c>
      <c r="H129" s="3" t="s">
        <v>214</v>
      </c>
    </row>
    <row r="130" spans="1:8" x14ac:dyDescent="0.2">
      <c r="A130" s="3">
        <v>3030201003</v>
      </c>
      <c r="B130" s="4" t="s">
        <v>515</v>
      </c>
      <c r="C130" s="4" t="s">
        <v>516</v>
      </c>
      <c r="D130" s="3">
        <v>1</v>
      </c>
      <c r="E130" s="3" t="s">
        <v>16</v>
      </c>
      <c r="F130" s="3" t="s">
        <v>295</v>
      </c>
      <c r="G130" s="3" t="s">
        <v>17</v>
      </c>
      <c r="H130" s="3" t="s">
        <v>214</v>
      </c>
    </row>
    <row r="131" spans="1:8" x14ac:dyDescent="0.2">
      <c r="A131" s="3">
        <v>3049903001</v>
      </c>
      <c r="B131" s="4" t="s">
        <v>517</v>
      </c>
      <c r="C131" s="4" t="s">
        <v>355</v>
      </c>
      <c r="D131" s="3">
        <v>2</v>
      </c>
      <c r="E131" s="3" t="s">
        <v>16</v>
      </c>
      <c r="F131" s="3" t="s">
        <v>293</v>
      </c>
      <c r="G131" s="3" t="s">
        <v>29</v>
      </c>
      <c r="H131" s="3" t="s">
        <v>214</v>
      </c>
    </row>
    <row r="132" spans="1:8" x14ac:dyDescent="0.2">
      <c r="A132" s="3">
        <v>3049904001</v>
      </c>
      <c r="B132" s="4" t="s">
        <v>354</v>
      </c>
      <c r="C132" s="4" t="s">
        <v>355</v>
      </c>
      <c r="D132" s="3">
        <v>4</v>
      </c>
      <c r="E132" s="3" t="s">
        <v>16</v>
      </c>
      <c r="F132" s="3" t="s">
        <v>293</v>
      </c>
      <c r="G132" s="3" t="s">
        <v>29</v>
      </c>
      <c r="H132" s="3" t="s">
        <v>214</v>
      </c>
    </row>
    <row r="133" spans="1:8" x14ac:dyDescent="0.2">
      <c r="A133" s="3">
        <v>3049902001</v>
      </c>
      <c r="B133" s="4" t="s">
        <v>518</v>
      </c>
      <c r="C133" s="4" t="s">
        <v>355</v>
      </c>
      <c r="D133" s="3">
        <v>2</v>
      </c>
      <c r="E133" s="3" t="s">
        <v>16</v>
      </c>
      <c r="F133" s="3" t="s">
        <v>293</v>
      </c>
      <c r="G133" s="3" t="s">
        <v>29</v>
      </c>
      <c r="H133" s="3" t="s">
        <v>214</v>
      </c>
    </row>
    <row r="134" spans="1:8" x14ac:dyDescent="0.2">
      <c r="A134" s="3">
        <v>3050204001</v>
      </c>
      <c r="B134" s="4" t="s">
        <v>519</v>
      </c>
      <c r="C134" s="4" t="s">
        <v>355</v>
      </c>
      <c r="D134" s="3">
        <v>2</v>
      </c>
      <c r="E134" s="3" t="s">
        <v>16</v>
      </c>
      <c r="F134" s="3" t="s">
        <v>291</v>
      </c>
      <c r="G134" s="3" t="s">
        <v>26</v>
      </c>
      <c r="H134" s="3" t="s">
        <v>214</v>
      </c>
    </row>
    <row r="135" spans="1:8" x14ac:dyDescent="0.2">
      <c r="A135" s="3">
        <v>3050204002</v>
      </c>
      <c r="B135" s="4" t="s">
        <v>520</v>
      </c>
      <c r="C135" s="4" t="s">
        <v>355</v>
      </c>
      <c r="D135" s="3">
        <v>2</v>
      </c>
      <c r="E135" s="3" t="s">
        <v>16</v>
      </c>
      <c r="F135" s="3" t="s">
        <v>291</v>
      </c>
      <c r="G135" s="3" t="s">
        <v>26</v>
      </c>
      <c r="H135" s="3" t="s">
        <v>214</v>
      </c>
    </row>
    <row r="136" spans="1:8" x14ac:dyDescent="0.2">
      <c r="A136" s="3">
        <v>403030051</v>
      </c>
      <c r="B136" s="4" t="s">
        <v>366</v>
      </c>
      <c r="C136" s="4" t="s">
        <v>367</v>
      </c>
      <c r="D136" s="3">
        <v>3</v>
      </c>
      <c r="E136" s="3" t="s">
        <v>16</v>
      </c>
      <c r="F136" s="3" t="s">
        <v>301</v>
      </c>
      <c r="G136" s="3" t="s">
        <v>32</v>
      </c>
      <c r="H136" s="3" t="s">
        <v>221</v>
      </c>
    </row>
    <row r="137" spans="1:8" x14ac:dyDescent="0.2">
      <c r="A137" s="3">
        <v>403030005</v>
      </c>
      <c r="B137" s="4" t="s">
        <v>366</v>
      </c>
      <c r="C137" s="4" t="s">
        <v>368</v>
      </c>
      <c r="D137" s="3">
        <v>2</v>
      </c>
      <c r="E137" s="3" t="s">
        <v>16</v>
      </c>
      <c r="F137" s="3" t="s">
        <v>301</v>
      </c>
      <c r="G137" s="3" t="s">
        <v>32</v>
      </c>
      <c r="H137" s="3" t="s">
        <v>221</v>
      </c>
    </row>
    <row r="138" spans="1:8" x14ac:dyDescent="0.2">
      <c r="A138" s="3">
        <v>402050003</v>
      </c>
      <c r="B138" s="4" t="s">
        <v>1325</v>
      </c>
      <c r="C138" s="4" t="s">
        <v>1326</v>
      </c>
      <c r="D138" s="3">
        <v>1</v>
      </c>
      <c r="E138" s="3" t="s">
        <v>16</v>
      </c>
      <c r="F138" s="3" t="s">
        <v>289</v>
      </c>
      <c r="G138" s="3" t="s">
        <v>23</v>
      </c>
      <c r="H138" s="3" t="s">
        <v>524</v>
      </c>
    </row>
    <row r="139" spans="1:8" x14ac:dyDescent="0.2">
      <c r="A139" s="3">
        <v>408120036</v>
      </c>
      <c r="B139" s="4" t="s">
        <v>525</v>
      </c>
      <c r="C139" s="4" t="s">
        <v>526</v>
      </c>
      <c r="D139" s="3">
        <v>2</v>
      </c>
      <c r="E139" s="3" t="s">
        <v>16</v>
      </c>
      <c r="F139" s="3" t="s">
        <v>291</v>
      </c>
      <c r="G139" s="3" t="s">
        <v>26</v>
      </c>
      <c r="H139" s="3" t="s">
        <v>524</v>
      </c>
    </row>
    <row r="140" spans="1:8" x14ac:dyDescent="0.2">
      <c r="A140" s="3">
        <v>4081200011</v>
      </c>
      <c r="B140" s="4" t="s">
        <v>525</v>
      </c>
      <c r="C140" s="4" t="s">
        <v>1246</v>
      </c>
      <c r="D140" s="3">
        <v>2</v>
      </c>
      <c r="E140" s="3" t="s">
        <v>16</v>
      </c>
      <c r="F140" s="3" t="s">
        <v>289</v>
      </c>
      <c r="G140" s="3" t="s">
        <v>23</v>
      </c>
      <c r="H140" s="3" t="s">
        <v>524</v>
      </c>
    </row>
    <row r="141" spans="1:8" x14ac:dyDescent="0.2">
      <c r="A141" s="3">
        <v>408120032</v>
      </c>
      <c r="B141" s="4" t="s">
        <v>525</v>
      </c>
      <c r="C141" s="4" t="s">
        <v>1210</v>
      </c>
      <c r="D141" s="3">
        <v>23</v>
      </c>
      <c r="E141" s="3" t="s">
        <v>16</v>
      </c>
      <c r="F141" s="3" t="s">
        <v>289</v>
      </c>
      <c r="G141" s="3" t="s">
        <v>23</v>
      </c>
      <c r="H141" s="3" t="s">
        <v>524</v>
      </c>
    </row>
    <row r="142" spans="1:8" x14ac:dyDescent="0.2">
      <c r="A142" s="3">
        <v>408120038</v>
      </c>
      <c r="B142" s="4" t="s">
        <v>525</v>
      </c>
      <c r="C142" s="4" t="s">
        <v>1247</v>
      </c>
      <c r="D142" s="3">
        <v>1</v>
      </c>
      <c r="E142" s="3" t="s">
        <v>16</v>
      </c>
      <c r="F142" s="3" t="s">
        <v>289</v>
      </c>
      <c r="G142" s="3" t="s">
        <v>23</v>
      </c>
      <c r="H142" s="3" t="s">
        <v>524</v>
      </c>
    </row>
    <row r="143" spans="1:8" x14ac:dyDescent="0.2">
      <c r="A143" s="3">
        <v>407010073</v>
      </c>
      <c r="B143" s="4" t="s">
        <v>149</v>
      </c>
      <c r="C143" s="4" t="s">
        <v>1212</v>
      </c>
      <c r="D143" s="3">
        <v>1</v>
      </c>
      <c r="E143" s="3" t="s">
        <v>16</v>
      </c>
      <c r="F143" s="3" t="s">
        <v>289</v>
      </c>
      <c r="G143" s="3" t="s">
        <v>23</v>
      </c>
      <c r="H143" s="3" t="s">
        <v>524</v>
      </c>
    </row>
    <row r="144" spans="1:8" x14ac:dyDescent="0.2">
      <c r="A144" s="3">
        <v>3060501009</v>
      </c>
      <c r="B144" s="4" t="s">
        <v>1213</v>
      </c>
      <c r="C144" s="4" t="s">
        <v>1248</v>
      </c>
      <c r="D144" s="3">
        <v>1</v>
      </c>
      <c r="E144" s="3" t="s">
        <v>16</v>
      </c>
      <c r="F144" s="3" t="s">
        <v>289</v>
      </c>
      <c r="G144" s="3" t="s">
        <v>23</v>
      </c>
      <c r="H144" s="3" t="s">
        <v>226</v>
      </c>
    </row>
    <row r="145" spans="1:8" x14ac:dyDescent="0.2">
      <c r="A145" s="3">
        <v>3060350003</v>
      </c>
      <c r="B145" s="4" t="s">
        <v>1215</v>
      </c>
      <c r="C145" s="4" t="s">
        <v>1216</v>
      </c>
      <c r="D145" s="3">
        <v>1</v>
      </c>
      <c r="E145" s="3" t="s">
        <v>16</v>
      </c>
      <c r="F145" s="3" t="s">
        <v>289</v>
      </c>
      <c r="G145" s="3" t="s">
        <v>23</v>
      </c>
      <c r="H145" s="3" t="s">
        <v>226</v>
      </c>
    </row>
    <row r="146" spans="1:8" x14ac:dyDescent="0.2">
      <c r="A146" s="3">
        <v>3060353006</v>
      </c>
      <c r="B146" s="4" t="s">
        <v>1217</v>
      </c>
      <c r="C146" s="4" t="s">
        <v>1232</v>
      </c>
      <c r="D146" s="3">
        <v>1</v>
      </c>
      <c r="E146" s="3" t="s">
        <v>16</v>
      </c>
      <c r="F146" s="3" t="s">
        <v>289</v>
      </c>
      <c r="G146" s="3" t="s">
        <v>23</v>
      </c>
      <c r="H146" s="3" t="s">
        <v>226</v>
      </c>
    </row>
    <row r="147" spans="1:8" x14ac:dyDescent="0.2">
      <c r="A147" s="3">
        <v>3060324003</v>
      </c>
      <c r="B147" s="4" t="s">
        <v>1185</v>
      </c>
      <c r="C147" s="4" t="s">
        <v>1249</v>
      </c>
      <c r="D147" s="3">
        <v>1</v>
      </c>
      <c r="E147" s="3" t="s">
        <v>16</v>
      </c>
      <c r="F147" s="3" t="s">
        <v>289</v>
      </c>
      <c r="G147" s="3" t="s">
        <v>23</v>
      </c>
      <c r="H147" s="3" t="s">
        <v>226</v>
      </c>
    </row>
    <row r="148" spans="1:8" x14ac:dyDescent="0.2">
      <c r="A148" s="3">
        <v>3060404053</v>
      </c>
      <c r="B148" s="4" t="s">
        <v>729</v>
      </c>
      <c r="C148" s="4" t="s">
        <v>1250</v>
      </c>
      <c r="D148" s="3">
        <v>1</v>
      </c>
      <c r="E148" s="3" t="s">
        <v>16</v>
      </c>
      <c r="F148" s="3" t="s">
        <v>289</v>
      </c>
      <c r="G148" s="3" t="s">
        <v>23</v>
      </c>
      <c r="H148" s="3" t="s">
        <v>226</v>
      </c>
    </row>
    <row r="149" spans="1:8" x14ac:dyDescent="0.2">
      <c r="A149" s="3">
        <v>3060316002</v>
      </c>
      <c r="B149" s="4" t="s">
        <v>1219</v>
      </c>
      <c r="C149" s="4" t="s">
        <v>1251</v>
      </c>
      <c r="D149" s="3">
        <v>1</v>
      </c>
      <c r="E149" s="3" t="s">
        <v>16</v>
      </c>
      <c r="F149" s="3" t="s">
        <v>289</v>
      </c>
      <c r="G149" s="3" t="s">
        <v>23</v>
      </c>
      <c r="H149" s="3" t="s">
        <v>226</v>
      </c>
    </row>
    <row r="150" spans="1:8" x14ac:dyDescent="0.2">
      <c r="A150" s="3">
        <v>3060313007</v>
      </c>
      <c r="B150" s="4" t="s">
        <v>1188</v>
      </c>
      <c r="C150" s="4" t="s">
        <v>1252</v>
      </c>
      <c r="D150" s="3">
        <v>1</v>
      </c>
      <c r="E150" s="3" t="s">
        <v>16</v>
      </c>
      <c r="F150" s="3" t="s">
        <v>289</v>
      </c>
      <c r="G150" s="3" t="s">
        <v>23</v>
      </c>
      <c r="H150" s="3" t="s">
        <v>226</v>
      </c>
    </row>
    <row r="151" spans="1:8" x14ac:dyDescent="0.2">
      <c r="A151" s="3">
        <v>3050305016</v>
      </c>
      <c r="B151" s="4" t="s">
        <v>527</v>
      </c>
      <c r="C151" s="4" t="s">
        <v>528</v>
      </c>
      <c r="D151" s="3">
        <v>1</v>
      </c>
      <c r="E151" s="3" t="s">
        <v>16</v>
      </c>
      <c r="F151" s="3" t="s">
        <v>291</v>
      </c>
      <c r="G151" s="3" t="s">
        <v>26</v>
      </c>
      <c r="H151" s="3" t="s">
        <v>226</v>
      </c>
    </row>
    <row r="152" spans="1:8" x14ac:dyDescent="0.2">
      <c r="A152" s="3">
        <v>3050305015</v>
      </c>
      <c r="B152" s="4" t="s">
        <v>529</v>
      </c>
      <c r="C152" s="4" t="s">
        <v>530</v>
      </c>
      <c r="D152" s="3">
        <v>1</v>
      </c>
      <c r="E152" s="3" t="s">
        <v>16</v>
      </c>
      <c r="F152" s="3" t="s">
        <v>291</v>
      </c>
      <c r="G152" s="3" t="s">
        <v>26</v>
      </c>
      <c r="H152" s="3" t="s">
        <v>226</v>
      </c>
    </row>
    <row r="153" spans="1:8" x14ac:dyDescent="0.2">
      <c r="A153" s="3">
        <v>3030309020</v>
      </c>
      <c r="B153" s="4" t="s">
        <v>531</v>
      </c>
      <c r="C153" s="4" t="s">
        <v>532</v>
      </c>
      <c r="D153" s="3">
        <v>1</v>
      </c>
      <c r="E153" s="3" t="s">
        <v>16</v>
      </c>
      <c r="F153" s="3" t="s">
        <v>291</v>
      </c>
      <c r="G153" s="3" t="s">
        <v>26</v>
      </c>
      <c r="H153" s="3" t="s">
        <v>226</v>
      </c>
    </row>
    <row r="154" spans="1:8" x14ac:dyDescent="0.2">
      <c r="A154" s="3">
        <v>3030302002</v>
      </c>
      <c r="B154" s="4" t="s">
        <v>533</v>
      </c>
      <c r="C154" s="4" t="s">
        <v>534</v>
      </c>
      <c r="D154" s="3">
        <v>1</v>
      </c>
      <c r="E154" s="3" t="s">
        <v>16</v>
      </c>
      <c r="F154" s="3" t="s">
        <v>295</v>
      </c>
      <c r="G154" s="3" t="s">
        <v>17</v>
      </c>
      <c r="H154" s="3" t="s">
        <v>226</v>
      </c>
    </row>
    <row r="155" spans="1:8" x14ac:dyDescent="0.2">
      <c r="A155" s="3">
        <v>3030306012</v>
      </c>
      <c r="B155" s="4" t="s">
        <v>535</v>
      </c>
      <c r="C155" s="4" t="s">
        <v>536</v>
      </c>
      <c r="D155" s="3">
        <v>1</v>
      </c>
      <c r="E155" s="3" t="s">
        <v>16</v>
      </c>
      <c r="F155" s="3" t="s">
        <v>295</v>
      </c>
      <c r="G155" s="3" t="s">
        <v>17</v>
      </c>
      <c r="H155" s="3" t="s">
        <v>226</v>
      </c>
    </row>
    <row r="156" spans="1:8" x14ac:dyDescent="0.2">
      <c r="A156" s="3">
        <v>3030306011</v>
      </c>
      <c r="B156" s="4" t="s">
        <v>537</v>
      </c>
      <c r="C156" s="4" t="s">
        <v>536</v>
      </c>
      <c r="D156" s="3">
        <v>1</v>
      </c>
      <c r="E156" s="3" t="s">
        <v>16</v>
      </c>
      <c r="F156" s="3" t="s">
        <v>295</v>
      </c>
      <c r="G156" s="3" t="s">
        <v>17</v>
      </c>
      <c r="H156" s="3" t="s">
        <v>226</v>
      </c>
    </row>
    <row r="157" spans="1:8" x14ac:dyDescent="0.2">
      <c r="A157" s="3">
        <v>3030303002</v>
      </c>
      <c r="B157" s="4" t="s">
        <v>175</v>
      </c>
      <c r="C157" s="4" t="s">
        <v>538</v>
      </c>
      <c r="D157" s="3">
        <v>1</v>
      </c>
      <c r="E157" s="3" t="s">
        <v>16</v>
      </c>
      <c r="F157" s="3" t="s">
        <v>295</v>
      </c>
      <c r="G157" s="3" t="s">
        <v>17</v>
      </c>
      <c r="H157" s="3" t="s">
        <v>226</v>
      </c>
    </row>
    <row r="158" spans="1:8" x14ac:dyDescent="0.2">
      <c r="A158" s="3">
        <v>3030303017</v>
      </c>
      <c r="B158" s="4" t="s">
        <v>539</v>
      </c>
      <c r="C158" s="4" t="s">
        <v>540</v>
      </c>
      <c r="D158" s="3">
        <v>1</v>
      </c>
      <c r="E158" s="3" t="s">
        <v>16</v>
      </c>
      <c r="F158" s="3" t="s">
        <v>295</v>
      </c>
      <c r="G158" s="3" t="s">
        <v>17</v>
      </c>
      <c r="H158" s="3" t="s">
        <v>226</v>
      </c>
    </row>
    <row r="159" spans="1:8" x14ac:dyDescent="0.2">
      <c r="A159" s="3">
        <v>3040312012</v>
      </c>
      <c r="B159" s="4" t="s">
        <v>263</v>
      </c>
      <c r="C159" s="4" t="s">
        <v>541</v>
      </c>
      <c r="D159" s="3">
        <v>2</v>
      </c>
      <c r="E159" s="3" t="s">
        <v>16</v>
      </c>
      <c r="F159" s="3" t="s">
        <v>293</v>
      </c>
      <c r="G159" s="3" t="s">
        <v>29</v>
      </c>
      <c r="H159" s="3" t="s">
        <v>226</v>
      </c>
    </row>
    <row r="160" spans="1:8" x14ac:dyDescent="0.2">
      <c r="A160" s="3">
        <v>3040320010</v>
      </c>
      <c r="B160" s="4" t="s">
        <v>269</v>
      </c>
      <c r="C160" s="4" t="s">
        <v>542</v>
      </c>
      <c r="D160" s="3">
        <v>1</v>
      </c>
      <c r="E160" s="3" t="s">
        <v>16</v>
      </c>
      <c r="F160" s="3" t="s">
        <v>293</v>
      </c>
      <c r="G160" s="3" t="s">
        <v>29</v>
      </c>
      <c r="H160" s="3" t="s">
        <v>226</v>
      </c>
    </row>
    <row r="161" spans="1:8" x14ac:dyDescent="0.2">
      <c r="A161" s="3">
        <v>3040320011</v>
      </c>
      <c r="B161" s="4" t="s">
        <v>269</v>
      </c>
      <c r="C161" s="4" t="s">
        <v>543</v>
      </c>
      <c r="D161" s="3">
        <v>1</v>
      </c>
      <c r="E161" s="3" t="s">
        <v>16</v>
      </c>
      <c r="F161" s="3" t="s">
        <v>293</v>
      </c>
      <c r="G161" s="3" t="s">
        <v>29</v>
      </c>
      <c r="H161" s="3" t="s">
        <v>226</v>
      </c>
    </row>
    <row r="162" spans="1:8" x14ac:dyDescent="0.2">
      <c r="A162" s="3">
        <v>3030313003</v>
      </c>
      <c r="B162" s="4" t="s">
        <v>217</v>
      </c>
      <c r="C162" s="4" t="s">
        <v>544</v>
      </c>
      <c r="D162" s="3">
        <v>8</v>
      </c>
      <c r="E162" s="3" t="s">
        <v>16</v>
      </c>
      <c r="F162" s="3" t="s">
        <v>291</v>
      </c>
      <c r="G162" s="3" t="s">
        <v>26</v>
      </c>
      <c r="H162" s="3" t="s">
        <v>226</v>
      </c>
    </row>
    <row r="163" spans="1:8" x14ac:dyDescent="0.2">
      <c r="A163" s="3">
        <v>3020199010</v>
      </c>
      <c r="B163" s="4" t="s">
        <v>239</v>
      </c>
      <c r="C163" s="4" t="s">
        <v>545</v>
      </c>
      <c r="D163" s="3">
        <v>5</v>
      </c>
      <c r="E163" s="3" t="s">
        <v>16</v>
      </c>
      <c r="F163" s="3" t="s">
        <v>301</v>
      </c>
      <c r="G163" s="3" t="s">
        <v>32</v>
      </c>
      <c r="H163" s="3" t="s">
        <v>226</v>
      </c>
    </row>
    <row r="164" spans="1:8" x14ac:dyDescent="0.2">
      <c r="A164" s="3">
        <v>3991601007</v>
      </c>
      <c r="B164" s="4" t="s">
        <v>585</v>
      </c>
      <c r="C164" s="4" t="s">
        <v>1229</v>
      </c>
      <c r="D164" s="3">
        <v>4</v>
      </c>
      <c r="E164" s="3" t="s">
        <v>16</v>
      </c>
      <c r="F164" s="3" t="s">
        <v>289</v>
      </c>
      <c r="G164" s="3" t="s">
        <v>23</v>
      </c>
      <c r="H164" s="3" t="s">
        <v>226</v>
      </c>
    </row>
    <row r="165" spans="1:8" x14ac:dyDescent="0.2">
      <c r="A165" s="3">
        <v>3991601009</v>
      </c>
      <c r="B165" s="4" t="s">
        <v>585</v>
      </c>
      <c r="C165" s="4" t="s">
        <v>1230</v>
      </c>
      <c r="D165" s="3">
        <v>2</v>
      </c>
      <c r="E165" s="3" t="s">
        <v>16</v>
      </c>
      <c r="F165" s="3" t="s">
        <v>289</v>
      </c>
      <c r="G165" s="3" t="s">
        <v>23</v>
      </c>
      <c r="H165" s="3" t="s">
        <v>226</v>
      </c>
    </row>
    <row r="166" spans="1:8" x14ac:dyDescent="0.2">
      <c r="A166" s="3">
        <v>3050302008</v>
      </c>
      <c r="B166" s="4" t="s">
        <v>1921</v>
      </c>
      <c r="C166" s="4" t="s">
        <v>1986</v>
      </c>
      <c r="D166" s="3">
        <v>1</v>
      </c>
      <c r="E166" s="3" t="s">
        <v>16</v>
      </c>
      <c r="F166" s="3" t="s">
        <v>291</v>
      </c>
      <c r="G166" s="3" t="s">
        <v>26</v>
      </c>
      <c r="H166" s="3" t="s">
        <v>226</v>
      </c>
    </row>
    <row r="167" spans="1:8" x14ac:dyDescent="0.2">
      <c r="A167" s="3">
        <v>3050305019</v>
      </c>
      <c r="B167" s="4" t="s">
        <v>549</v>
      </c>
      <c r="C167" s="4" t="s">
        <v>530</v>
      </c>
      <c r="D167" s="3">
        <v>1</v>
      </c>
      <c r="E167" s="3" t="s">
        <v>16</v>
      </c>
      <c r="F167" s="3" t="s">
        <v>291</v>
      </c>
      <c r="G167" s="3" t="s">
        <v>26</v>
      </c>
      <c r="H167" s="3" t="s">
        <v>226</v>
      </c>
    </row>
    <row r="168" spans="1:8" x14ac:dyDescent="0.2">
      <c r="A168" s="3">
        <v>3050401014</v>
      </c>
      <c r="B168" s="4" t="s">
        <v>222</v>
      </c>
      <c r="C168" s="4" t="s">
        <v>550</v>
      </c>
      <c r="D168" s="3">
        <v>1</v>
      </c>
      <c r="E168" s="3" t="s">
        <v>16</v>
      </c>
      <c r="F168" s="3" t="s">
        <v>291</v>
      </c>
      <c r="G168" s="3" t="s">
        <v>26</v>
      </c>
      <c r="H168" s="3" t="s">
        <v>226</v>
      </c>
    </row>
    <row r="169" spans="1:8" x14ac:dyDescent="0.2">
      <c r="A169" s="3">
        <v>3080401031</v>
      </c>
      <c r="B169" s="4" t="s">
        <v>41</v>
      </c>
      <c r="C169" s="4" t="s">
        <v>551</v>
      </c>
      <c r="D169" s="3">
        <v>1</v>
      </c>
      <c r="E169" s="3" t="s">
        <v>16</v>
      </c>
      <c r="F169" s="3" t="s">
        <v>291</v>
      </c>
      <c r="G169" s="3" t="s">
        <v>26</v>
      </c>
      <c r="H169" s="3" t="s">
        <v>249</v>
      </c>
    </row>
    <row r="170" spans="1:8" x14ac:dyDescent="0.2">
      <c r="A170" s="3">
        <v>3030211001</v>
      </c>
      <c r="B170" s="4" t="s">
        <v>552</v>
      </c>
      <c r="C170" s="4" t="s">
        <v>553</v>
      </c>
      <c r="D170" s="3">
        <v>1</v>
      </c>
      <c r="E170" s="3" t="s">
        <v>16</v>
      </c>
      <c r="F170" s="3" t="s">
        <v>295</v>
      </c>
      <c r="G170" s="3" t="s">
        <v>17</v>
      </c>
      <c r="H170" s="3" t="s">
        <v>249</v>
      </c>
    </row>
    <row r="171" spans="1:8" x14ac:dyDescent="0.2">
      <c r="A171" s="3">
        <v>3080309001</v>
      </c>
      <c r="B171" s="4" t="s">
        <v>554</v>
      </c>
      <c r="C171" s="4" t="s">
        <v>555</v>
      </c>
      <c r="D171" s="3">
        <v>1</v>
      </c>
      <c r="E171" s="3" t="s">
        <v>16</v>
      </c>
      <c r="F171" s="3" t="s">
        <v>295</v>
      </c>
      <c r="G171" s="3" t="s">
        <v>17</v>
      </c>
      <c r="H171" s="3" t="s">
        <v>249</v>
      </c>
    </row>
    <row r="172" spans="1:8" x14ac:dyDescent="0.2">
      <c r="A172" s="3">
        <v>3080107268</v>
      </c>
      <c r="B172" s="4" t="s">
        <v>69</v>
      </c>
      <c r="C172" s="4" t="s">
        <v>556</v>
      </c>
      <c r="D172" s="3">
        <v>2</v>
      </c>
      <c r="E172" s="3" t="s">
        <v>16</v>
      </c>
      <c r="F172" s="3" t="s">
        <v>291</v>
      </c>
      <c r="G172" s="3" t="s">
        <v>26</v>
      </c>
      <c r="H172" s="3" t="s">
        <v>249</v>
      </c>
    </row>
    <row r="173" spans="1:8" x14ac:dyDescent="0.2">
      <c r="A173" s="3">
        <v>3080107269</v>
      </c>
      <c r="B173" s="4" t="s">
        <v>69</v>
      </c>
      <c r="C173" s="4" t="s">
        <v>557</v>
      </c>
      <c r="D173" s="3">
        <v>2</v>
      </c>
      <c r="E173" s="3" t="s">
        <v>16</v>
      </c>
      <c r="F173" s="3" t="s">
        <v>291</v>
      </c>
      <c r="G173" s="3" t="s">
        <v>26</v>
      </c>
      <c r="H173" s="3" t="s">
        <v>249</v>
      </c>
    </row>
    <row r="174" spans="1:8" x14ac:dyDescent="0.2">
      <c r="A174" s="3">
        <v>3060333011</v>
      </c>
      <c r="B174" s="4" t="s">
        <v>227</v>
      </c>
      <c r="C174" s="4" t="s">
        <v>1231</v>
      </c>
      <c r="D174" s="3">
        <v>1</v>
      </c>
      <c r="E174" s="3" t="s">
        <v>16</v>
      </c>
      <c r="F174" s="3" t="s">
        <v>289</v>
      </c>
      <c r="G174" s="3" t="s">
        <v>23</v>
      </c>
      <c r="H174" s="3" t="s">
        <v>254</v>
      </c>
    </row>
    <row r="175" spans="1:8" x14ac:dyDescent="0.2">
      <c r="A175" s="3">
        <v>3060401003</v>
      </c>
      <c r="B175" s="4" t="s">
        <v>727</v>
      </c>
      <c r="C175" s="4" t="s">
        <v>1232</v>
      </c>
      <c r="D175" s="3">
        <v>1</v>
      </c>
      <c r="E175" s="3" t="s">
        <v>16</v>
      </c>
      <c r="F175" s="3" t="s">
        <v>289</v>
      </c>
      <c r="G175" s="3" t="s">
        <v>23</v>
      </c>
      <c r="H175" s="3" t="s">
        <v>254</v>
      </c>
    </row>
    <row r="176" spans="1:8" x14ac:dyDescent="0.2">
      <c r="A176" s="3">
        <v>3060335013</v>
      </c>
      <c r="B176" s="4" t="s">
        <v>233</v>
      </c>
      <c r="C176" s="4" t="s">
        <v>1253</v>
      </c>
      <c r="D176" s="3">
        <v>1</v>
      </c>
      <c r="E176" s="3" t="s">
        <v>16</v>
      </c>
      <c r="F176" s="3" t="s">
        <v>289</v>
      </c>
      <c r="G176" s="3" t="s">
        <v>23</v>
      </c>
      <c r="H176" s="3" t="s">
        <v>254</v>
      </c>
    </row>
    <row r="177" spans="1:8" x14ac:dyDescent="0.2">
      <c r="A177" s="3">
        <v>3030302001</v>
      </c>
      <c r="B177" s="4" t="s">
        <v>558</v>
      </c>
      <c r="C177" s="4" t="s">
        <v>534</v>
      </c>
      <c r="D177" s="3">
        <v>1</v>
      </c>
      <c r="E177" s="3" t="s">
        <v>16</v>
      </c>
      <c r="F177" s="3" t="s">
        <v>295</v>
      </c>
      <c r="G177" s="3" t="s">
        <v>17</v>
      </c>
      <c r="H177" s="3" t="s">
        <v>254</v>
      </c>
    </row>
    <row r="178" spans="1:8" x14ac:dyDescent="0.2">
      <c r="A178" s="3">
        <v>3030306031</v>
      </c>
      <c r="B178" s="4" t="s">
        <v>559</v>
      </c>
      <c r="C178" s="4" t="s">
        <v>560</v>
      </c>
      <c r="D178" s="3">
        <v>1</v>
      </c>
      <c r="E178" s="3" t="s">
        <v>16</v>
      </c>
      <c r="F178" s="3" t="s">
        <v>295</v>
      </c>
      <c r="G178" s="3" t="s">
        <v>17</v>
      </c>
      <c r="H178" s="3" t="s">
        <v>254</v>
      </c>
    </row>
    <row r="179" spans="1:8" x14ac:dyDescent="0.2">
      <c r="A179" s="3">
        <v>3080311002</v>
      </c>
      <c r="B179" s="4" t="s">
        <v>561</v>
      </c>
      <c r="C179" s="4" t="s">
        <v>536</v>
      </c>
      <c r="D179" s="3">
        <v>1</v>
      </c>
      <c r="E179" s="3" t="s">
        <v>16</v>
      </c>
      <c r="F179" s="3" t="s">
        <v>295</v>
      </c>
      <c r="G179" s="3" t="s">
        <v>17</v>
      </c>
      <c r="H179" s="3" t="s">
        <v>254</v>
      </c>
    </row>
    <row r="180" spans="1:8" x14ac:dyDescent="0.2">
      <c r="A180" s="3">
        <v>3030303016</v>
      </c>
      <c r="B180" s="4" t="s">
        <v>562</v>
      </c>
      <c r="C180" s="4" t="s">
        <v>563</v>
      </c>
      <c r="D180" s="3">
        <v>1</v>
      </c>
      <c r="E180" s="3" t="s">
        <v>16</v>
      </c>
      <c r="F180" s="3" t="s">
        <v>295</v>
      </c>
      <c r="G180" s="3" t="s">
        <v>17</v>
      </c>
      <c r="H180" s="3" t="s">
        <v>254</v>
      </c>
    </row>
    <row r="181" spans="1:8" x14ac:dyDescent="0.2">
      <c r="A181" s="3">
        <v>3030303015</v>
      </c>
      <c r="B181" s="4" t="s">
        <v>564</v>
      </c>
      <c r="C181" s="4" t="s">
        <v>563</v>
      </c>
      <c r="D181" s="3">
        <v>1</v>
      </c>
      <c r="E181" s="3" t="s">
        <v>16</v>
      </c>
      <c r="F181" s="3" t="s">
        <v>295</v>
      </c>
      <c r="G181" s="3" t="s">
        <v>17</v>
      </c>
      <c r="H181" s="3" t="s">
        <v>254</v>
      </c>
    </row>
    <row r="182" spans="1:8" x14ac:dyDescent="0.2">
      <c r="A182" s="3">
        <v>3040323001</v>
      </c>
      <c r="B182" s="4" t="s">
        <v>565</v>
      </c>
      <c r="C182" s="4" t="s">
        <v>566</v>
      </c>
      <c r="D182" s="3">
        <v>2</v>
      </c>
      <c r="E182" s="3" t="s">
        <v>16</v>
      </c>
      <c r="F182" s="3" t="s">
        <v>293</v>
      </c>
      <c r="G182" s="3" t="s">
        <v>29</v>
      </c>
      <c r="H182" s="3" t="s">
        <v>254</v>
      </c>
    </row>
    <row r="183" spans="1:8" x14ac:dyDescent="0.2">
      <c r="A183" s="3">
        <v>3040302001</v>
      </c>
      <c r="B183" s="4" t="s">
        <v>567</v>
      </c>
      <c r="C183" s="4" t="s">
        <v>568</v>
      </c>
      <c r="D183" s="3">
        <v>1</v>
      </c>
      <c r="E183" s="3" t="s">
        <v>16</v>
      </c>
      <c r="F183" s="3" t="s">
        <v>293</v>
      </c>
      <c r="G183" s="3" t="s">
        <v>29</v>
      </c>
      <c r="H183" s="3" t="s">
        <v>254</v>
      </c>
    </row>
    <row r="184" spans="1:8" x14ac:dyDescent="0.2">
      <c r="A184" s="3">
        <v>3040302002</v>
      </c>
      <c r="B184" s="4" t="s">
        <v>567</v>
      </c>
      <c r="C184" s="4" t="s">
        <v>569</v>
      </c>
      <c r="D184" s="3">
        <v>1</v>
      </c>
      <c r="E184" s="3" t="s">
        <v>16</v>
      </c>
      <c r="F184" s="3" t="s">
        <v>293</v>
      </c>
      <c r="G184" s="3" t="s">
        <v>29</v>
      </c>
      <c r="H184" s="3" t="s">
        <v>254</v>
      </c>
    </row>
    <row r="185" spans="1:8" x14ac:dyDescent="0.2">
      <c r="A185" s="3">
        <v>3040324004</v>
      </c>
      <c r="B185" s="4" t="s">
        <v>570</v>
      </c>
      <c r="C185" s="4" t="s">
        <v>536</v>
      </c>
      <c r="D185" s="3">
        <v>2</v>
      </c>
      <c r="E185" s="3" t="s">
        <v>16</v>
      </c>
      <c r="F185" s="3" t="s">
        <v>293</v>
      </c>
      <c r="G185" s="3" t="s">
        <v>29</v>
      </c>
      <c r="H185" s="3" t="s">
        <v>254</v>
      </c>
    </row>
    <row r="186" spans="1:8" x14ac:dyDescent="0.2">
      <c r="A186" s="3">
        <v>3030302008</v>
      </c>
      <c r="B186" s="4" t="s">
        <v>571</v>
      </c>
      <c r="C186" s="4" t="s">
        <v>572</v>
      </c>
      <c r="D186" s="3">
        <v>1</v>
      </c>
      <c r="E186" s="3" t="s">
        <v>16</v>
      </c>
      <c r="F186" s="3" t="s">
        <v>295</v>
      </c>
      <c r="G186" s="3" t="s">
        <v>17</v>
      </c>
      <c r="H186" s="3" t="s">
        <v>254</v>
      </c>
    </row>
    <row r="187" spans="1:8" x14ac:dyDescent="0.2">
      <c r="A187" s="3">
        <v>3030302009</v>
      </c>
      <c r="B187" s="4" t="s">
        <v>571</v>
      </c>
      <c r="C187" s="4" t="s">
        <v>573</v>
      </c>
      <c r="D187" s="3">
        <v>1</v>
      </c>
      <c r="E187" s="3" t="s">
        <v>16</v>
      </c>
      <c r="F187" s="3" t="s">
        <v>295</v>
      </c>
      <c r="G187" s="3" t="s">
        <v>17</v>
      </c>
      <c r="H187" s="3" t="s">
        <v>254</v>
      </c>
    </row>
    <row r="188" spans="1:8" x14ac:dyDescent="0.2">
      <c r="A188" s="3">
        <v>3030302004</v>
      </c>
      <c r="B188" s="4" t="s">
        <v>574</v>
      </c>
      <c r="C188" s="4" t="s">
        <v>575</v>
      </c>
      <c r="D188" s="3">
        <v>1</v>
      </c>
      <c r="E188" s="3" t="s">
        <v>16</v>
      </c>
      <c r="F188" s="3" t="s">
        <v>295</v>
      </c>
      <c r="G188" s="3" t="s">
        <v>17</v>
      </c>
      <c r="H188" s="3" t="s">
        <v>254</v>
      </c>
    </row>
    <row r="189" spans="1:8" x14ac:dyDescent="0.2">
      <c r="A189" s="3">
        <v>3030302006</v>
      </c>
      <c r="B189" s="4" t="s">
        <v>576</v>
      </c>
      <c r="C189" s="4" t="s">
        <v>575</v>
      </c>
      <c r="D189" s="3">
        <v>1</v>
      </c>
      <c r="E189" s="3" t="s">
        <v>16</v>
      </c>
      <c r="F189" s="3" t="s">
        <v>295</v>
      </c>
      <c r="G189" s="3" t="s">
        <v>17</v>
      </c>
      <c r="H189" s="3" t="s">
        <v>254</v>
      </c>
    </row>
    <row r="190" spans="1:8" x14ac:dyDescent="0.2">
      <c r="A190" s="3">
        <v>3030314004</v>
      </c>
      <c r="B190" s="4" t="s">
        <v>577</v>
      </c>
      <c r="C190" s="4" t="s">
        <v>575</v>
      </c>
      <c r="D190" s="3">
        <v>1</v>
      </c>
      <c r="E190" s="3" t="s">
        <v>16</v>
      </c>
      <c r="F190" s="3" t="s">
        <v>295</v>
      </c>
      <c r="G190" s="3" t="s">
        <v>17</v>
      </c>
      <c r="H190" s="3" t="s">
        <v>254</v>
      </c>
    </row>
    <row r="191" spans="1:8" x14ac:dyDescent="0.2">
      <c r="A191" s="3">
        <v>3030308001</v>
      </c>
      <c r="B191" s="4" t="s">
        <v>578</v>
      </c>
      <c r="C191" s="4" t="s">
        <v>575</v>
      </c>
      <c r="D191" s="3">
        <v>1</v>
      </c>
      <c r="E191" s="3" t="s">
        <v>16</v>
      </c>
      <c r="F191" s="3" t="s">
        <v>295</v>
      </c>
      <c r="G191" s="3" t="s">
        <v>17</v>
      </c>
      <c r="H191" s="3" t="s">
        <v>254</v>
      </c>
    </row>
    <row r="192" spans="1:8" x14ac:dyDescent="0.2">
      <c r="A192" s="3">
        <v>3030314003</v>
      </c>
      <c r="B192" s="4" t="s">
        <v>579</v>
      </c>
      <c r="C192" s="4" t="s">
        <v>575</v>
      </c>
      <c r="D192" s="3">
        <v>1</v>
      </c>
      <c r="E192" s="3" t="s">
        <v>16</v>
      </c>
      <c r="F192" s="3" t="s">
        <v>295</v>
      </c>
      <c r="G192" s="3" t="s">
        <v>17</v>
      </c>
      <c r="H192" s="3" t="s">
        <v>254</v>
      </c>
    </row>
    <row r="193" spans="1:8" x14ac:dyDescent="0.2">
      <c r="A193" s="3">
        <v>3030308003</v>
      </c>
      <c r="B193" s="4" t="s">
        <v>580</v>
      </c>
      <c r="C193" s="4" t="s">
        <v>581</v>
      </c>
      <c r="D193" s="3">
        <v>1</v>
      </c>
      <c r="E193" s="3" t="s">
        <v>16</v>
      </c>
      <c r="F193" s="3" t="s">
        <v>295</v>
      </c>
      <c r="G193" s="3" t="s">
        <v>17</v>
      </c>
      <c r="H193" s="3" t="s">
        <v>254</v>
      </c>
    </row>
    <row r="194" spans="1:8" x14ac:dyDescent="0.2">
      <c r="A194" s="3">
        <v>3040325007</v>
      </c>
      <c r="B194" s="4" t="s">
        <v>582</v>
      </c>
      <c r="C194" s="4" t="s">
        <v>543</v>
      </c>
      <c r="D194" s="3">
        <v>1</v>
      </c>
      <c r="E194" s="3" t="s">
        <v>16</v>
      </c>
      <c r="F194" s="3" t="s">
        <v>293</v>
      </c>
      <c r="G194" s="3" t="s">
        <v>29</v>
      </c>
      <c r="H194" s="3" t="s">
        <v>254</v>
      </c>
    </row>
    <row r="195" spans="1:8" x14ac:dyDescent="0.2">
      <c r="A195" s="3">
        <v>3040325008</v>
      </c>
      <c r="B195" s="4" t="s">
        <v>582</v>
      </c>
      <c r="C195" s="4" t="s">
        <v>542</v>
      </c>
      <c r="D195" s="3">
        <v>1</v>
      </c>
      <c r="E195" s="3" t="s">
        <v>16</v>
      </c>
      <c r="F195" s="3" t="s">
        <v>293</v>
      </c>
      <c r="G195" s="3" t="s">
        <v>29</v>
      </c>
      <c r="H195" s="3" t="s">
        <v>254</v>
      </c>
    </row>
    <row r="196" spans="1:8" x14ac:dyDescent="0.2">
      <c r="A196" s="3">
        <v>3040308003</v>
      </c>
      <c r="B196" s="4" t="s">
        <v>583</v>
      </c>
      <c r="C196" s="4" t="s">
        <v>536</v>
      </c>
      <c r="D196" s="3">
        <v>2</v>
      </c>
      <c r="E196" s="3" t="s">
        <v>16</v>
      </c>
      <c r="F196" s="3" t="s">
        <v>293</v>
      </c>
      <c r="G196" s="3" t="s">
        <v>29</v>
      </c>
      <c r="H196" s="3" t="s">
        <v>254</v>
      </c>
    </row>
    <row r="197" spans="1:8" x14ac:dyDescent="0.2">
      <c r="A197" s="3">
        <v>3030302007</v>
      </c>
      <c r="B197" s="4" t="s">
        <v>584</v>
      </c>
      <c r="C197" s="4" t="s">
        <v>575</v>
      </c>
      <c r="D197" s="3">
        <v>1</v>
      </c>
      <c r="E197" s="3" t="s">
        <v>16</v>
      </c>
      <c r="F197" s="3" t="s">
        <v>295</v>
      </c>
      <c r="G197" s="3" t="s">
        <v>17</v>
      </c>
      <c r="H197" s="3" t="s">
        <v>254</v>
      </c>
    </row>
    <row r="198" spans="1:8" x14ac:dyDescent="0.2">
      <c r="A198" s="3">
        <v>3111601004</v>
      </c>
      <c r="B198" s="4" t="s">
        <v>585</v>
      </c>
      <c r="C198" s="4" t="s">
        <v>1235</v>
      </c>
      <c r="D198" s="3">
        <v>4</v>
      </c>
      <c r="E198" s="3" t="s">
        <v>16</v>
      </c>
      <c r="F198" s="3" t="s">
        <v>289</v>
      </c>
      <c r="G198" s="3" t="s">
        <v>23</v>
      </c>
      <c r="H198" s="3" t="s">
        <v>254</v>
      </c>
    </row>
    <row r="199" spans="1:8" x14ac:dyDescent="0.2">
      <c r="A199" s="3">
        <v>3111601003</v>
      </c>
      <c r="B199" s="4" t="s">
        <v>585</v>
      </c>
      <c r="C199" s="4" t="s">
        <v>586</v>
      </c>
      <c r="D199" s="3">
        <v>2</v>
      </c>
      <c r="E199" s="3" t="s">
        <v>16</v>
      </c>
      <c r="F199" s="3" t="s">
        <v>291</v>
      </c>
      <c r="G199" s="3" t="s">
        <v>26</v>
      </c>
      <c r="H199" s="3" t="s">
        <v>254</v>
      </c>
    </row>
    <row r="200" spans="1:8" x14ac:dyDescent="0.2">
      <c r="A200" s="3">
        <v>3111601003</v>
      </c>
      <c r="B200" s="4" t="s">
        <v>585</v>
      </c>
      <c r="C200" s="4" t="s">
        <v>586</v>
      </c>
      <c r="D200" s="3">
        <v>13</v>
      </c>
      <c r="E200" s="3" t="s">
        <v>16</v>
      </c>
      <c r="F200" s="3" t="s">
        <v>289</v>
      </c>
      <c r="G200" s="3" t="s">
        <v>23</v>
      </c>
      <c r="H200" s="3" t="s">
        <v>254</v>
      </c>
    </row>
    <row r="201" spans="1:8" x14ac:dyDescent="0.2">
      <c r="A201" s="3">
        <v>3060340003</v>
      </c>
      <c r="B201" s="4" t="s">
        <v>725</v>
      </c>
      <c r="C201" s="4" t="s">
        <v>1236</v>
      </c>
      <c r="D201" s="3">
        <v>1</v>
      </c>
      <c r="E201" s="3" t="s">
        <v>16</v>
      </c>
      <c r="F201" s="3" t="s">
        <v>289</v>
      </c>
      <c r="G201" s="3" t="s">
        <v>23</v>
      </c>
      <c r="H201" s="3" t="s">
        <v>254</v>
      </c>
    </row>
    <row r="202" spans="1:8" x14ac:dyDescent="0.2">
      <c r="A202" s="3">
        <v>3060339004</v>
      </c>
      <c r="B202" s="4" t="s">
        <v>737</v>
      </c>
      <c r="C202" s="4" t="s">
        <v>1253</v>
      </c>
      <c r="D202" s="3">
        <v>1</v>
      </c>
      <c r="E202" s="3" t="s">
        <v>16</v>
      </c>
      <c r="F202" s="3" t="s">
        <v>289</v>
      </c>
      <c r="G202" s="3" t="s">
        <v>23</v>
      </c>
      <c r="H202" s="3" t="s">
        <v>254</v>
      </c>
    </row>
    <row r="203" spans="1:8" x14ac:dyDescent="0.2">
      <c r="A203" s="3">
        <v>3050303009</v>
      </c>
      <c r="B203" s="4" t="s">
        <v>245</v>
      </c>
      <c r="C203" s="4" t="s">
        <v>1253</v>
      </c>
      <c r="D203" s="3">
        <v>1</v>
      </c>
      <c r="E203" s="3" t="s">
        <v>16</v>
      </c>
      <c r="F203" s="3" t="s">
        <v>291</v>
      </c>
      <c r="G203" s="3" t="s">
        <v>26</v>
      </c>
      <c r="H203" s="3" t="s">
        <v>254</v>
      </c>
    </row>
    <row r="204" spans="1:8" x14ac:dyDescent="0.2">
      <c r="A204" s="3">
        <v>3080310002</v>
      </c>
      <c r="B204" s="4" t="s">
        <v>588</v>
      </c>
      <c r="C204" s="4" t="s">
        <v>589</v>
      </c>
      <c r="D204" s="3">
        <v>1</v>
      </c>
      <c r="E204" s="3" t="s">
        <v>16</v>
      </c>
      <c r="F204" s="3" t="s">
        <v>295</v>
      </c>
      <c r="G204" s="3" t="s">
        <v>17</v>
      </c>
      <c r="H204" s="3" t="s">
        <v>590</v>
      </c>
    </row>
    <row r="205" spans="1:8" x14ac:dyDescent="0.2">
      <c r="A205" s="3">
        <v>3020301012</v>
      </c>
      <c r="B205" s="4" t="s">
        <v>209</v>
      </c>
      <c r="C205" s="4" t="s">
        <v>768</v>
      </c>
      <c r="D205" s="3">
        <v>1</v>
      </c>
      <c r="E205" s="3" t="s">
        <v>16</v>
      </c>
      <c r="F205" s="3" t="s">
        <v>301</v>
      </c>
      <c r="G205" s="3" t="s">
        <v>32</v>
      </c>
      <c r="H205" s="3" t="s">
        <v>769</v>
      </c>
    </row>
  </sheetData>
  <phoneticPr fontId="2" type="noConversion"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4AF98-2A11-4E42-B601-330E99B50C82}">
  <dimension ref="A1:H221"/>
  <sheetViews>
    <sheetView workbookViewId="0">
      <selection activeCell="K22" sqref="K22"/>
    </sheetView>
  </sheetViews>
  <sheetFormatPr defaultRowHeight="14.25" x14ac:dyDescent="0.2"/>
  <cols>
    <col min="1" max="1" width="13.125" customWidth="1"/>
    <col min="2" max="3" width="13" customWidth="1"/>
  </cols>
  <sheetData>
    <row r="1" spans="1:8" x14ac:dyDescent="0.2">
      <c r="A1" s="3" t="s">
        <v>1988</v>
      </c>
      <c r="B1" s="4"/>
      <c r="C1" s="4"/>
      <c r="D1" s="3"/>
      <c r="E1" s="3"/>
      <c r="F1" s="3"/>
      <c r="G1" s="3"/>
      <c r="H1" s="3"/>
    </row>
    <row r="2" spans="1:8" ht="28.5" x14ac:dyDescent="0.2">
      <c r="A2" s="1" t="s">
        <v>0</v>
      </c>
      <c r="B2" s="2" t="s">
        <v>1</v>
      </c>
      <c r="C2" s="2" t="s">
        <v>2</v>
      </c>
      <c r="D2" s="1" t="s">
        <v>4</v>
      </c>
      <c r="E2" s="1" t="s">
        <v>3</v>
      </c>
      <c r="F2" s="1" t="s">
        <v>5</v>
      </c>
      <c r="G2" s="1" t="s">
        <v>6</v>
      </c>
      <c r="H2" s="1" t="s">
        <v>7</v>
      </c>
    </row>
    <row r="3" spans="1:8" s="10" customFormat="1" x14ac:dyDescent="0.2">
      <c r="A3" s="8" t="s">
        <v>390</v>
      </c>
      <c r="B3" s="9" t="s">
        <v>8</v>
      </c>
      <c r="C3" s="9" t="s">
        <v>9</v>
      </c>
      <c r="D3" s="13">
        <f>0.1748/0.94</f>
        <v>0.18595744680851067</v>
      </c>
      <c r="E3" s="8" t="s">
        <v>596</v>
      </c>
      <c r="F3" s="8" t="s">
        <v>283</v>
      </c>
      <c r="G3" s="8" t="s">
        <v>13</v>
      </c>
      <c r="H3" s="8" t="s">
        <v>12</v>
      </c>
    </row>
    <row r="4" spans="1:8" x14ac:dyDescent="0.2">
      <c r="A4" s="3">
        <v>40901009</v>
      </c>
      <c r="B4" s="4" t="s">
        <v>801</v>
      </c>
      <c r="C4" s="4" t="s">
        <v>1153</v>
      </c>
      <c r="D4" s="3">
        <v>1</v>
      </c>
      <c r="E4" s="3" t="s">
        <v>16</v>
      </c>
      <c r="F4" s="3" t="s">
        <v>289</v>
      </c>
      <c r="G4" s="3" t="s">
        <v>23</v>
      </c>
      <c r="H4" s="3" t="s">
        <v>306</v>
      </c>
    </row>
    <row r="5" spans="1:8" x14ac:dyDescent="0.2">
      <c r="A5" s="3">
        <v>3099980015</v>
      </c>
      <c r="B5" s="4" t="s">
        <v>1983</v>
      </c>
      <c r="C5" s="4" t="s">
        <v>1984</v>
      </c>
      <c r="D5" s="3">
        <v>1</v>
      </c>
      <c r="E5" s="3" t="s">
        <v>16</v>
      </c>
      <c r="F5" s="3" t="s">
        <v>284</v>
      </c>
      <c r="G5" s="3" t="s">
        <v>11</v>
      </c>
      <c r="H5" s="3" t="s">
        <v>393</v>
      </c>
    </row>
    <row r="6" spans="1:8" x14ac:dyDescent="0.2">
      <c r="A6" s="3">
        <v>3099980014</v>
      </c>
      <c r="B6" s="4" t="s">
        <v>391</v>
      </c>
      <c r="C6" s="4" t="s">
        <v>392</v>
      </c>
      <c r="D6" s="3">
        <v>1</v>
      </c>
      <c r="E6" s="3" t="s">
        <v>16</v>
      </c>
      <c r="F6" s="3" t="s">
        <v>291</v>
      </c>
      <c r="G6" s="3" t="s">
        <v>26</v>
      </c>
      <c r="H6" s="3" t="s">
        <v>393</v>
      </c>
    </row>
    <row r="7" spans="1:8" x14ac:dyDescent="0.2">
      <c r="A7" s="3">
        <v>3098980102</v>
      </c>
      <c r="B7" s="4" t="s">
        <v>1897</v>
      </c>
      <c r="C7" s="4" t="s">
        <v>1898</v>
      </c>
      <c r="D7" s="3">
        <v>1</v>
      </c>
      <c r="E7" s="3" t="s">
        <v>16</v>
      </c>
      <c r="F7" s="3" t="s">
        <v>291</v>
      </c>
      <c r="G7" s="3" t="s">
        <v>26</v>
      </c>
      <c r="H7" s="3" t="s">
        <v>393</v>
      </c>
    </row>
    <row r="8" spans="1:8" x14ac:dyDescent="0.2">
      <c r="A8" s="3">
        <v>3030314005</v>
      </c>
      <c r="B8" s="4" t="s">
        <v>394</v>
      </c>
      <c r="C8" s="4" t="s">
        <v>395</v>
      </c>
      <c r="D8" s="3">
        <v>1</v>
      </c>
      <c r="E8" s="3" t="s">
        <v>16</v>
      </c>
      <c r="F8" s="3" t="s">
        <v>291</v>
      </c>
      <c r="G8" s="3" t="s">
        <v>26</v>
      </c>
      <c r="H8" s="3" t="s">
        <v>18</v>
      </c>
    </row>
    <row r="9" spans="1:8" x14ac:dyDescent="0.2">
      <c r="A9" s="3">
        <v>3030210001</v>
      </c>
      <c r="B9" s="4" t="s">
        <v>396</v>
      </c>
      <c r="C9" s="4" t="s">
        <v>397</v>
      </c>
      <c r="D9" s="3">
        <v>1</v>
      </c>
      <c r="E9" s="3" t="s">
        <v>16</v>
      </c>
      <c r="F9" s="3" t="s">
        <v>295</v>
      </c>
      <c r="G9" s="3" t="s">
        <v>17</v>
      </c>
      <c r="H9" s="3" t="s">
        <v>18</v>
      </c>
    </row>
    <row r="10" spans="1:8" x14ac:dyDescent="0.2">
      <c r="A10" s="3">
        <v>3080301001</v>
      </c>
      <c r="B10" s="4" t="s">
        <v>247</v>
      </c>
      <c r="C10" s="4" t="s">
        <v>398</v>
      </c>
      <c r="D10" s="3">
        <v>1</v>
      </c>
      <c r="E10" s="3" t="s">
        <v>16</v>
      </c>
      <c r="F10" s="3" t="s">
        <v>295</v>
      </c>
      <c r="G10" s="3" t="s">
        <v>17</v>
      </c>
      <c r="H10" s="3" t="s">
        <v>18</v>
      </c>
    </row>
    <row r="11" spans="1:8" x14ac:dyDescent="0.2">
      <c r="A11" s="3">
        <v>3040201001</v>
      </c>
      <c r="B11" s="4" t="s">
        <v>399</v>
      </c>
      <c r="C11" s="4" t="s">
        <v>400</v>
      </c>
      <c r="D11" s="3">
        <v>2</v>
      </c>
      <c r="E11" s="3" t="s">
        <v>16</v>
      </c>
      <c r="F11" s="3" t="s">
        <v>293</v>
      </c>
      <c r="G11" s="3" t="s">
        <v>29</v>
      </c>
      <c r="H11" s="3" t="s">
        <v>18</v>
      </c>
    </row>
    <row r="12" spans="1:8" x14ac:dyDescent="0.2">
      <c r="A12" s="3">
        <v>3030202002</v>
      </c>
      <c r="B12" s="4" t="s">
        <v>401</v>
      </c>
      <c r="C12" s="4" t="s">
        <v>402</v>
      </c>
      <c r="D12" s="3">
        <v>1</v>
      </c>
      <c r="E12" s="3" t="s">
        <v>16</v>
      </c>
      <c r="F12" s="3" t="s">
        <v>295</v>
      </c>
      <c r="G12" s="3" t="s">
        <v>17</v>
      </c>
      <c r="H12" s="3" t="s">
        <v>18</v>
      </c>
    </row>
    <row r="13" spans="1:8" x14ac:dyDescent="0.2">
      <c r="A13" s="3">
        <v>3030202003</v>
      </c>
      <c r="B13" s="4" t="s">
        <v>403</v>
      </c>
      <c r="C13" s="4" t="s">
        <v>404</v>
      </c>
      <c r="D13" s="3">
        <v>1</v>
      </c>
      <c r="E13" s="3" t="s">
        <v>16</v>
      </c>
      <c r="F13" s="3" t="s">
        <v>295</v>
      </c>
      <c r="G13" s="3" t="s">
        <v>17</v>
      </c>
      <c r="H13" s="3" t="s">
        <v>18</v>
      </c>
    </row>
    <row r="14" spans="1:8" x14ac:dyDescent="0.2">
      <c r="A14" s="3">
        <v>3030212001</v>
      </c>
      <c r="B14" s="4" t="s">
        <v>405</v>
      </c>
      <c r="C14" s="4" t="s">
        <v>406</v>
      </c>
      <c r="D14" s="3">
        <v>1</v>
      </c>
      <c r="E14" s="3" t="s">
        <v>16</v>
      </c>
      <c r="F14" s="3" t="s">
        <v>295</v>
      </c>
      <c r="G14" s="3" t="s">
        <v>17</v>
      </c>
      <c r="H14" s="3" t="s">
        <v>18</v>
      </c>
    </row>
    <row r="15" spans="1:8" x14ac:dyDescent="0.2">
      <c r="A15" s="3">
        <v>3030206003</v>
      </c>
      <c r="B15" s="4" t="s">
        <v>407</v>
      </c>
      <c r="C15" s="4" t="s">
        <v>408</v>
      </c>
      <c r="D15" s="3">
        <v>1</v>
      </c>
      <c r="E15" s="3" t="s">
        <v>16</v>
      </c>
      <c r="F15" s="3" t="s">
        <v>295</v>
      </c>
      <c r="G15" s="3" t="s">
        <v>17</v>
      </c>
      <c r="H15" s="3" t="s">
        <v>18</v>
      </c>
    </row>
    <row r="16" spans="1:8" x14ac:dyDescent="0.2">
      <c r="A16" s="3">
        <v>404020072</v>
      </c>
      <c r="B16" s="4" t="s">
        <v>30</v>
      </c>
      <c r="C16" s="4" t="s">
        <v>308</v>
      </c>
      <c r="D16" s="3">
        <v>1</v>
      </c>
      <c r="E16" s="3" t="s">
        <v>16</v>
      </c>
      <c r="F16" s="3" t="s">
        <v>291</v>
      </c>
      <c r="G16" s="3" t="s">
        <v>26</v>
      </c>
      <c r="H16" s="3" t="s">
        <v>33</v>
      </c>
    </row>
    <row r="17" spans="1:8" x14ac:dyDescent="0.2">
      <c r="A17" s="3">
        <v>401020110</v>
      </c>
      <c r="B17" s="4" t="s">
        <v>35</v>
      </c>
      <c r="C17" s="4" t="s">
        <v>1154</v>
      </c>
      <c r="D17" s="3">
        <v>1</v>
      </c>
      <c r="E17" s="3" t="s">
        <v>16</v>
      </c>
      <c r="F17" s="3" t="s">
        <v>301</v>
      </c>
      <c r="G17" s="3" t="s">
        <v>32</v>
      </c>
      <c r="H17" s="3" t="s">
        <v>33</v>
      </c>
    </row>
    <row r="18" spans="1:8" x14ac:dyDescent="0.2">
      <c r="A18" s="3">
        <v>409010001</v>
      </c>
      <c r="B18" s="4" t="s">
        <v>1298</v>
      </c>
      <c r="C18" s="4" t="s">
        <v>1299</v>
      </c>
      <c r="D18" s="3">
        <v>1</v>
      </c>
      <c r="E18" s="3" t="s">
        <v>16</v>
      </c>
      <c r="F18" s="3" t="s">
        <v>289</v>
      </c>
      <c r="G18" s="3" t="s">
        <v>23</v>
      </c>
      <c r="H18" s="3" t="s">
        <v>40</v>
      </c>
    </row>
    <row r="19" spans="1:8" x14ac:dyDescent="0.2">
      <c r="A19" s="3">
        <v>3080101015</v>
      </c>
      <c r="B19" s="4" t="s">
        <v>411</v>
      </c>
      <c r="C19" s="4" t="s">
        <v>412</v>
      </c>
      <c r="D19" s="3">
        <v>2</v>
      </c>
      <c r="E19" s="3" t="s">
        <v>16</v>
      </c>
      <c r="F19" s="3" t="s">
        <v>293</v>
      </c>
      <c r="G19" s="3" t="s">
        <v>29</v>
      </c>
      <c r="H19" s="3" t="s">
        <v>40</v>
      </c>
    </row>
    <row r="20" spans="1:8" x14ac:dyDescent="0.2">
      <c r="A20" s="3">
        <v>3080101002</v>
      </c>
      <c r="B20" s="4" t="s">
        <v>411</v>
      </c>
      <c r="C20" s="4" t="s">
        <v>413</v>
      </c>
      <c r="D20" s="3">
        <v>2</v>
      </c>
      <c r="E20" s="3" t="s">
        <v>16</v>
      </c>
      <c r="F20" s="3" t="s">
        <v>291</v>
      </c>
      <c r="G20" s="3" t="s">
        <v>26</v>
      </c>
      <c r="H20" s="3" t="s">
        <v>40</v>
      </c>
    </row>
    <row r="21" spans="1:8" x14ac:dyDescent="0.2">
      <c r="A21" s="3">
        <v>3080101002</v>
      </c>
      <c r="B21" s="4" t="s">
        <v>411</v>
      </c>
      <c r="C21" s="4" t="s">
        <v>413</v>
      </c>
      <c r="D21" s="3">
        <v>19</v>
      </c>
      <c r="E21" s="3" t="s">
        <v>16</v>
      </c>
      <c r="F21" s="3" t="s">
        <v>289</v>
      </c>
      <c r="G21" s="3" t="s">
        <v>23</v>
      </c>
      <c r="H21" s="3" t="s">
        <v>40</v>
      </c>
    </row>
    <row r="22" spans="1:8" x14ac:dyDescent="0.2">
      <c r="A22" s="3">
        <v>3080101002</v>
      </c>
      <c r="B22" s="4" t="s">
        <v>411</v>
      </c>
      <c r="C22" s="4" t="s">
        <v>413</v>
      </c>
      <c r="D22" s="3">
        <v>8</v>
      </c>
      <c r="E22" s="3" t="s">
        <v>16</v>
      </c>
      <c r="F22" s="3" t="s">
        <v>317</v>
      </c>
      <c r="G22" s="3" t="s">
        <v>318</v>
      </c>
      <c r="H22" s="3" t="s">
        <v>40</v>
      </c>
    </row>
    <row r="23" spans="1:8" x14ac:dyDescent="0.2">
      <c r="A23" s="3">
        <v>3080401064</v>
      </c>
      <c r="B23" s="4" t="s">
        <v>41</v>
      </c>
      <c r="C23" s="4" t="s">
        <v>414</v>
      </c>
      <c r="D23" s="3">
        <v>1</v>
      </c>
      <c r="E23" s="3" t="s">
        <v>16</v>
      </c>
      <c r="F23" s="3" t="s">
        <v>295</v>
      </c>
      <c r="G23" s="3" t="s">
        <v>17</v>
      </c>
      <c r="H23" s="3" t="s">
        <v>40</v>
      </c>
    </row>
    <row r="24" spans="1:8" x14ac:dyDescent="0.2">
      <c r="A24" s="3">
        <v>3080401014</v>
      </c>
      <c r="B24" s="4" t="s">
        <v>41</v>
      </c>
      <c r="C24" s="4" t="s">
        <v>417</v>
      </c>
      <c r="D24" s="3">
        <v>4</v>
      </c>
      <c r="E24" s="3" t="s">
        <v>16</v>
      </c>
      <c r="F24" s="3" t="s">
        <v>291</v>
      </c>
      <c r="G24" s="3" t="s">
        <v>26</v>
      </c>
      <c r="H24" s="3" t="s">
        <v>40</v>
      </c>
    </row>
    <row r="25" spans="1:8" x14ac:dyDescent="0.2">
      <c r="A25" s="3">
        <v>3080401016</v>
      </c>
      <c r="B25" s="4" t="s">
        <v>41</v>
      </c>
      <c r="C25" s="4" t="s">
        <v>415</v>
      </c>
      <c r="D25" s="3">
        <v>1</v>
      </c>
      <c r="E25" s="3" t="s">
        <v>16</v>
      </c>
      <c r="F25" s="3" t="s">
        <v>295</v>
      </c>
      <c r="G25" s="3" t="s">
        <v>17</v>
      </c>
      <c r="H25" s="3" t="s">
        <v>40</v>
      </c>
    </row>
    <row r="26" spans="1:8" x14ac:dyDescent="0.2">
      <c r="A26" s="3">
        <v>3080401007</v>
      </c>
      <c r="B26" s="4" t="s">
        <v>41</v>
      </c>
      <c r="C26" s="4" t="s">
        <v>416</v>
      </c>
      <c r="D26" s="3">
        <v>2</v>
      </c>
      <c r="E26" s="3" t="s">
        <v>16</v>
      </c>
      <c r="F26" s="3" t="s">
        <v>293</v>
      </c>
      <c r="G26" s="3" t="s">
        <v>29</v>
      </c>
      <c r="H26" s="3" t="s">
        <v>40</v>
      </c>
    </row>
    <row r="27" spans="1:8" x14ac:dyDescent="0.2">
      <c r="A27" s="3">
        <v>3080104018</v>
      </c>
      <c r="B27" s="4" t="s">
        <v>45</v>
      </c>
      <c r="C27" s="4" t="s">
        <v>418</v>
      </c>
      <c r="D27" s="3">
        <v>2</v>
      </c>
      <c r="E27" s="3" t="s">
        <v>16</v>
      </c>
      <c r="F27" s="3" t="s">
        <v>293</v>
      </c>
      <c r="G27" s="3" t="s">
        <v>29</v>
      </c>
      <c r="H27" s="3" t="s">
        <v>40</v>
      </c>
    </row>
    <row r="28" spans="1:8" x14ac:dyDescent="0.2">
      <c r="A28" s="3">
        <v>3080104099</v>
      </c>
      <c r="B28" s="4" t="s">
        <v>45</v>
      </c>
      <c r="C28" s="4" t="s">
        <v>419</v>
      </c>
      <c r="D28" s="3">
        <v>2</v>
      </c>
      <c r="E28" s="3" t="s">
        <v>16</v>
      </c>
      <c r="F28" s="3" t="s">
        <v>291</v>
      </c>
      <c r="G28" s="3" t="s">
        <v>26</v>
      </c>
      <c r="H28" s="3" t="s">
        <v>40</v>
      </c>
    </row>
    <row r="29" spans="1:8" x14ac:dyDescent="0.2">
      <c r="A29" s="3">
        <v>3080104073</v>
      </c>
      <c r="B29" s="4" t="s">
        <v>45</v>
      </c>
      <c r="C29" s="4" t="s">
        <v>1155</v>
      </c>
      <c r="D29" s="3">
        <v>3</v>
      </c>
      <c r="E29" s="3" t="s">
        <v>16</v>
      </c>
      <c r="F29" s="3" t="s">
        <v>289</v>
      </c>
      <c r="G29" s="3" t="s">
        <v>23</v>
      </c>
      <c r="H29" s="3" t="s">
        <v>40</v>
      </c>
    </row>
    <row r="30" spans="1:8" x14ac:dyDescent="0.2">
      <c r="A30" s="3">
        <v>3080105121</v>
      </c>
      <c r="B30" s="4" t="s">
        <v>50</v>
      </c>
      <c r="C30" s="4" t="s">
        <v>316</v>
      </c>
      <c r="D30" s="3">
        <v>2</v>
      </c>
      <c r="E30" s="3" t="s">
        <v>16</v>
      </c>
      <c r="F30" s="3" t="s">
        <v>317</v>
      </c>
      <c r="G30" s="3" t="s">
        <v>318</v>
      </c>
      <c r="H30" s="3" t="s">
        <v>40</v>
      </c>
    </row>
    <row r="31" spans="1:8" x14ac:dyDescent="0.2">
      <c r="A31" s="3">
        <v>3080105006</v>
      </c>
      <c r="B31" s="4" t="s">
        <v>50</v>
      </c>
      <c r="C31" s="4" t="s">
        <v>1157</v>
      </c>
      <c r="D31" s="3">
        <v>8</v>
      </c>
      <c r="E31" s="3" t="s">
        <v>16</v>
      </c>
      <c r="F31" s="3" t="s">
        <v>289</v>
      </c>
      <c r="G31" s="3" t="s">
        <v>23</v>
      </c>
      <c r="H31" s="3" t="s">
        <v>40</v>
      </c>
    </row>
    <row r="32" spans="1:8" x14ac:dyDescent="0.2">
      <c r="A32" s="3">
        <v>3080105015</v>
      </c>
      <c r="B32" s="4" t="s">
        <v>50</v>
      </c>
      <c r="C32" s="4" t="s">
        <v>422</v>
      </c>
      <c r="D32" s="3">
        <v>8</v>
      </c>
      <c r="E32" s="3" t="s">
        <v>16</v>
      </c>
      <c r="F32" s="3" t="s">
        <v>293</v>
      </c>
      <c r="G32" s="3" t="s">
        <v>29</v>
      </c>
      <c r="H32" s="3" t="s">
        <v>40</v>
      </c>
    </row>
    <row r="33" spans="1:8" x14ac:dyDescent="0.2">
      <c r="A33" s="3">
        <v>3080105014</v>
      </c>
      <c r="B33" s="4" t="s">
        <v>50</v>
      </c>
      <c r="C33" s="4" t="s">
        <v>1238</v>
      </c>
      <c r="D33" s="3">
        <v>2</v>
      </c>
      <c r="E33" s="3" t="s">
        <v>16</v>
      </c>
      <c r="F33" s="3" t="s">
        <v>289</v>
      </c>
      <c r="G33" s="3" t="s">
        <v>23</v>
      </c>
      <c r="H33" s="3" t="s">
        <v>40</v>
      </c>
    </row>
    <row r="34" spans="1:8" x14ac:dyDescent="0.2">
      <c r="A34" s="3">
        <v>3080105088</v>
      </c>
      <c r="B34" s="4" t="s">
        <v>50</v>
      </c>
      <c r="C34" s="4" t="s">
        <v>423</v>
      </c>
      <c r="D34" s="3">
        <v>2</v>
      </c>
      <c r="E34" s="3" t="s">
        <v>16</v>
      </c>
      <c r="F34" s="3" t="s">
        <v>293</v>
      </c>
      <c r="G34" s="3" t="s">
        <v>29</v>
      </c>
      <c r="H34" s="3" t="s">
        <v>40</v>
      </c>
    </row>
    <row r="35" spans="1:8" x14ac:dyDescent="0.2">
      <c r="A35" s="3">
        <v>3080104055</v>
      </c>
      <c r="B35" s="4" t="s">
        <v>50</v>
      </c>
      <c r="C35" s="4" t="s">
        <v>425</v>
      </c>
      <c r="D35" s="3">
        <v>2</v>
      </c>
      <c r="E35" s="3" t="s">
        <v>16</v>
      </c>
      <c r="F35" s="3" t="s">
        <v>291</v>
      </c>
      <c r="G35" s="3" t="s">
        <v>26</v>
      </c>
      <c r="H35" s="3" t="s">
        <v>40</v>
      </c>
    </row>
    <row r="36" spans="1:8" x14ac:dyDescent="0.2">
      <c r="A36" s="3">
        <v>3080105040</v>
      </c>
      <c r="B36" s="4" t="s">
        <v>50</v>
      </c>
      <c r="C36" s="4" t="s">
        <v>421</v>
      </c>
      <c r="D36" s="3">
        <v>2</v>
      </c>
      <c r="E36" s="3" t="s">
        <v>16</v>
      </c>
      <c r="F36" s="3" t="s">
        <v>291</v>
      </c>
      <c r="G36" s="3" t="s">
        <v>26</v>
      </c>
      <c r="H36" s="3" t="s">
        <v>40</v>
      </c>
    </row>
    <row r="37" spans="1:8" x14ac:dyDescent="0.2">
      <c r="A37" s="3">
        <v>3080105040</v>
      </c>
      <c r="B37" s="4" t="s">
        <v>50</v>
      </c>
      <c r="C37" s="4" t="s">
        <v>421</v>
      </c>
      <c r="D37" s="3">
        <v>14</v>
      </c>
      <c r="E37" s="3" t="s">
        <v>16</v>
      </c>
      <c r="F37" s="3" t="s">
        <v>293</v>
      </c>
      <c r="G37" s="3" t="s">
        <v>29</v>
      </c>
      <c r="H37" s="3" t="s">
        <v>40</v>
      </c>
    </row>
    <row r="38" spans="1:8" x14ac:dyDescent="0.2">
      <c r="A38" s="3">
        <v>3080105023</v>
      </c>
      <c r="B38" s="4" t="s">
        <v>50</v>
      </c>
      <c r="C38" s="4" t="s">
        <v>1159</v>
      </c>
      <c r="D38" s="3">
        <v>4</v>
      </c>
      <c r="E38" s="3" t="s">
        <v>16</v>
      </c>
      <c r="F38" s="3" t="s">
        <v>289</v>
      </c>
      <c r="G38" s="3" t="s">
        <v>23</v>
      </c>
      <c r="H38" s="3" t="s">
        <v>40</v>
      </c>
    </row>
    <row r="39" spans="1:8" x14ac:dyDescent="0.2">
      <c r="A39" s="3">
        <v>3080105008</v>
      </c>
      <c r="B39" s="4" t="s">
        <v>50</v>
      </c>
      <c r="C39" s="4" t="s">
        <v>424</v>
      </c>
      <c r="D39" s="3">
        <v>8</v>
      </c>
      <c r="E39" s="3" t="s">
        <v>16</v>
      </c>
      <c r="F39" s="3" t="s">
        <v>293</v>
      </c>
      <c r="G39" s="3" t="s">
        <v>29</v>
      </c>
      <c r="H39" s="3" t="s">
        <v>40</v>
      </c>
    </row>
    <row r="40" spans="1:8" x14ac:dyDescent="0.2">
      <c r="A40" s="3">
        <v>3080105051</v>
      </c>
      <c r="B40" s="4" t="s">
        <v>50</v>
      </c>
      <c r="C40" s="4" t="s">
        <v>1300</v>
      </c>
      <c r="D40" s="3">
        <v>2</v>
      </c>
      <c r="E40" s="3" t="s">
        <v>16</v>
      </c>
      <c r="F40" s="3" t="s">
        <v>317</v>
      </c>
      <c r="G40" s="3" t="s">
        <v>318</v>
      </c>
      <c r="H40" s="3" t="s">
        <v>40</v>
      </c>
    </row>
    <row r="41" spans="1:8" x14ac:dyDescent="0.2">
      <c r="A41" s="3">
        <v>3080502004</v>
      </c>
      <c r="B41" s="4" t="s">
        <v>55</v>
      </c>
      <c r="C41" s="4" t="s">
        <v>1239</v>
      </c>
      <c r="D41" s="3">
        <v>2</v>
      </c>
      <c r="E41" s="3" t="s">
        <v>16</v>
      </c>
      <c r="F41" s="3" t="s">
        <v>291</v>
      </c>
      <c r="G41" s="3" t="s">
        <v>26</v>
      </c>
      <c r="H41" s="3" t="s">
        <v>40</v>
      </c>
    </row>
    <row r="42" spans="1:8" x14ac:dyDescent="0.2">
      <c r="A42" s="3">
        <v>3080201005</v>
      </c>
      <c r="B42" s="4" t="s">
        <v>60</v>
      </c>
      <c r="C42" s="4" t="s">
        <v>427</v>
      </c>
      <c r="D42" s="3">
        <v>1</v>
      </c>
      <c r="E42" s="3" t="s">
        <v>16</v>
      </c>
      <c r="F42" s="3" t="s">
        <v>291</v>
      </c>
      <c r="G42" s="3" t="s">
        <v>26</v>
      </c>
      <c r="H42" s="3" t="s">
        <v>40</v>
      </c>
    </row>
    <row r="43" spans="1:8" x14ac:dyDescent="0.2">
      <c r="A43" s="3">
        <v>3080201006</v>
      </c>
      <c r="B43" s="4" t="s">
        <v>60</v>
      </c>
      <c r="C43" s="4" t="s">
        <v>428</v>
      </c>
      <c r="D43" s="3">
        <v>1</v>
      </c>
      <c r="E43" s="3" t="s">
        <v>16</v>
      </c>
      <c r="F43" s="3" t="s">
        <v>291</v>
      </c>
      <c r="G43" s="3" t="s">
        <v>26</v>
      </c>
      <c r="H43" s="3" t="s">
        <v>40</v>
      </c>
    </row>
    <row r="44" spans="1:8" x14ac:dyDescent="0.2">
      <c r="A44" s="3">
        <v>3080107308</v>
      </c>
      <c r="B44" s="4" t="s">
        <v>69</v>
      </c>
      <c r="C44" s="4" t="s">
        <v>433</v>
      </c>
      <c r="D44" s="3">
        <v>2</v>
      </c>
      <c r="E44" s="3" t="s">
        <v>16</v>
      </c>
      <c r="F44" s="3" t="s">
        <v>291</v>
      </c>
      <c r="G44" s="3" t="s">
        <v>26</v>
      </c>
      <c r="H44" s="3" t="s">
        <v>40</v>
      </c>
    </row>
    <row r="45" spans="1:8" x14ac:dyDescent="0.2">
      <c r="A45" s="3">
        <v>3080107306</v>
      </c>
      <c r="B45" s="4" t="s">
        <v>69</v>
      </c>
      <c r="C45" s="4" t="s">
        <v>1240</v>
      </c>
      <c r="D45" s="3">
        <v>2</v>
      </c>
      <c r="E45" s="3" t="s">
        <v>16</v>
      </c>
      <c r="F45" s="3" t="s">
        <v>291</v>
      </c>
      <c r="G45" s="3" t="s">
        <v>26</v>
      </c>
      <c r="H45" s="3" t="s">
        <v>40</v>
      </c>
    </row>
    <row r="46" spans="1:8" x14ac:dyDescent="0.2">
      <c r="A46" s="3">
        <v>3080107271</v>
      </c>
      <c r="B46" s="4" t="s">
        <v>69</v>
      </c>
      <c r="C46" s="4" t="s">
        <v>1161</v>
      </c>
      <c r="D46" s="3">
        <v>2</v>
      </c>
      <c r="E46" s="3" t="s">
        <v>16</v>
      </c>
      <c r="F46" s="3" t="s">
        <v>289</v>
      </c>
      <c r="G46" s="3" t="s">
        <v>23</v>
      </c>
      <c r="H46" s="3" t="s">
        <v>40</v>
      </c>
    </row>
    <row r="47" spans="1:8" x14ac:dyDescent="0.2">
      <c r="A47" s="3">
        <v>3080107034</v>
      </c>
      <c r="B47" s="4" t="s">
        <v>69</v>
      </c>
      <c r="C47" s="4" t="s">
        <v>429</v>
      </c>
      <c r="D47" s="3">
        <v>2</v>
      </c>
      <c r="E47" s="3" t="s">
        <v>16</v>
      </c>
      <c r="F47" s="3" t="s">
        <v>295</v>
      </c>
      <c r="G47" s="3" t="s">
        <v>17</v>
      </c>
      <c r="H47" s="3" t="s">
        <v>40</v>
      </c>
    </row>
    <row r="48" spans="1:8" x14ac:dyDescent="0.2">
      <c r="A48" s="3">
        <v>3080107160</v>
      </c>
      <c r="B48" s="4" t="s">
        <v>69</v>
      </c>
      <c r="C48" s="4" t="s">
        <v>432</v>
      </c>
      <c r="D48" s="3">
        <v>4</v>
      </c>
      <c r="E48" s="3" t="s">
        <v>16</v>
      </c>
      <c r="F48" s="3" t="s">
        <v>293</v>
      </c>
      <c r="G48" s="3" t="s">
        <v>29</v>
      </c>
      <c r="H48" s="3" t="s">
        <v>40</v>
      </c>
    </row>
    <row r="49" spans="1:8" x14ac:dyDescent="0.2">
      <c r="A49" s="3">
        <v>3080107072</v>
      </c>
      <c r="B49" s="4" t="s">
        <v>69</v>
      </c>
      <c r="C49" s="4" t="s">
        <v>435</v>
      </c>
      <c r="D49" s="3">
        <v>4</v>
      </c>
      <c r="E49" s="3" t="s">
        <v>16</v>
      </c>
      <c r="F49" s="3" t="s">
        <v>291</v>
      </c>
      <c r="G49" s="3" t="s">
        <v>26</v>
      </c>
      <c r="H49" s="3" t="s">
        <v>40</v>
      </c>
    </row>
    <row r="50" spans="1:8" x14ac:dyDescent="0.2">
      <c r="A50" s="3">
        <v>3080107094</v>
      </c>
      <c r="B50" s="4" t="s">
        <v>69</v>
      </c>
      <c r="C50" s="4" t="s">
        <v>436</v>
      </c>
      <c r="D50" s="3">
        <v>2</v>
      </c>
      <c r="E50" s="3" t="s">
        <v>16</v>
      </c>
      <c r="F50" s="3" t="s">
        <v>291</v>
      </c>
      <c r="G50" s="3" t="s">
        <v>26</v>
      </c>
      <c r="H50" s="3" t="s">
        <v>40</v>
      </c>
    </row>
    <row r="51" spans="1:8" x14ac:dyDescent="0.2">
      <c r="A51" s="3">
        <v>3080107034</v>
      </c>
      <c r="B51" s="4" t="s">
        <v>69</v>
      </c>
      <c r="C51" s="4" t="s">
        <v>429</v>
      </c>
      <c r="D51" s="3">
        <v>6</v>
      </c>
      <c r="E51" s="3" t="s">
        <v>16</v>
      </c>
      <c r="F51" s="3" t="s">
        <v>295</v>
      </c>
      <c r="G51" s="3" t="s">
        <v>17</v>
      </c>
      <c r="H51" s="3" t="s">
        <v>40</v>
      </c>
    </row>
    <row r="52" spans="1:8" x14ac:dyDescent="0.2">
      <c r="A52" s="3">
        <v>3080107002</v>
      </c>
      <c r="B52" s="4" t="s">
        <v>69</v>
      </c>
      <c r="C52" s="4" t="s">
        <v>430</v>
      </c>
      <c r="D52" s="3">
        <v>4</v>
      </c>
      <c r="E52" s="3" t="s">
        <v>16</v>
      </c>
      <c r="F52" s="3" t="s">
        <v>295</v>
      </c>
      <c r="G52" s="3" t="s">
        <v>17</v>
      </c>
      <c r="H52" s="3" t="s">
        <v>40</v>
      </c>
    </row>
    <row r="53" spans="1:8" x14ac:dyDescent="0.2">
      <c r="A53" s="3">
        <v>3080107052</v>
      </c>
      <c r="B53" s="4" t="s">
        <v>69</v>
      </c>
      <c r="C53" s="4" t="s">
        <v>431</v>
      </c>
      <c r="D53" s="3">
        <v>1</v>
      </c>
      <c r="E53" s="3" t="s">
        <v>16</v>
      </c>
      <c r="F53" s="3" t="s">
        <v>295</v>
      </c>
      <c r="G53" s="3" t="s">
        <v>17</v>
      </c>
      <c r="H53" s="3" t="s">
        <v>40</v>
      </c>
    </row>
    <row r="54" spans="1:8" x14ac:dyDescent="0.2">
      <c r="A54" s="3">
        <v>3080107092</v>
      </c>
      <c r="B54" s="4" t="s">
        <v>69</v>
      </c>
      <c r="C54" s="4" t="s">
        <v>1162</v>
      </c>
      <c r="D54" s="3">
        <v>4</v>
      </c>
      <c r="E54" s="3" t="s">
        <v>16</v>
      </c>
      <c r="F54" s="3" t="s">
        <v>289</v>
      </c>
      <c r="G54" s="3" t="s">
        <v>23</v>
      </c>
      <c r="H54" s="3" t="s">
        <v>40</v>
      </c>
    </row>
    <row r="55" spans="1:8" x14ac:dyDescent="0.2">
      <c r="A55" s="3">
        <v>3080108052</v>
      </c>
      <c r="B55" s="4" t="s">
        <v>77</v>
      </c>
      <c r="C55" s="4" t="s">
        <v>1164</v>
      </c>
      <c r="D55" s="3">
        <v>1</v>
      </c>
      <c r="E55" s="3" t="s">
        <v>16</v>
      </c>
      <c r="F55" s="3" t="s">
        <v>289</v>
      </c>
      <c r="G55" s="3" t="s">
        <v>23</v>
      </c>
      <c r="H55" s="3" t="s">
        <v>40</v>
      </c>
    </row>
    <row r="56" spans="1:8" x14ac:dyDescent="0.2">
      <c r="A56" s="3">
        <v>3080101008</v>
      </c>
      <c r="B56" s="4" t="s">
        <v>77</v>
      </c>
      <c r="C56" s="4" t="s">
        <v>1165</v>
      </c>
      <c r="D56" s="3">
        <v>4</v>
      </c>
      <c r="E56" s="3" t="s">
        <v>16</v>
      </c>
      <c r="F56" s="3" t="s">
        <v>289</v>
      </c>
      <c r="G56" s="3" t="s">
        <v>23</v>
      </c>
      <c r="H56" s="3" t="s">
        <v>40</v>
      </c>
    </row>
    <row r="57" spans="1:8" x14ac:dyDescent="0.2">
      <c r="A57" s="3">
        <v>3080108033</v>
      </c>
      <c r="B57" s="4" t="s">
        <v>77</v>
      </c>
      <c r="C57" s="4" t="s">
        <v>438</v>
      </c>
      <c r="D57" s="3">
        <v>4</v>
      </c>
      <c r="E57" s="3" t="s">
        <v>16</v>
      </c>
      <c r="F57" s="3" t="s">
        <v>291</v>
      </c>
      <c r="G57" s="3" t="s">
        <v>26</v>
      </c>
      <c r="H57" s="3" t="s">
        <v>40</v>
      </c>
    </row>
    <row r="58" spans="1:8" x14ac:dyDescent="0.2">
      <c r="A58" s="3">
        <v>3080108025</v>
      </c>
      <c r="B58" s="4" t="s">
        <v>77</v>
      </c>
      <c r="C58" s="4" t="s">
        <v>437</v>
      </c>
      <c r="D58" s="3">
        <v>7</v>
      </c>
      <c r="E58" s="3" t="s">
        <v>16</v>
      </c>
      <c r="F58" s="3" t="s">
        <v>295</v>
      </c>
      <c r="G58" s="3" t="s">
        <v>17</v>
      </c>
      <c r="H58" s="3" t="s">
        <v>40</v>
      </c>
    </row>
    <row r="59" spans="1:8" x14ac:dyDescent="0.2">
      <c r="A59" s="3">
        <v>3080108040</v>
      </c>
      <c r="B59" s="4" t="s">
        <v>77</v>
      </c>
      <c r="C59" s="4" t="s">
        <v>1166</v>
      </c>
      <c r="D59" s="3">
        <v>2</v>
      </c>
      <c r="E59" s="3" t="s">
        <v>16</v>
      </c>
      <c r="F59" s="3" t="s">
        <v>289</v>
      </c>
      <c r="G59" s="3" t="s">
        <v>23</v>
      </c>
      <c r="H59" s="3" t="s">
        <v>40</v>
      </c>
    </row>
    <row r="60" spans="1:8" x14ac:dyDescent="0.2">
      <c r="A60" s="3">
        <v>3080403001</v>
      </c>
      <c r="B60" s="4" t="s">
        <v>439</v>
      </c>
      <c r="C60" s="4" t="s">
        <v>440</v>
      </c>
      <c r="D60" s="3">
        <v>1</v>
      </c>
      <c r="E60" s="3" t="s">
        <v>16</v>
      </c>
      <c r="F60" s="3" t="s">
        <v>295</v>
      </c>
      <c r="G60" s="3" t="s">
        <v>17</v>
      </c>
      <c r="H60" s="3" t="s">
        <v>40</v>
      </c>
    </row>
    <row r="61" spans="1:8" x14ac:dyDescent="0.2">
      <c r="A61" s="3">
        <v>3080109002</v>
      </c>
      <c r="B61" s="4" t="s">
        <v>441</v>
      </c>
      <c r="C61" s="4" t="s">
        <v>442</v>
      </c>
      <c r="D61" s="3">
        <v>2</v>
      </c>
      <c r="E61" s="3" t="s">
        <v>16</v>
      </c>
      <c r="F61" s="3" t="s">
        <v>295</v>
      </c>
      <c r="G61" s="3" t="s">
        <v>17</v>
      </c>
      <c r="H61" s="3" t="s">
        <v>40</v>
      </c>
    </row>
    <row r="62" spans="1:8" x14ac:dyDescent="0.2">
      <c r="A62" s="3">
        <v>3080111087</v>
      </c>
      <c r="B62" s="4" t="s">
        <v>79</v>
      </c>
      <c r="C62" s="4" t="s">
        <v>80</v>
      </c>
      <c r="D62" s="3">
        <v>15</v>
      </c>
      <c r="E62" s="3" t="s">
        <v>16</v>
      </c>
      <c r="F62" s="3" t="s">
        <v>291</v>
      </c>
      <c r="G62" s="3" t="s">
        <v>26</v>
      </c>
      <c r="H62" s="3" t="s">
        <v>40</v>
      </c>
    </row>
    <row r="63" spans="1:8" x14ac:dyDescent="0.2">
      <c r="A63" s="3">
        <v>3080111087</v>
      </c>
      <c r="B63" s="4" t="s">
        <v>79</v>
      </c>
      <c r="C63" s="4" t="s">
        <v>80</v>
      </c>
      <c r="D63" s="3">
        <v>1</v>
      </c>
      <c r="E63" s="3" t="s">
        <v>16</v>
      </c>
      <c r="F63" s="3" t="s">
        <v>291</v>
      </c>
      <c r="G63" s="3" t="s">
        <v>26</v>
      </c>
      <c r="H63" s="3" t="s">
        <v>40</v>
      </c>
    </row>
    <row r="64" spans="1:8" x14ac:dyDescent="0.2">
      <c r="A64" s="3">
        <v>3080111015</v>
      </c>
      <c r="B64" s="4" t="s">
        <v>79</v>
      </c>
      <c r="C64" s="4" t="s">
        <v>446</v>
      </c>
      <c r="D64" s="3">
        <v>4</v>
      </c>
      <c r="E64" s="3" t="s">
        <v>16</v>
      </c>
      <c r="F64" s="3" t="s">
        <v>291</v>
      </c>
      <c r="G64" s="3" t="s">
        <v>26</v>
      </c>
      <c r="H64" s="3" t="s">
        <v>40</v>
      </c>
    </row>
    <row r="65" spans="1:8" x14ac:dyDescent="0.2">
      <c r="A65" s="3">
        <v>3080111012</v>
      </c>
      <c r="B65" s="4" t="s">
        <v>79</v>
      </c>
      <c r="C65" s="4" t="s">
        <v>443</v>
      </c>
      <c r="D65" s="3">
        <v>2</v>
      </c>
      <c r="E65" s="3" t="s">
        <v>16</v>
      </c>
      <c r="F65" s="3" t="s">
        <v>295</v>
      </c>
      <c r="G65" s="3" t="s">
        <v>17</v>
      </c>
      <c r="H65" s="3" t="s">
        <v>40</v>
      </c>
    </row>
    <row r="66" spans="1:8" x14ac:dyDescent="0.2">
      <c r="A66" s="3">
        <v>3080111006</v>
      </c>
      <c r="B66" s="4" t="s">
        <v>79</v>
      </c>
      <c r="C66" s="4" t="s">
        <v>444</v>
      </c>
      <c r="D66" s="3">
        <v>1</v>
      </c>
      <c r="E66" s="3" t="s">
        <v>16</v>
      </c>
      <c r="F66" s="3" t="s">
        <v>295</v>
      </c>
      <c r="G66" s="3" t="s">
        <v>17</v>
      </c>
      <c r="H66" s="3" t="s">
        <v>40</v>
      </c>
    </row>
    <row r="67" spans="1:8" x14ac:dyDescent="0.2">
      <c r="A67" s="3">
        <v>3080111004</v>
      </c>
      <c r="B67" s="4" t="s">
        <v>79</v>
      </c>
      <c r="C67" s="4" t="s">
        <v>445</v>
      </c>
      <c r="D67" s="3">
        <v>2</v>
      </c>
      <c r="E67" s="3" t="s">
        <v>16</v>
      </c>
      <c r="F67" s="3" t="s">
        <v>293</v>
      </c>
      <c r="G67" s="3" t="s">
        <v>29</v>
      </c>
      <c r="H67" s="3" t="s">
        <v>40</v>
      </c>
    </row>
    <row r="68" spans="1:8" x14ac:dyDescent="0.2">
      <c r="A68" s="3">
        <v>407030052</v>
      </c>
      <c r="B68" s="4" t="s">
        <v>81</v>
      </c>
      <c r="C68" s="4" t="s">
        <v>1241</v>
      </c>
      <c r="D68" s="3">
        <v>1</v>
      </c>
      <c r="E68" s="3" t="s">
        <v>16</v>
      </c>
      <c r="F68" s="3" t="s">
        <v>301</v>
      </c>
      <c r="G68" s="3" t="s">
        <v>32</v>
      </c>
      <c r="H68" s="3" t="s">
        <v>40</v>
      </c>
    </row>
    <row r="69" spans="1:8" x14ac:dyDescent="0.2">
      <c r="A69" s="3">
        <v>3099991005</v>
      </c>
      <c r="B69" s="4" t="s">
        <v>878</v>
      </c>
      <c r="C69" s="4" t="s">
        <v>1258</v>
      </c>
      <c r="D69" s="3">
        <v>1</v>
      </c>
      <c r="E69" s="3" t="s">
        <v>16</v>
      </c>
      <c r="F69" s="3" t="s">
        <v>317</v>
      </c>
      <c r="G69" s="3" t="s">
        <v>318</v>
      </c>
      <c r="H69" s="3" t="s">
        <v>103</v>
      </c>
    </row>
    <row r="70" spans="1:8" x14ac:dyDescent="0.2">
      <c r="A70" s="3">
        <v>3099990213</v>
      </c>
      <c r="B70" s="4" t="s">
        <v>1902</v>
      </c>
      <c r="C70" s="4" t="s">
        <v>1985</v>
      </c>
      <c r="D70" s="3">
        <v>1</v>
      </c>
      <c r="E70" s="3" t="s">
        <v>16</v>
      </c>
      <c r="F70" s="3" t="s">
        <v>299</v>
      </c>
      <c r="G70" s="3" t="s">
        <v>106</v>
      </c>
      <c r="H70" s="3" t="s">
        <v>103</v>
      </c>
    </row>
    <row r="71" spans="1:8" x14ac:dyDescent="0.2">
      <c r="A71" s="3">
        <v>402010065</v>
      </c>
      <c r="B71" s="4" t="s">
        <v>882</v>
      </c>
      <c r="C71" s="4" t="s">
        <v>1927</v>
      </c>
      <c r="D71" s="3">
        <v>1</v>
      </c>
      <c r="E71" s="3" t="s">
        <v>16</v>
      </c>
      <c r="F71" s="3" t="s">
        <v>291</v>
      </c>
      <c r="G71" s="3" t="s">
        <v>26</v>
      </c>
      <c r="H71" s="3" t="s">
        <v>109</v>
      </c>
    </row>
    <row r="72" spans="1:8" x14ac:dyDescent="0.2">
      <c r="A72" s="3">
        <v>402030016</v>
      </c>
      <c r="B72" s="4" t="s">
        <v>107</v>
      </c>
      <c r="C72" s="4" t="s">
        <v>1259</v>
      </c>
      <c r="D72" s="3">
        <v>1</v>
      </c>
      <c r="E72" s="3" t="s">
        <v>16</v>
      </c>
      <c r="F72" s="3" t="s">
        <v>317</v>
      </c>
      <c r="G72" s="3" t="s">
        <v>318</v>
      </c>
      <c r="H72" s="3" t="s">
        <v>109</v>
      </c>
    </row>
    <row r="73" spans="1:8" x14ac:dyDescent="0.2">
      <c r="A73" s="3">
        <v>402030026</v>
      </c>
      <c r="B73" s="4" t="s">
        <v>107</v>
      </c>
      <c r="C73" s="4" t="s">
        <v>1171</v>
      </c>
      <c r="D73" s="3">
        <v>1</v>
      </c>
      <c r="E73" s="3" t="s">
        <v>16</v>
      </c>
      <c r="F73" s="3" t="s">
        <v>289</v>
      </c>
      <c r="G73" s="3" t="s">
        <v>23</v>
      </c>
      <c r="H73" s="3" t="s">
        <v>109</v>
      </c>
    </row>
    <row r="74" spans="1:8" x14ac:dyDescent="0.2">
      <c r="A74" s="3">
        <v>402020002</v>
      </c>
      <c r="B74" s="4" t="s">
        <v>111</v>
      </c>
      <c r="C74" s="4" t="s">
        <v>452</v>
      </c>
      <c r="D74" s="3">
        <v>2</v>
      </c>
      <c r="E74" s="3" t="s">
        <v>16</v>
      </c>
      <c r="F74" s="3" t="s">
        <v>293</v>
      </c>
      <c r="G74" s="3" t="s">
        <v>29</v>
      </c>
      <c r="H74" s="3" t="s">
        <v>109</v>
      </c>
    </row>
    <row r="75" spans="1:8" x14ac:dyDescent="0.2">
      <c r="A75" s="3">
        <v>3060209002</v>
      </c>
      <c r="B75" s="4" t="s">
        <v>113</v>
      </c>
      <c r="C75" s="4" t="s">
        <v>114</v>
      </c>
      <c r="D75" s="3">
        <v>2</v>
      </c>
      <c r="E75" s="3" t="s">
        <v>16</v>
      </c>
      <c r="F75" s="3" t="s">
        <v>289</v>
      </c>
      <c r="G75" s="3" t="s">
        <v>23</v>
      </c>
      <c r="H75" s="3" t="s">
        <v>115</v>
      </c>
    </row>
    <row r="76" spans="1:8" x14ac:dyDescent="0.2">
      <c r="A76" s="3">
        <v>3040216001</v>
      </c>
      <c r="B76" s="4" t="s">
        <v>328</v>
      </c>
      <c r="C76" s="4" t="s">
        <v>329</v>
      </c>
      <c r="D76" s="3">
        <v>4</v>
      </c>
      <c r="E76" s="3" t="s">
        <v>16</v>
      </c>
      <c r="F76" s="3" t="s">
        <v>293</v>
      </c>
      <c r="G76" s="3" t="s">
        <v>29</v>
      </c>
      <c r="H76" s="3" t="s">
        <v>115</v>
      </c>
    </row>
    <row r="77" spans="1:8" x14ac:dyDescent="0.2">
      <c r="A77" s="3">
        <v>3030204017</v>
      </c>
      <c r="B77" s="4" t="s">
        <v>453</v>
      </c>
      <c r="C77" s="4" t="s">
        <v>454</v>
      </c>
      <c r="D77" s="3">
        <v>1</v>
      </c>
      <c r="E77" s="3" t="s">
        <v>16</v>
      </c>
      <c r="F77" s="3" t="s">
        <v>295</v>
      </c>
      <c r="G77" s="3" t="s">
        <v>17</v>
      </c>
      <c r="H77" s="3" t="s">
        <v>115</v>
      </c>
    </row>
    <row r="78" spans="1:8" x14ac:dyDescent="0.2">
      <c r="A78" s="3">
        <v>3030204005</v>
      </c>
      <c r="B78" s="4" t="s">
        <v>455</v>
      </c>
      <c r="C78" s="4" t="s">
        <v>456</v>
      </c>
      <c r="D78" s="3">
        <v>1</v>
      </c>
      <c r="E78" s="3" t="s">
        <v>16</v>
      </c>
      <c r="F78" s="3" t="s">
        <v>295</v>
      </c>
      <c r="G78" s="3" t="s">
        <v>17</v>
      </c>
      <c r="H78" s="3" t="s">
        <v>115</v>
      </c>
    </row>
    <row r="79" spans="1:8" x14ac:dyDescent="0.2">
      <c r="A79" s="3">
        <v>3050203003</v>
      </c>
      <c r="B79" s="4" t="s">
        <v>120</v>
      </c>
      <c r="C79" s="4" t="s">
        <v>457</v>
      </c>
      <c r="D79" s="3">
        <v>2</v>
      </c>
      <c r="E79" s="3" t="s">
        <v>16</v>
      </c>
      <c r="F79" s="3" t="s">
        <v>291</v>
      </c>
      <c r="G79" s="3" t="s">
        <v>26</v>
      </c>
      <c r="H79" s="3" t="s">
        <v>115</v>
      </c>
    </row>
    <row r="80" spans="1:8" x14ac:dyDescent="0.2">
      <c r="A80" s="3">
        <v>3030204008</v>
      </c>
      <c r="B80" s="4" t="s">
        <v>122</v>
      </c>
      <c r="C80" s="4" t="s">
        <v>123</v>
      </c>
      <c r="D80" s="3">
        <v>1</v>
      </c>
      <c r="E80" s="3" t="s">
        <v>16</v>
      </c>
      <c r="F80" s="3" t="s">
        <v>291</v>
      </c>
      <c r="G80" s="3" t="s">
        <v>26</v>
      </c>
      <c r="H80" s="3" t="s">
        <v>115</v>
      </c>
    </row>
    <row r="81" spans="1:8" x14ac:dyDescent="0.2">
      <c r="A81" s="3">
        <v>3070104005</v>
      </c>
      <c r="B81" s="4" t="s">
        <v>128</v>
      </c>
      <c r="C81" s="4" t="s">
        <v>330</v>
      </c>
      <c r="D81" s="3">
        <v>1</v>
      </c>
      <c r="E81" s="3" t="s">
        <v>16</v>
      </c>
      <c r="F81" s="3" t="s">
        <v>317</v>
      </c>
      <c r="G81" s="3" t="s">
        <v>318</v>
      </c>
      <c r="H81" s="3" t="s">
        <v>115</v>
      </c>
    </row>
    <row r="82" spans="1:8" x14ac:dyDescent="0.2">
      <c r="A82" s="3">
        <v>3030206001</v>
      </c>
      <c r="B82" s="4" t="s">
        <v>458</v>
      </c>
      <c r="C82" s="4" t="s">
        <v>404</v>
      </c>
      <c r="D82" s="3">
        <v>1</v>
      </c>
      <c r="E82" s="3" t="s">
        <v>16</v>
      </c>
      <c r="F82" s="3" t="s">
        <v>295</v>
      </c>
      <c r="G82" s="3" t="s">
        <v>17</v>
      </c>
      <c r="H82" s="3" t="s">
        <v>132</v>
      </c>
    </row>
    <row r="83" spans="1:8" x14ac:dyDescent="0.2">
      <c r="A83" s="3">
        <v>404020082</v>
      </c>
      <c r="B83" s="4" t="s">
        <v>30</v>
      </c>
      <c r="C83" s="4" t="s">
        <v>1260</v>
      </c>
      <c r="D83" s="3">
        <v>1</v>
      </c>
      <c r="E83" s="3" t="s">
        <v>16</v>
      </c>
      <c r="F83" s="3" t="s">
        <v>301</v>
      </c>
      <c r="G83" s="3" t="s">
        <v>32</v>
      </c>
      <c r="H83" s="3" t="s">
        <v>134</v>
      </c>
    </row>
    <row r="84" spans="1:8" x14ac:dyDescent="0.2">
      <c r="A84" s="3">
        <v>401020109</v>
      </c>
      <c r="B84" s="4" t="s">
        <v>35</v>
      </c>
      <c r="C84" s="4" t="s">
        <v>1172</v>
      </c>
      <c r="D84" s="3">
        <v>1</v>
      </c>
      <c r="E84" s="3" t="s">
        <v>16</v>
      </c>
      <c r="F84" s="3" t="s">
        <v>291</v>
      </c>
      <c r="G84" s="3" t="s">
        <v>26</v>
      </c>
      <c r="H84" s="3" t="s">
        <v>134</v>
      </c>
    </row>
    <row r="85" spans="1:8" x14ac:dyDescent="0.2">
      <c r="A85" s="3">
        <v>3040502053</v>
      </c>
      <c r="B85" s="4" t="s">
        <v>136</v>
      </c>
      <c r="C85" s="4" t="s">
        <v>1117</v>
      </c>
      <c r="D85" s="3">
        <v>1</v>
      </c>
      <c r="E85" s="3" t="s">
        <v>16</v>
      </c>
      <c r="F85" s="3" t="s">
        <v>293</v>
      </c>
      <c r="G85" s="3" t="s">
        <v>29</v>
      </c>
      <c r="H85" s="3" t="s">
        <v>138</v>
      </c>
    </row>
    <row r="86" spans="1:8" x14ac:dyDescent="0.2">
      <c r="A86" s="3">
        <v>3040502052</v>
      </c>
      <c r="B86" s="4" t="s">
        <v>136</v>
      </c>
      <c r="C86" s="4" t="s">
        <v>1118</v>
      </c>
      <c r="D86" s="3">
        <v>1</v>
      </c>
      <c r="E86" s="3" t="s">
        <v>16</v>
      </c>
      <c r="F86" s="3" t="s">
        <v>293</v>
      </c>
      <c r="G86" s="3" t="s">
        <v>29</v>
      </c>
      <c r="H86" s="3" t="s">
        <v>138</v>
      </c>
    </row>
    <row r="87" spans="1:8" x14ac:dyDescent="0.2">
      <c r="A87" s="3">
        <v>3110207001</v>
      </c>
      <c r="B87" s="4" t="s">
        <v>140</v>
      </c>
      <c r="C87" s="4" t="s">
        <v>1173</v>
      </c>
      <c r="D87" s="3">
        <v>1</v>
      </c>
      <c r="E87" s="3" t="s">
        <v>16</v>
      </c>
      <c r="F87" s="3" t="s">
        <v>285</v>
      </c>
      <c r="G87" s="3" t="s">
        <v>142</v>
      </c>
      <c r="H87" s="3" t="s">
        <v>143</v>
      </c>
    </row>
    <row r="88" spans="1:8" x14ac:dyDescent="0.2">
      <c r="A88" s="3">
        <v>3030301005</v>
      </c>
      <c r="B88" s="4" t="s">
        <v>144</v>
      </c>
      <c r="C88" s="4" t="s">
        <v>145</v>
      </c>
      <c r="D88" s="3">
        <v>2</v>
      </c>
      <c r="E88" s="3" t="s">
        <v>16</v>
      </c>
      <c r="F88" s="3" t="s">
        <v>291</v>
      </c>
      <c r="G88" s="3" t="s">
        <v>26</v>
      </c>
      <c r="H88" s="3" t="s">
        <v>143</v>
      </c>
    </row>
    <row r="89" spans="1:8" x14ac:dyDescent="0.2">
      <c r="A89" s="3">
        <v>3110204002</v>
      </c>
      <c r="B89" s="4" t="s">
        <v>333</v>
      </c>
      <c r="C89" s="4" t="s">
        <v>1261</v>
      </c>
      <c r="D89" s="3">
        <v>1</v>
      </c>
      <c r="E89" s="3" t="s">
        <v>16</v>
      </c>
      <c r="F89" s="3" t="s">
        <v>335</v>
      </c>
      <c r="G89" s="3" t="s">
        <v>336</v>
      </c>
      <c r="H89" s="3" t="s">
        <v>143</v>
      </c>
    </row>
    <row r="90" spans="1:8" x14ac:dyDescent="0.2">
      <c r="A90" s="3">
        <v>3110206001</v>
      </c>
      <c r="B90" s="4" t="s">
        <v>715</v>
      </c>
      <c r="C90" s="4" t="s">
        <v>1175</v>
      </c>
      <c r="D90" s="3">
        <v>1</v>
      </c>
      <c r="E90" s="3" t="s">
        <v>16</v>
      </c>
      <c r="F90" s="3" t="s">
        <v>285</v>
      </c>
      <c r="G90" s="3" t="s">
        <v>142</v>
      </c>
      <c r="H90" s="3" t="s">
        <v>143</v>
      </c>
    </row>
    <row r="91" spans="1:8" x14ac:dyDescent="0.2">
      <c r="A91" s="3">
        <v>408090008</v>
      </c>
      <c r="B91" s="4" t="s">
        <v>461</v>
      </c>
      <c r="C91" s="4" t="s">
        <v>462</v>
      </c>
      <c r="D91" s="3">
        <v>1</v>
      </c>
      <c r="E91" s="3" t="s">
        <v>16</v>
      </c>
      <c r="F91" s="3" t="s">
        <v>293</v>
      </c>
      <c r="G91" s="3" t="s">
        <v>29</v>
      </c>
      <c r="H91" s="3" t="s">
        <v>151</v>
      </c>
    </row>
    <row r="92" spans="1:8" x14ac:dyDescent="0.2">
      <c r="A92" s="3">
        <v>408090007</v>
      </c>
      <c r="B92" s="4" t="s">
        <v>463</v>
      </c>
      <c r="C92" s="4" t="s">
        <v>464</v>
      </c>
      <c r="D92" s="3">
        <v>1</v>
      </c>
      <c r="E92" s="3" t="s">
        <v>16</v>
      </c>
      <c r="F92" s="3" t="s">
        <v>293</v>
      </c>
      <c r="G92" s="3" t="s">
        <v>29</v>
      </c>
      <c r="H92" s="3" t="s">
        <v>151</v>
      </c>
    </row>
    <row r="93" spans="1:8" x14ac:dyDescent="0.2">
      <c r="A93" s="3">
        <v>3060204002</v>
      </c>
      <c r="B93" s="4" t="s">
        <v>1176</v>
      </c>
      <c r="C93" s="4" t="s">
        <v>1177</v>
      </c>
      <c r="D93" s="3">
        <v>1</v>
      </c>
      <c r="E93" s="3" t="s">
        <v>16</v>
      </c>
      <c r="F93" s="3" t="s">
        <v>289</v>
      </c>
      <c r="G93" s="3" t="s">
        <v>23</v>
      </c>
      <c r="H93" s="3" t="s">
        <v>154</v>
      </c>
    </row>
    <row r="94" spans="1:8" x14ac:dyDescent="0.2">
      <c r="A94" s="3">
        <v>3060206002</v>
      </c>
      <c r="B94" s="4" t="s">
        <v>1178</v>
      </c>
      <c r="C94" s="4" t="s">
        <v>1179</v>
      </c>
      <c r="D94" s="3">
        <v>1</v>
      </c>
      <c r="E94" s="3" t="s">
        <v>16</v>
      </c>
      <c r="F94" s="3" t="s">
        <v>289</v>
      </c>
      <c r="G94" s="3" t="s">
        <v>23</v>
      </c>
      <c r="H94" s="3" t="s">
        <v>154</v>
      </c>
    </row>
    <row r="95" spans="1:8" x14ac:dyDescent="0.2">
      <c r="A95" s="3">
        <v>3060211003</v>
      </c>
      <c r="B95" s="4" t="s">
        <v>1180</v>
      </c>
      <c r="C95" s="4" t="s">
        <v>1181</v>
      </c>
      <c r="D95" s="3">
        <v>1</v>
      </c>
      <c r="E95" s="3" t="s">
        <v>16</v>
      </c>
      <c r="F95" s="3" t="s">
        <v>289</v>
      </c>
      <c r="G95" s="3" t="s">
        <v>23</v>
      </c>
      <c r="H95" s="3" t="s">
        <v>154</v>
      </c>
    </row>
    <row r="96" spans="1:8" x14ac:dyDescent="0.2">
      <c r="A96" s="3">
        <v>3060328001</v>
      </c>
      <c r="B96" s="4" t="s">
        <v>1182</v>
      </c>
      <c r="C96" s="4" t="s">
        <v>1183</v>
      </c>
      <c r="D96" s="3">
        <v>1</v>
      </c>
      <c r="E96" s="3" t="s">
        <v>16</v>
      </c>
      <c r="F96" s="3" t="s">
        <v>289</v>
      </c>
      <c r="G96" s="3" t="s">
        <v>23</v>
      </c>
      <c r="H96" s="3" t="s">
        <v>165</v>
      </c>
    </row>
    <row r="97" spans="1:8" x14ac:dyDescent="0.2">
      <c r="A97" s="3">
        <v>3060328002</v>
      </c>
      <c r="B97" s="4" t="s">
        <v>1182</v>
      </c>
      <c r="C97" s="4" t="s">
        <v>1184</v>
      </c>
      <c r="D97" s="3">
        <v>1</v>
      </c>
      <c r="E97" s="3" t="s">
        <v>16</v>
      </c>
      <c r="F97" s="3" t="s">
        <v>289</v>
      </c>
      <c r="G97" s="3" t="s">
        <v>23</v>
      </c>
      <c r="H97" s="3" t="s">
        <v>165</v>
      </c>
    </row>
    <row r="98" spans="1:8" x14ac:dyDescent="0.2">
      <c r="A98" s="3">
        <v>3030301010</v>
      </c>
      <c r="B98" s="4" t="s">
        <v>468</v>
      </c>
      <c r="C98" s="4" t="s">
        <v>469</v>
      </c>
      <c r="D98" s="3">
        <v>4</v>
      </c>
      <c r="E98" s="3" t="s">
        <v>16</v>
      </c>
      <c r="F98" s="3" t="s">
        <v>295</v>
      </c>
      <c r="G98" s="3" t="s">
        <v>17</v>
      </c>
      <c r="H98" s="3" t="s">
        <v>165</v>
      </c>
    </row>
    <row r="99" spans="1:8" x14ac:dyDescent="0.2">
      <c r="A99" s="3">
        <v>3060347005</v>
      </c>
      <c r="B99" s="4" t="s">
        <v>470</v>
      </c>
      <c r="C99" s="4" t="s">
        <v>471</v>
      </c>
      <c r="D99" s="3">
        <v>1</v>
      </c>
      <c r="E99" s="3" t="s">
        <v>16</v>
      </c>
      <c r="F99" s="3" t="s">
        <v>291</v>
      </c>
      <c r="G99" s="3" t="s">
        <v>26</v>
      </c>
      <c r="H99" s="3" t="s">
        <v>165</v>
      </c>
    </row>
    <row r="100" spans="1:8" x14ac:dyDescent="0.2">
      <c r="A100" s="3">
        <v>3060347006</v>
      </c>
      <c r="B100" s="4" t="s">
        <v>470</v>
      </c>
      <c r="C100" s="4" t="s">
        <v>472</v>
      </c>
      <c r="D100" s="3">
        <v>1</v>
      </c>
      <c r="E100" s="3" t="s">
        <v>16</v>
      </c>
      <c r="F100" s="3" t="s">
        <v>291</v>
      </c>
      <c r="G100" s="3" t="s">
        <v>26</v>
      </c>
      <c r="H100" s="3" t="s">
        <v>165</v>
      </c>
    </row>
    <row r="101" spans="1:8" x14ac:dyDescent="0.2">
      <c r="A101" s="3">
        <v>3110103002</v>
      </c>
      <c r="B101" s="4" t="s">
        <v>473</v>
      </c>
      <c r="C101" s="4" t="s">
        <v>474</v>
      </c>
      <c r="D101" s="3">
        <v>1</v>
      </c>
      <c r="E101" s="3" t="s">
        <v>16</v>
      </c>
      <c r="F101" s="3" t="s">
        <v>291</v>
      </c>
      <c r="G101" s="3" t="s">
        <v>26</v>
      </c>
      <c r="H101" s="3" t="s">
        <v>165</v>
      </c>
    </row>
    <row r="102" spans="1:8" x14ac:dyDescent="0.2">
      <c r="A102" s="3">
        <v>3030316006</v>
      </c>
      <c r="B102" s="4" t="s">
        <v>475</v>
      </c>
      <c r="C102" s="4" t="s">
        <v>476</v>
      </c>
      <c r="D102" s="3">
        <v>1</v>
      </c>
      <c r="E102" s="3" t="s">
        <v>16</v>
      </c>
      <c r="F102" s="3" t="s">
        <v>295</v>
      </c>
      <c r="G102" s="3" t="s">
        <v>17</v>
      </c>
      <c r="H102" s="3" t="s">
        <v>165</v>
      </c>
    </row>
    <row r="103" spans="1:8" x14ac:dyDescent="0.2">
      <c r="A103" s="3">
        <v>3040326008</v>
      </c>
      <c r="B103" s="4" t="s">
        <v>546</v>
      </c>
      <c r="C103" s="4" t="s">
        <v>1121</v>
      </c>
      <c r="D103" s="3">
        <v>1</v>
      </c>
      <c r="E103" s="3" t="s">
        <v>16</v>
      </c>
      <c r="F103" s="3" t="s">
        <v>293</v>
      </c>
      <c r="G103" s="3" t="s">
        <v>29</v>
      </c>
      <c r="H103" s="3" t="s">
        <v>165</v>
      </c>
    </row>
    <row r="104" spans="1:8" x14ac:dyDescent="0.2">
      <c r="A104" s="3">
        <v>3040326007</v>
      </c>
      <c r="B104" s="4" t="s">
        <v>546</v>
      </c>
      <c r="C104" s="4" t="s">
        <v>1122</v>
      </c>
      <c r="D104" s="3">
        <v>1</v>
      </c>
      <c r="E104" s="3" t="s">
        <v>16</v>
      </c>
      <c r="F104" s="3" t="s">
        <v>293</v>
      </c>
      <c r="G104" s="3" t="s">
        <v>29</v>
      </c>
      <c r="H104" s="3" t="s">
        <v>165</v>
      </c>
    </row>
    <row r="105" spans="1:8" x14ac:dyDescent="0.2">
      <c r="A105" s="3">
        <v>3030314007</v>
      </c>
      <c r="B105" s="4" t="s">
        <v>477</v>
      </c>
      <c r="C105" s="4" t="s">
        <v>478</v>
      </c>
      <c r="D105" s="3">
        <v>1</v>
      </c>
      <c r="E105" s="3" t="s">
        <v>16</v>
      </c>
      <c r="F105" s="3" t="s">
        <v>291</v>
      </c>
      <c r="G105" s="3" t="s">
        <v>26</v>
      </c>
      <c r="H105" s="3" t="s">
        <v>165</v>
      </c>
    </row>
    <row r="106" spans="1:8" x14ac:dyDescent="0.2">
      <c r="A106" s="3">
        <v>3030308013</v>
      </c>
      <c r="B106" s="4" t="s">
        <v>479</v>
      </c>
      <c r="C106" s="4" t="s">
        <v>478</v>
      </c>
      <c r="D106" s="3">
        <v>1</v>
      </c>
      <c r="E106" s="3" t="s">
        <v>16</v>
      </c>
      <c r="F106" s="3" t="s">
        <v>291</v>
      </c>
      <c r="G106" s="3" t="s">
        <v>26</v>
      </c>
      <c r="H106" s="3" t="s">
        <v>165</v>
      </c>
    </row>
    <row r="107" spans="1:8" x14ac:dyDescent="0.2">
      <c r="A107" s="3">
        <v>3050310030</v>
      </c>
      <c r="B107" s="4" t="s">
        <v>480</v>
      </c>
      <c r="C107" s="4" t="s">
        <v>469</v>
      </c>
      <c r="D107" s="3">
        <v>2</v>
      </c>
      <c r="E107" s="3" t="s">
        <v>16</v>
      </c>
      <c r="F107" s="3" t="s">
        <v>291</v>
      </c>
      <c r="G107" s="3" t="s">
        <v>26</v>
      </c>
      <c r="H107" s="3" t="s">
        <v>165</v>
      </c>
    </row>
    <row r="108" spans="1:8" x14ac:dyDescent="0.2">
      <c r="A108" s="3">
        <v>3010106010</v>
      </c>
      <c r="B108" s="4" t="s">
        <v>481</v>
      </c>
      <c r="C108" s="4" t="s">
        <v>482</v>
      </c>
      <c r="D108" s="3">
        <v>0.4</v>
      </c>
      <c r="E108" s="3" t="s">
        <v>10</v>
      </c>
      <c r="F108" s="3" t="s">
        <v>284</v>
      </c>
      <c r="G108" s="3" t="s">
        <v>11</v>
      </c>
      <c r="H108" s="3" t="s">
        <v>483</v>
      </c>
    </row>
    <row r="109" spans="1:8" x14ac:dyDescent="0.2">
      <c r="A109" s="3">
        <v>3060304005</v>
      </c>
      <c r="B109" s="4" t="s">
        <v>1194</v>
      </c>
      <c r="C109" s="4" t="s">
        <v>1196</v>
      </c>
      <c r="D109" s="3">
        <v>3</v>
      </c>
      <c r="E109" s="3" t="s">
        <v>16</v>
      </c>
      <c r="F109" s="3" t="s">
        <v>289</v>
      </c>
      <c r="G109" s="3" t="s">
        <v>23</v>
      </c>
      <c r="H109" s="3" t="s">
        <v>173</v>
      </c>
    </row>
    <row r="110" spans="1:8" x14ac:dyDescent="0.2">
      <c r="A110" s="3">
        <v>3050305013</v>
      </c>
      <c r="B110" s="4" t="s">
        <v>484</v>
      </c>
      <c r="C110" s="4" t="s">
        <v>485</v>
      </c>
      <c r="D110" s="3">
        <v>1</v>
      </c>
      <c r="E110" s="3" t="s">
        <v>16</v>
      </c>
      <c r="F110" s="3" t="s">
        <v>291</v>
      </c>
      <c r="G110" s="3" t="s">
        <v>26</v>
      </c>
      <c r="H110" s="3" t="s">
        <v>173</v>
      </c>
    </row>
    <row r="111" spans="1:8" x14ac:dyDescent="0.2">
      <c r="A111" s="3">
        <v>3040305002</v>
      </c>
      <c r="B111" s="4" t="s">
        <v>486</v>
      </c>
      <c r="C111" s="4" t="s">
        <v>487</v>
      </c>
      <c r="D111" s="3">
        <v>2</v>
      </c>
      <c r="E111" s="3" t="s">
        <v>16</v>
      </c>
      <c r="F111" s="3" t="s">
        <v>293</v>
      </c>
      <c r="G111" s="3" t="s">
        <v>29</v>
      </c>
      <c r="H111" s="3" t="s">
        <v>173</v>
      </c>
    </row>
    <row r="112" spans="1:8" x14ac:dyDescent="0.2">
      <c r="A112" s="3">
        <v>3040313002</v>
      </c>
      <c r="B112" s="4" t="s">
        <v>488</v>
      </c>
      <c r="C112" s="4" t="s">
        <v>489</v>
      </c>
      <c r="D112" s="3">
        <v>8</v>
      </c>
      <c r="E112" s="3" t="s">
        <v>16</v>
      </c>
      <c r="F112" s="3" t="s">
        <v>293</v>
      </c>
      <c r="G112" s="3" t="s">
        <v>29</v>
      </c>
      <c r="H112" s="3" t="s">
        <v>173</v>
      </c>
    </row>
    <row r="113" spans="1:8" x14ac:dyDescent="0.2">
      <c r="A113" s="3">
        <v>3040321001</v>
      </c>
      <c r="B113" s="4" t="s">
        <v>490</v>
      </c>
      <c r="C113" s="4" t="s">
        <v>347</v>
      </c>
      <c r="D113" s="3">
        <v>8</v>
      </c>
      <c r="E113" s="3" t="s">
        <v>16</v>
      </c>
      <c r="F113" s="3" t="s">
        <v>293</v>
      </c>
      <c r="G113" s="3" t="s">
        <v>29</v>
      </c>
      <c r="H113" s="3" t="s">
        <v>173</v>
      </c>
    </row>
    <row r="114" spans="1:8" x14ac:dyDescent="0.2">
      <c r="A114" s="3">
        <v>3040309001</v>
      </c>
      <c r="B114" s="4" t="s">
        <v>346</v>
      </c>
      <c r="C114" s="4" t="s">
        <v>347</v>
      </c>
      <c r="D114" s="3">
        <v>4</v>
      </c>
      <c r="E114" s="3" t="s">
        <v>16</v>
      </c>
      <c r="F114" s="3" t="s">
        <v>293</v>
      </c>
      <c r="G114" s="3" t="s">
        <v>29</v>
      </c>
      <c r="H114" s="3" t="s">
        <v>173</v>
      </c>
    </row>
    <row r="115" spans="1:8" x14ac:dyDescent="0.2">
      <c r="A115" s="3">
        <v>3020501004</v>
      </c>
      <c r="B115" s="4" t="s">
        <v>183</v>
      </c>
      <c r="C115" s="4" t="s">
        <v>761</v>
      </c>
      <c r="D115" s="3">
        <v>1</v>
      </c>
      <c r="E115" s="3" t="s">
        <v>16</v>
      </c>
      <c r="F115" s="3" t="s">
        <v>291</v>
      </c>
      <c r="G115" s="3" t="s">
        <v>26</v>
      </c>
      <c r="H115" s="3" t="s">
        <v>185</v>
      </c>
    </row>
    <row r="116" spans="1:8" x14ac:dyDescent="0.2">
      <c r="A116" s="3">
        <v>3030204003</v>
      </c>
      <c r="B116" s="4" t="s">
        <v>492</v>
      </c>
      <c r="C116" s="4" t="s">
        <v>493</v>
      </c>
      <c r="D116" s="3">
        <v>2</v>
      </c>
      <c r="E116" s="3" t="s">
        <v>16</v>
      </c>
      <c r="F116" s="3" t="s">
        <v>295</v>
      </c>
      <c r="G116" s="3" t="s">
        <v>17</v>
      </c>
      <c r="H116" s="3" t="s">
        <v>494</v>
      </c>
    </row>
    <row r="117" spans="1:8" x14ac:dyDescent="0.2">
      <c r="A117" s="3">
        <v>3990201008</v>
      </c>
      <c r="B117" s="4" t="s">
        <v>186</v>
      </c>
      <c r="C117" s="4" t="s">
        <v>495</v>
      </c>
      <c r="D117" s="3">
        <v>1</v>
      </c>
      <c r="E117" s="3" t="s">
        <v>16</v>
      </c>
      <c r="F117" s="3" t="s">
        <v>295</v>
      </c>
      <c r="G117" s="3" t="s">
        <v>17</v>
      </c>
      <c r="H117" s="3" t="s">
        <v>187</v>
      </c>
    </row>
    <row r="118" spans="1:8" x14ac:dyDescent="0.2">
      <c r="A118" s="3">
        <v>3990202007</v>
      </c>
      <c r="B118" s="4" t="s">
        <v>188</v>
      </c>
      <c r="C118" s="4" t="s">
        <v>495</v>
      </c>
      <c r="D118" s="3">
        <v>1</v>
      </c>
      <c r="E118" s="3" t="s">
        <v>16</v>
      </c>
      <c r="F118" s="3" t="s">
        <v>295</v>
      </c>
      <c r="G118" s="3" t="s">
        <v>17</v>
      </c>
      <c r="H118" s="3" t="s">
        <v>187</v>
      </c>
    </row>
    <row r="119" spans="1:8" x14ac:dyDescent="0.2">
      <c r="A119" s="3">
        <v>3990203002</v>
      </c>
      <c r="B119" s="4" t="s">
        <v>189</v>
      </c>
      <c r="C119" s="4" t="s">
        <v>495</v>
      </c>
      <c r="D119" s="3">
        <v>1</v>
      </c>
      <c r="E119" s="3" t="s">
        <v>16</v>
      </c>
      <c r="F119" s="3" t="s">
        <v>295</v>
      </c>
      <c r="G119" s="3" t="s">
        <v>17</v>
      </c>
      <c r="H119" s="3" t="s">
        <v>187</v>
      </c>
    </row>
    <row r="120" spans="1:8" x14ac:dyDescent="0.2">
      <c r="A120" s="3">
        <v>3060403047</v>
      </c>
      <c r="B120" s="4" t="s">
        <v>190</v>
      </c>
      <c r="C120" s="4" t="s">
        <v>1242</v>
      </c>
      <c r="D120" s="3">
        <v>1</v>
      </c>
      <c r="E120" s="3" t="s">
        <v>16</v>
      </c>
      <c r="F120" s="3" t="s">
        <v>295</v>
      </c>
      <c r="G120" s="3" t="s">
        <v>17</v>
      </c>
      <c r="H120" s="3" t="s">
        <v>192</v>
      </c>
    </row>
    <row r="121" spans="1:8" x14ac:dyDescent="0.2">
      <c r="A121" s="3">
        <v>3050405002</v>
      </c>
      <c r="B121" s="4" t="s">
        <v>496</v>
      </c>
      <c r="C121" s="4" t="s">
        <v>1243</v>
      </c>
      <c r="D121" s="3">
        <v>1</v>
      </c>
      <c r="E121" s="3" t="s">
        <v>16</v>
      </c>
      <c r="F121" s="3" t="s">
        <v>291</v>
      </c>
      <c r="G121" s="3" t="s">
        <v>26</v>
      </c>
      <c r="H121" s="3" t="s">
        <v>192</v>
      </c>
    </row>
    <row r="122" spans="1:8" x14ac:dyDescent="0.2">
      <c r="A122" s="3">
        <v>3030402001</v>
      </c>
      <c r="B122" s="4" t="s">
        <v>498</v>
      </c>
      <c r="C122" s="4" t="s">
        <v>499</v>
      </c>
      <c r="D122" s="3">
        <v>1</v>
      </c>
      <c r="E122" s="3" t="s">
        <v>16</v>
      </c>
      <c r="F122" s="3" t="s">
        <v>295</v>
      </c>
      <c r="G122" s="3" t="s">
        <v>17</v>
      </c>
      <c r="H122" s="3" t="s">
        <v>192</v>
      </c>
    </row>
    <row r="123" spans="1:8" x14ac:dyDescent="0.2">
      <c r="A123" s="3">
        <v>3040402009</v>
      </c>
      <c r="B123" s="4" t="s">
        <v>500</v>
      </c>
      <c r="C123" s="4" t="s">
        <v>1244</v>
      </c>
      <c r="D123" s="3">
        <v>1</v>
      </c>
      <c r="E123" s="3" t="s">
        <v>16</v>
      </c>
      <c r="F123" s="3" t="s">
        <v>293</v>
      </c>
      <c r="G123" s="3" t="s">
        <v>29</v>
      </c>
      <c r="H123" s="3" t="s">
        <v>192</v>
      </c>
    </row>
    <row r="124" spans="1:8" x14ac:dyDescent="0.2">
      <c r="A124" s="3">
        <v>3040402010</v>
      </c>
      <c r="B124" s="4" t="s">
        <v>500</v>
      </c>
      <c r="C124" s="4" t="s">
        <v>1245</v>
      </c>
      <c r="D124" s="3">
        <v>1</v>
      </c>
      <c r="E124" s="3" t="s">
        <v>16</v>
      </c>
      <c r="F124" s="3" t="s">
        <v>293</v>
      </c>
      <c r="G124" s="3" t="s">
        <v>29</v>
      </c>
      <c r="H124" s="3" t="s">
        <v>192</v>
      </c>
    </row>
    <row r="125" spans="1:8" x14ac:dyDescent="0.2">
      <c r="A125" s="3">
        <v>404100037</v>
      </c>
      <c r="B125" s="4" t="s">
        <v>1201</v>
      </c>
      <c r="C125" s="4" t="s">
        <v>1202</v>
      </c>
      <c r="D125" s="3">
        <v>1</v>
      </c>
      <c r="E125" s="3" t="s">
        <v>16</v>
      </c>
      <c r="F125" s="3" t="s">
        <v>301</v>
      </c>
      <c r="G125" s="3" t="s">
        <v>32</v>
      </c>
      <c r="H125" s="3" t="s">
        <v>198</v>
      </c>
    </row>
    <row r="126" spans="1:8" x14ac:dyDescent="0.2">
      <c r="A126" s="3">
        <v>404100039</v>
      </c>
      <c r="B126" s="4" t="s">
        <v>196</v>
      </c>
      <c r="C126" s="4" t="s">
        <v>1203</v>
      </c>
      <c r="D126" s="3">
        <v>1</v>
      </c>
      <c r="E126" s="3" t="s">
        <v>16</v>
      </c>
      <c r="F126" s="3" t="s">
        <v>301</v>
      </c>
      <c r="G126" s="3" t="s">
        <v>32</v>
      </c>
      <c r="H126" s="3" t="s">
        <v>198</v>
      </c>
    </row>
    <row r="127" spans="1:8" x14ac:dyDescent="0.2">
      <c r="A127" s="3">
        <v>404110008</v>
      </c>
      <c r="B127" s="4" t="s">
        <v>504</v>
      </c>
      <c r="C127" s="4" t="s">
        <v>505</v>
      </c>
      <c r="D127" s="3">
        <v>2</v>
      </c>
      <c r="E127" s="3" t="s">
        <v>16</v>
      </c>
      <c r="F127" s="3" t="s">
        <v>291</v>
      </c>
      <c r="G127" s="3" t="s">
        <v>26</v>
      </c>
      <c r="H127" s="3" t="s">
        <v>198</v>
      </c>
    </row>
    <row r="128" spans="1:8" x14ac:dyDescent="0.2">
      <c r="A128" s="3">
        <v>404110001</v>
      </c>
      <c r="B128" s="4" t="s">
        <v>504</v>
      </c>
      <c r="C128" s="4" t="s">
        <v>506</v>
      </c>
      <c r="D128" s="3">
        <v>1</v>
      </c>
      <c r="E128" s="3" t="s">
        <v>16</v>
      </c>
      <c r="F128" s="3" t="s">
        <v>291</v>
      </c>
      <c r="G128" s="3" t="s">
        <v>26</v>
      </c>
      <c r="H128" s="3" t="s">
        <v>198</v>
      </c>
    </row>
    <row r="129" spans="1:8" x14ac:dyDescent="0.2">
      <c r="A129" s="3">
        <v>404100025</v>
      </c>
      <c r="B129" s="4" t="s">
        <v>1093</v>
      </c>
      <c r="C129" s="4" t="s">
        <v>1094</v>
      </c>
      <c r="D129" s="3">
        <v>1</v>
      </c>
      <c r="E129" s="3" t="s">
        <v>16</v>
      </c>
      <c r="F129" s="3" t="s">
        <v>301</v>
      </c>
      <c r="G129" s="3" t="s">
        <v>32</v>
      </c>
      <c r="H129" s="3" t="s">
        <v>198</v>
      </c>
    </row>
    <row r="130" spans="1:8" x14ac:dyDescent="0.2">
      <c r="A130" s="3">
        <v>403030054</v>
      </c>
      <c r="B130" s="4" t="s">
        <v>801</v>
      </c>
      <c r="C130" s="4" t="s">
        <v>1205</v>
      </c>
      <c r="D130" s="3">
        <v>1</v>
      </c>
      <c r="E130" s="3" t="s">
        <v>16</v>
      </c>
      <c r="F130" s="3" t="s">
        <v>301</v>
      </c>
      <c r="G130" s="3" t="s">
        <v>32</v>
      </c>
      <c r="H130" s="3" t="s">
        <v>198</v>
      </c>
    </row>
    <row r="131" spans="1:8" x14ac:dyDescent="0.2">
      <c r="A131" s="3">
        <v>403030012</v>
      </c>
      <c r="B131" s="4" t="s">
        <v>366</v>
      </c>
      <c r="C131" s="4" t="s">
        <v>507</v>
      </c>
      <c r="D131" s="3">
        <v>2</v>
      </c>
      <c r="E131" s="3" t="s">
        <v>16</v>
      </c>
      <c r="F131" s="3" t="s">
        <v>291</v>
      </c>
      <c r="G131" s="3" t="s">
        <v>26</v>
      </c>
      <c r="H131" s="3" t="s">
        <v>198</v>
      </c>
    </row>
    <row r="132" spans="1:8" x14ac:dyDescent="0.2">
      <c r="A132" s="3">
        <v>401070018</v>
      </c>
      <c r="B132" s="4" t="s">
        <v>35</v>
      </c>
      <c r="C132" s="4" t="s">
        <v>202</v>
      </c>
      <c r="D132" s="3">
        <v>1</v>
      </c>
      <c r="E132" s="3" t="s">
        <v>16</v>
      </c>
      <c r="F132" s="3" t="s">
        <v>291</v>
      </c>
      <c r="G132" s="3" t="s">
        <v>26</v>
      </c>
      <c r="H132" s="3" t="s">
        <v>198</v>
      </c>
    </row>
    <row r="133" spans="1:8" x14ac:dyDescent="0.2">
      <c r="A133" s="3">
        <v>401070022</v>
      </c>
      <c r="B133" s="4" t="s">
        <v>35</v>
      </c>
      <c r="C133" s="4" t="s">
        <v>203</v>
      </c>
      <c r="D133" s="3">
        <v>1</v>
      </c>
      <c r="E133" s="3" t="s">
        <v>16</v>
      </c>
      <c r="F133" s="3" t="s">
        <v>301</v>
      </c>
      <c r="G133" s="3" t="s">
        <v>32</v>
      </c>
      <c r="H133" s="3" t="s">
        <v>198</v>
      </c>
    </row>
    <row r="134" spans="1:8" x14ac:dyDescent="0.2">
      <c r="A134" s="3">
        <v>404100041</v>
      </c>
      <c r="B134" s="4" t="s">
        <v>205</v>
      </c>
      <c r="C134" s="4" t="s">
        <v>1206</v>
      </c>
      <c r="D134" s="3">
        <v>1</v>
      </c>
      <c r="E134" s="3" t="s">
        <v>16</v>
      </c>
      <c r="F134" s="3" t="s">
        <v>291</v>
      </c>
      <c r="G134" s="3" t="s">
        <v>26</v>
      </c>
      <c r="H134" s="3" t="s">
        <v>198</v>
      </c>
    </row>
    <row r="135" spans="1:8" x14ac:dyDescent="0.2">
      <c r="A135" s="3">
        <v>404100040</v>
      </c>
      <c r="B135" s="4" t="s">
        <v>207</v>
      </c>
      <c r="C135" s="4" t="s">
        <v>1207</v>
      </c>
      <c r="D135" s="3">
        <v>1</v>
      </c>
      <c r="E135" s="3" t="s">
        <v>16</v>
      </c>
      <c r="F135" s="3" t="s">
        <v>291</v>
      </c>
      <c r="G135" s="3" t="s">
        <v>26</v>
      </c>
      <c r="H135" s="3" t="s">
        <v>198</v>
      </c>
    </row>
    <row r="136" spans="1:8" x14ac:dyDescent="0.2">
      <c r="A136" s="3">
        <v>3030305007</v>
      </c>
      <c r="B136" s="4" t="s">
        <v>511</v>
      </c>
      <c r="C136" s="4" t="s">
        <v>512</v>
      </c>
      <c r="D136" s="3">
        <v>1</v>
      </c>
      <c r="E136" s="3" t="s">
        <v>16</v>
      </c>
      <c r="F136" s="3" t="s">
        <v>295</v>
      </c>
      <c r="G136" s="3" t="s">
        <v>17</v>
      </c>
      <c r="H136" s="3" t="s">
        <v>211</v>
      </c>
    </row>
    <row r="137" spans="1:8" x14ac:dyDescent="0.2">
      <c r="A137" s="3">
        <v>3030305006</v>
      </c>
      <c r="B137" s="4" t="s">
        <v>513</v>
      </c>
      <c r="C137" s="4" t="s">
        <v>512</v>
      </c>
      <c r="D137" s="3">
        <v>1</v>
      </c>
      <c r="E137" s="3" t="s">
        <v>16</v>
      </c>
      <c r="F137" s="3" t="s">
        <v>295</v>
      </c>
      <c r="G137" s="3" t="s">
        <v>17</v>
      </c>
      <c r="H137" s="3" t="s">
        <v>211</v>
      </c>
    </row>
    <row r="138" spans="1:8" x14ac:dyDescent="0.2">
      <c r="A138" s="3">
        <v>3069904001</v>
      </c>
      <c r="B138" s="4" t="s">
        <v>514</v>
      </c>
      <c r="C138" s="4" t="s">
        <v>355</v>
      </c>
      <c r="D138" s="3">
        <v>4</v>
      </c>
      <c r="E138" s="3" t="s">
        <v>16</v>
      </c>
      <c r="F138" s="3" t="s">
        <v>295</v>
      </c>
      <c r="G138" s="3" t="s">
        <v>17</v>
      </c>
      <c r="H138" s="3" t="s">
        <v>214</v>
      </c>
    </row>
    <row r="139" spans="1:8" x14ac:dyDescent="0.2">
      <c r="A139" s="3">
        <v>3030201003</v>
      </c>
      <c r="B139" s="4" t="s">
        <v>515</v>
      </c>
      <c r="C139" s="4" t="s">
        <v>516</v>
      </c>
      <c r="D139" s="3">
        <v>1</v>
      </c>
      <c r="E139" s="3" t="s">
        <v>16</v>
      </c>
      <c r="F139" s="3" t="s">
        <v>295</v>
      </c>
      <c r="G139" s="3" t="s">
        <v>17</v>
      </c>
      <c r="H139" s="3" t="s">
        <v>214</v>
      </c>
    </row>
    <row r="140" spans="1:8" x14ac:dyDescent="0.2">
      <c r="A140" s="3">
        <v>3049903001</v>
      </c>
      <c r="B140" s="4" t="s">
        <v>517</v>
      </c>
      <c r="C140" s="4" t="s">
        <v>355</v>
      </c>
      <c r="D140" s="3">
        <v>2</v>
      </c>
      <c r="E140" s="3" t="s">
        <v>16</v>
      </c>
      <c r="F140" s="3" t="s">
        <v>293</v>
      </c>
      <c r="G140" s="3" t="s">
        <v>29</v>
      </c>
      <c r="H140" s="3" t="s">
        <v>214</v>
      </c>
    </row>
    <row r="141" spans="1:8" x14ac:dyDescent="0.2">
      <c r="A141" s="3">
        <v>3049904001</v>
      </c>
      <c r="B141" s="4" t="s">
        <v>354</v>
      </c>
      <c r="C141" s="4" t="s">
        <v>355</v>
      </c>
      <c r="D141" s="3">
        <v>4</v>
      </c>
      <c r="E141" s="3" t="s">
        <v>16</v>
      </c>
      <c r="F141" s="3" t="s">
        <v>293</v>
      </c>
      <c r="G141" s="3" t="s">
        <v>29</v>
      </c>
      <c r="H141" s="3" t="s">
        <v>214</v>
      </c>
    </row>
    <row r="142" spans="1:8" x14ac:dyDescent="0.2">
      <c r="A142" s="3">
        <v>3049902001</v>
      </c>
      <c r="B142" s="4" t="s">
        <v>518</v>
      </c>
      <c r="C142" s="4" t="s">
        <v>355</v>
      </c>
      <c r="D142" s="3">
        <v>2</v>
      </c>
      <c r="E142" s="3" t="s">
        <v>16</v>
      </c>
      <c r="F142" s="3" t="s">
        <v>293</v>
      </c>
      <c r="G142" s="3" t="s">
        <v>29</v>
      </c>
      <c r="H142" s="3" t="s">
        <v>214</v>
      </c>
    </row>
    <row r="143" spans="1:8" x14ac:dyDescent="0.2">
      <c r="A143" s="3">
        <v>3050204001</v>
      </c>
      <c r="B143" s="4" t="s">
        <v>519</v>
      </c>
      <c r="C143" s="4" t="s">
        <v>355</v>
      </c>
      <c r="D143" s="3">
        <v>2</v>
      </c>
      <c r="E143" s="3" t="s">
        <v>16</v>
      </c>
      <c r="F143" s="3" t="s">
        <v>291</v>
      </c>
      <c r="G143" s="3" t="s">
        <v>26</v>
      </c>
      <c r="H143" s="3" t="s">
        <v>214</v>
      </c>
    </row>
    <row r="144" spans="1:8" x14ac:dyDescent="0.2">
      <c r="A144" s="3">
        <v>3050204002</v>
      </c>
      <c r="B144" s="4" t="s">
        <v>520</v>
      </c>
      <c r="C144" s="4" t="s">
        <v>355</v>
      </c>
      <c r="D144" s="3">
        <v>2</v>
      </c>
      <c r="E144" s="3" t="s">
        <v>16</v>
      </c>
      <c r="F144" s="3" t="s">
        <v>291</v>
      </c>
      <c r="G144" s="3" t="s">
        <v>26</v>
      </c>
      <c r="H144" s="3" t="s">
        <v>214</v>
      </c>
    </row>
    <row r="145" spans="1:8" x14ac:dyDescent="0.2">
      <c r="A145" s="3">
        <v>403030051</v>
      </c>
      <c r="B145" s="4" t="s">
        <v>366</v>
      </c>
      <c r="C145" s="4" t="s">
        <v>367</v>
      </c>
      <c r="D145" s="3">
        <v>3</v>
      </c>
      <c r="E145" s="3" t="s">
        <v>16</v>
      </c>
      <c r="F145" s="3" t="s">
        <v>301</v>
      </c>
      <c r="G145" s="3" t="s">
        <v>32</v>
      </c>
      <c r="H145" s="3" t="s">
        <v>221</v>
      </c>
    </row>
    <row r="146" spans="1:8" x14ac:dyDescent="0.2">
      <c r="A146" s="3">
        <v>403030005</v>
      </c>
      <c r="B146" s="4" t="s">
        <v>366</v>
      </c>
      <c r="C146" s="4" t="s">
        <v>368</v>
      </c>
      <c r="D146" s="3">
        <v>2</v>
      </c>
      <c r="E146" s="3" t="s">
        <v>16</v>
      </c>
      <c r="F146" s="3" t="s">
        <v>301</v>
      </c>
      <c r="G146" s="3" t="s">
        <v>32</v>
      </c>
      <c r="H146" s="3" t="s">
        <v>221</v>
      </c>
    </row>
    <row r="147" spans="1:8" x14ac:dyDescent="0.2">
      <c r="A147" s="3">
        <v>402050003</v>
      </c>
      <c r="B147" s="4" t="s">
        <v>1325</v>
      </c>
      <c r="C147" s="4" t="s">
        <v>1326</v>
      </c>
      <c r="D147" s="3">
        <v>1</v>
      </c>
      <c r="E147" s="3" t="s">
        <v>16</v>
      </c>
      <c r="F147" s="3" t="s">
        <v>289</v>
      </c>
      <c r="G147" s="3" t="s">
        <v>23</v>
      </c>
      <c r="H147" s="3" t="s">
        <v>524</v>
      </c>
    </row>
    <row r="148" spans="1:8" x14ac:dyDescent="0.2">
      <c r="A148" s="3">
        <v>408120036</v>
      </c>
      <c r="B148" s="4" t="s">
        <v>525</v>
      </c>
      <c r="C148" s="4" t="s">
        <v>526</v>
      </c>
      <c r="D148" s="3">
        <v>2</v>
      </c>
      <c r="E148" s="3" t="s">
        <v>16</v>
      </c>
      <c r="F148" s="3" t="s">
        <v>291</v>
      </c>
      <c r="G148" s="3" t="s">
        <v>26</v>
      </c>
      <c r="H148" s="3" t="s">
        <v>524</v>
      </c>
    </row>
    <row r="149" spans="1:8" x14ac:dyDescent="0.2">
      <c r="A149" s="3">
        <v>4081200011</v>
      </c>
      <c r="B149" s="4" t="s">
        <v>525</v>
      </c>
      <c r="C149" s="4" t="s">
        <v>1246</v>
      </c>
      <c r="D149" s="3">
        <v>2</v>
      </c>
      <c r="E149" s="3" t="s">
        <v>16</v>
      </c>
      <c r="F149" s="3" t="s">
        <v>289</v>
      </c>
      <c r="G149" s="3" t="s">
        <v>23</v>
      </c>
      <c r="H149" s="3" t="s">
        <v>524</v>
      </c>
    </row>
    <row r="150" spans="1:8" x14ac:dyDescent="0.2">
      <c r="A150" s="3">
        <v>408120032</v>
      </c>
      <c r="B150" s="4" t="s">
        <v>525</v>
      </c>
      <c r="C150" s="4" t="s">
        <v>1210</v>
      </c>
      <c r="D150" s="3">
        <v>23</v>
      </c>
      <c r="E150" s="3" t="s">
        <v>16</v>
      </c>
      <c r="F150" s="3" t="s">
        <v>289</v>
      </c>
      <c r="G150" s="3" t="s">
        <v>23</v>
      </c>
      <c r="H150" s="3" t="s">
        <v>524</v>
      </c>
    </row>
    <row r="151" spans="1:8" x14ac:dyDescent="0.2">
      <c r="A151" s="3">
        <v>408120038</v>
      </c>
      <c r="B151" s="4" t="s">
        <v>525</v>
      </c>
      <c r="C151" s="4" t="s">
        <v>1247</v>
      </c>
      <c r="D151" s="3">
        <v>1</v>
      </c>
      <c r="E151" s="3" t="s">
        <v>16</v>
      </c>
      <c r="F151" s="3" t="s">
        <v>289</v>
      </c>
      <c r="G151" s="3" t="s">
        <v>23</v>
      </c>
      <c r="H151" s="3" t="s">
        <v>524</v>
      </c>
    </row>
    <row r="152" spans="1:8" x14ac:dyDescent="0.2">
      <c r="A152" s="3">
        <v>408120032</v>
      </c>
      <c r="B152" s="4" t="s">
        <v>525</v>
      </c>
      <c r="C152" s="4" t="s">
        <v>1210</v>
      </c>
      <c r="D152" s="3">
        <v>6</v>
      </c>
      <c r="E152" s="3" t="s">
        <v>16</v>
      </c>
      <c r="F152" s="3" t="s">
        <v>317</v>
      </c>
      <c r="G152" s="3" t="s">
        <v>318</v>
      </c>
      <c r="H152" s="3" t="s">
        <v>524</v>
      </c>
    </row>
    <row r="153" spans="1:8" x14ac:dyDescent="0.2">
      <c r="A153" s="3">
        <v>407010082</v>
      </c>
      <c r="B153" s="4" t="s">
        <v>149</v>
      </c>
      <c r="C153" s="4" t="s">
        <v>1262</v>
      </c>
      <c r="D153" s="3">
        <v>1</v>
      </c>
      <c r="E153" s="3" t="s">
        <v>16</v>
      </c>
      <c r="F153" s="3" t="s">
        <v>289</v>
      </c>
      <c r="G153" s="3" t="s">
        <v>23</v>
      </c>
      <c r="H153" s="3" t="s">
        <v>524</v>
      </c>
    </row>
    <row r="154" spans="1:8" x14ac:dyDescent="0.2">
      <c r="A154" s="3">
        <v>3060501009</v>
      </c>
      <c r="B154" s="4" t="s">
        <v>1213</v>
      </c>
      <c r="C154" s="4" t="s">
        <v>1248</v>
      </c>
      <c r="D154" s="3">
        <v>1</v>
      </c>
      <c r="E154" s="3" t="s">
        <v>16</v>
      </c>
      <c r="F154" s="3" t="s">
        <v>289</v>
      </c>
      <c r="G154" s="3" t="s">
        <v>23</v>
      </c>
      <c r="H154" s="3" t="s">
        <v>226</v>
      </c>
    </row>
    <row r="155" spans="1:8" x14ac:dyDescent="0.2">
      <c r="A155" s="3">
        <v>3060350003</v>
      </c>
      <c r="B155" s="4" t="s">
        <v>1215</v>
      </c>
      <c r="C155" s="4" t="s">
        <v>1216</v>
      </c>
      <c r="D155" s="3">
        <v>1</v>
      </c>
      <c r="E155" s="3" t="s">
        <v>16</v>
      </c>
      <c r="F155" s="3" t="s">
        <v>289</v>
      </c>
      <c r="G155" s="3" t="s">
        <v>23</v>
      </c>
      <c r="H155" s="3" t="s">
        <v>226</v>
      </c>
    </row>
    <row r="156" spans="1:8" x14ac:dyDescent="0.2">
      <c r="A156" s="3">
        <v>3060353006</v>
      </c>
      <c r="B156" s="4" t="s">
        <v>1217</v>
      </c>
      <c r="C156" s="4" t="s">
        <v>1232</v>
      </c>
      <c r="D156" s="3">
        <v>1</v>
      </c>
      <c r="E156" s="3" t="s">
        <v>16</v>
      </c>
      <c r="F156" s="3" t="s">
        <v>289</v>
      </c>
      <c r="G156" s="3" t="s">
        <v>23</v>
      </c>
      <c r="H156" s="3" t="s">
        <v>226</v>
      </c>
    </row>
    <row r="157" spans="1:8" x14ac:dyDescent="0.2">
      <c r="A157" s="3">
        <v>3060324003</v>
      </c>
      <c r="B157" s="4" t="s">
        <v>1185</v>
      </c>
      <c r="C157" s="4" t="s">
        <v>1249</v>
      </c>
      <c r="D157" s="3">
        <v>1</v>
      </c>
      <c r="E157" s="3" t="s">
        <v>16</v>
      </c>
      <c r="F157" s="3" t="s">
        <v>289</v>
      </c>
      <c r="G157" s="3" t="s">
        <v>23</v>
      </c>
      <c r="H157" s="3" t="s">
        <v>226</v>
      </c>
    </row>
    <row r="158" spans="1:8" x14ac:dyDescent="0.2">
      <c r="A158" s="3">
        <v>3060404053</v>
      </c>
      <c r="B158" s="4" t="s">
        <v>729</v>
      </c>
      <c r="C158" s="4" t="s">
        <v>1250</v>
      </c>
      <c r="D158" s="3">
        <v>1</v>
      </c>
      <c r="E158" s="3" t="s">
        <v>16</v>
      </c>
      <c r="F158" s="3" t="s">
        <v>289</v>
      </c>
      <c r="G158" s="3" t="s">
        <v>23</v>
      </c>
      <c r="H158" s="3" t="s">
        <v>226</v>
      </c>
    </row>
    <row r="159" spans="1:8" x14ac:dyDescent="0.2">
      <c r="A159" s="3">
        <v>3060316002</v>
      </c>
      <c r="B159" s="4" t="s">
        <v>1219</v>
      </c>
      <c r="C159" s="4" t="s">
        <v>1251</v>
      </c>
      <c r="D159" s="3">
        <v>1</v>
      </c>
      <c r="E159" s="3" t="s">
        <v>16</v>
      </c>
      <c r="F159" s="3" t="s">
        <v>289</v>
      </c>
      <c r="G159" s="3" t="s">
        <v>23</v>
      </c>
      <c r="H159" s="3" t="s">
        <v>226</v>
      </c>
    </row>
    <row r="160" spans="1:8" x14ac:dyDescent="0.2">
      <c r="A160" s="3">
        <v>3050305016</v>
      </c>
      <c r="B160" s="4" t="s">
        <v>527</v>
      </c>
      <c r="C160" s="4" t="s">
        <v>528</v>
      </c>
      <c r="D160" s="3">
        <v>1</v>
      </c>
      <c r="E160" s="3" t="s">
        <v>16</v>
      </c>
      <c r="F160" s="3" t="s">
        <v>291</v>
      </c>
      <c r="G160" s="3" t="s">
        <v>26</v>
      </c>
      <c r="H160" s="3" t="s">
        <v>226</v>
      </c>
    </row>
    <row r="161" spans="1:8" x14ac:dyDescent="0.2">
      <c r="A161" s="3">
        <v>3050305015</v>
      </c>
      <c r="B161" s="4" t="s">
        <v>529</v>
      </c>
      <c r="C161" s="4" t="s">
        <v>530</v>
      </c>
      <c r="D161" s="3">
        <v>1</v>
      </c>
      <c r="E161" s="3" t="s">
        <v>16</v>
      </c>
      <c r="F161" s="3" t="s">
        <v>291</v>
      </c>
      <c r="G161" s="3" t="s">
        <v>26</v>
      </c>
      <c r="H161" s="3" t="s">
        <v>226</v>
      </c>
    </row>
    <row r="162" spans="1:8" x14ac:dyDescent="0.2">
      <c r="A162" s="3">
        <v>3030309020</v>
      </c>
      <c r="B162" s="4" t="s">
        <v>531</v>
      </c>
      <c r="C162" s="4" t="s">
        <v>532</v>
      </c>
      <c r="D162" s="3">
        <v>1</v>
      </c>
      <c r="E162" s="3" t="s">
        <v>16</v>
      </c>
      <c r="F162" s="3" t="s">
        <v>291</v>
      </c>
      <c r="G162" s="3" t="s">
        <v>26</v>
      </c>
      <c r="H162" s="3" t="s">
        <v>226</v>
      </c>
    </row>
    <row r="163" spans="1:8" x14ac:dyDescent="0.2">
      <c r="A163" s="3">
        <v>3030302002</v>
      </c>
      <c r="B163" s="4" t="s">
        <v>533</v>
      </c>
      <c r="C163" s="4" t="s">
        <v>534</v>
      </c>
      <c r="D163" s="3">
        <v>1</v>
      </c>
      <c r="E163" s="3" t="s">
        <v>16</v>
      </c>
      <c r="F163" s="3" t="s">
        <v>295</v>
      </c>
      <c r="G163" s="3" t="s">
        <v>17</v>
      </c>
      <c r="H163" s="3" t="s">
        <v>226</v>
      </c>
    </row>
    <row r="164" spans="1:8" x14ac:dyDescent="0.2">
      <c r="A164" s="3">
        <v>3030306012</v>
      </c>
      <c r="B164" s="4" t="s">
        <v>535</v>
      </c>
      <c r="C164" s="4" t="s">
        <v>536</v>
      </c>
      <c r="D164" s="3">
        <v>1</v>
      </c>
      <c r="E164" s="3" t="s">
        <v>16</v>
      </c>
      <c r="F164" s="3" t="s">
        <v>295</v>
      </c>
      <c r="G164" s="3" t="s">
        <v>17</v>
      </c>
      <c r="H164" s="3" t="s">
        <v>226</v>
      </c>
    </row>
    <row r="165" spans="1:8" x14ac:dyDescent="0.2">
      <c r="A165" s="3">
        <v>3030306011</v>
      </c>
      <c r="B165" s="4" t="s">
        <v>537</v>
      </c>
      <c r="C165" s="4" t="s">
        <v>536</v>
      </c>
      <c r="D165" s="3">
        <v>1</v>
      </c>
      <c r="E165" s="3" t="s">
        <v>16</v>
      </c>
      <c r="F165" s="3" t="s">
        <v>295</v>
      </c>
      <c r="G165" s="3" t="s">
        <v>17</v>
      </c>
      <c r="H165" s="3" t="s">
        <v>226</v>
      </c>
    </row>
    <row r="166" spans="1:8" x14ac:dyDescent="0.2">
      <c r="A166" s="3">
        <v>3030303002</v>
      </c>
      <c r="B166" s="4" t="s">
        <v>175</v>
      </c>
      <c r="C166" s="4" t="s">
        <v>538</v>
      </c>
      <c r="D166" s="3">
        <v>1</v>
      </c>
      <c r="E166" s="3" t="s">
        <v>16</v>
      </c>
      <c r="F166" s="3" t="s">
        <v>295</v>
      </c>
      <c r="G166" s="3" t="s">
        <v>17</v>
      </c>
      <c r="H166" s="3" t="s">
        <v>226</v>
      </c>
    </row>
    <row r="167" spans="1:8" x14ac:dyDescent="0.2">
      <c r="A167" s="3">
        <v>3030303017</v>
      </c>
      <c r="B167" s="4" t="s">
        <v>539</v>
      </c>
      <c r="C167" s="4" t="s">
        <v>540</v>
      </c>
      <c r="D167" s="3">
        <v>1</v>
      </c>
      <c r="E167" s="3" t="s">
        <v>16</v>
      </c>
      <c r="F167" s="3" t="s">
        <v>295</v>
      </c>
      <c r="G167" s="3" t="s">
        <v>17</v>
      </c>
      <c r="H167" s="3" t="s">
        <v>226</v>
      </c>
    </row>
    <row r="168" spans="1:8" x14ac:dyDescent="0.2">
      <c r="A168" s="3">
        <v>3040312012</v>
      </c>
      <c r="B168" s="4" t="s">
        <v>263</v>
      </c>
      <c r="C168" s="4" t="s">
        <v>541</v>
      </c>
      <c r="D168" s="3">
        <v>2</v>
      </c>
      <c r="E168" s="3" t="s">
        <v>16</v>
      </c>
      <c r="F168" s="3" t="s">
        <v>293</v>
      </c>
      <c r="G168" s="3" t="s">
        <v>29</v>
      </c>
      <c r="H168" s="3" t="s">
        <v>226</v>
      </c>
    </row>
    <row r="169" spans="1:8" x14ac:dyDescent="0.2">
      <c r="A169" s="3">
        <v>3040320010</v>
      </c>
      <c r="B169" s="4" t="s">
        <v>269</v>
      </c>
      <c r="C169" s="4" t="s">
        <v>542</v>
      </c>
      <c r="D169" s="3">
        <v>1</v>
      </c>
      <c r="E169" s="3" t="s">
        <v>16</v>
      </c>
      <c r="F169" s="3" t="s">
        <v>293</v>
      </c>
      <c r="G169" s="3" t="s">
        <v>29</v>
      </c>
      <c r="H169" s="3" t="s">
        <v>226</v>
      </c>
    </row>
    <row r="170" spans="1:8" x14ac:dyDescent="0.2">
      <c r="A170" s="3">
        <v>3040320011</v>
      </c>
      <c r="B170" s="4" t="s">
        <v>269</v>
      </c>
      <c r="C170" s="4" t="s">
        <v>543</v>
      </c>
      <c r="D170" s="3">
        <v>1</v>
      </c>
      <c r="E170" s="3" t="s">
        <v>16</v>
      </c>
      <c r="F170" s="3" t="s">
        <v>293</v>
      </c>
      <c r="G170" s="3" t="s">
        <v>29</v>
      </c>
      <c r="H170" s="3" t="s">
        <v>226</v>
      </c>
    </row>
    <row r="171" spans="1:8" x14ac:dyDescent="0.2">
      <c r="A171" s="3">
        <v>3030313003</v>
      </c>
      <c r="B171" s="4" t="s">
        <v>217</v>
      </c>
      <c r="C171" s="4" t="s">
        <v>544</v>
      </c>
      <c r="D171" s="3">
        <v>8</v>
      </c>
      <c r="E171" s="3" t="s">
        <v>16</v>
      </c>
      <c r="F171" s="3" t="s">
        <v>291</v>
      </c>
      <c r="G171" s="3" t="s">
        <v>26</v>
      </c>
      <c r="H171" s="3" t="s">
        <v>226</v>
      </c>
    </row>
    <row r="172" spans="1:8" x14ac:dyDescent="0.2">
      <c r="A172" s="3">
        <v>3020199010</v>
      </c>
      <c r="B172" s="4" t="s">
        <v>239</v>
      </c>
      <c r="C172" s="4" t="s">
        <v>545</v>
      </c>
      <c r="D172" s="3">
        <v>5</v>
      </c>
      <c r="E172" s="3" t="s">
        <v>16</v>
      </c>
      <c r="F172" s="3" t="s">
        <v>297</v>
      </c>
      <c r="G172" s="3" t="s">
        <v>204</v>
      </c>
      <c r="H172" s="3" t="s">
        <v>226</v>
      </c>
    </row>
    <row r="173" spans="1:8" x14ac:dyDescent="0.2">
      <c r="A173" s="3">
        <v>3070212001</v>
      </c>
      <c r="B173" s="4" t="s">
        <v>377</v>
      </c>
      <c r="C173" s="4" t="s">
        <v>378</v>
      </c>
      <c r="D173" s="3">
        <v>1</v>
      </c>
      <c r="E173" s="3" t="s">
        <v>16</v>
      </c>
      <c r="F173" s="3" t="s">
        <v>317</v>
      </c>
      <c r="G173" s="3" t="s">
        <v>318</v>
      </c>
      <c r="H173" s="3" t="s">
        <v>226</v>
      </c>
    </row>
    <row r="174" spans="1:8" x14ac:dyDescent="0.2">
      <c r="A174" s="3">
        <v>3070210001</v>
      </c>
      <c r="B174" s="4" t="s">
        <v>379</v>
      </c>
      <c r="C174" s="4" t="s">
        <v>280</v>
      </c>
      <c r="D174" s="3">
        <v>1</v>
      </c>
      <c r="E174" s="3" t="s">
        <v>16</v>
      </c>
      <c r="F174" s="3" t="s">
        <v>317</v>
      </c>
      <c r="G174" s="3" t="s">
        <v>318</v>
      </c>
      <c r="H174" s="3" t="s">
        <v>226</v>
      </c>
    </row>
    <row r="175" spans="1:8" x14ac:dyDescent="0.2">
      <c r="A175" s="3">
        <v>3991601007</v>
      </c>
      <c r="B175" s="4" t="s">
        <v>585</v>
      </c>
      <c r="C175" s="4" t="s">
        <v>1229</v>
      </c>
      <c r="D175" s="3">
        <v>4</v>
      </c>
      <c r="E175" s="3" t="s">
        <v>16</v>
      </c>
      <c r="F175" s="3" t="s">
        <v>289</v>
      </c>
      <c r="G175" s="3" t="s">
        <v>23</v>
      </c>
      <c r="H175" s="3" t="s">
        <v>226</v>
      </c>
    </row>
    <row r="176" spans="1:8" x14ac:dyDescent="0.2">
      <c r="A176" s="3">
        <v>3991601009</v>
      </c>
      <c r="B176" s="4" t="s">
        <v>585</v>
      </c>
      <c r="C176" s="4" t="s">
        <v>1230</v>
      </c>
      <c r="D176" s="3">
        <v>2</v>
      </c>
      <c r="E176" s="3" t="s">
        <v>16</v>
      </c>
      <c r="F176" s="3" t="s">
        <v>289</v>
      </c>
      <c r="G176" s="3" t="s">
        <v>23</v>
      </c>
      <c r="H176" s="3" t="s">
        <v>226</v>
      </c>
    </row>
    <row r="177" spans="1:8" x14ac:dyDescent="0.2">
      <c r="A177" s="3">
        <v>3050302008</v>
      </c>
      <c r="B177" s="4" t="s">
        <v>1921</v>
      </c>
      <c r="C177" s="4" t="s">
        <v>1986</v>
      </c>
      <c r="D177" s="3">
        <v>1</v>
      </c>
      <c r="E177" s="3" t="s">
        <v>16</v>
      </c>
      <c r="F177" s="3" t="s">
        <v>291</v>
      </c>
      <c r="G177" s="3" t="s">
        <v>26</v>
      </c>
      <c r="H177" s="3" t="s">
        <v>226</v>
      </c>
    </row>
    <row r="178" spans="1:8" x14ac:dyDescent="0.2">
      <c r="A178" s="3">
        <v>3050305019</v>
      </c>
      <c r="B178" s="4" t="s">
        <v>549</v>
      </c>
      <c r="C178" s="4" t="s">
        <v>530</v>
      </c>
      <c r="D178" s="3">
        <v>1</v>
      </c>
      <c r="E178" s="3" t="s">
        <v>16</v>
      </c>
      <c r="F178" s="3" t="s">
        <v>291</v>
      </c>
      <c r="G178" s="3" t="s">
        <v>26</v>
      </c>
      <c r="H178" s="3" t="s">
        <v>226</v>
      </c>
    </row>
    <row r="179" spans="1:8" x14ac:dyDescent="0.2">
      <c r="A179" s="3">
        <v>3050401014</v>
      </c>
      <c r="B179" s="4" t="s">
        <v>222</v>
      </c>
      <c r="C179" s="4" t="s">
        <v>550</v>
      </c>
      <c r="D179" s="3">
        <v>1</v>
      </c>
      <c r="E179" s="3" t="s">
        <v>16</v>
      </c>
      <c r="F179" s="3" t="s">
        <v>291</v>
      </c>
      <c r="G179" s="3" t="s">
        <v>26</v>
      </c>
      <c r="H179" s="3" t="s">
        <v>226</v>
      </c>
    </row>
    <row r="180" spans="1:8" x14ac:dyDescent="0.2">
      <c r="A180" s="3">
        <v>3080401031</v>
      </c>
      <c r="B180" s="4" t="s">
        <v>41</v>
      </c>
      <c r="C180" s="4" t="s">
        <v>551</v>
      </c>
      <c r="D180" s="3">
        <v>1</v>
      </c>
      <c r="E180" s="3" t="s">
        <v>16</v>
      </c>
      <c r="F180" s="3" t="s">
        <v>291</v>
      </c>
      <c r="G180" s="3" t="s">
        <v>26</v>
      </c>
      <c r="H180" s="3" t="s">
        <v>249</v>
      </c>
    </row>
    <row r="181" spans="1:8" x14ac:dyDescent="0.2">
      <c r="A181" s="3">
        <v>3030211001</v>
      </c>
      <c r="B181" s="4" t="s">
        <v>552</v>
      </c>
      <c r="C181" s="4" t="s">
        <v>553</v>
      </c>
      <c r="D181" s="3">
        <v>1</v>
      </c>
      <c r="E181" s="3" t="s">
        <v>16</v>
      </c>
      <c r="F181" s="3" t="s">
        <v>295</v>
      </c>
      <c r="G181" s="3" t="s">
        <v>17</v>
      </c>
      <c r="H181" s="3" t="s">
        <v>249</v>
      </c>
    </row>
    <row r="182" spans="1:8" x14ac:dyDescent="0.2">
      <c r="A182" s="3">
        <v>3080309001</v>
      </c>
      <c r="B182" s="4" t="s">
        <v>554</v>
      </c>
      <c r="C182" s="4" t="s">
        <v>555</v>
      </c>
      <c r="D182" s="3">
        <v>1</v>
      </c>
      <c r="E182" s="3" t="s">
        <v>16</v>
      </c>
      <c r="F182" s="3" t="s">
        <v>295</v>
      </c>
      <c r="G182" s="3" t="s">
        <v>17</v>
      </c>
      <c r="H182" s="3" t="s">
        <v>249</v>
      </c>
    </row>
    <row r="183" spans="1:8" x14ac:dyDescent="0.2">
      <c r="A183" s="3">
        <v>3080107268</v>
      </c>
      <c r="B183" s="4" t="s">
        <v>69</v>
      </c>
      <c r="C183" s="4" t="s">
        <v>556</v>
      </c>
      <c r="D183" s="3">
        <v>2</v>
      </c>
      <c r="E183" s="3" t="s">
        <v>16</v>
      </c>
      <c r="F183" s="3" t="s">
        <v>291</v>
      </c>
      <c r="G183" s="3" t="s">
        <v>26</v>
      </c>
      <c r="H183" s="3" t="s">
        <v>249</v>
      </c>
    </row>
    <row r="184" spans="1:8" x14ac:dyDescent="0.2">
      <c r="A184" s="3">
        <v>3080107269</v>
      </c>
      <c r="B184" s="4" t="s">
        <v>69</v>
      </c>
      <c r="C184" s="4" t="s">
        <v>557</v>
      </c>
      <c r="D184" s="3">
        <v>2</v>
      </c>
      <c r="E184" s="3" t="s">
        <v>16</v>
      </c>
      <c r="F184" s="3" t="s">
        <v>291</v>
      </c>
      <c r="G184" s="3" t="s">
        <v>26</v>
      </c>
      <c r="H184" s="3" t="s">
        <v>249</v>
      </c>
    </row>
    <row r="185" spans="1:8" x14ac:dyDescent="0.2">
      <c r="A185" s="3">
        <v>3060333011</v>
      </c>
      <c r="B185" s="4" t="s">
        <v>227</v>
      </c>
      <c r="C185" s="4" t="s">
        <v>1231</v>
      </c>
      <c r="D185" s="3">
        <v>1</v>
      </c>
      <c r="E185" s="3" t="s">
        <v>16</v>
      </c>
      <c r="F185" s="3" t="s">
        <v>289</v>
      </c>
      <c r="G185" s="3" t="s">
        <v>23</v>
      </c>
      <c r="H185" s="3" t="s">
        <v>254</v>
      </c>
    </row>
    <row r="186" spans="1:8" x14ac:dyDescent="0.2">
      <c r="A186" s="3">
        <v>3060401003</v>
      </c>
      <c r="B186" s="4" t="s">
        <v>727</v>
      </c>
      <c r="C186" s="4" t="s">
        <v>1232</v>
      </c>
      <c r="D186" s="3">
        <v>1</v>
      </c>
      <c r="E186" s="3" t="s">
        <v>16</v>
      </c>
      <c r="F186" s="3" t="s">
        <v>289</v>
      </c>
      <c r="G186" s="3" t="s">
        <v>23</v>
      </c>
      <c r="H186" s="3" t="s">
        <v>254</v>
      </c>
    </row>
    <row r="187" spans="1:8" x14ac:dyDescent="0.2">
      <c r="A187" s="3">
        <v>3060335013</v>
      </c>
      <c r="B187" s="4" t="s">
        <v>233</v>
      </c>
      <c r="C187" s="4" t="s">
        <v>1253</v>
      </c>
      <c r="D187" s="3">
        <v>1</v>
      </c>
      <c r="E187" s="3" t="s">
        <v>16</v>
      </c>
      <c r="F187" s="3" t="s">
        <v>289</v>
      </c>
      <c r="G187" s="3" t="s">
        <v>23</v>
      </c>
      <c r="H187" s="3" t="s">
        <v>254</v>
      </c>
    </row>
    <row r="188" spans="1:8" x14ac:dyDescent="0.2">
      <c r="A188" s="3">
        <v>3030302001</v>
      </c>
      <c r="B188" s="4" t="s">
        <v>558</v>
      </c>
      <c r="C188" s="4" t="s">
        <v>534</v>
      </c>
      <c r="D188" s="3">
        <v>1</v>
      </c>
      <c r="E188" s="3" t="s">
        <v>16</v>
      </c>
      <c r="F188" s="3" t="s">
        <v>295</v>
      </c>
      <c r="G188" s="3" t="s">
        <v>17</v>
      </c>
      <c r="H188" s="3" t="s">
        <v>254</v>
      </c>
    </row>
    <row r="189" spans="1:8" x14ac:dyDescent="0.2">
      <c r="A189" s="3">
        <v>3030306031</v>
      </c>
      <c r="B189" s="4" t="s">
        <v>559</v>
      </c>
      <c r="C189" s="4" t="s">
        <v>560</v>
      </c>
      <c r="D189" s="3">
        <v>1</v>
      </c>
      <c r="E189" s="3" t="s">
        <v>16</v>
      </c>
      <c r="F189" s="3" t="s">
        <v>295</v>
      </c>
      <c r="G189" s="3" t="s">
        <v>17</v>
      </c>
      <c r="H189" s="3" t="s">
        <v>254</v>
      </c>
    </row>
    <row r="190" spans="1:8" x14ac:dyDescent="0.2">
      <c r="A190" s="3">
        <v>3080311002</v>
      </c>
      <c r="B190" s="4" t="s">
        <v>561</v>
      </c>
      <c r="C190" s="4" t="s">
        <v>536</v>
      </c>
      <c r="D190" s="3">
        <v>1</v>
      </c>
      <c r="E190" s="3" t="s">
        <v>16</v>
      </c>
      <c r="F190" s="3" t="s">
        <v>295</v>
      </c>
      <c r="G190" s="3" t="s">
        <v>17</v>
      </c>
      <c r="H190" s="3" t="s">
        <v>254</v>
      </c>
    </row>
    <row r="191" spans="1:8" x14ac:dyDescent="0.2">
      <c r="A191" s="3">
        <v>3030303016</v>
      </c>
      <c r="B191" s="4" t="s">
        <v>562</v>
      </c>
      <c r="C191" s="4" t="s">
        <v>563</v>
      </c>
      <c r="D191" s="3">
        <v>1</v>
      </c>
      <c r="E191" s="3" t="s">
        <v>16</v>
      </c>
      <c r="F191" s="3" t="s">
        <v>295</v>
      </c>
      <c r="G191" s="3" t="s">
        <v>17</v>
      </c>
      <c r="H191" s="3" t="s">
        <v>254</v>
      </c>
    </row>
    <row r="192" spans="1:8" x14ac:dyDescent="0.2">
      <c r="A192" s="3">
        <v>3030303015</v>
      </c>
      <c r="B192" s="4" t="s">
        <v>564</v>
      </c>
      <c r="C192" s="4" t="s">
        <v>563</v>
      </c>
      <c r="D192" s="3">
        <v>1</v>
      </c>
      <c r="E192" s="3" t="s">
        <v>16</v>
      </c>
      <c r="F192" s="3" t="s">
        <v>295</v>
      </c>
      <c r="G192" s="3" t="s">
        <v>17</v>
      </c>
      <c r="H192" s="3" t="s">
        <v>254</v>
      </c>
    </row>
    <row r="193" spans="1:8" x14ac:dyDescent="0.2">
      <c r="A193" s="3">
        <v>3040323001</v>
      </c>
      <c r="B193" s="4" t="s">
        <v>565</v>
      </c>
      <c r="C193" s="4" t="s">
        <v>566</v>
      </c>
      <c r="D193" s="3">
        <v>2</v>
      </c>
      <c r="E193" s="3" t="s">
        <v>16</v>
      </c>
      <c r="F193" s="3" t="s">
        <v>293</v>
      </c>
      <c r="G193" s="3" t="s">
        <v>29</v>
      </c>
      <c r="H193" s="3" t="s">
        <v>254</v>
      </c>
    </row>
    <row r="194" spans="1:8" x14ac:dyDescent="0.2">
      <c r="A194" s="3">
        <v>3040302001</v>
      </c>
      <c r="B194" s="4" t="s">
        <v>567</v>
      </c>
      <c r="C194" s="4" t="s">
        <v>568</v>
      </c>
      <c r="D194" s="3">
        <v>1</v>
      </c>
      <c r="E194" s="3" t="s">
        <v>16</v>
      </c>
      <c r="F194" s="3" t="s">
        <v>293</v>
      </c>
      <c r="G194" s="3" t="s">
        <v>29</v>
      </c>
      <c r="H194" s="3" t="s">
        <v>254</v>
      </c>
    </row>
    <row r="195" spans="1:8" x14ac:dyDescent="0.2">
      <c r="A195" s="3">
        <v>3040302002</v>
      </c>
      <c r="B195" s="4" t="s">
        <v>567</v>
      </c>
      <c r="C195" s="4" t="s">
        <v>569</v>
      </c>
      <c r="D195" s="3">
        <v>1</v>
      </c>
      <c r="E195" s="3" t="s">
        <v>16</v>
      </c>
      <c r="F195" s="3" t="s">
        <v>293</v>
      </c>
      <c r="G195" s="3" t="s">
        <v>29</v>
      </c>
      <c r="H195" s="3" t="s">
        <v>254</v>
      </c>
    </row>
    <row r="196" spans="1:8" x14ac:dyDescent="0.2">
      <c r="A196" s="3">
        <v>3040324004</v>
      </c>
      <c r="B196" s="4" t="s">
        <v>570</v>
      </c>
      <c r="C196" s="4" t="s">
        <v>536</v>
      </c>
      <c r="D196" s="3">
        <v>2</v>
      </c>
      <c r="E196" s="3" t="s">
        <v>16</v>
      </c>
      <c r="F196" s="3" t="s">
        <v>293</v>
      </c>
      <c r="G196" s="3" t="s">
        <v>29</v>
      </c>
      <c r="H196" s="3" t="s">
        <v>254</v>
      </c>
    </row>
    <row r="197" spans="1:8" x14ac:dyDescent="0.2">
      <c r="A197" s="3">
        <v>3030302008</v>
      </c>
      <c r="B197" s="4" t="s">
        <v>571</v>
      </c>
      <c r="C197" s="4" t="s">
        <v>572</v>
      </c>
      <c r="D197" s="3">
        <v>1</v>
      </c>
      <c r="E197" s="3" t="s">
        <v>16</v>
      </c>
      <c r="F197" s="3" t="s">
        <v>295</v>
      </c>
      <c r="G197" s="3" t="s">
        <v>17</v>
      </c>
      <c r="H197" s="3" t="s">
        <v>254</v>
      </c>
    </row>
    <row r="198" spans="1:8" x14ac:dyDescent="0.2">
      <c r="A198" s="3">
        <v>3030302009</v>
      </c>
      <c r="B198" s="4" t="s">
        <v>571</v>
      </c>
      <c r="C198" s="4" t="s">
        <v>573</v>
      </c>
      <c r="D198" s="3">
        <v>1</v>
      </c>
      <c r="E198" s="3" t="s">
        <v>16</v>
      </c>
      <c r="F198" s="3" t="s">
        <v>295</v>
      </c>
      <c r="G198" s="3" t="s">
        <v>17</v>
      </c>
      <c r="H198" s="3" t="s">
        <v>254</v>
      </c>
    </row>
    <row r="199" spans="1:8" x14ac:dyDescent="0.2">
      <c r="A199" s="3">
        <v>3030302004</v>
      </c>
      <c r="B199" s="4" t="s">
        <v>574</v>
      </c>
      <c r="C199" s="4" t="s">
        <v>575</v>
      </c>
      <c r="D199" s="3">
        <v>1</v>
      </c>
      <c r="E199" s="3" t="s">
        <v>16</v>
      </c>
      <c r="F199" s="3" t="s">
        <v>295</v>
      </c>
      <c r="G199" s="3" t="s">
        <v>17</v>
      </c>
      <c r="H199" s="3" t="s">
        <v>254</v>
      </c>
    </row>
    <row r="200" spans="1:8" x14ac:dyDescent="0.2">
      <c r="A200" s="3">
        <v>3030302006</v>
      </c>
      <c r="B200" s="4" t="s">
        <v>576</v>
      </c>
      <c r="C200" s="4" t="s">
        <v>575</v>
      </c>
      <c r="D200" s="3">
        <v>1</v>
      </c>
      <c r="E200" s="3" t="s">
        <v>16</v>
      </c>
      <c r="F200" s="3" t="s">
        <v>295</v>
      </c>
      <c r="G200" s="3" t="s">
        <v>17</v>
      </c>
      <c r="H200" s="3" t="s">
        <v>254</v>
      </c>
    </row>
    <row r="201" spans="1:8" x14ac:dyDescent="0.2">
      <c r="A201" s="3">
        <v>3030314004</v>
      </c>
      <c r="B201" s="4" t="s">
        <v>577</v>
      </c>
      <c r="C201" s="4" t="s">
        <v>575</v>
      </c>
      <c r="D201" s="3">
        <v>1</v>
      </c>
      <c r="E201" s="3" t="s">
        <v>16</v>
      </c>
      <c r="F201" s="3" t="s">
        <v>295</v>
      </c>
      <c r="G201" s="3" t="s">
        <v>17</v>
      </c>
      <c r="H201" s="3" t="s">
        <v>254</v>
      </c>
    </row>
    <row r="202" spans="1:8" x14ac:dyDescent="0.2">
      <c r="A202" s="3">
        <v>3030308001</v>
      </c>
      <c r="B202" s="4" t="s">
        <v>578</v>
      </c>
      <c r="C202" s="4" t="s">
        <v>575</v>
      </c>
      <c r="D202" s="3">
        <v>1</v>
      </c>
      <c r="E202" s="3" t="s">
        <v>16</v>
      </c>
      <c r="F202" s="3" t="s">
        <v>295</v>
      </c>
      <c r="G202" s="3" t="s">
        <v>17</v>
      </c>
      <c r="H202" s="3" t="s">
        <v>254</v>
      </c>
    </row>
    <row r="203" spans="1:8" x14ac:dyDescent="0.2">
      <c r="A203" s="3">
        <v>3030314003</v>
      </c>
      <c r="B203" s="4" t="s">
        <v>579</v>
      </c>
      <c r="C203" s="4" t="s">
        <v>575</v>
      </c>
      <c r="D203" s="3">
        <v>1</v>
      </c>
      <c r="E203" s="3" t="s">
        <v>16</v>
      </c>
      <c r="F203" s="3" t="s">
        <v>295</v>
      </c>
      <c r="G203" s="3" t="s">
        <v>17</v>
      </c>
      <c r="H203" s="3" t="s">
        <v>254</v>
      </c>
    </row>
    <row r="204" spans="1:8" x14ac:dyDescent="0.2">
      <c r="A204" s="3">
        <v>3030308003</v>
      </c>
      <c r="B204" s="4" t="s">
        <v>580</v>
      </c>
      <c r="C204" s="4" t="s">
        <v>581</v>
      </c>
      <c r="D204" s="3">
        <v>1</v>
      </c>
      <c r="E204" s="3" t="s">
        <v>16</v>
      </c>
      <c r="F204" s="3" t="s">
        <v>295</v>
      </c>
      <c r="G204" s="3" t="s">
        <v>17</v>
      </c>
      <c r="H204" s="3" t="s">
        <v>254</v>
      </c>
    </row>
    <row r="205" spans="1:8" x14ac:dyDescent="0.2">
      <c r="A205" s="3">
        <v>3040325007</v>
      </c>
      <c r="B205" s="4" t="s">
        <v>582</v>
      </c>
      <c r="C205" s="4" t="s">
        <v>543</v>
      </c>
      <c r="D205" s="3">
        <v>1</v>
      </c>
      <c r="E205" s="3" t="s">
        <v>16</v>
      </c>
      <c r="F205" s="3" t="s">
        <v>293</v>
      </c>
      <c r="G205" s="3" t="s">
        <v>29</v>
      </c>
      <c r="H205" s="3" t="s">
        <v>254</v>
      </c>
    </row>
    <row r="206" spans="1:8" x14ac:dyDescent="0.2">
      <c r="A206" s="3">
        <v>3040325008</v>
      </c>
      <c r="B206" s="4" t="s">
        <v>582</v>
      </c>
      <c r="C206" s="4" t="s">
        <v>542</v>
      </c>
      <c r="D206" s="3">
        <v>1</v>
      </c>
      <c r="E206" s="3" t="s">
        <v>16</v>
      </c>
      <c r="F206" s="3" t="s">
        <v>293</v>
      </c>
      <c r="G206" s="3" t="s">
        <v>29</v>
      </c>
      <c r="H206" s="3" t="s">
        <v>254</v>
      </c>
    </row>
    <row r="207" spans="1:8" x14ac:dyDescent="0.2">
      <c r="A207" s="3">
        <v>3040308003</v>
      </c>
      <c r="B207" s="4" t="s">
        <v>583</v>
      </c>
      <c r="C207" s="4" t="s">
        <v>536</v>
      </c>
      <c r="D207" s="3">
        <v>2</v>
      </c>
      <c r="E207" s="3" t="s">
        <v>16</v>
      </c>
      <c r="F207" s="3" t="s">
        <v>293</v>
      </c>
      <c r="G207" s="3" t="s">
        <v>29</v>
      </c>
      <c r="H207" s="3" t="s">
        <v>254</v>
      </c>
    </row>
    <row r="208" spans="1:8" x14ac:dyDescent="0.2">
      <c r="A208" s="3">
        <v>3030302007</v>
      </c>
      <c r="B208" s="4" t="s">
        <v>584</v>
      </c>
      <c r="C208" s="4" t="s">
        <v>575</v>
      </c>
      <c r="D208" s="3">
        <v>1</v>
      </c>
      <c r="E208" s="3" t="s">
        <v>16</v>
      </c>
      <c r="F208" s="3" t="s">
        <v>295</v>
      </c>
      <c r="G208" s="3" t="s">
        <v>17</v>
      </c>
      <c r="H208" s="3" t="s">
        <v>254</v>
      </c>
    </row>
    <row r="209" spans="1:8" x14ac:dyDescent="0.2">
      <c r="A209" s="3">
        <v>3070201008</v>
      </c>
      <c r="B209" s="4" t="s">
        <v>348</v>
      </c>
      <c r="C209" s="4" t="s">
        <v>1263</v>
      </c>
      <c r="D209" s="3">
        <v>1</v>
      </c>
      <c r="E209" s="3" t="s">
        <v>16</v>
      </c>
      <c r="F209" s="3" t="s">
        <v>317</v>
      </c>
      <c r="G209" s="3" t="s">
        <v>318</v>
      </c>
      <c r="H209" s="3" t="s">
        <v>254</v>
      </c>
    </row>
    <row r="210" spans="1:8" x14ac:dyDescent="0.2">
      <c r="A210" s="3">
        <v>3070216005</v>
      </c>
      <c r="B210" s="4" t="s">
        <v>1264</v>
      </c>
      <c r="C210" s="4" t="s">
        <v>1301</v>
      </c>
      <c r="D210" s="3">
        <v>1</v>
      </c>
      <c r="E210" s="3" t="s">
        <v>16</v>
      </c>
      <c r="F210" s="3" t="s">
        <v>317</v>
      </c>
      <c r="G210" s="3" t="s">
        <v>318</v>
      </c>
      <c r="H210" s="3" t="s">
        <v>254</v>
      </c>
    </row>
    <row r="211" spans="1:8" x14ac:dyDescent="0.2">
      <c r="A211" s="3">
        <v>3070214004</v>
      </c>
      <c r="B211" s="4" t="s">
        <v>1266</v>
      </c>
      <c r="C211" s="4" t="s">
        <v>1301</v>
      </c>
      <c r="D211" s="3">
        <v>1</v>
      </c>
      <c r="E211" s="3" t="s">
        <v>16</v>
      </c>
      <c r="F211" s="3" t="s">
        <v>317</v>
      </c>
      <c r="G211" s="3" t="s">
        <v>318</v>
      </c>
      <c r="H211" s="3" t="s">
        <v>254</v>
      </c>
    </row>
    <row r="212" spans="1:8" x14ac:dyDescent="0.2">
      <c r="A212" s="3">
        <v>3070202017</v>
      </c>
      <c r="B212" s="4" t="s">
        <v>1267</v>
      </c>
      <c r="C212" s="4" t="s">
        <v>1302</v>
      </c>
      <c r="D212" s="3">
        <v>1</v>
      </c>
      <c r="E212" s="3" t="s">
        <v>16</v>
      </c>
      <c r="F212" s="3" t="s">
        <v>317</v>
      </c>
      <c r="G212" s="3" t="s">
        <v>318</v>
      </c>
      <c r="H212" s="3" t="s">
        <v>254</v>
      </c>
    </row>
    <row r="213" spans="1:8" x14ac:dyDescent="0.2">
      <c r="A213" s="3">
        <v>3111601004</v>
      </c>
      <c r="B213" s="4" t="s">
        <v>585</v>
      </c>
      <c r="C213" s="4" t="s">
        <v>1235</v>
      </c>
      <c r="D213" s="3">
        <v>4</v>
      </c>
      <c r="E213" s="3" t="s">
        <v>16</v>
      </c>
      <c r="F213" s="3" t="s">
        <v>289</v>
      </c>
      <c r="G213" s="3" t="s">
        <v>23</v>
      </c>
      <c r="H213" s="3" t="s">
        <v>254</v>
      </c>
    </row>
    <row r="214" spans="1:8" x14ac:dyDescent="0.2">
      <c r="A214" s="3">
        <v>3111601003</v>
      </c>
      <c r="B214" s="4" t="s">
        <v>585</v>
      </c>
      <c r="C214" s="4" t="s">
        <v>586</v>
      </c>
      <c r="D214" s="3">
        <v>2</v>
      </c>
      <c r="E214" s="3" t="s">
        <v>16</v>
      </c>
      <c r="F214" s="3" t="s">
        <v>291</v>
      </c>
      <c r="G214" s="3" t="s">
        <v>26</v>
      </c>
      <c r="H214" s="3" t="s">
        <v>254</v>
      </c>
    </row>
    <row r="215" spans="1:8" x14ac:dyDescent="0.2">
      <c r="A215" s="3">
        <v>3111601003</v>
      </c>
      <c r="B215" s="4" t="s">
        <v>585</v>
      </c>
      <c r="C215" s="4" t="s">
        <v>586</v>
      </c>
      <c r="D215" s="3">
        <v>13</v>
      </c>
      <c r="E215" s="3" t="s">
        <v>16</v>
      </c>
      <c r="F215" s="3" t="s">
        <v>289</v>
      </c>
      <c r="G215" s="3" t="s">
        <v>23</v>
      </c>
      <c r="H215" s="3" t="s">
        <v>254</v>
      </c>
    </row>
    <row r="216" spans="1:8" x14ac:dyDescent="0.2">
      <c r="A216" s="3">
        <v>3111601001</v>
      </c>
      <c r="B216" s="4" t="s">
        <v>585</v>
      </c>
      <c r="C216" s="4" t="s">
        <v>1269</v>
      </c>
      <c r="D216" s="3">
        <v>8</v>
      </c>
      <c r="E216" s="3" t="s">
        <v>16</v>
      </c>
      <c r="F216" s="3" t="s">
        <v>317</v>
      </c>
      <c r="G216" s="3" t="s">
        <v>318</v>
      </c>
      <c r="H216" s="3" t="s">
        <v>254</v>
      </c>
    </row>
    <row r="217" spans="1:8" x14ac:dyDescent="0.2">
      <c r="A217" s="3">
        <v>3060340003</v>
      </c>
      <c r="B217" s="4" t="s">
        <v>725</v>
      </c>
      <c r="C217" s="4" t="s">
        <v>1236</v>
      </c>
      <c r="D217" s="3">
        <v>1</v>
      </c>
      <c r="E217" s="3" t="s">
        <v>16</v>
      </c>
      <c r="F217" s="3" t="s">
        <v>289</v>
      </c>
      <c r="G217" s="3" t="s">
        <v>23</v>
      </c>
      <c r="H217" s="3" t="s">
        <v>254</v>
      </c>
    </row>
    <row r="218" spans="1:8" x14ac:dyDescent="0.2">
      <c r="A218" s="3">
        <v>3060339004</v>
      </c>
      <c r="B218" s="4" t="s">
        <v>737</v>
      </c>
      <c r="C218" s="4" t="s">
        <v>1253</v>
      </c>
      <c r="D218" s="3">
        <v>1</v>
      </c>
      <c r="E218" s="3" t="s">
        <v>16</v>
      </c>
      <c r="F218" s="3" t="s">
        <v>289</v>
      </c>
      <c r="G218" s="3" t="s">
        <v>23</v>
      </c>
      <c r="H218" s="3" t="s">
        <v>254</v>
      </c>
    </row>
    <row r="219" spans="1:8" x14ac:dyDescent="0.2">
      <c r="A219" s="3">
        <v>3050303009</v>
      </c>
      <c r="B219" s="4" t="s">
        <v>245</v>
      </c>
      <c r="C219" s="4" t="s">
        <v>1253</v>
      </c>
      <c r="D219" s="3">
        <v>1</v>
      </c>
      <c r="E219" s="3" t="s">
        <v>16</v>
      </c>
      <c r="F219" s="3" t="s">
        <v>291</v>
      </c>
      <c r="G219" s="3" t="s">
        <v>26</v>
      </c>
      <c r="H219" s="3" t="s">
        <v>254</v>
      </c>
    </row>
    <row r="220" spans="1:8" x14ac:dyDescent="0.2">
      <c r="A220" s="3">
        <v>3080310002</v>
      </c>
      <c r="B220" s="4" t="s">
        <v>588</v>
      </c>
      <c r="C220" s="4" t="s">
        <v>589</v>
      </c>
      <c r="D220" s="3">
        <v>1</v>
      </c>
      <c r="E220" s="3" t="s">
        <v>16</v>
      </c>
      <c r="F220" s="3" t="s">
        <v>295</v>
      </c>
      <c r="G220" s="3" t="s">
        <v>17</v>
      </c>
      <c r="H220" s="3" t="s">
        <v>590</v>
      </c>
    </row>
    <row r="221" spans="1:8" x14ac:dyDescent="0.2">
      <c r="A221" s="3">
        <v>3020301012</v>
      </c>
      <c r="B221" s="4" t="s">
        <v>209</v>
      </c>
      <c r="C221" s="4" t="s">
        <v>768</v>
      </c>
      <c r="D221" s="3">
        <v>1</v>
      </c>
      <c r="E221" s="3" t="s">
        <v>16</v>
      </c>
      <c r="F221" s="3" t="s">
        <v>301</v>
      </c>
      <c r="G221" s="3" t="s">
        <v>32</v>
      </c>
      <c r="H221" s="3" t="s">
        <v>769</v>
      </c>
    </row>
  </sheetData>
  <phoneticPr fontId="2" type="noConversion"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AEA26-7435-4B23-ABEB-49541BB97294}">
  <dimension ref="A1:H124"/>
  <sheetViews>
    <sheetView workbookViewId="0">
      <selection activeCell="K20" sqref="K20"/>
    </sheetView>
  </sheetViews>
  <sheetFormatPr defaultRowHeight="14.25" x14ac:dyDescent="0.2"/>
  <cols>
    <col min="1" max="1" width="12.125" customWidth="1"/>
    <col min="2" max="3" width="13.625" customWidth="1"/>
  </cols>
  <sheetData>
    <row r="1" spans="1:8" x14ac:dyDescent="0.2">
      <c r="A1" s="3" t="s">
        <v>1992</v>
      </c>
      <c r="B1" s="4"/>
      <c r="C1" s="4"/>
      <c r="D1" s="3"/>
      <c r="E1" s="3"/>
      <c r="F1" s="3"/>
      <c r="G1" s="3"/>
      <c r="H1" s="3"/>
    </row>
    <row r="2" spans="1:8" ht="28.5" x14ac:dyDescent="0.2">
      <c r="A2" s="1" t="s">
        <v>0</v>
      </c>
      <c r="B2" s="2" t="s">
        <v>1</v>
      </c>
      <c r="C2" s="2" t="s">
        <v>2</v>
      </c>
      <c r="D2" s="1" t="s">
        <v>4</v>
      </c>
      <c r="E2" s="1" t="s">
        <v>3</v>
      </c>
      <c r="F2" s="1" t="s">
        <v>5</v>
      </c>
      <c r="G2" s="1" t="s">
        <v>6</v>
      </c>
      <c r="H2" s="1" t="s">
        <v>7</v>
      </c>
    </row>
    <row r="3" spans="1:8" s="10" customFormat="1" x14ac:dyDescent="0.2">
      <c r="A3" s="8" t="s">
        <v>390</v>
      </c>
      <c r="B3" s="9" t="s">
        <v>8</v>
      </c>
      <c r="C3" s="9" t="s">
        <v>9</v>
      </c>
      <c r="D3" s="13">
        <f>0.1457/0.94</f>
        <v>0.155</v>
      </c>
      <c r="E3" s="8" t="s">
        <v>596</v>
      </c>
      <c r="F3" s="8" t="s">
        <v>283</v>
      </c>
      <c r="G3" s="8" t="s">
        <v>13</v>
      </c>
      <c r="H3" s="8" t="s">
        <v>12</v>
      </c>
    </row>
    <row r="4" spans="1:8" x14ac:dyDescent="0.2">
      <c r="A4" s="3">
        <v>402030028</v>
      </c>
      <c r="B4" s="4" t="s">
        <v>107</v>
      </c>
      <c r="C4" s="4" t="s">
        <v>305</v>
      </c>
      <c r="D4" s="3">
        <v>1</v>
      </c>
      <c r="E4" s="3" t="s">
        <v>16</v>
      </c>
      <c r="F4" s="3" t="s">
        <v>289</v>
      </c>
      <c r="G4" s="3" t="s">
        <v>23</v>
      </c>
      <c r="H4" s="3" t="s">
        <v>306</v>
      </c>
    </row>
    <row r="5" spans="1:8" x14ac:dyDescent="0.2">
      <c r="A5" s="3">
        <v>40901009</v>
      </c>
      <c r="B5" s="4" t="s">
        <v>801</v>
      </c>
      <c r="C5" s="4" t="s">
        <v>1153</v>
      </c>
      <c r="D5" s="3">
        <v>1</v>
      </c>
      <c r="E5" s="3" t="s">
        <v>16</v>
      </c>
      <c r="F5" s="3" t="s">
        <v>289</v>
      </c>
      <c r="G5" s="3" t="s">
        <v>23</v>
      </c>
      <c r="H5" s="3" t="s">
        <v>306</v>
      </c>
    </row>
    <row r="6" spans="1:8" x14ac:dyDescent="0.2">
      <c r="A6" s="3">
        <v>3030314005</v>
      </c>
      <c r="B6" s="4" t="s">
        <v>394</v>
      </c>
      <c r="C6" s="4" t="s">
        <v>395</v>
      </c>
      <c r="D6" s="3">
        <v>1</v>
      </c>
      <c r="E6" s="3" t="s">
        <v>16</v>
      </c>
      <c r="F6" s="3" t="s">
        <v>291</v>
      </c>
      <c r="G6" s="3" t="s">
        <v>26</v>
      </c>
      <c r="H6" s="3" t="s">
        <v>18</v>
      </c>
    </row>
    <row r="7" spans="1:8" x14ac:dyDescent="0.2">
      <c r="A7" s="3">
        <v>404010128</v>
      </c>
      <c r="B7" s="4" t="s">
        <v>30</v>
      </c>
      <c r="C7" s="4" t="s">
        <v>624</v>
      </c>
      <c r="D7" s="3">
        <v>1</v>
      </c>
      <c r="E7" s="3" t="s">
        <v>16</v>
      </c>
      <c r="F7" s="3" t="s">
        <v>289</v>
      </c>
      <c r="G7" s="3" t="s">
        <v>23</v>
      </c>
      <c r="H7" s="3" t="s">
        <v>33</v>
      </c>
    </row>
    <row r="8" spans="1:8" x14ac:dyDescent="0.2">
      <c r="A8" s="3">
        <v>404090156</v>
      </c>
      <c r="B8" s="4" t="s">
        <v>30</v>
      </c>
      <c r="C8" s="4" t="s">
        <v>1304</v>
      </c>
      <c r="D8" s="3">
        <v>1</v>
      </c>
      <c r="E8" s="3" t="s">
        <v>16</v>
      </c>
      <c r="F8" s="3" t="s">
        <v>301</v>
      </c>
      <c r="G8" s="3" t="s">
        <v>32</v>
      </c>
      <c r="H8" s="3" t="s">
        <v>33</v>
      </c>
    </row>
    <row r="9" spans="1:8" x14ac:dyDescent="0.2">
      <c r="A9" s="3">
        <v>404090099</v>
      </c>
      <c r="B9" s="4" t="s">
        <v>30</v>
      </c>
      <c r="C9" s="4" t="s">
        <v>1305</v>
      </c>
      <c r="D9" s="3">
        <v>1</v>
      </c>
      <c r="E9" s="3" t="s">
        <v>16</v>
      </c>
      <c r="F9" s="3" t="s">
        <v>301</v>
      </c>
      <c r="G9" s="3" t="s">
        <v>32</v>
      </c>
      <c r="H9" s="3" t="s">
        <v>33</v>
      </c>
    </row>
    <row r="10" spans="1:8" x14ac:dyDescent="0.2">
      <c r="A10" s="3">
        <v>404090103</v>
      </c>
      <c r="B10" s="4" t="s">
        <v>30</v>
      </c>
      <c r="C10" s="4" t="s">
        <v>625</v>
      </c>
      <c r="D10" s="3">
        <v>1</v>
      </c>
      <c r="E10" s="3" t="s">
        <v>16</v>
      </c>
      <c r="F10" s="3" t="s">
        <v>301</v>
      </c>
      <c r="G10" s="3" t="s">
        <v>32</v>
      </c>
      <c r="H10" s="3" t="s">
        <v>33</v>
      </c>
    </row>
    <row r="11" spans="1:8" x14ac:dyDescent="0.2">
      <c r="A11" s="3">
        <v>401020131</v>
      </c>
      <c r="B11" s="4" t="s">
        <v>35</v>
      </c>
      <c r="C11" s="4" t="s">
        <v>1306</v>
      </c>
      <c r="D11" s="3">
        <v>1</v>
      </c>
      <c r="E11" s="3" t="s">
        <v>16</v>
      </c>
      <c r="F11" s="3" t="s">
        <v>301</v>
      </c>
      <c r="G11" s="3" t="s">
        <v>32</v>
      </c>
      <c r="H11" s="3" t="s">
        <v>33</v>
      </c>
    </row>
    <row r="12" spans="1:8" x14ac:dyDescent="0.2">
      <c r="A12" s="3">
        <v>3080101002</v>
      </c>
      <c r="B12" s="4" t="s">
        <v>411</v>
      </c>
      <c r="C12" s="4" t="s">
        <v>413</v>
      </c>
      <c r="D12" s="3">
        <v>19</v>
      </c>
      <c r="E12" s="3" t="s">
        <v>16</v>
      </c>
      <c r="F12" s="3" t="s">
        <v>289</v>
      </c>
      <c r="G12" s="3" t="s">
        <v>23</v>
      </c>
      <c r="H12" s="3" t="s">
        <v>40</v>
      </c>
    </row>
    <row r="13" spans="1:8" x14ac:dyDescent="0.2">
      <c r="A13" s="3">
        <v>3080401014</v>
      </c>
      <c r="B13" s="4" t="s">
        <v>41</v>
      </c>
      <c r="C13" s="4" t="s">
        <v>417</v>
      </c>
      <c r="D13" s="3">
        <v>4</v>
      </c>
      <c r="E13" s="3" t="s">
        <v>16</v>
      </c>
      <c r="F13" s="3" t="s">
        <v>291</v>
      </c>
      <c r="G13" s="3" t="s">
        <v>26</v>
      </c>
      <c r="H13" s="3" t="s">
        <v>40</v>
      </c>
    </row>
    <row r="14" spans="1:8" x14ac:dyDescent="0.2">
      <c r="A14" s="3">
        <v>3080104079</v>
      </c>
      <c r="B14" s="4" t="s">
        <v>45</v>
      </c>
      <c r="C14" s="4" t="s">
        <v>627</v>
      </c>
      <c r="D14" s="3">
        <v>4</v>
      </c>
      <c r="E14" s="3" t="s">
        <v>16</v>
      </c>
      <c r="F14" s="3" t="s">
        <v>291</v>
      </c>
      <c r="G14" s="3" t="s">
        <v>26</v>
      </c>
      <c r="H14" s="3" t="s">
        <v>40</v>
      </c>
    </row>
    <row r="15" spans="1:8" x14ac:dyDescent="0.2">
      <c r="A15" s="3">
        <v>3080104099</v>
      </c>
      <c r="B15" s="4" t="s">
        <v>45</v>
      </c>
      <c r="C15" s="4" t="s">
        <v>419</v>
      </c>
      <c r="D15" s="3">
        <v>2</v>
      </c>
      <c r="E15" s="3" t="s">
        <v>16</v>
      </c>
      <c r="F15" s="3" t="s">
        <v>291</v>
      </c>
      <c r="G15" s="3" t="s">
        <v>26</v>
      </c>
      <c r="H15" s="3" t="s">
        <v>40</v>
      </c>
    </row>
    <row r="16" spans="1:8" x14ac:dyDescent="0.2">
      <c r="A16" s="3">
        <v>3080104014</v>
      </c>
      <c r="B16" s="4" t="s">
        <v>45</v>
      </c>
      <c r="C16" s="4" t="s">
        <v>312</v>
      </c>
      <c r="D16" s="3">
        <v>2</v>
      </c>
      <c r="E16" s="3" t="s">
        <v>16</v>
      </c>
      <c r="F16" s="3" t="s">
        <v>293</v>
      </c>
      <c r="G16" s="3" t="s">
        <v>29</v>
      </c>
      <c r="H16" s="3" t="s">
        <v>40</v>
      </c>
    </row>
    <row r="17" spans="1:8" x14ac:dyDescent="0.2">
      <c r="A17" s="3">
        <v>3080104073</v>
      </c>
      <c r="B17" s="4" t="s">
        <v>45</v>
      </c>
      <c r="C17" s="4" t="s">
        <v>1155</v>
      </c>
      <c r="D17" s="3">
        <v>3</v>
      </c>
      <c r="E17" s="3" t="s">
        <v>16</v>
      </c>
      <c r="F17" s="3" t="s">
        <v>289</v>
      </c>
      <c r="G17" s="3" t="s">
        <v>23</v>
      </c>
      <c r="H17" s="3" t="s">
        <v>40</v>
      </c>
    </row>
    <row r="18" spans="1:8" x14ac:dyDescent="0.2">
      <c r="A18" s="3">
        <v>3080105006</v>
      </c>
      <c r="B18" s="4" t="s">
        <v>50</v>
      </c>
      <c r="C18" s="4" t="s">
        <v>1157</v>
      </c>
      <c r="D18" s="3">
        <v>8</v>
      </c>
      <c r="E18" s="3" t="s">
        <v>16</v>
      </c>
      <c r="F18" s="3" t="s">
        <v>289</v>
      </c>
      <c r="G18" s="3" t="s">
        <v>23</v>
      </c>
      <c r="H18" s="3" t="s">
        <v>40</v>
      </c>
    </row>
    <row r="19" spans="1:8" x14ac:dyDescent="0.2">
      <c r="A19" s="3">
        <v>3080105036</v>
      </c>
      <c r="B19" s="4" t="s">
        <v>50</v>
      </c>
      <c r="C19" s="4" t="s">
        <v>1295</v>
      </c>
      <c r="D19" s="3">
        <v>6</v>
      </c>
      <c r="E19" s="3" t="s">
        <v>16</v>
      </c>
      <c r="F19" s="3" t="s">
        <v>291</v>
      </c>
      <c r="G19" s="3" t="s">
        <v>26</v>
      </c>
      <c r="H19" s="3" t="s">
        <v>40</v>
      </c>
    </row>
    <row r="20" spans="1:8" x14ac:dyDescent="0.2">
      <c r="A20" s="3">
        <v>3080105007</v>
      </c>
      <c r="B20" s="4" t="s">
        <v>50</v>
      </c>
      <c r="C20" s="4" t="s">
        <v>52</v>
      </c>
      <c r="D20" s="3">
        <v>2</v>
      </c>
      <c r="E20" s="3" t="s">
        <v>16</v>
      </c>
      <c r="F20" s="3" t="s">
        <v>293</v>
      </c>
      <c r="G20" s="3" t="s">
        <v>29</v>
      </c>
      <c r="H20" s="3" t="s">
        <v>40</v>
      </c>
    </row>
    <row r="21" spans="1:8" x14ac:dyDescent="0.2">
      <c r="A21" s="3">
        <v>3080105068</v>
      </c>
      <c r="B21" s="4" t="s">
        <v>50</v>
      </c>
      <c r="C21" s="4" t="s">
        <v>314</v>
      </c>
      <c r="D21" s="3">
        <v>10</v>
      </c>
      <c r="E21" s="3" t="s">
        <v>16</v>
      </c>
      <c r="F21" s="3" t="s">
        <v>293</v>
      </c>
      <c r="G21" s="3" t="s">
        <v>29</v>
      </c>
      <c r="H21" s="3" t="s">
        <v>40</v>
      </c>
    </row>
    <row r="22" spans="1:8" x14ac:dyDescent="0.2">
      <c r="A22" s="3">
        <v>3080105014</v>
      </c>
      <c r="B22" s="4" t="s">
        <v>50</v>
      </c>
      <c r="C22" s="4" t="s">
        <v>1238</v>
      </c>
      <c r="D22" s="3">
        <v>2</v>
      </c>
      <c r="E22" s="3" t="s">
        <v>16</v>
      </c>
      <c r="F22" s="3" t="s">
        <v>289</v>
      </c>
      <c r="G22" s="3" t="s">
        <v>23</v>
      </c>
      <c r="H22" s="3" t="s">
        <v>40</v>
      </c>
    </row>
    <row r="23" spans="1:8" x14ac:dyDescent="0.2">
      <c r="A23" s="3">
        <v>3080105040</v>
      </c>
      <c r="B23" s="4" t="s">
        <v>50</v>
      </c>
      <c r="C23" s="4" t="s">
        <v>421</v>
      </c>
      <c r="D23" s="3">
        <v>2</v>
      </c>
      <c r="E23" s="3" t="s">
        <v>16</v>
      </c>
      <c r="F23" s="3" t="s">
        <v>291</v>
      </c>
      <c r="G23" s="3" t="s">
        <v>26</v>
      </c>
      <c r="H23" s="3" t="s">
        <v>40</v>
      </c>
    </row>
    <row r="24" spans="1:8" x14ac:dyDescent="0.2">
      <c r="A24" s="3">
        <v>3080105043</v>
      </c>
      <c r="B24" s="4" t="s">
        <v>50</v>
      </c>
      <c r="C24" s="4" t="s">
        <v>629</v>
      </c>
      <c r="D24" s="3">
        <v>6</v>
      </c>
      <c r="E24" s="3" t="s">
        <v>16</v>
      </c>
      <c r="F24" s="3" t="s">
        <v>291</v>
      </c>
      <c r="G24" s="3" t="s">
        <v>26</v>
      </c>
      <c r="H24" s="3" t="s">
        <v>40</v>
      </c>
    </row>
    <row r="25" spans="1:8" x14ac:dyDescent="0.2">
      <c r="A25" s="3">
        <v>3080105033</v>
      </c>
      <c r="B25" s="4" t="s">
        <v>50</v>
      </c>
      <c r="C25" s="4" t="s">
        <v>628</v>
      </c>
      <c r="D25" s="3">
        <v>4</v>
      </c>
      <c r="E25" s="3" t="s">
        <v>16</v>
      </c>
      <c r="F25" s="3" t="s">
        <v>293</v>
      </c>
      <c r="G25" s="3" t="s">
        <v>29</v>
      </c>
      <c r="H25" s="3" t="s">
        <v>40</v>
      </c>
    </row>
    <row r="26" spans="1:8" x14ac:dyDescent="0.2">
      <c r="A26" s="3">
        <v>3080105023</v>
      </c>
      <c r="B26" s="4" t="s">
        <v>50</v>
      </c>
      <c r="C26" s="4" t="s">
        <v>1159</v>
      </c>
      <c r="D26" s="3">
        <v>4</v>
      </c>
      <c r="E26" s="3" t="s">
        <v>16</v>
      </c>
      <c r="F26" s="3" t="s">
        <v>289</v>
      </c>
      <c r="G26" s="3" t="s">
        <v>23</v>
      </c>
      <c r="H26" s="3" t="s">
        <v>40</v>
      </c>
    </row>
    <row r="27" spans="1:8" x14ac:dyDescent="0.2">
      <c r="A27" s="3">
        <v>3080501003</v>
      </c>
      <c r="B27" s="4" t="s">
        <v>57</v>
      </c>
      <c r="C27" s="4" t="s">
        <v>630</v>
      </c>
      <c r="D27" s="3">
        <v>2</v>
      </c>
      <c r="E27" s="3" t="s">
        <v>16</v>
      </c>
      <c r="F27" s="3" t="s">
        <v>291</v>
      </c>
      <c r="G27" s="3" t="s">
        <v>26</v>
      </c>
      <c r="H27" s="3" t="s">
        <v>40</v>
      </c>
    </row>
    <row r="28" spans="1:8" x14ac:dyDescent="0.2">
      <c r="A28" s="3">
        <v>3080501013</v>
      </c>
      <c r="B28" s="4" t="s">
        <v>57</v>
      </c>
      <c r="C28" s="4" t="s">
        <v>58</v>
      </c>
      <c r="D28" s="3">
        <v>2</v>
      </c>
      <c r="E28" s="3" t="s">
        <v>16</v>
      </c>
      <c r="F28" s="3" t="s">
        <v>293</v>
      </c>
      <c r="G28" s="3" t="s">
        <v>29</v>
      </c>
      <c r="H28" s="3" t="s">
        <v>40</v>
      </c>
    </row>
    <row r="29" spans="1:8" x14ac:dyDescent="0.2">
      <c r="A29" s="3">
        <v>3080106015</v>
      </c>
      <c r="B29" s="4" t="s">
        <v>66</v>
      </c>
      <c r="C29" s="4" t="s">
        <v>631</v>
      </c>
      <c r="D29" s="3">
        <v>4</v>
      </c>
      <c r="E29" s="3" t="s">
        <v>16</v>
      </c>
      <c r="F29" s="3" t="s">
        <v>291</v>
      </c>
      <c r="G29" s="3" t="s">
        <v>26</v>
      </c>
      <c r="H29" s="3" t="s">
        <v>40</v>
      </c>
    </row>
    <row r="30" spans="1:8" x14ac:dyDescent="0.2">
      <c r="A30" s="3">
        <v>3080107271</v>
      </c>
      <c r="B30" s="4" t="s">
        <v>69</v>
      </c>
      <c r="C30" s="4" t="s">
        <v>1161</v>
      </c>
      <c r="D30" s="3">
        <v>2</v>
      </c>
      <c r="E30" s="3" t="s">
        <v>16</v>
      </c>
      <c r="F30" s="3" t="s">
        <v>289</v>
      </c>
      <c r="G30" s="3" t="s">
        <v>23</v>
      </c>
      <c r="H30" s="3" t="s">
        <v>40</v>
      </c>
    </row>
    <row r="31" spans="1:8" x14ac:dyDescent="0.2">
      <c r="A31" s="3">
        <v>3080107014</v>
      </c>
      <c r="B31" s="4" t="s">
        <v>69</v>
      </c>
      <c r="C31" s="4" t="s">
        <v>322</v>
      </c>
      <c r="D31" s="3">
        <v>2</v>
      </c>
      <c r="E31" s="3" t="s">
        <v>16</v>
      </c>
      <c r="F31" s="3" t="s">
        <v>291</v>
      </c>
      <c r="G31" s="3" t="s">
        <v>26</v>
      </c>
      <c r="H31" s="3" t="s">
        <v>40</v>
      </c>
    </row>
    <row r="32" spans="1:8" x14ac:dyDescent="0.2">
      <c r="A32" s="3">
        <v>3080107072</v>
      </c>
      <c r="B32" s="4" t="s">
        <v>69</v>
      </c>
      <c r="C32" s="4" t="s">
        <v>435</v>
      </c>
      <c r="D32" s="3">
        <v>4</v>
      </c>
      <c r="E32" s="3" t="s">
        <v>16</v>
      </c>
      <c r="F32" s="3" t="s">
        <v>291</v>
      </c>
      <c r="G32" s="3" t="s">
        <v>26</v>
      </c>
      <c r="H32" s="3" t="s">
        <v>40</v>
      </c>
    </row>
    <row r="33" spans="1:8" x14ac:dyDescent="0.2">
      <c r="A33" s="3">
        <v>3080107092</v>
      </c>
      <c r="B33" s="4" t="s">
        <v>69</v>
      </c>
      <c r="C33" s="4" t="s">
        <v>1162</v>
      </c>
      <c r="D33" s="3">
        <v>4</v>
      </c>
      <c r="E33" s="3" t="s">
        <v>16</v>
      </c>
      <c r="F33" s="3" t="s">
        <v>289</v>
      </c>
      <c r="G33" s="3" t="s">
        <v>23</v>
      </c>
      <c r="H33" s="3" t="s">
        <v>40</v>
      </c>
    </row>
    <row r="34" spans="1:8" x14ac:dyDescent="0.2">
      <c r="A34" s="3">
        <v>3080108052</v>
      </c>
      <c r="B34" s="4" t="s">
        <v>77</v>
      </c>
      <c r="C34" s="4" t="s">
        <v>1164</v>
      </c>
      <c r="D34" s="3">
        <v>1</v>
      </c>
      <c r="E34" s="3" t="s">
        <v>16</v>
      </c>
      <c r="F34" s="3" t="s">
        <v>289</v>
      </c>
      <c r="G34" s="3" t="s">
        <v>23</v>
      </c>
      <c r="H34" s="3" t="s">
        <v>40</v>
      </c>
    </row>
    <row r="35" spans="1:8" x14ac:dyDescent="0.2">
      <c r="A35" s="3">
        <v>3080101008</v>
      </c>
      <c r="B35" s="4" t="s">
        <v>77</v>
      </c>
      <c r="C35" s="4" t="s">
        <v>1165</v>
      </c>
      <c r="D35" s="3">
        <v>4</v>
      </c>
      <c r="E35" s="3" t="s">
        <v>16</v>
      </c>
      <c r="F35" s="3" t="s">
        <v>289</v>
      </c>
      <c r="G35" s="3" t="s">
        <v>23</v>
      </c>
      <c r="H35" s="3" t="s">
        <v>40</v>
      </c>
    </row>
    <row r="36" spans="1:8" x14ac:dyDescent="0.2">
      <c r="A36" s="3">
        <v>3080108040</v>
      </c>
      <c r="B36" s="4" t="s">
        <v>77</v>
      </c>
      <c r="C36" s="4" t="s">
        <v>1166</v>
      </c>
      <c r="D36" s="3">
        <v>2</v>
      </c>
      <c r="E36" s="3" t="s">
        <v>16</v>
      </c>
      <c r="F36" s="3" t="s">
        <v>289</v>
      </c>
      <c r="G36" s="3" t="s">
        <v>23</v>
      </c>
      <c r="H36" s="3" t="s">
        <v>40</v>
      </c>
    </row>
    <row r="37" spans="1:8" x14ac:dyDescent="0.2">
      <c r="A37" s="3">
        <v>3080110010</v>
      </c>
      <c r="B37" s="4" t="s">
        <v>632</v>
      </c>
      <c r="C37" s="4" t="s">
        <v>633</v>
      </c>
      <c r="D37" s="3">
        <v>2</v>
      </c>
      <c r="E37" s="3" t="s">
        <v>16</v>
      </c>
      <c r="F37" s="3" t="s">
        <v>291</v>
      </c>
      <c r="G37" s="3" t="s">
        <v>26</v>
      </c>
      <c r="H37" s="3" t="s">
        <v>40</v>
      </c>
    </row>
    <row r="38" spans="1:8" x14ac:dyDescent="0.2">
      <c r="A38" s="3">
        <v>3080111087</v>
      </c>
      <c r="B38" s="4" t="s">
        <v>79</v>
      </c>
      <c r="C38" s="4" t="s">
        <v>80</v>
      </c>
      <c r="D38" s="3">
        <v>2</v>
      </c>
      <c r="E38" s="3" t="s">
        <v>16</v>
      </c>
      <c r="F38" s="3" t="s">
        <v>291</v>
      </c>
      <c r="G38" s="3" t="s">
        <v>26</v>
      </c>
      <c r="H38" s="3" t="s">
        <v>40</v>
      </c>
    </row>
    <row r="39" spans="1:8" x14ac:dyDescent="0.2">
      <c r="A39" s="3">
        <v>3080111087</v>
      </c>
      <c r="B39" s="4" t="s">
        <v>79</v>
      </c>
      <c r="C39" s="4" t="s">
        <v>80</v>
      </c>
      <c r="D39" s="3">
        <v>16</v>
      </c>
      <c r="E39" s="3" t="s">
        <v>16</v>
      </c>
      <c r="F39" s="3" t="s">
        <v>291</v>
      </c>
      <c r="G39" s="3" t="s">
        <v>26</v>
      </c>
      <c r="H39" s="3" t="s">
        <v>40</v>
      </c>
    </row>
    <row r="40" spans="1:8" x14ac:dyDescent="0.2">
      <c r="A40" s="3">
        <v>3080111074</v>
      </c>
      <c r="B40" s="4" t="s">
        <v>79</v>
      </c>
      <c r="C40" s="4" t="s">
        <v>634</v>
      </c>
      <c r="D40" s="3">
        <v>4</v>
      </c>
      <c r="E40" s="3" t="s">
        <v>16</v>
      </c>
      <c r="F40" s="3" t="s">
        <v>291</v>
      </c>
      <c r="G40" s="3" t="s">
        <v>26</v>
      </c>
      <c r="H40" s="3" t="s">
        <v>40</v>
      </c>
    </row>
    <row r="41" spans="1:8" x14ac:dyDescent="0.2">
      <c r="A41" s="3">
        <v>407030075</v>
      </c>
      <c r="B41" s="4" t="s">
        <v>81</v>
      </c>
      <c r="C41" s="4" t="s">
        <v>635</v>
      </c>
      <c r="D41" s="3">
        <v>1</v>
      </c>
      <c r="E41" s="3" t="s">
        <v>16</v>
      </c>
      <c r="F41" s="3" t="s">
        <v>301</v>
      </c>
      <c r="G41" s="3" t="s">
        <v>32</v>
      </c>
      <c r="H41" s="3" t="s">
        <v>40</v>
      </c>
    </row>
    <row r="42" spans="1:8" x14ac:dyDescent="0.2">
      <c r="A42" s="3">
        <v>3030101051</v>
      </c>
      <c r="B42" s="4" t="s">
        <v>636</v>
      </c>
      <c r="C42" s="4" t="s">
        <v>637</v>
      </c>
      <c r="D42" s="3">
        <v>1</v>
      </c>
      <c r="E42" s="3" t="s">
        <v>16</v>
      </c>
      <c r="F42" s="3" t="s">
        <v>291</v>
      </c>
      <c r="G42" s="3" t="s">
        <v>26</v>
      </c>
      <c r="H42" s="3" t="s">
        <v>88</v>
      </c>
    </row>
    <row r="43" spans="1:8" x14ac:dyDescent="0.2">
      <c r="A43" s="3">
        <v>3099990210</v>
      </c>
      <c r="B43" s="4" t="s">
        <v>1902</v>
      </c>
      <c r="C43" s="4" t="s">
        <v>1989</v>
      </c>
      <c r="D43" s="3">
        <v>1</v>
      </c>
      <c r="E43" s="3" t="s">
        <v>16</v>
      </c>
      <c r="F43" s="3" t="s">
        <v>299</v>
      </c>
      <c r="G43" s="3" t="s">
        <v>106</v>
      </c>
      <c r="H43" s="3" t="s">
        <v>103</v>
      </c>
    </row>
    <row r="44" spans="1:8" x14ac:dyDescent="0.2">
      <c r="A44" s="3">
        <v>3099980018</v>
      </c>
      <c r="B44" s="4" t="s">
        <v>1897</v>
      </c>
      <c r="C44" s="4" t="s">
        <v>1990</v>
      </c>
      <c r="D44" s="3">
        <v>1</v>
      </c>
      <c r="E44" s="3" t="s">
        <v>16</v>
      </c>
      <c r="F44" s="3" t="s">
        <v>291</v>
      </c>
      <c r="G44" s="3" t="s">
        <v>26</v>
      </c>
      <c r="H44" s="3" t="s">
        <v>103</v>
      </c>
    </row>
    <row r="45" spans="1:8" x14ac:dyDescent="0.2">
      <c r="A45" s="3">
        <v>402010065</v>
      </c>
      <c r="B45" s="4" t="s">
        <v>882</v>
      </c>
      <c r="C45" s="4" t="s">
        <v>1927</v>
      </c>
      <c r="D45" s="3">
        <v>1</v>
      </c>
      <c r="E45" s="3" t="s">
        <v>16</v>
      </c>
      <c r="F45" s="3" t="s">
        <v>291</v>
      </c>
      <c r="G45" s="3" t="s">
        <v>26</v>
      </c>
      <c r="H45" s="3" t="s">
        <v>109</v>
      </c>
    </row>
    <row r="46" spans="1:8" x14ac:dyDescent="0.2">
      <c r="A46" s="3">
        <v>402030019</v>
      </c>
      <c r="B46" s="4" t="s">
        <v>107</v>
      </c>
      <c r="C46" s="4" t="s">
        <v>638</v>
      </c>
      <c r="D46" s="3">
        <v>2</v>
      </c>
      <c r="E46" s="3" t="s">
        <v>16</v>
      </c>
      <c r="F46" s="3" t="s">
        <v>293</v>
      </c>
      <c r="G46" s="3" t="s">
        <v>29</v>
      </c>
      <c r="H46" s="3" t="s">
        <v>109</v>
      </c>
    </row>
    <row r="47" spans="1:8" x14ac:dyDescent="0.2">
      <c r="A47" s="3">
        <v>3060209002</v>
      </c>
      <c r="B47" s="4" t="s">
        <v>113</v>
      </c>
      <c r="C47" s="4" t="s">
        <v>114</v>
      </c>
      <c r="D47" s="3">
        <v>2</v>
      </c>
      <c r="E47" s="3" t="s">
        <v>16</v>
      </c>
      <c r="F47" s="3" t="s">
        <v>289</v>
      </c>
      <c r="G47" s="3" t="s">
        <v>23</v>
      </c>
      <c r="H47" s="3" t="s">
        <v>115</v>
      </c>
    </row>
    <row r="48" spans="1:8" x14ac:dyDescent="0.2">
      <c r="A48" s="3">
        <v>3040113002</v>
      </c>
      <c r="B48" s="4" t="s">
        <v>118</v>
      </c>
      <c r="C48" s="4" t="s">
        <v>119</v>
      </c>
      <c r="D48" s="3">
        <v>2</v>
      </c>
      <c r="E48" s="3" t="s">
        <v>16</v>
      </c>
      <c r="F48" s="3" t="s">
        <v>293</v>
      </c>
      <c r="G48" s="3" t="s">
        <v>29</v>
      </c>
      <c r="H48" s="3" t="s">
        <v>115</v>
      </c>
    </row>
    <row r="49" spans="1:8" x14ac:dyDescent="0.2">
      <c r="A49" s="3">
        <v>3040216001</v>
      </c>
      <c r="B49" s="4" t="s">
        <v>328</v>
      </c>
      <c r="C49" s="4" t="s">
        <v>329</v>
      </c>
      <c r="D49" s="3">
        <v>4</v>
      </c>
      <c r="E49" s="3" t="s">
        <v>16</v>
      </c>
      <c r="F49" s="3" t="s">
        <v>293</v>
      </c>
      <c r="G49" s="3" t="s">
        <v>29</v>
      </c>
      <c r="H49" s="3" t="s">
        <v>115</v>
      </c>
    </row>
    <row r="50" spans="1:8" x14ac:dyDescent="0.2">
      <c r="A50" s="3">
        <v>3050203003</v>
      </c>
      <c r="B50" s="4" t="s">
        <v>120</v>
      </c>
      <c r="C50" s="4" t="s">
        <v>457</v>
      </c>
      <c r="D50" s="3">
        <v>2</v>
      </c>
      <c r="E50" s="3" t="s">
        <v>16</v>
      </c>
      <c r="F50" s="3" t="s">
        <v>291</v>
      </c>
      <c r="G50" s="3" t="s">
        <v>26</v>
      </c>
      <c r="H50" s="3" t="s">
        <v>115</v>
      </c>
    </row>
    <row r="51" spans="1:8" x14ac:dyDescent="0.2">
      <c r="A51" s="3">
        <v>3030204008</v>
      </c>
      <c r="B51" s="4" t="s">
        <v>122</v>
      </c>
      <c r="C51" s="4" t="s">
        <v>123</v>
      </c>
      <c r="D51" s="3">
        <v>1</v>
      </c>
      <c r="E51" s="3" t="s">
        <v>16</v>
      </c>
      <c r="F51" s="3" t="s">
        <v>291</v>
      </c>
      <c r="G51" s="3" t="s">
        <v>26</v>
      </c>
      <c r="H51" s="3" t="s">
        <v>115</v>
      </c>
    </row>
    <row r="52" spans="1:8" x14ac:dyDescent="0.2">
      <c r="A52" s="3">
        <v>401040438</v>
      </c>
      <c r="B52" s="4" t="s">
        <v>35</v>
      </c>
      <c r="C52" s="4" t="s">
        <v>639</v>
      </c>
      <c r="D52" s="3">
        <v>1</v>
      </c>
      <c r="E52" s="3" t="s">
        <v>16</v>
      </c>
      <c r="F52" s="3" t="s">
        <v>291</v>
      </c>
      <c r="G52" s="3" t="s">
        <v>26</v>
      </c>
      <c r="H52" s="3" t="s">
        <v>134</v>
      </c>
    </row>
    <row r="53" spans="1:8" x14ac:dyDescent="0.2">
      <c r="A53" s="3">
        <v>3110207001</v>
      </c>
      <c r="B53" s="4" t="s">
        <v>140</v>
      </c>
      <c r="C53" s="4" t="s">
        <v>1173</v>
      </c>
      <c r="D53" s="3">
        <v>1</v>
      </c>
      <c r="E53" s="3" t="s">
        <v>16</v>
      </c>
      <c r="F53" s="3" t="s">
        <v>285</v>
      </c>
      <c r="G53" s="3" t="s">
        <v>142</v>
      </c>
      <c r="H53" s="3" t="s">
        <v>143</v>
      </c>
    </row>
    <row r="54" spans="1:8" x14ac:dyDescent="0.2">
      <c r="A54" s="3">
        <v>3030301005</v>
      </c>
      <c r="B54" s="4" t="s">
        <v>144</v>
      </c>
      <c r="C54" s="4" t="s">
        <v>145</v>
      </c>
      <c r="D54" s="3">
        <v>2</v>
      </c>
      <c r="E54" s="3" t="s">
        <v>16</v>
      </c>
      <c r="F54" s="3" t="s">
        <v>291</v>
      </c>
      <c r="G54" s="3" t="s">
        <v>26</v>
      </c>
      <c r="H54" s="3" t="s">
        <v>143</v>
      </c>
    </row>
    <row r="55" spans="1:8" x14ac:dyDescent="0.2">
      <c r="A55" s="3">
        <v>3110206001</v>
      </c>
      <c r="B55" s="4" t="s">
        <v>715</v>
      </c>
      <c r="C55" s="4" t="s">
        <v>1175</v>
      </c>
      <c r="D55" s="3">
        <v>1</v>
      </c>
      <c r="E55" s="3" t="s">
        <v>16</v>
      </c>
      <c r="F55" s="3" t="s">
        <v>285</v>
      </c>
      <c r="G55" s="3" t="s">
        <v>142</v>
      </c>
      <c r="H55" s="3" t="s">
        <v>143</v>
      </c>
    </row>
    <row r="56" spans="1:8" x14ac:dyDescent="0.2">
      <c r="A56" s="3">
        <v>3060204002</v>
      </c>
      <c r="B56" s="4" t="s">
        <v>1176</v>
      </c>
      <c r="C56" s="4" t="s">
        <v>1177</v>
      </c>
      <c r="D56" s="3">
        <v>1</v>
      </c>
      <c r="E56" s="3" t="s">
        <v>16</v>
      </c>
      <c r="F56" s="3" t="s">
        <v>289</v>
      </c>
      <c r="G56" s="3" t="s">
        <v>23</v>
      </c>
      <c r="H56" s="3" t="s">
        <v>154</v>
      </c>
    </row>
    <row r="57" spans="1:8" x14ac:dyDescent="0.2">
      <c r="A57" s="3">
        <v>3060206002</v>
      </c>
      <c r="B57" s="4" t="s">
        <v>1178</v>
      </c>
      <c r="C57" s="4" t="s">
        <v>1179</v>
      </c>
      <c r="D57" s="3">
        <v>1</v>
      </c>
      <c r="E57" s="3" t="s">
        <v>16</v>
      </c>
      <c r="F57" s="3" t="s">
        <v>289</v>
      </c>
      <c r="G57" s="3" t="s">
        <v>23</v>
      </c>
      <c r="H57" s="3" t="s">
        <v>154</v>
      </c>
    </row>
    <row r="58" spans="1:8" x14ac:dyDescent="0.2">
      <c r="A58" s="3">
        <v>3060211003</v>
      </c>
      <c r="B58" s="4" t="s">
        <v>1180</v>
      </c>
      <c r="C58" s="4" t="s">
        <v>1181</v>
      </c>
      <c r="D58" s="3">
        <v>1</v>
      </c>
      <c r="E58" s="3" t="s">
        <v>16</v>
      </c>
      <c r="F58" s="3" t="s">
        <v>289</v>
      </c>
      <c r="G58" s="3" t="s">
        <v>23</v>
      </c>
      <c r="H58" s="3" t="s">
        <v>154</v>
      </c>
    </row>
    <row r="59" spans="1:8" x14ac:dyDescent="0.2">
      <c r="A59" s="3">
        <v>3050206006</v>
      </c>
      <c r="B59" s="4" t="s">
        <v>640</v>
      </c>
      <c r="C59" s="4" t="s">
        <v>641</v>
      </c>
      <c r="D59" s="3">
        <v>1</v>
      </c>
      <c r="E59" s="3" t="s">
        <v>16</v>
      </c>
      <c r="F59" s="3" t="s">
        <v>291</v>
      </c>
      <c r="G59" s="3" t="s">
        <v>26</v>
      </c>
      <c r="H59" s="3" t="s">
        <v>154</v>
      </c>
    </row>
    <row r="60" spans="1:8" x14ac:dyDescent="0.2">
      <c r="A60" s="3">
        <v>3060501015</v>
      </c>
      <c r="B60" s="4" t="s">
        <v>224</v>
      </c>
      <c r="C60" s="4" t="s">
        <v>1317</v>
      </c>
      <c r="D60" s="3">
        <v>1</v>
      </c>
      <c r="E60" s="3" t="s">
        <v>16</v>
      </c>
      <c r="F60" s="3" t="s">
        <v>289</v>
      </c>
      <c r="G60" s="3" t="s">
        <v>23</v>
      </c>
      <c r="H60" s="3" t="s">
        <v>165</v>
      </c>
    </row>
    <row r="61" spans="1:8" x14ac:dyDescent="0.2">
      <c r="A61" s="3">
        <v>3060328001</v>
      </c>
      <c r="B61" s="4" t="s">
        <v>1182</v>
      </c>
      <c r="C61" s="4" t="s">
        <v>1183</v>
      </c>
      <c r="D61" s="3">
        <v>1</v>
      </c>
      <c r="E61" s="3" t="s">
        <v>16</v>
      </c>
      <c r="F61" s="3" t="s">
        <v>289</v>
      </c>
      <c r="G61" s="3" t="s">
        <v>23</v>
      </c>
      <c r="H61" s="3" t="s">
        <v>165</v>
      </c>
    </row>
    <row r="62" spans="1:8" x14ac:dyDescent="0.2">
      <c r="A62" s="3">
        <v>3060328002</v>
      </c>
      <c r="B62" s="4" t="s">
        <v>1182</v>
      </c>
      <c r="C62" s="4" t="s">
        <v>1184</v>
      </c>
      <c r="D62" s="3">
        <v>1</v>
      </c>
      <c r="E62" s="3" t="s">
        <v>16</v>
      </c>
      <c r="F62" s="3" t="s">
        <v>289</v>
      </c>
      <c r="G62" s="3" t="s">
        <v>23</v>
      </c>
      <c r="H62" s="3" t="s">
        <v>165</v>
      </c>
    </row>
    <row r="63" spans="1:8" x14ac:dyDescent="0.2">
      <c r="A63" s="3">
        <v>3110103002</v>
      </c>
      <c r="B63" s="4" t="s">
        <v>473</v>
      </c>
      <c r="C63" s="4" t="s">
        <v>474</v>
      </c>
      <c r="D63" s="3">
        <v>1</v>
      </c>
      <c r="E63" s="3" t="s">
        <v>16</v>
      </c>
      <c r="F63" s="3" t="s">
        <v>291</v>
      </c>
      <c r="G63" s="3" t="s">
        <v>26</v>
      </c>
      <c r="H63" s="3" t="s">
        <v>165</v>
      </c>
    </row>
    <row r="64" spans="1:8" x14ac:dyDescent="0.2">
      <c r="A64" s="3">
        <v>3030314007</v>
      </c>
      <c r="B64" s="4" t="s">
        <v>477</v>
      </c>
      <c r="C64" s="4" t="s">
        <v>478</v>
      </c>
      <c r="D64" s="3">
        <v>1</v>
      </c>
      <c r="E64" s="3" t="s">
        <v>16</v>
      </c>
      <c r="F64" s="3" t="s">
        <v>291</v>
      </c>
      <c r="G64" s="3" t="s">
        <v>26</v>
      </c>
      <c r="H64" s="3" t="s">
        <v>165</v>
      </c>
    </row>
    <row r="65" spans="1:8" x14ac:dyDescent="0.2">
      <c r="A65" s="3">
        <v>3030308013</v>
      </c>
      <c r="B65" s="4" t="s">
        <v>479</v>
      </c>
      <c r="C65" s="4" t="s">
        <v>478</v>
      </c>
      <c r="D65" s="3">
        <v>1</v>
      </c>
      <c r="E65" s="3" t="s">
        <v>16</v>
      </c>
      <c r="F65" s="3" t="s">
        <v>291</v>
      </c>
      <c r="G65" s="3" t="s">
        <v>26</v>
      </c>
      <c r="H65" s="3" t="s">
        <v>165</v>
      </c>
    </row>
    <row r="66" spans="1:8" x14ac:dyDescent="0.2">
      <c r="A66" s="3">
        <v>3010106010</v>
      </c>
      <c r="B66" s="4" t="s">
        <v>481</v>
      </c>
      <c r="C66" s="4" t="s">
        <v>482</v>
      </c>
      <c r="D66" s="3">
        <v>0.48</v>
      </c>
      <c r="E66" s="3" t="s">
        <v>10</v>
      </c>
      <c r="F66" s="3" t="s">
        <v>284</v>
      </c>
      <c r="G66" s="3" t="s">
        <v>11</v>
      </c>
      <c r="H66" s="3" t="s">
        <v>483</v>
      </c>
    </row>
    <row r="67" spans="1:8" x14ac:dyDescent="0.2">
      <c r="A67" s="3">
        <v>3060304005</v>
      </c>
      <c r="B67" s="4" t="s">
        <v>1194</v>
      </c>
      <c r="C67" s="4" t="s">
        <v>1196</v>
      </c>
      <c r="D67" s="3">
        <v>3</v>
      </c>
      <c r="E67" s="3" t="s">
        <v>16</v>
      </c>
      <c r="F67" s="3" t="s">
        <v>289</v>
      </c>
      <c r="G67" s="3" t="s">
        <v>23</v>
      </c>
      <c r="H67" s="3" t="s">
        <v>173</v>
      </c>
    </row>
    <row r="68" spans="1:8" x14ac:dyDescent="0.2">
      <c r="A68" s="3">
        <v>3040309001</v>
      </c>
      <c r="B68" s="4" t="s">
        <v>346</v>
      </c>
      <c r="C68" s="4" t="s">
        <v>347</v>
      </c>
      <c r="D68" s="3">
        <v>8</v>
      </c>
      <c r="E68" s="3" t="s">
        <v>16</v>
      </c>
      <c r="F68" s="3" t="s">
        <v>293</v>
      </c>
      <c r="G68" s="3" t="s">
        <v>29</v>
      </c>
      <c r="H68" s="3" t="s">
        <v>173</v>
      </c>
    </row>
    <row r="69" spans="1:8" x14ac:dyDescent="0.2">
      <c r="A69" s="3">
        <v>3050302007</v>
      </c>
      <c r="B69" s="4" t="s">
        <v>1921</v>
      </c>
      <c r="C69" s="4" t="s">
        <v>1991</v>
      </c>
      <c r="D69" s="3">
        <v>1</v>
      </c>
      <c r="E69" s="3" t="s">
        <v>16</v>
      </c>
      <c r="F69" s="3" t="s">
        <v>291</v>
      </c>
      <c r="G69" s="3" t="s">
        <v>26</v>
      </c>
      <c r="H69" s="3" t="s">
        <v>173</v>
      </c>
    </row>
    <row r="70" spans="1:8" x14ac:dyDescent="0.2">
      <c r="A70" s="3">
        <v>3050305009</v>
      </c>
      <c r="B70" s="4" t="s">
        <v>1290</v>
      </c>
      <c r="C70" s="4" t="s">
        <v>487</v>
      </c>
      <c r="D70" s="3">
        <v>2</v>
      </c>
      <c r="E70" s="3" t="s">
        <v>16</v>
      </c>
      <c r="F70" s="3" t="s">
        <v>291</v>
      </c>
      <c r="G70" s="3" t="s">
        <v>26</v>
      </c>
      <c r="H70" s="3" t="s">
        <v>173</v>
      </c>
    </row>
    <row r="71" spans="1:8" x14ac:dyDescent="0.2">
      <c r="A71" s="3">
        <v>3020502014</v>
      </c>
      <c r="B71" s="4" t="s">
        <v>183</v>
      </c>
      <c r="C71" s="4" t="s">
        <v>1307</v>
      </c>
      <c r="D71" s="3">
        <v>1</v>
      </c>
      <c r="E71" s="3" t="s">
        <v>16</v>
      </c>
      <c r="F71" s="3" t="s">
        <v>291</v>
      </c>
      <c r="G71" s="3" t="s">
        <v>26</v>
      </c>
      <c r="H71" s="3" t="s">
        <v>185</v>
      </c>
    </row>
    <row r="72" spans="1:8" x14ac:dyDescent="0.2">
      <c r="A72" s="3">
        <v>3110203003</v>
      </c>
      <c r="B72" s="4" t="s">
        <v>189</v>
      </c>
      <c r="C72" s="4" t="s">
        <v>643</v>
      </c>
      <c r="D72" s="3">
        <v>1</v>
      </c>
      <c r="E72" s="3" t="s">
        <v>16</v>
      </c>
      <c r="F72" s="3" t="s">
        <v>291</v>
      </c>
      <c r="G72" s="3" t="s">
        <v>26</v>
      </c>
      <c r="H72" s="3" t="s">
        <v>187</v>
      </c>
    </row>
    <row r="73" spans="1:8" x14ac:dyDescent="0.2">
      <c r="A73" s="3">
        <v>403030054</v>
      </c>
      <c r="B73" s="4" t="s">
        <v>801</v>
      </c>
      <c r="C73" s="4" t="s">
        <v>1205</v>
      </c>
      <c r="D73" s="3">
        <v>1</v>
      </c>
      <c r="E73" s="3" t="s">
        <v>16</v>
      </c>
      <c r="F73" s="3" t="s">
        <v>301</v>
      </c>
      <c r="G73" s="3" t="s">
        <v>32</v>
      </c>
      <c r="H73" s="3" t="s">
        <v>198</v>
      </c>
    </row>
    <row r="74" spans="1:8" x14ac:dyDescent="0.2">
      <c r="A74" s="3">
        <v>401040473</v>
      </c>
      <c r="B74" s="4" t="s">
        <v>35</v>
      </c>
      <c r="C74" s="4" t="s">
        <v>645</v>
      </c>
      <c r="D74" s="3">
        <v>1</v>
      </c>
      <c r="E74" s="3" t="s">
        <v>16</v>
      </c>
      <c r="F74" s="3" t="s">
        <v>293</v>
      </c>
      <c r="G74" s="3" t="s">
        <v>29</v>
      </c>
      <c r="H74" s="3" t="s">
        <v>198</v>
      </c>
    </row>
    <row r="75" spans="1:8" x14ac:dyDescent="0.2">
      <c r="A75" s="3">
        <v>401070018</v>
      </c>
      <c r="B75" s="4" t="s">
        <v>35</v>
      </c>
      <c r="C75" s="4" t="s">
        <v>202</v>
      </c>
      <c r="D75" s="3">
        <v>1</v>
      </c>
      <c r="E75" s="3" t="s">
        <v>16</v>
      </c>
      <c r="F75" s="3" t="s">
        <v>291</v>
      </c>
      <c r="G75" s="3" t="s">
        <v>26</v>
      </c>
      <c r="H75" s="3" t="s">
        <v>198</v>
      </c>
    </row>
    <row r="76" spans="1:8" x14ac:dyDescent="0.2">
      <c r="A76" s="3">
        <v>401070022</v>
      </c>
      <c r="B76" s="4" t="s">
        <v>35</v>
      </c>
      <c r="C76" s="4" t="s">
        <v>203</v>
      </c>
      <c r="D76" s="3">
        <v>1</v>
      </c>
      <c r="E76" s="3" t="s">
        <v>16</v>
      </c>
      <c r="F76" s="3" t="s">
        <v>297</v>
      </c>
      <c r="G76" s="3" t="s">
        <v>204</v>
      </c>
      <c r="H76" s="3" t="s">
        <v>198</v>
      </c>
    </row>
    <row r="77" spans="1:8" x14ac:dyDescent="0.2">
      <c r="A77" s="3">
        <v>3049904001</v>
      </c>
      <c r="B77" s="4" t="s">
        <v>354</v>
      </c>
      <c r="C77" s="4" t="s">
        <v>355</v>
      </c>
      <c r="D77" s="3">
        <v>4</v>
      </c>
      <c r="E77" s="3" t="s">
        <v>16</v>
      </c>
      <c r="F77" s="3" t="s">
        <v>293</v>
      </c>
      <c r="G77" s="3" t="s">
        <v>29</v>
      </c>
      <c r="H77" s="3" t="s">
        <v>214</v>
      </c>
    </row>
    <row r="78" spans="1:8" x14ac:dyDescent="0.2">
      <c r="A78" s="3">
        <v>3049902012</v>
      </c>
      <c r="B78" s="4" t="s">
        <v>518</v>
      </c>
      <c r="C78" s="4" t="s">
        <v>646</v>
      </c>
      <c r="D78" s="3">
        <v>2</v>
      </c>
      <c r="E78" s="3" t="s">
        <v>16</v>
      </c>
      <c r="F78" s="3" t="s">
        <v>293</v>
      </c>
      <c r="G78" s="3" t="s">
        <v>29</v>
      </c>
      <c r="H78" s="3" t="s">
        <v>214</v>
      </c>
    </row>
    <row r="79" spans="1:8" x14ac:dyDescent="0.2">
      <c r="A79" s="3">
        <v>3049902005</v>
      </c>
      <c r="B79" s="4" t="s">
        <v>356</v>
      </c>
      <c r="C79" s="4" t="s">
        <v>357</v>
      </c>
      <c r="D79" s="3">
        <v>2</v>
      </c>
      <c r="E79" s="3" t="s">
        <v>16</v>
      </c>
      <c r="F79" s="3" t="s">
        <v>293</v>
      </c>
      <c r="G79" s="3" t="s">
        <v>29</v>
      </c>
      <c r="H79" s="3" t="s">
        <v>214</v>
      </c>
    </row>
    <row r="80" spans="1:8" x14ac:dyDescent="0.2">
      <c r="A80" s="3">
        <v>403030051</v>
      </c>
      <c r="B80" s="4" t="s">
        <v>366</v>
      </c>
      <c r="C80" s="4" t="s">
        <v>367</v>
      </c>
      <c r="D80" s="3">
        <v>3</v>
      </c>
      <c r="E80" s="3" t="s">
        <v>16</v>
      </c>
      <c r="F80" s="3" t="s">
        <v>301</v>
      </c>
      <c r="G80" s="3" t="s">
        <v>32</v>
      </c>
      <c r="H80" s="3" t="s">
        <v>221</v>
      </c>
    </row>
    <row r="81" spans="1:8" x14ac:dyDescent="0.2">
      <c r="A81" s="3">
        <v>403030005</v>
      </c>
      <c r="B81" s="4" t="s">
        <v>366</v>
      </c>
      <c r="C81" s="4" t="s">
        <v>368</v>
      </c>
      <c r="D81" s="3">
        <v>2</v>
      </c>
      <c r="E81" s="3" t="s">
        <v>16</v>
      </c>
      <c r="F81" s="3" t="s">
        <v>301</v>
      </c>
      <c r="G81" s="3" t="s">
        <v>32</v>
      </c>
      <c r="H81" s="3" t="s">
        <v>221</v>
      </c>
    </row>
    <row r="82" spans="1:8" x14ac:dyDescent="0.2">
      <c r="A82" s="3">
        <v>402050003</v>
      </c>
      <c r="B82" s="4" t="s">
        <v>1325</v>
      </c>
      <c r="C82" s="4" t="s">
        <v>1326</v>
      </c>
      <c r="D82" s="3">
        <v>1</v>
      </c>
      <c r="E82" s="3" t="s">
        <v>16</v>
      </c>
      <c r="F82" s="3" t="s">
        <v>289</v>
      </c>
      <c r="G82" s="3" t="s">
        <v>23</v>
      </c>
      <c r="H82" s="3" t="s">
        <v>524</v>
      </c>
    </row>
    <row r="83" spans="1:8" x14ac:dyDescent="0.2">
      <c r="A83" s="3">
        <v>4081200011</v>
      </c>
      <c r="B83" s="4" t="s">
        <v>525</v>
      </c>
      <c r="C83" s="4" t="s">
        <v>1246</v>
      </c>
      <c r="D83" s="3">
        <v>2</v>
      </c>
      <c r="E83" s="3" t="s">
        <v>16</v>
      </c>
      <c r="F83" s="3" t="s">
        <v>289</v>
      </c>
      <c r="G83" s="3" t="s">
        <v>23</v>
      </c>
      <c r="H83" s="3" t="s">
        <v>524</v>
      </c>
    </row>
    <row r="84" spans="1:8" x14ac:dyDescent="0.2">
      <c r="A84" s="3">
        <v>408120032</v>
      </c>
      <c r="B84" s="4" t="s">
        <v>525</v>
      </c>
      <c r="C84" s="4" t="s">
        <v>1210</v>
      </c>
      <c r="D84" s="3">
        <v>23</v>
      </c>
      <c r="E84" s="3" t="s">
        <v>16</v>
      </c>
      <c r="F84" s="3" t="s">
        <v>289</v>
      </c>
      <c r="G84" s="3" t="s">
        <v>23</v>
      </c>
      <c r="H84" s="3" t="s">
        <v>524</v>
      </c>
    </row>
    <row r="85" spans="1:8" x14ac:dyDescent="0.2">
      <c r="A85" s="3">
        <v>408120038</v>
      </c>
      <c r="B85" s="4" t="s">
        <v>525</v>
      </c>
      <c r="C85" s="4" t="s">
        <v>1247</v>
      </c>
      <c r="D85" s="3">
        <v>1</v>
      </c>
      <c r="E85" s="3" t="s">
        <v>16</v>
      </c>
      <c r="F85" s="3" t="s">
        <v>289</v>
      </c>
      <c r="G85" s="3" t="s">
        <v>23</v>
      </c>
      <c r="H85" s="3" t="s">
        <v>524</v>
      </c>
    </row>
    <row r="86" spans="1:8" x14ac:dyDescent="0.2">
      <c r="A86" s="3">
        <v>407010188</v>
      </c>
      <c r="B86" s="4" t="s">
        <v>149</v>
      </c>
      <c r="C86" s="4" t="s">
        <v>1309</v>
      </c>
      <c r="D86" s="3">
        <v>1</v>
      </c>
      <c r="E86" s="3" t="s">
        <v>16</v>
      </c>
      <c r="F86" s="3" t="s">
        <v>289</v>
      </c>
      <c r="G86" s="3" t="s">
        <v>23</v>
      </c>
      <c r="H86" s="3" t="s">
        <v>524</v>
      </c>
    </row>
    <row r="87" spans="1:8" x14ac:dyDescent="0.2">
      <c r="A87" s="3">
        <v>3040502063</v>
      </c>
      <c r="B87" s="4" t="s">
        <v>136</v>
      </c>
      <c r="C87" s="4" t="s">
        <v>648</v>
      </c>
      <c r="D87" s="3">
        <v>2</v>
      </c>
      <c r="E87" s="3" t="s">
        <v>16</v>
      </c>
      <c r="F87" s="3" t="s">
        <v>293</v>
      </c>
      <c r="G87" s="3" t="s">
        <v>29</v>
      </c>
      <c r="H87" s="3" t="s">
        <v>370</v>
      </c>
    </row>
    <row r="88" spans="1:8" x14ac:dyDescent="0.2">
      <c r="A88" s="3">
        <v>3060350003</v>
      </c>
      <c r="B88" s="4" t="s">
        <v>1215</v>
      </c>
      <c r="C88" s="4" t="s">
        <v>1216</v>
      </c>
      <c r="D88" s="3">
        <v>1</v>
      </c>
      <c r="E88" s="3" t="s">
        <v>16</v>
      </c>
      <c r="F88" s="3" t="s">
        <v>289</v>
      </c>
      <c r="G88" s="3" t="s">
        <v>23</v>
      </c>
      <c r="H88" s="3" t="s">
        <v>226</v>
      </c>
    </row>
    <row r="89" spans="1:8" x14ac:dyDescent="0.2">
      <c r="A89" s="3">
        <v>3060353006</v>
      </c>
      <c r="B89" s="4" t="s">
        <v>1217</v>
      </c>
      <c r="C89" s="4" t="s">
        <v>1232</v>
      </c>
      <c r="D89" s="3">
        <v>1</v>
      </c>
      <c r="E89" s="3" t="s">
        <v>16</v>
      </c>
      <c r="F89" s="3" t="s">
        <v>289</v>
      </c>
      <c r="G89" s="3" t="s">
        <v>23</v>
      </c>
      <c r="H89" s="3" t="s">
        <v>226</v>
      </c>
    </row>
    <row r="90" spans="1:8" x14ac:dyDescent="0.2">
      <c r="A90" s="3">
        <v>3060324003</v>
      </c>
      <c r="B90" s="4" t="s">
        <v>1185</v>
      </c>
      <c r="C90" s="4" t="s">
        <v>1249</v>
      </c>
      <c r="D90" s="3">
        <v>1</v>
      </c>
      <c r="E90" s="3" t="s">
        <v>16</v>
      </c>
      <c r="F90" s="3" t="s">
        <v>289</v>
      </c>
      <c r="G90" s="3" t="s">
        <v>23</v>
      </c>
      <c r="H90" s="3" t="s">
        <v>226</v>
      </c>
    </row>
    <row r="91" spans="1:8" x14ac:dyDescent="0.2">
      <c r="A91" s="3">
        <v>3060404053</v>
      </c>
      <c r="B91" s="4" t="s">
        <v>729</v>
      </c>
      <c r="C91" s="4" t="s">
        <v>1250</v>
      </c>
      <c r="D91" s="3">
        <v>1</v>
      </c>
      <c r="E91" s="3" t="s">
        <v>16</v>
      </c>
      <c r="F91" s="3" t="s">
        <v>289</v>
      </c>
      <c r="G91" s="3" t="s">
        <v>23</v>
      </c>
      <c r="H91" s="3" t="s">
        <v>226</v>
      </c>
    </row>
    <row r="92" spans="1:8" x14ac:dyDescent="0.2">
      <c r="A92" s="3">
        <v>3060316002</v>
      </c>
      <c r="B92" s="4" t="s">
        <v>1219</v>
      </c>
      <c r="C92" s="4" t="s">
        <v>1251</v>
      </c>
      <c r="D92" s="3">
        <v>1</v>
      </c>
      <c r="E92" s="3" t="s">
        <v>16</v>
      </c>
      <c r="F92" s="3" t="s">
        <v>289</v>
      </c>
      <c r="G92" s="3" t="s">
        <v>23</v>
      </c>
      <c r="H92" s="3" t="s">
        <v>226</v>
      </c>
    </row>
    <row r="93" spans="1:8" x14ac:dyDescent="0.2">
      <c r="A93" s="3">
        <v>3060313007</v>
      </c>
      <c r="B93" s="4" t="s">
        <v>1188</v>
      </c>
      <c r="C93" s="4" t="s">
        <v>1252</v>
      </c>
      <c r="D93" s="3">
        <v>1</v>
      </c>
      <c r="E93" s="3" t="s">
        <v>16</v>
      </c>
      <c r="F93" s="3" t="s">
        <v>289</v>
      </c>
      <c r="G93" s="3" t="s">
        <v>23</v>
      </c>
      <c r="H93" s="3" t="s">
        <v>226</v>
      </c>
    </row>
    <row r="94" spans="1:8" x14ac:dyDescent="0.2">
      <c r="A94" s="3">
        <v>3050305016</v>
      </c>
      <c r="B94" s="4" t="s">
        <v>527</v>
      </c>
      <c r="C94" s="4" t="s">
        <v>528</v>
      </c>
      <c r="D94" s="3">
        <v>1</v>
      </c>
      <c r="E94" s="3" t="s">
        <v>16</v>
      </c>
      <c r="F94" s="3" t="s">
        <v>291</v>
      </c>
      <c r="G94" s="3" t="s">
        <v>26</v>
      </c>
      <c r="H94" s="3" t="s">
        <v>226</v>
      </c>
    </row>
    <row r="95" spans="1:8" x14ac:dyDescent="0.2">
      <c r="A95" s="3">
        <v>3050305015</v>
      </c>
      <c r="B95" s="4" t="s">
        <v>529</v>
      </c>
      <c r="C95" s="4" t="s">
        <v>530</v>
      </c>
      <c r="D95" s="3">
        <v>1</v>
      </c>
      <c r="E95" s="3" t="s">
        <v>16</v>
      </c>
      <c r="F95" s="3" t="s">
        <v>291</v>
      </c>
      <c r="G95" s="3" t="s">
        <v>26</v>
      </c>
      <c r="H95" s="3" t="s">
        <v>226</v>
      </c>
    </row>
    <row r="96" spans="1:8" x14ac:dyDescent="0.2">
      <c r="A96" s="3">
        <v>3050306011</v>
      </c>
      <c r="B96" s="4" t="s">
        <v>531</v>
      </c>
      <c r="C96" s="4" t="s">
        <v>609</v>
      </c>
      <c r="D96" s="3">
        <v>1</v>
      </c>
      <c r="E96" s="3" t="s">
        <v>16</v>
      </c>
      <c r="F96" s="3" t="s">
        <v>291</v>
      </c>
      <c r="G96" s="3" t="s">
        <v>26</v>
      </c>
      <c r="H96" s="3" t="s">
        <v>226</v>
      </c>
    </row>
    <row r="97" spans="1:8" x14ac:dyDescent="0.2">
      <c r="A97" s="3">
        <v>3030303046</v>
      </c>
      <c r="B97" s="4" t="s">
        <v>649</v>
      </c>
      <c r="C97" s="4" t="s">
        <v>650</v>
      </c>
      <c r="D97" s="3">
        <v>1</v>
      </c>
      <c r="E97" s="3" t="s">
        <v>16</v>
      </c>
      <c r="F97" s="3" t="s">
        <v>291</v>
      </c>
      <c r="G97" s="3" t="s">
        <v>26</v>
      </c>
      <c r="H97" s="3" t="s">
        <v>226</v>
      </c>
    </row>
    <row r="98" spans="1:8" x14ac:dyDescent="0.2">
      <c r="A98" s="3">
        <v>3030303047</v>
      </c>
      <c r="B98" s="4" t="s">
        <v>651</v>
      </c>
      <c r="C98" s="4" t="s">
        <v>650</v>
      </c>
      <c r="D98" s="3">
        <v>1</v>
      </c>
      <c r="E98" s="3" t="s">
        <v>16</v>
      </c>
      <c r="F98" s="3" t="s">
        <v>291</v>
      </c>
      <c r="G98" s="3" t="s">
        <v>26</v>
      </c>
      <c r="H98" s="3" t="s">
        <v>226</v>
      </c>
    </row>
    <row r="99" spans="1:8" x14ac:dyDescent="0.2">
      <c r="A99" s="3">
        <v>3040312026</v>
      </c>
      <c r="B99" s="4" t="s">
        <v>263</v>
      </c>
      <c r="C99" s="4" t="s">
        <v>652</v>
      </c>
      <c r="D99" s="3">
        <v>2</v>
      </c>
      <c r="E99" s="3" t="s">
        <v>16</v>
      </c>
      <c r="F99" s="3" t="s">
        <v>293</v>
      </c>
      <c r="G99" s="3" t="s">
        <v>29</v>
      </c>
      <c r="H99" s="3" t="s">
        <v>226</v>
      </c>
    </row>
    <row r="100" spans="1:8" x14ac:dyDescent="0.2">
      <c r="A100" s="3">
        <v>3040303008</v>
      </c>
      <c r="B100" s="4" t="s">
        <v>265</v>
      </c>
      <c r="C100" s="4" t="s">
        <v>653</v>
      </c>
      <c r="D100" s="3">
        <v>2</v>
      </c>
      <c r="E100" s="3" t="s">
        <v>16</v>
      </c>
      <c r="F100" s="3" t="s">
        <v>293</v>
      </c>
      <c r="G100" s="3" t="s">
        <v>29</v>
      </c>
      <c r="H100" s="3" t="s">
        <v>226</v>
      </c>
    </row>
    <row r="101" spans="1:8" x14ac:dyDescent="0.2">
      <c r="A101" s="3">
        <v>3040320017</v>
      </c>
      <c r="B101" s="4" t="s">
        <v>269</v>
      </c>
      <c r="C101" s="4" t="s">
        <v>654</v>
      </c>
      <c r="D101" s="3">
        <v>1</v>
      </c>
      <c r="E101" s="3" t="s">
        <v>16</v>
      </c>
      <c r="F101" s="3" t="s">
        <v>293</v>
      </c>
      <c r="G101" s="3" t="s">
        <v>29</v>
      </c>
      <c r="H101" s="3" t="s">
        <v>226</v>
      </c>
    </row>
    <row r="102" spans="1:8" x14ac:dyDescent="0.2">
      <c r="A102" s="3">
        <v>3040320016</v>
      </c>
      <c r="B102" s="4" t="s">
        <v>269</v>
      </c>
      <c r="C102" s="4" t="s">
        <v>655</v>
      </c>
      <c r="D102" s="3">
        <v>1</v>
      </c>
      <c r="E102" s="3" t="s">
        <v>16</v>
      </c>
      <c r="F102" s="3" t="s">
        <v>293</v>
      </c>
      <c r="G102" s="3" t="s">
        <v>29</v>
      </c>
      <c r="H102" s="3" t="s">
        <v>226</v>
      </c>
    </row>
    <row r="103" spans="1:8" x14ac:dyDescent="0.2">
      <c r="A103" s="3">
        <v>3040113006</v>
      </c>
      <c r="B103" s="4" t="s">
        <v>500</v>
      </c>
      <c r="C103" s="4" t="s">
        <v>656</v>
      </c>
      <c r="D103" s="3">
        <v>1</v>
      </c>
      <c r="E103" s="3" t="s">
        <v>16</v>
      </c>
      <c r="F103" s="3" t="s">
        <v>293</v>
      </c>
      <c r="G103" s="3" t="s">
        <v>29</v>
      </c>
      <c r="H103" s="3" t="s">
        <v>226</v>
      </c>
    </row>
    <row r="104" spans="1:8" x14ac:dyDescent="0.2">
      <c r="A104" s="3">
        <v>3040113007</v>
      </c>
      <c r="B104" s="4" t="s">
        <v>500</v>
      </c>
      <c r="C104" s="4" t="s">
        <v>657</v>
      </c>
      <c r="D104" s="3">
        <v>1</v>
      </c>
      <c r="E104" s="3" t="s">
        <v>16</v>
      </c>
      <c r="F104" s="3" t="s">
        <v>293</v>
      </c>
      <c r="G104" s="3" t="s">
        <v>29</v>
      </c>
      <c r="H104" s="3" t="s">
        <v>226</v>
      </c>
    </row>
    <row r="105" spans="1:8" x14ac:dyDescent="0.2">
      <c r="A105" s="3">
        <v>3030313003</v>
      </c>
      <c r="B105" s="4" t="s">
        <v>217</v>
      </c>
      <c r="C105" s="4" t="s">
        <v>544</v>
      </c>
      <c r="D105" s="3">
        <v>8</v>
      </c>
      <c r="E105" s="3" t="s">
        <v>16</v>
      </c>
      <c r="F105" s="3" t="s">
        <v>291</v>
      </c>
      <c r="G105" s="3" t="s">
        <v>26</v>
      </c>
      <c r="H105" s="3" t="s">
        <v>226</v>
      </c>
    </row>
    <row r="106" spans="1:8" x14ac:dyDescent="0.2">
      <c r="A106" s="3">
        <v>3020101004</v>
      </c>
      <c r="B106" s="4" t="s">
        <v>239</v>
      </c>
      <c r="C106" s="4" t="s">
        <v>1098</v>
      </c>
      <c r="D106" s="3">
        <v>5</v>
      </c>
      <c r="E106" s="3" t="s">
        <v>16</v>
      </c>
      <c r="F106" s="3" t="s">
        <v>297</v>
      </c>
      <c r="G106" s="3" t="s">
        <v>204</v>
      </c>
      <c r="H106" s="3" t="s">
        <v>226</v>
      </c>
    </row>
    <row r="107" spans="1:8" x14ac:dyDescent="0.2">
      <c r="A107" s="3">
        <v>3991601007</v>
      </c>
      <c r="B107" s="4" t="s">
        <v>585</v>
      </c>
      <c r="C107" s="4" t="s">
        <v>1229</v>
      </c>
      <c r="D107" s="3">
        <v>4</v>
      </c>
      <c r="E107" s="3" t="s">
        <v>16</v>
      </c>
      <c r="F107" s="3" t="s">
        <v>289</v>
      </c>
      <c r="G107" s="3" t="s">
        <v>23</v>
      </c>
      <c r="H107" s="3" t="s">
        <v>226</v>
      </c>
    </row>
    <row r="108" spans="1:8" x14ac:dyDescent="0.2">
      <c r="A108" s="3">
        <v>3991601009</v>
      </c>
      <c r="B108" s="4" t="s">
        <v>585</v>
      </c>
      <c r="C108" s="4" t="s">
        <v>1230</v>
      </c>
      <c r="D108" s="3">
        <v>2</v>
      </c>
      <c r="E108" s="3" t="s">
        <v>16</v>
      </c>
      <c r="F108" s="3" t="s">
        <v>289</v>
      </c>
      <c r="G108" s="3" t="s">
        <v>23</v>
      </c>
      <c r="H108" s="3" t="s">
        <v>226</v>
      </c>
    </row>
    <row r="109" spans="1:8" x14ac:dyDescent="0.2">
      <c r="A109" s="3">
        <v>3050305019</v>
      </c>
      <c r="B109" s="4" t="s">
        <v>549</v>
      </c>
      <c r="C109" s="4" t="s">
        <v>530</v>
      </c>
      <c r="D109" s="3">
        <v>1</v>
      </c>
      <c r="E109" s="3" t="s">
        <v>16</v>
      </c>
      <c r="F109" s="3" t="s">
        <v>291</v>
      </c>
      <c r="G109" s="3" t="s">
        <v>26</v>
      </c>
      <c r="H109" s="3" t="s">
        <v>226</v>
      </c>
    </row>
    <row r="110" spans="1:8" x14ac:dyDescent="0.2">
      <c r="A110" s="3">
        <v>3050401019</v>
      </c>
      <c r="B110" s="4" t="s">
        <v>222</v>
      </c>
      <c r="C110" s="4" t="s">
        <v>658</v>
      </c>
      <c r="D110" s="3">
        <v>1</v>
      </c>
      <c r="E110" s="3" t="s">
        <v>16</v>
      </c>
      <c r="F110" s="3" t="s">
        <v>291</v>
      </c>
      <c r="G110" s="3" t="s">
        <v>26</v>
      </c>
      <c r="H110" s="3" t="s">
        <v>226</v>
      </c>
    </row>
    <row r="111" spans="1:8" x14ac:dyDescent="0.2">
      <c r="A111" s="3">
        <v>3050305026</v>
      </c>
      <c r="B111" s="4" t="s">
        <v>659</v>
      </c>
      <c r="C111" s="4" t="s">
        <v>660</v>
      </c>
      <c r="D111" s="3">
        <v>1</v>
      </c>
      <c r="E111" s="3" t="s">
        <v>16</v>
      </c>
      <c r="F111" s="3" t="s">
        <v>291</v>
      </c>
      <c r="G111" s="3" t="s">
        <v>26</v>
      </c>
      <c r="H111" s="3" t="s">
        <v>226</v>
      </c>
    </row>
    <row r="112" spans="1:8" x14ac:dyDescent="0.2">
      <c r="A112" s="3">
        <v>3050305027</v>
      </c>
      <c r="B112" s="4" t="s">
        <v>659</v>
      </c>
      <c r="C112" s="4" t="s">
        <v>661</v>
      </c>
      <c r="D112" s="3">
        <v>1</v>
      </c>
      <c r="E112" s="3" t="s">
        <v>16</v>
      </c>
      <c r="F112" s="3" t="s">
        <v>291</v>
      </c>
      <c r="G112" s="3" t="s">
        <v>26</v>
      </c>
      <c r="H112" s="3" t="s">
        <v>226</v>
      </c>
    </row>
    <row r="113" spans="1:8" x14ac:dyDescent="0.2">
      <c r="A113" s="3">
        <v>3080401031</v>
      </c>
      <c r="B113" s="4" t="s">
        <v>41</v>
      </c>
      <c r="C113" s="4" t="s">
        <v>551</v>
      </c>
      <c r="D113" s="3">
        <v>1</v>
      </c>
      <c r="E113" s="3" t="s">
        <v>16</v>
      </c>
      <c r="F113" s="3" t="s">
        <v>291</v>
      </c>
      <c r="G113" s="3" t="s">
        <v>26</v>
      </c>
      <c r="H113" s="3" t="s">
        <v>249</v>
      </c>
    </row>
    <row r="114" spans="1:8" x14ac:dyDescent="0.2">
      <c r="A114" s="3">
        <v>3060333011</v>
      </c>
      <c r="B114" s="4" t="s">
        <v>227</v>
      </c>
      <c r="C114" s="4" t="s">
        <v>1231</v>
      </c>
      <c r="D114" s="3">
        <v>1</v>
      </c>
      <c r="E114" s="3" t="s">
        <v>16</v>
      </c>
      <c r="F114" s="3" t="s">
        <v>289</v>
      </c>
      <c r="G114" s="3" t="s">
        <v>23</v>
      </c>
      <c r="H114" s="3" t="s">
        <v>254</v>
      </c>
    </row>
    <row r="115" spans="1:8" x14ac:dyDescent="0.2">
      <c r="A115" s="3">
        <v>3060401003</v>
      </c>
      <c r="B115" s="4" t="s">
        <v>727</v>
      </c>
      <c r="C115" s="4" t="s">
        <v>1232</v>
      </c>
      <c r="D115" s="3">
        <v>1</v>
      </c>
      <c r="E115" s="3" t="s">
        <v>16</v>
      </c>
      <c r="F115" s="3" t="s">
        <v>289</v>
      </c>
      <c r="G115" s="3" t="s">
        <v>23</v>
      </c>
      <c r="H115" s="3" t="s">
        <v>254</v>
      </c>
    </row>
    <row r="116" spans="1:8" x14ac:dyDescent="0.2">
      <c r="A116" s="3">
        <v>3060335013</v>
      </c>
      <c r="B116" s="4" t="s">
        <v>233</v>
      </c>
      <c r="C116" s="4" t="s">
        <v>1253</v>
      </c>
      <c r="D116" s="3">
        <v>1</v>
      </c>
      <c r="E116" s="3" t="s">
        <v>16</v>
      </c>
      <c r="F116" s="3" t="s">
        <v>289</v>
      </c>
      <c r="G116" s="3" t="s">
        <v>23</v>
      </c>
      <c r="H116" s="3" t="s">
        <v>254</v>
      </c>
    </row>
    <row r="117" spans="1:8" x14ac:dyDescent="0.2">
      <c r="A117" s="3">
        <v>3049902004</v>
      </c>
      <c r="B117" s="4" t="s">
        <v>383</v>
      </c>
      <c r="C117" s="4" t="s">
        <v>384</v>
      </c>
      <c r="D117" s="3">
        <v>2</v>
      </c>
      <c r="E117" s="3" t="s">
        <v>16</v>
      </c>
      <c r="F117" s="3" t="s">
        <v>293</v>
      </c>
      <c r="G117" s="3" t="s">
        <v>29</v>
      </c>
      <c r="H117" s="3" t="s">
        <v>254</v>
      </c>
    </row>
    <row r="118" spans="1:8" x14ac:dyDescent="0.2">
      <c r="A118" s="3">
        <v>3040326018</v>
      </c>
      <c r="B118" s="4" t="s">
        <v>385</v>
      </c>
      <c r="C118" s="4" t="s">
        <v>384</v>
      </c>
      <c r="D118" s="3">
        <v>2</v>
      </c>
      <c r="E118" s="3" t="s">
        <v>16</v>
      </c>
      <c r="F118" s="3" t="s">
        <v>293</v>
      </c>
      <c r="G118" s="3" t="s">
        <v>29</v>
      </c>
      <c r="H118" s="3" t="s">
        <v>254</v>
      </c>
    </row>
    <row r="119" spans="1:8" x14ac:dyDescent="0.2">
      <c r="A119" s="3">
        <v>3111601004</v>
      </c>
      <c r="B119" s="4" t="s">
        <v>585</v>
      </c>
      <c r="C119" s="4" t="s">
        <v>1235</v>
      </c>
      <c r="D119" s="3">
        <v>4</v>
      </c>
      <c r="E119" s="3" t="s">
        <v>16</v>
      </c>
      <c r="F119" s="3" t="s">
        <v>289</v>
      </c>
      <c r="G119" s="3" t="s">
        <v>23</v>
      </c>
      <c r="H119" s="3" t="s">
        <v>254</v>
      </c>
    </row>
    <row r="120" spans="1:8" x14ac:dyDescent="0.2">
      <c r="A120" s="3">
        <v>3111601003</v>
      </c>
      <c r="B120" s="4" t="s">
        <v>585</v>
      </c>
      <c r="C120" s="4" t="s">
        <v>586</v>
      </c>
      <c r="D120" s="3">
        <v>13</v>
      </c>
      <c r="E120" s="3" t="s">
        <v>16</v>
      </c>
      <c r="F120" s="3" t="s">
        <v>289</v>
      </c>
      <c r="G120" s="3" t="s">
        <v>23</v>
      </c>
      <c r="H120" s="3" t="s">
        <v>254</v>
      </c>
    </row>
    <row r="121" spans="1:8" x14ac:dyDescent="0.2">
      <c r="A121" s="3">
        <v>3060340003</v>
      </c>
      <c r="B121" s="4" t="s">
        <v>725</v>
      </c>
      <c r="C121" s="4" t="s">
        <v>1236</v>
      </c>
      <c r="D121" s="3">
        <v>1</v>
      </c>
      <c r="E121" s="3" t="s">
        <v>16</v>
      </c>
      <c r="F121" s="3" t="s">
        <v>289</v>
      </c>
      <c r="G121" s="3" t="s">
        <v>23</v>
      </c>
      <c r="H121" s="3" t="s">
        <v>254</v>
      </c>
    </row>
    <row r="122" spans="1:8" x14ac:dyDescent="0.2">
      <c r="A122" s="3">
        <v>3060339004</v>
      </c>
      <c r="B122" s="4" t="s">
        <v>737</v>
      </c>
      <c r="C122" s="4" t="s">
        <v>1253</v>
      </c>
      <c r="D122" s="3">
        <v>1</v>
      </c>
      <c r="E122" s="3" t="s">
        <v>16</v>
      </c>
      <c r="F122" s="3" t="s">
        <v>289</v>
      </c>
      <c r="G122" s="3" t="s">
        <v>23</v>
      </c>
      <c r="H122" s="3" t="s">
        <v>254</v>
      </c>
    </row>
    <row r="123" spans="1:8" x14ac:dyDescent="0.2">
      <c r="A123" s="3">
        <v>3050303008</v>
      </c>
      <c r="B123" s="4" t="s">
        <v>245</v>
      </c>
      <c r="C123" s="4" t="s">
        <v>540</v>
      </c>
      <c r="D123" s="3">
        <v>1</v>
      </c>
      <c r="E123" s="3" t="s">
        <v>16</v>
      </c>
      <c r="F123" s="3" t="s">
        <v>291</v>
      </c>
      <c r="G123" s="3" t="s">
        <v>26</v>
      </c>
      <c r="H123" s="3" t="s">
        <v>254</v>
      </c>
    </row>
    <row r="124" spans="1:8" x14ac:dyDescent="0.2">
      <c r="A124" s="3">
        <v>3020301012</v>
      </c>
      <c r="B124" s="4" t="s">
        <v>209</v>
      </c>
      <c r="C124" s="4" t="s">
        <v>768</v>
      </c>
      <c r="D124" s="3">
        <v>1</v>
      </c>
      <c r="E124" s="3" t="s">
        <v>16</v>
      </c>
      <c r="F124" s="3" t="s">
        <v>301</v>
      </c>
      <c r="G124" s="3" t="s">
        <v>32</v>
      </c>
      <c r="H124" s="3" t="s">
        <v>769</v>
      </c>
    </row>
  </sheetData>
  <phoneticPr fontId="2" type="noConversion"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33396-A822-465C-A33D-123517C15E6C}">
  <dimension ref="A1:H220"/>
  <sheetViews>
    <sheetView workbookViewId="0">
      <selection activeCell="L20" sqref="L20"/>
    </sheetView>
  </sheetViews>
  <sheetFormatPr defaultRowHeight="14.25" x14ac:dyDescent="0.2"/>
  <cols>
    <col min="1" max="1" width="11.25" customWidth="1"/>
    <col min="2" max="3" width="14.125" customWidth="1"/>
  </cols>
  <sheetData>
    <row r="1" spans="1:8" x14ac:dyDescent="0.2">
      <c r="A1" s="3" t="s">
        <v>1994</v>
      </c>
      <c r="B1" s="4"/>
      <c r="C1" s="4"/>
      <c r="D1" s="3"/>
      <c r="E1" s="3"/>
      <c r="F1" s="3"/>
      <c r="G1" s="3"/>
      <c r="H1" s="3"/>
    </row>
    <row r="2" spans="1:8" ht="28.5" x14ac:dyDescent="0.2">
      <c r="A2" s="1" t="s">
        <v>0</v>
      </c>
      <c r="B2" s="2" t="s">
        <v>1</v>
      </c>
      <c r="C2" s="2" t="s">
        <v>2</v>
      </c>
      <c r="D2" s="1" t="s">
        <v>4</v>
      </c>
      <c r="E2" s="1" t="s">
        <v>3</v>
      </c>
      <c r="F2" s="1" t="s">
        <v>5</v>
      </c>
      <c r="G2" s="1" t="s">
        <v>6</v>
      </c>
      <c r="H2" s="1" t="s">
        <v>7</v>
      </c>
    </row>
    <row r="3" spans="1:8" s="10" customFormat="1" x14ac:dyDescent="0.2">
      <c r="A3" s="8" t="s">
        <v>390</v>
      </c>
      <c r="B3" s="9" t="s">
        <v>8</v>
      </c>
      <c r="C3" s="9" t="s">
        <v>9</v>
      </c>
      <c r="D3" s="13">
        <f>0.1748/0.94</f>
        <v>0.18595744680851067</v>
      </c>
      <c r="E3" s="8" t="s">
        <v>596</v>
      </c>
      <c r="F3" s="8" t="s">
        <v>283</v>
      </c>
      <c r="G3" s="8" t="s">
        <v>13</v>
      </c>
      <c r="H3" s="8" t="s">
        <v>12</v>
      </c>
    </row>
    <row r="4" spans="1:8" x14ac:dyDescent="0.2">
      <c r="A4" s="3">
        <v>40901009</v>
      </c>
      <c r="B4" s="4" t="s">
        <v>801</v>
      </c>
      <c r="C4" s="4" t="s">
        <v>1153</v>
      </c>
      <c r="D4" s="3">
        <v>1</v>
      </c>
      <c r="E4" s="3" t="s">
        <v>16</v>
      </c>
      <c r="F4" s="3" t="s">
        <v>289</v>
      </c>
      <c r="G4" s="3" t="s">
        <v>23</v>
      </c>
      <c r="H4" s="3" t="s">
        <v>306</v>
      </c>
    </row>
    <row r="5" spans="1:8" x14ac:dyDescent="0.2">
      <c r="A5" s="3">
        <v>3099980015</v>
      </c>
      <c r="B5" s="4" t="s">
        <v>1983</v>
      </c>
      <c r="C5" s="4" t="s">
        <v>1984</v>
      </c>
      <c r="D5" s="3">
        <v>1</v>
      </c>
      <c r="E5" s="3" t="s">
        <v>16</v>
      </c>
      <c r="F5" s="3" t="s">
        <v>284</v>
      </c>
      <c r="G5" s="3" t="s">
        <v>11</v>
      </c>
      <c r="H5" s="3" t="s">
        <v>393</v>
      </c>
    </row>
    <row r="6" spans="1:8" x14ac:dyDescent="0.2">
      <c r="A6" s="3">
        <v>3099980014</v>
      </c>
      <c r="B6" s="4" t="s">
        <v>391</v>
      </c>
      <c r="C6" s="4" t="s">
        <v>392</v>
      </c>
      <c r="D6" s="3">
        <v>1</v>
      </c>
      <c r="E6" s="3" t="s">
        <v>16</v>
      </c>
      <c r="F6" s="3" t="s">
        <v>291</v>
      </c>
      <c r="G6" s="3" t="s">
        <v>26</v>
      </c>
      <c r="H6" s="3" t="s">
        <v>393</v>
      </c>
    </row>
    <row r="7" spans="1:8" x14ac:dyDescent="0.2">
      <c r="A7" s="3">
        <v>3098980102</v>
      </c>
      <c r="B7" s="4" t="s">
        <v>1897</v>
      </c>
      <c r="C7" s="4" t="s">
        <v>1898</v>
      </c>
      <c r="D7" s="3">
        <v>1</v>
      </c>
      <c r="E7" s="3" t="s">
        <v>16</v>
      </c>
      <c r="F7" s="3" t="s">
        <v>291</v>
      </c>
      <c r="G7" s="3" t="s">
        <v>26</v>
      </c>
      <c r="H7" s="3" t="s">
        <v>393</v>
      </c>
    </row>
    <row r="8" spans="1:8" x14ac:dyDescent="0.2">
      <c r="A8" s="3">
        <v>3030314005</v>
      </c>
      <c r="B8" s="4" t="s">
        <v>394</v>
      </c>
      <c r="C8" s="4" t="s">
        <v>395</v>
      </c>
      <c r="D8" s="3">
        <v>1</v>
      </c>
      <c r="E8" s="3" t="s">
        <v>16</v>
      </c>
      <c r="F8" s="3" t="s">
        <v>291</v>
      </c>
      <c r="G8" s="3" t="s">
        <v>26</v>
      </c>
      <c r="H8" s="3" t="s">
        <v>18</v>
      </c>
    </row>
    <row r="9" spans="1:8" x14ac:dyDescent="0.2">
      <c r="A9" s="3">
        <v>3030210001</v>
      </c>
      <c r="B9" s="4" t="s">
        <v>396</v>
      </c>
      <c r="C9" s="4" t="s">
        <v>397</v>
      </c>
      <c r="D9" s="3">
        <v>1</v>
      </c>
      <c r="E9" s="3" t="s">
        <v>16</v>
      </c>
      <c r="F9" s="3" t="s">
        <v>295</v>
      </c>
      <c r="G9" s="3" t="s">
        <v>17</v>
      </c>
      <c r="H9" s="3" t="s">
        <v>18</v>
      </c>
    </row>
    <row r="10" spans="1:8" x14ac:dyDescent="0.2">
      <c r="A10" s="3">
        <v>3080301001</v>
      </c>
      <c r="B10" s="4" t="s">
        <v>247</v>
      </c>
      <c r="C10" s="4" t="s">
        <v>398</v>
      </c>
      <c r="D10" s="3">
        <v>1</v>
      </c>
      <c r="E10" s="3" t="s">
        <v>16</v>
      </c>
      <c r="F10" s="3" t="s">
        <v>295</v>
      </c>
      <c r="G10" s="3" t="s">
        <v>17</v>
      </c>
      <c r="H10" s="3" t="s">
        <v>18</v>
      </c>
    </row>
    <row r="11" spans="1:8" x14ac:dyDescent="0.2">
      <c r="A11" s="3">
        <v>3040201001</v>
      </c>
      <c r="B11" s="4" t="s">
        <v>399</v>
      </c>
      <c r="C11" s="4" t="s">
        <v>400</v>
      </c>
      <c r="D11" s="3">
        <v>2</v>
      </c>
      <c r="E11" s="3" t="s">
        <v>16</v>
      </c>
      <c r="F11" s="3" t="s">
        <v>293</v>
      </c>
      <c r="G11" s="3" t="s">
        <v>29</v>
      </c>
      <c r="H11" s="3" t="s">
        <v>18</v>
      </c>
    </row>
    <row r="12" spans="1:8" x14ac:dyDescent="0.2">
      <c r="A12" s="3">
        <v>3030202002</v>
      </c>
      <c r="B12" s="4" t="s">
        <v>401</v>
      </c>
      <c r="C12" s="4" t="s">
        <v>402</v>
      </c>
      <c r="D12" s="3">
        <v>1</v>
      </c>
      <c r="E12" s="3" t="s">
        <v>16</v>
      </c>
      <c r="F12" s="3" t="s">
        <v>295</v>
      </c>
      <c r="G12" s="3" t="s">
        <v>17</v>
      </c>
      <c r="H12" s="3" t="s">
        <v>18</v>
      </c>
    </row>
    <row r="13" spans="1:8" x14ac:dyDescent="0.2">
      <c r="A13" s="3">
        <v>3030202003</v>
      </c>
      <c r="B13" s="4" t="s">
        <v>403</v>
      </c>
      <c r="C13" s="4" t="s">
        <v>404</v>
      </c>
      <c r="D13" s="3">
        <v>1</v>
      </c>
      <c r="E13" s="3" t="s">
        <v>16</v>
      </c>
      <c r="F13" s="3" t="s">
        <v>295</v>
      </c>
      <c r="G13" s="3" t="s">
        <v>17</v>
      </c>
      <c r="H13" s="3" t="s">
        <v>18</v>
      </c>
    </row>
    <row r="14" spans="1:8" x14ac:dyDescent="0.2">
      <c r="A14" s="3">
        <v>3030212001</v>
      </c>
      <c r="B14" s="4" t="s">
        <v>405</v>
      </c>
      <c r="C14" s="4" t="s">
        <v>406</v>
      </c>
      <c r="D14" s="3">
        <v>1</v>
      </c>
      <c r="E14" s="3" t="s">
        <v>16</v>
      </c>
      <c r="F14" s="3" t="s">
        <v>295</v>
      </c>
      <c r="G14" s="3" t="s">
        <v>17</v>
      </c>
      <c r="H14" s="3" t="s">
        <v>18</v>
      </c>
    </row>
    <row r="15" spans="1:8" x14ac:dyDescent="0.2">
      <c r="A15" s="3">
        <v>3030206003</v>
      </c>
      <c r="B15" s="4" t="s">
        <v>407</v>
      </c>
      <c r="C15" s="4" t="s">
        <v>408</v>
      </c>
      <c r="D15" s="3">
        <v>1</v>
      </c>
      <c r="E15" s="3" t="s">
        <v>16</v>
      </c>
      <c r="F15" s="3" t="s">
        <v>295</v>
      </c>
      <c r="G15" s="3" t="s">
        <v>17</v>
      </c>
      <c r="H15" s="3" t="s">
        <v>18</v>
      </c>
    </row>
    <row r="16" spans="1:8" x14ac:dyDescent="0.2">
      <c r="A16" s="3">
        <v>404020072</v>
      </c>
      <c r="B16" s="4" t="s">
        <v>30</v>
      </c>
      <c r="C16" s="4" t="s">
        <v>308</v>
      </c>
      <c r="D16" s="3">
        <v>1</v>
      </c>
      <c r="E16" s="3" t="s">
        <v>16</v>
      </c>
      <c r="F16" s="3" t="s">
        <v>291</v>
      </c>
      <c r="G16" s="3" t="s">
        <v>26</v>
      </c>
      <c r="H16" s="3" t="s">
        <v>33</v>
      </c>
    </row>
    <row r="17" spans="1:8" x14ac:dyDescent="0.2">
      <c r="A17" s="3">
        <v>401020110</v>
      </c>
      <c r="B17" s="4" t="s">
        <v>35</v>
      </c>
      <c r="C17" s="4" t="s">
        <v>1154</v>
      </c>
      <c r="D17" s="3">
        <v>1</v>
      </c>
      <c r="E17" s="3" t="s">
        <v>16</v>
      </c>
      <c r="F17" s="3" t="s">
        <v>301</v>
      </c>
      <c r="G17" s="3" t="s">
        <v>32</v>
      </c>
      <c r="H17" s="3" t="s">
        <v>33</v>
      </c>
    </row>
    <row r="18" spans="1:8" x14ac:dyDescent="0.2">
      <c r="A18" s="3">
        <v>409010001</v>
      </c>
      <c r="B18" s="4" t="s">
        <v>1298</v>
      </c>
      <c r="C18" s="4" t="s">
        <v>1299</v>
      </c>
      <c r="D18" s="3">
        <v>1</v>
      </c>
      <c r="E18" s="3" t="s">
        <v>16</v>
      </c>
      <c r="F18" s="3" t="s">
        <v>289</v>
      </c>
      <c r="G18" s="3" t="s">
        <v>23</v>
      </c>
      <c r="H18" s="3" t="s">
        <v>40</v>
      </c>
    </row>
    <row r="19" spans="1:8" x14ac:dyDescent="0.2">
      <c r="A19" s="3">
        <v>3080101015</v>
      </c>
      <c r="B19" s="4" t="s">
        <v>411</v>
      </c>
      <c r="C19" s="4" t="s">
        <v>412</v>
      </c>
      <c r="D19" s="3">
        <v>2</v>
      </c>
      <c r="E19" s="3" t="s">
        <v>16</v>
      </c>
      <c r="F19" s="3" t="s">
        <v>293</v>
      </c>
      <c r="G19" s="3" t="s">
        <v>29</v>
      </c>
      <c r="H19" s="3" t="s">
        <v>40</v>
      </c>
    </row>
    <row r="20" spans="1:8" x14ac:dyDescent="0.2">
      <c r="A20" s="3">
        <v>3080101002</v>
      </c>
      <c r="B20" s="4" t="s">
        <v>411</v>
      </c>
      <c r="C20" s="4" t="s">
        <v>413</v>
      </c>
      <c r="D20" s="3">
        <v>2</v>
      </c>
      <c r="E20" s="3" t="s">
        <v>16</v>
      </c>
      <c r="F20" s="3" t="s">
        <v>291</v>
      </c>
      <c r="G20" s="3" t="s">
        <v>26</v>
      </c>
      <c r="H20" s="3" t="s">
        <v>40</v>
      </c>
    </row>
    <row r="21" spans="1:8" x14ac:dyDescent="0.2">
      <c r="A21" s="3">
        <v>3080101002</v>
      </c>
      <c r="B21" s="4" t="s">
        <v>411</v>
      </c>
      <c r="C21" s="4" t="s">
        <v>413</v>
      </c>
      <c r="D21" s="3">
        <v>19</v>
      </c>
      <c r="E21" s="3" t="s">
        <v>16</v>
      </c>
      <c r="F21" s="3" t="s">
        <v>289</v>
      </c>
      <c r="G21" s="3" t="s">
        <v>23</v>
      </c>
      <c r="H21" s="3" t="s">
        <v>40</v>
      </c>
    </row>
    <row r="22" spans="1:8" x14ac:dyDescent="0.2">
      <c r="A22" s="3">
        <v>3080101002</v>
      </c>
      <c r="B22" s="4" t="s">
        <v>411</v>
      </c>
      <c r="C22" s="4" t="s">
        <v>413</v>
      </c>
      <c r="D22" s="3">
        <v>8</v>
      </c>
      <c r="E22" s="3" t="s">
        <v>16</v>
      </c>
      <c r="F22" s="3" t="s">
        <v>317</v>
      </c>
      <c r="G22" s="3" t="s">
        <v>318</v>
      </c>
      <c r="H22" s="3" t="s">
        <v>40</v>
      </c>
    </row>
    <row r="23" spans="1:8" x14ac:dyDescent="0.2">
      <c r="A23" s="3">
        <v>3080401064</v>
      </c>
      <c r="B23" s="4" t="s">
        <v>41</v>
      </c>
      <c r="C23" s="4" t="s">
        <v>414</v>
      </c>
      <c r="D23" s="3">
        <v>1</v>
      </c>
      <c r="E23" s="3" t="s">
        <v>16</v>
      </c>
      <c r="F23" s="3" t="s">
        <v>295</v>
      </c>
      <c r="G23" s="3" t="s">
        <v>17</v>
      </c>
      <c r="H23" s="3" t="s">
        <v>40</v>
      </c>
    </row>
    <row r="24" spans="1:8" x14ac:dyDescent="0.2">
      <c r="A24" s="3">
        <v>3080401014</v>
      </c>
      <c r="B24" s="4" t="s">
        <v>41</v>
      </c>
      <c r="C24" s="4" t="s">
        <v>417</v>
      </c>
      <c r="D24" s="3">
        <v>4</v>
      </c>
      <c r="E24" s="3" t="s">
        <v>16</v>
      </c>
      <c r="F24" s="3" t="s">
        <v>291</v>
      </c>
      <c r="G24" s="3" t="s">
        <v>26</v>
      </c>
      <c r="H24" s="3" t="s">
        <v>40</v>
      </c>
    </row>
    <row r="25" spans="1:8" x14ac:dyDescent="0.2">
      <c r="A25" s="3">
        <v>3080401016</v>
      </c>
      <c r="B25" s="4" t="s">
        <v>41</v>
      </c>
      <c r="C25" s="4" t="s">
        <v>415</v>
      </c>
      <c r="D25" s="3">
        <v>1</v>
      </c>
      <c r="E25" s="3" t="s">
        <v>16</v>
      </c>
      <c r="F25" s="3" t="s">
        <v>295</v>
      </c>
      <c r="G25" s="3" t="s">
        <v>17</v>
      </c>
      <c r="H25" s="3" t="s">
        <v>40</v>
      </c>
    </row>
    <row r="26" spans="1:8" x14ac:dyDescent="0.2">
      <c r="A26" s="3">
        <v>3080401007</v>
      </c>
      <c r="B26" s="4" t="s">
        <v>41</v>
      </c>
      <c r="C26" s="4" t="s">
        <v>416</v>
      </c>
      <c r="D26" s="3">
        <v>2</v>
      </c>
      <c r="E26" s="3" t="s">
        <v>16</v>
      </c>
      <c r="F26" s="3" t="s">
        <v>293</v>
      </c>
      <c r="G26" s="3" t="s">
        <v>29</v>
      </c>
      <c r="H26" s="3" t="s">
        <v>40</v>
      </c>
    </row>
    <row r="27" spans="1:8" x14ac:dyDescent="0.2">
      <c r="A27" s="3">
        <v>3080104018</v>
      </c>
      <c r="B27" s="4" t="s">
        <v>45</v>
      </c>
      <c r="C27" s="4" t="s">
        <v>418</v>
      </c>
      <c r="D27" s="3">
        <v>2</v>
      </c>
      <c r="E27" s="3" t="s">
        <v>16</v>
      </c>
      <c r="F27" s="3" t="s">
        <v>293</v>
      </c>
      <c r="G27" s="3" t="s">
        <v>29</v>
      </c>
      <c r="H27" s="3" t="s">
        <v>40</v>
      </c>
    </row>
    <row r="28" spans="1:8" x14ac:dyDescent="0.2">
      <c r="A28" s="3">
        <v>3080104099</v>
      </c>
      <c r="B28" s="4" t="s">
        <v>45</v>
      </c>
      <c r="C28" s="4" t="s">
        <v>419</v>
      </c>
      <c r="D28" s="3">
        <v>2</v>
      </c>
      <c r="E28" s="3" t="s">
        <v>16</v>
      </c>
      <c r="F28" s="3" t="s">
        <v>291</v>
      </c>
      <c r="G28" s="3" t="s">
        <v>26</v>
      </c>
      <c r="H28" s="3" t="s">
        <v>40</v>
      </c>
    </row>
    <row r="29" spans="1:8" x14ac:dyDescent="0.2">
      <c r="A29" s="3">
        <v>3080104073</v>
      </c>
      <c r="B29" s="4" t="s">
        <v>45</v>
      </c>
      <c r="C29" s="4" t="s">
        <v>1155</v>
      </c>
      <c r="D29" s="3">
        <v>3</v>
      </c>
      <c r="E29" s="3" t="s">
        <v>16</v>
      </c>
      <c r="F29" s="3" t="s">
        <v>289</v>
      </c>
      <c r="G29" s="3" t="s">
        <v>23</v>
      </c>
      <c r="H29" s="3" t="s">
        <v>40</v>
      </c>
    </row>
    <row r="30" spans="1:8" x14ac:dyDescent="0.2">
      <c r="A30" s="3">
        <v>3080105121</v>
      </c>
      <c r="B30" s="4" t="s">
        <v>50</v>
      </c>
      <c r="C30" s="4" t="s">
        <v>316</v>
      </c>
      <c r="D30" s="3">
        <v>2</v>
      </c>
      <c r="E30" s="3" t="s">
        <v>16</v>
      </c>
      <c r="F30" s="3" t="s">
        <v>317</v>
      </c>
      <c r="G30" s="3" t="s">
        <v>318</v>
      </c>
      <c r="H30" s="3" t="s">
        <v>40</v>
      </c>
    </row>
    <row r="31" spans="1:8" x14ac:dyDescent="0.2">
      <c r="A31" s="3">
        <v>3080105006</v>
      </c>
      <c r="B31" s="4" t="s">
        <v>50</v>
      </c>
      <c r="C31" s="4" t="s">
        <v>1157</v>
      </c>
      <c r="D31" s="3">
        <v>8</v>
      </c>
      <c r="E31" s="3" t="s">
        <v>16</v>
      </c>
      <c r="F31" s="3" t="s">
        <v>289</v>
      </c>
      <c r="G31" s="3" t="s">
        <v>23</v>
      </c>
      <c r="H31" s="3" t="s">
        <v>40</v>
      </c>
    </row>
    <row r="32" spans="1:8" x14ac:dyDescent="0.2">
      <c r="A32" s="3">
        <v>3080105015</v>
      </c>
      <c r="B32" s="4" t="s">
        <v>50</v>
      </c>
      <c r="C32" s="4" t="s">
        <v>422</v>
      </c>
      <c r="D32" s="3">
        <v>8</v>
      </c>
      <c r="E32" s="3" t="s">
        <v>16</v>
      </c>
      <c r="F32" s="3" t="s">
        <v>293</v>
      </c>
      <c r="G32" s="3" t="s">
        <v>29</v>
      </c>
      <c r="H32" s="3" t="s">
        <v>40</v>
      </c>
    </row>
    <row r="33" spans="1:8" x14ac:dyDescent="0.2">
      <c r="A33" s="3">
        <v>3080105014</v>
      </c>
      <c r="B33" s="4" t="s">
        <v>50</v>
      </c>
      <c r="C33" s="4" t="s">
        <v>1238</v>
      </c>
      <c r="D33" s="3">
        <v>2</v>
      </c>
      <c r="E33" s="3" t="s">
        <v>16</v>
      </c>
      <c r="F33" s="3" t="s">
        <v>289</v>
      </c>
      <c r="G33" s="3" t="s">
        <v>23</v>
      </c>
      <c r="H33" s="3" t="s">
        <v>40</v>
      </c>
    </row>
    <row r="34" spans="1:8" x14ac:dyDescent="0.2">
      <c r="A34" s="3">
        <v>3080105088</v>
      </c>
      <c r="B34" s="4" t="s">
        <v>50</v>
      </c>
      <c r="C34" s="4" t="s">
        <v>423</v>
      </c>
      <c r="D34" s="3">
        <v>2</v>
      </c>
      <c r="E34" s="3" t="s">
        <v>16</v>
      </c>
      <c r="F34" s="3" t="s">
        <v>293</v>
      </c>
      <c r="G34" s="3" t="s">
        <v>29</v>
      </c>
      <c r="H34" s="3" t="s">
        <v>40</v>
      </c>
    </row>
    <row r="35" spans="1:8" x14ac:dyDescent="0.2">
      <c r="A35" s="3">
        <v>3080104055</v>
      </c>
      <c r="B35" s="4" t="s">
        <v>50</v>
      </c>
      <c r="C35" s="4" t="s">
        <v>425</v>
      </c>
      <c r="D35" s="3">
        <v>2</v>
      </c>
      <c r="E35" s="3" t="s">
        <v>16</v>
      </c>
      <c r="F35" s="3" t="s">
        <v>291</v>
      </c>
      <c r="G35" s="3" t="s">
        <v>26</v>
      </c>
      <c r="H35" s="3" t="s">
        <v>40</v>
      </c>
    </row>
    <row r="36" spans="1:8" x14ac:dyDescent="0.2">
      <c r="A36" s="3">
        <v>3080105040</v>
      </c>
      <c r="B36" s="4" t="s">
        <v>50</v>
      </c>
      <c r="C36" s="4" t="s">
        <v>421</v>
      </c>
      <c r="D36" s="3">
        <v>2</v>
      </c>
      <c r="E36" s="3" t="s">
        <v>16</v>
      </c>
      <c r="F36" s="3" t="s">
        <v>291</v>
      </c>
      <c r="G36" s="3" t="s">
        <v>26</v>
      </c>
      <c r="H36" s="3" t="s">
        <v>40</v>
      </c>
    </row>
    <row r="37" spans="1:8" x14ac:dyDescent="0.2">
      <c r="A37" s="3">
        <v>3080105040</v>
      </c>
      <c r="B37" s="4" t="s">
        <v>50</v>
      </c>
      <c r="C37" s="4" t="s">
        <v>421</v>
      </c>
      <c r="D37" s="3">
        <v>14</v>
      </c>
      <c r="E37" s="3" t="s">
        <v>16</v>
      </c>
      <c r="F37" s="3" t="s">
        <v>293</v>
      </c>
      <c r="G37" s="3" t="s">
        <v>29</v>
      </c>
      <c r="H37" s="3" t="s">
        <v>40</v>
      </c>
    </row>
    <row r="38" spans="1:8" x14ac:dyDescent="0.2">
      <c r="A38" s="3">
        <v>3080105023</v>
      </c>
      <c r="B38" s="4" t="s">
        <v>50</v>
      </c>
      <c r="C38" s="4" t="s">
        <v>1159</v>
      </c>
      <c r="D38" s="3">
        <v>4</v>
      </c>
      <c r="E38" s="3" t="s">
        <v>16</v>
      </c>
      <c r="F38" s="3" t="s">
        <v>289</v>
      </c>
      <c r="G38" s="3" t="s">
        <v>23</v>
      </c>
      <c r="H38" s="3" t="s">
        <v>40</v>
      </c>
    </row>
    <row r="39" spans="1:8" x14ac:dyDescent="0.2">
      <c r="A39" s="3">
        <v>3080105008</v>
      </c>
      <c r="B39" s="4" t="s">
        <v>50</v>
      </c>
      <c r="C39" s="4" t="s">
        <v>424</v>
      </c>
      <c r="D39" s="3">
        <v>8</v>
      </c>
      <c r="E39" s="3" t="s">
        <v>16</v>
      </c>
      <c r="F39" s="3" t="s">
        <v>293</v>
      </c>
      <c r="G39" s="3" t="s">
        <v>29</v>
      </c>
      <c r="H39" s="3" t="s">
        <v>40</v>
      </c>
    </row>
    <row r="40" spans="1:8" x14ac:dyDescent="0.2">
      <c r="A40" s="3">
        <v>3080105051</v>
      </c>
      <c r="B40" s="4" t="s">
        <v>50</v>
      </c>
      <c r="C40" s="4" t="s">
        <v>1300</v>
      </c>
      <c r="D40" s="3">
        <v>2</v>
      </c>
      <c r="E40" s="3" t="s">
        <v>16</v>
      </c>
      <c r="F40" s="3" t="s">
        <v>317</v>
      </c>
      <c r="G40" s="3" t="s">
        <v>318</v>
      </c>
      <c r="H40" s="3" t="s">
        <v>40</v>
      </c>
    </row>
    <row r="41" spans="1:8" x14ac:dyDescent="0.2">
      <c r="A41" s="3">
        <v>3080502004</v>
      </c>
      <c r="B41" s="4" t="s">
        <v>55</v>
      </c>
      <c r="C41" s="4" t="s">
        <v>1239</v>
      </c>
      <c r="D41" s="3">
        <v>2</v>
      </c>
      <c r="E41" s="3" t="s">
        <v>16</v>
      </c>
      <c r="F41" s="3" t="s">
        <v>291</v>
      </c>
      <c r="G41" s="3" t="s">
        <v>26</v>
      </c>
      <c r="H41" s="3" t="s">
        <v>40</v>
      </c>
    </row>
    <row r="42" spans="1:8" x14ac:dyDescent="0.2">
      <c r="A42" s="3">
        <v>3080201005</v>
      </c>
      <c r="B42" s="4" t="s">
        <v>60</v>
      </c>
      <c r="C42" s="4" t="s">
        <v>427</v>
      </c>
      <c r="D42" s="3">
        <v>1</v>
      </c>
      <c r="E42" s="3" t="s">
        <v>16</v>
      </c>
      <c r="F42" s="3" t="s">
        <v>291</v>
      </c>
      <c r="G42" s="3" t="s">
        <v>26</v>
      </c>
      <c r="H42" s="3" t="s">
        <v>40</v>
      </c>
    </row>
    <row r="43" spans="1:8" x14ac:dyDescent="0.2">
      <c r="A43" s="3">
        <v>3080201006</v>
      </c>
      <c r="B43" s="4" t="s">
        <v>60</v>
      </c>
      <c r="C43" s="4" t="s">
        <v>428</v>
      </c>
      <c r="D43" s="3">
        <v>1</v>
      </c>
      <c r="E43" s="3" t="s">
        <v>16</v>
      </c>
      <c r="F43" s="3" t="s">
        <v>291</v>
      </c>
      <c r="G43" s="3" t="s">
        <v>26</v>
      </c>
      <c r="H43" s="3" t="s">
        <v>40</v>
      </c>
    </row>
    <row r="44" spans="1:8" x14ac:dyDescent="0.2">
      <c r="A44" s="3">
        <v>3080107308</v>
      </c>
      <c r="B44" s="4" t="s">
        <v>69</v>
      </c>
      <c r="C44" s="4" t="s">
        <v>433</v>
      </c>
      <c r="D44" s="3">
        <v>2</v>
      </c>
      <c r="E44" s="3" t="s">
        <v>16</v>
      </c>
      <c r="F44" s="3" t="s">
        <v>291</v>
      </c>
      <c r="G44" s="3" t="s">
        <v>26</v>
      </c>
      <c r="H44" s="3" t="s">
        <v>40</v>
      </c>
    </row>
    <row r="45" spans="1:8" x14ac:dyDescent="0.2">
      <c r="A45" s="3">
        <v>3080107306</v>
      </c>
      <c r="B45" s="4" t="s">
        <v>69</v>
      </c>
      <c r="C45" s="4" t="s">
        <v>1240</v>
      </c>
      <c r="D45" s="3">
        <v>2</v>
      </c>
      <c r="E45" s="3" t="s">
        <v>16</v>
      </c>
      <c r="F45" s="3" t="s">
        <v>291</v>
      </c>
      <c r="G45" s="3" t="s">
        <v>26</v>
      </c>
      <c r="H45" s="3" t="s">
        <v>40</v>
      </c>
    </row>
    <row r="46" spans="1:8" x14ac:dyDescent="0.2">
      <c r="A46" s="3">
        <v>3080107271</v>
      </c>
      <c r="B46" s="4" t="s">
        <v>69</v>
      </c>
      <c r="C46" s="4" t="s">
        <v>1161</v>
      </c>
      <c r="D46" s="3">
        <v>2</v>
      </c>
      <c r="E46" s="3" t="s">
        <v>16</v>
      </c>
      <c r="F46" s="3" t="s">
        <v>289</v>
      </c>
      <c r="G46" s="3" t="s">
        <v>23</v>
      </c>
      <c r="H46" s="3" t="s">
        <v>40</v>
      </c>
    </row>
    <row r="47" spans="1:8" x14ac:dyDescent="0.2">
      <c r="A47" s="3">
        <v>3080107034</v>
      </c>
      <c r="B47" s="4" t="s">
        <v>69</v>
      </c>
      <c r="C47" s="4" t="s">
        <v>429</v>
      </c>
      <c r="D47" s="3">
        <v>2</v>
      </c>
      <c r="E47" s="3" t="s">
        <v>16</v>
      </c>
      <c r="F47" s="3" t="s">
        <v>295</v>
      </c>
      <c r="G47" s="3" t="s">
        <v>17</v>
      </c>
      <c r="H47" s="3" t="s">
        <v>40</v>
      </c>
    </row>
    <row r="48" spans="1:8" x14ac:dyDescent="0.2">
      <c r="A48" s="3">
        <v>3080107160</v>
      </c>
      <c r="B48" s="4" t="s">
        <v>69</v>
      </c>
      <c r="C48" s="4" t="s">
        <v>432</v>
      </c>
      <c r="D48" s="3">
        <v>4</v>
      </c>
      <c r="E48" s="3" t="s">
        <v>16</v>
      </c>
      <c r="F48" s="3" t="s">
        <v>293</v>
      </c>
      <c r="G48" s="3" t="s">
        <v>29</v>
      </c>
      <c r="H48" s="3" t="s">
        <v>40</v>
      </c>
    </row>
    <row r="49" spans="1:8" x14ac:dyDescent="0.2">
      <c r="A49" s="3">
        <v>3080107072</v>
      </c>
      <c r="B49" s="4" t="s">
        <v>69</v>
      </c>
      <c r="C49" s="4" t="s">
        <v>435</v>
      </c>
      <c r="D49" s="3">
        <v>4</v>
      </c>
      <c r="E49" s="3" t="s">
        <v>16</v>
      </c>
      <c r="F49" s="3" t="s">
        <v>291</v>
      </c>
      <c r="G49" s="3" t="s">
        <v>26</v>
      </c>
      <c r="H49" s="3" t="s">
        <v>40</v>
      </c>
    </row>
    <row r="50" spans="1:8" x14ac:dyDescent="0.2">
      <c r="A50" s="3">
        <v>3080107094</v>
      </c>
      <c r="B50" s="4" t="s">
        <v>69</v>
      </c>
      <c r="C50" s="4" t="s">
        <v>436</v>
      </c>
      <c r="D50" s="3">
        <v>2</v>
      </c>
      <c r="E50" s="3" t="s">
        <v>16</v>
      </c>
      <c r="F50" s="3" t="s">
        <v>291</v>
      </c>
      <c r="G50" s="3" t="s">
        <v>26</v>
      </c>
      <c r="H50" s="3" t="s">
        <v>40</v>
      </c>
    </row>
    <row r="51" spans="1:8" x14ac:dyDescent="0.2">
      <c r="A51" s="3">
        <v>3080107034</v>
      </c>
      <c r="B51" s="4" t="s">
        <v>69</v>
      </c>
      <c r="C51" s="4" t="s">
        <v>429</v>
      </c>
      <c r="D51" s="3">
        <v>6</v>
      </c>
      <c r="E51" s="3" t="s">
        <v>16</v>
      </c>
      <c r="F51" s="3" t="s">
        <v>295</v>
      </c>
      <c r="G51" s="3" t="s">
        <v>17</v>
      </c>
      <c r="H51" s="3" t="s">
        <v>40</v>
      </c>
    </row>
    <row r="52" spans="1:8" x14ac:dyDescent="0.2">
      <c r="A52" s="3">
        <v>3080107002</v>
      </c>
      <c r="B52" s="4" t="s">
        <v>69</v>
      </c>
      <c r="C52" s="4" t="s">
        <v>430</v>
      </c>
      <c r="D52" s="3">
        <v>4</v>
      </c>
      <c r="E52" s="3" t="s">
        <v>16</v>
      </c>
      <c r="F52" s="3" t="s">
        <v>295</v>
      </c>
      <c r="G52" s="3" t="s">
        <v>17</v>
      </c>
      <c r="H52" s="3" t="s">
        <v>40</v>
      </c>
    </row>
    <row r="53" spans="1:8" x14ac:dyDescent="0.2">
      <c r="A53" s="3">
        <v>3080107052</v>
      </c>
      <c r="B53" s="4" t="s">
        <v>69</v>
      </c>
      <c r="C53" s="4" t="s">
        <v>431</v>
      </c>
      <c r="D53" s="3">
        <v>1</v>
      </c>
      <c r="E53" s="3" t="s">
        <v>16</v>
      </c>
      <c r="F53" s="3" t="s">
        <v>295</v>
      </c>
      <c r="G53" s="3" t="s">
        <v>17</v>
      </c>
      <c r="H53" s="3" t="s">
        <v>40</v>
      </c>
    </row>
    <row r="54" spans="1:8" x14ac:dyDescent="0.2">
      <c r="A54" s="3">
        <v>3080107092</v>
      </c>
      <c r="B54" s="4" t="s">
        <v>69</v>
      </c>
      <c r="C54" s="4" t="s">
        <v>1162</v>
      </c>
      <c r="D54" s="3">
        <v>4</v>
      </c>
      <c r="E54" s="3" t="s">
        <v>16</v>
      </c>
      <c r="F54" s="3" t="s">
        <v>289</v>
      </c>
      <c r="G54" s="3" t="s">
        <v>23</v>
      </c>
      <c r="H54" s="3" t="s">
        <v>40</v>
      </c>
    </row>
    <row r="55" spans="1:8" x14ac:dyDescent="0.2">
      <c r="A55" s="3">
        <v>3080108052</v>
      </c>
      <c r="B55" s="4" t="s">
        <v>77</v>
      </c>
      <c r="C55" s="4" t="s">
        <v>1164</v>
      </c>
      <c r="D55" s="3">
        <v>1</v>
      </c>
      <c r="E55" s="3" t="s">
        <v>16</v>
      </c>
      <c r="F55" s="3" t="s">
        <v>289</v>
      </c>
      <c r="G55" s="3" t="s">
        <v>23</v>
      </c>
      <c r="H55" s="3" t="s">
        <v>40</v>
      </c>
    </row>
    <row r="56" spans="1:8" x14ac:dyDescent="0.2">
      <c r="A56" s="3">
        <v>3080101008</v>
      </c>
      <c r="B56" s="4" t="s">
        <v>77</v>
      </c>
      <c r="C56" s="4" t="s">
        <v>1165</v>
      </c>
      <c r="D56" s="3">
        <v>4</v>
      </c>
      <c r="E56" s="3" t="s">
        <v>16</v>
      </c>
      <c r="F56" s="3" t="s">
        <v>289</v>
      </c>
      <c r="G56" s="3" t="s">
        <v>23</v>
      </c>
      <c r="H56" s="3" t="s">
        <v>40</v>
      </c>
    </row>
    <row r="57" spans="1:8" x14ac:dyDescent="0.2">
      <c r="A57" s="3">
        <v>3080108033</v>
      </c>
      <c r="B57" s="4" t="s">
        <v>77</v>
      </c>
      <c r="C57" s="4" t="s">
        <v>438</v>
      </c>
      <c r="D57" s="3">
        <v>4</v>
      </c>
      <c r="E57" s="3" t="s">
        <v>16</v>
      </c>
      <c r="F57" s="3" t="s">
        <v>291</v>
      </c>
      <c r="G57" s="3" t="s">
        <v>26</v>
      </c>
      <c r="H57" s="3" t="s">
        <v>40</v>
      </c>
    </row>
    <row r="58" spans="1:8" x14ac:dyDescent="0.2">
      <c r="A58" s="3">
        <v>3080108025</v>
      </c>
      <c r="B58" s="4" t="s">
        <v>77</v>
      </c>
      <c r="C58" s="4" t="s">
        <v>437</v>
      </c>
      <c r="D58" s="3">
        <v>7</v>
      </c>
      <c r="E58" s="3" t="s">
        <v>16</v>
      </c>
      <c r="F58" s="3" t="s">
        <v>295</v>
      </c>
      <c r="G58" s="3" t="s">
        <v>17</v>
      </c>
      <c r="H58" s="3" t="s">
        <v>40</v>
      </c>
    </row>
    <row r="59" spans="1:8" x14ac:dyDescent="0.2">
      <c r="A59" s="3">
        <v>3080108040</v>
      </c>
      <c r="B59" s="4" t="s">
        <v>77</v>
      </c>
      <c r="C59" s="4" t="s">
        <v>1166</v>
      </c>
      <c r="D59" s="3">
        <v>2</v>
      </c>
      <c r="E59" s="3" t="s">
        <v>16</v>
      </c>
      <c r="F59" s="3" t="s">
        <v>289</v>
      </c>
      <c r="G59" s="3" t="s">
        <v>23</v>
      </c>
      <c r="H59" s="3" t="s">
        <v>40</v>
      </c>
    </row>
    <row r="60" spans="1:8" x14ac:dyDescent="0.2">
      <c r="A60" s="3">
        <v>3080403001</v>
      </c>
      <c r="B60" s="4" t="s">
        <v>439</v>
      </c>
      <c r="C60" s="4" t="s">
        <v>440</v>
      </c>
      <c r="D60" s="3">
        <v>1</v>
      </c>
      <c r="E60" s="3" t="s">
        <v>16</v>
      </c>
      <c r="F60" s="3" t="s">
        <v>295</v>
      </c>
      <c r="G60" s="3" t="s">
        <v>17</v>
      </c>
      <c r="H60" s="3" t="s">
        <v>40</v>
      </c>
    </row>
    <row r="61" spans="1:8" x14ac:dyDescent="0.2">
      <c r="A61" s="3">
        <v>3080109002</v>
      </c>
      <c r="B61" s="4" t="s">
        <v>441</v>
      </c>
      <c r="C61" s="4" t="s">
        <v>442</v>
      </c>
      <c r="D61" s="3">
        <v>2</v>
      </c>
      <c r="E61" s="3" t="s">
        <v>16</v>
      </c>
      <c r="F61" s="3" t="s">
        <v>295</v>
      </c>
      <c r="G61" s="3" t="s">
        <v>17</v>
      </c>
      <c r="H61" s="3" t="s">
        <v>40</v>
      </c>
    </row>
    <row r="62" spans="1:8" x14ac:dyDescent="0.2">
      <c r="A62" s="3">
        <v>3080111087</v>
      </c>
      <c r="B62" s="4" t="s">
        <v>79</v>
      </c>
      <c r="C62" s="4" t="s">
        <v>80</v>
      </c>
      <c r="D62" s="3">
        <v>15</v>
      </c>
      <c r="E62" s="3" t="s">
        <v>16</v>
      </c>
      <c r="F62" s="3" t="s">
        <v>291</v>
      </c>
      <c r="G62" s="3" t="s">
        <v>26</v>
      </c>
      <c r="H62" s="3" t="s">
        <v>40</v>
      </c>
    </row>
    <row r="63" spans="1:8" x14ac:dyDescent="0.2">
      <c r="A63" s="3">
        <v>3080111087</v>
      </c>
      <c r="B63" s="4" t="s">
        <v>79</v>
      </c>
      <c r="C63" s="4" t="s">
        <v>80</v>
      </c>
      <c r="D63" s="3">
        <v>1</v>
      </c>
      <c r="E63" s="3" t="s">
        <v>16</v>
      </c>
      <c r="F63" s="3" t="s">
        <v>291</v>
      </c>
      <c r="G63" s="3" t="s">
        <v>26</v>
      </c>
      <c r="H63" s="3" t="s">
        <v>40</v>
      </c>
    </row>
    <row r="64" spans="1:8" x14ac:dyDescent="0.2">
      <c r="A64" s="3">
        <v>3080111015</v>
      </c>
      <c r="B64" s="4" t="s">
        <v>79</v>
      </c>
      <c r="C64" s="4" t="s">
        <v>446</v>
      </c>
      <c r="D64" s="3">
        <v>4</v>
      </c>
      <c r="E64" s="3" t="s">
        <v>16</v>
      </c>
      <c r="F64" s="3" t="s">
        <v>291</v>
      </c>
      <c r="G64" s="3" t="s">
        <v>26</v>
      </c>
      <c r="H64" s="3" t="s">
        <v>40</v>
      </c>
    </row>
    <row r="65" spans="1:8" x14ac:dyDescent="0.2">
      <c r="A65" s="3">
        <v>3080111012</v>
      </c>
      <c r="B65" s="4" t="s">
        <v>79</v>
      </c>
      <c r="C65" s="4" t="s">
        <v>443</v>
      </c>
      <c r="D65" s="3">
        <v>2</v>
      </c>
      <c r="E65" s="3" t="s">
        <v>16</v>
      </c>
      <c r="F65" s="3" t="s">
        <v>295</v>
      </c>
      <c r="G65" s="3" t="s">
        <v>17</v>
      </c>
      <c r="H65" s="3" t="s">
        <v>40</v>
      </c>
    </row>
    <row r="66" spans="1:8" x14ac:dyDescent="0.2">
      <c r="A66" s="3">
        <v>3080111006</v>
      </c>
      <c r="B66" s="4" t="s">
        <v>79</v>
      </c>
      <c r="C66" s="4" t="s">
        <v>444</v>
      </c>
      <c r="D66" s="3">
        <v>1</v>
      </c>
      <c r="E66" s="3" t="s">
        <v>16</v>
      </c>
      <c r="F66" s="3" t="s">
        <v>295</v>
      </c>
      <c r="G66" s="3" t="s">
        <v>17</v>
      </c>
      <c r="H66" s="3" t="s">
        <v>40</v>
      </c>
    </row>
    <row r="67" spans="1:8" x14ac:dyDescent="0.2">
      <c r="A67" s="3">
        <v>3080111004</v>
      </c>
      <c r="B67" s="4" t="s">
        <v>79</v>
      </c>
      <c r="C67" s="4" t="s">
        <v>445</v>
      </c>
      <c r="D67" s="3">
        <v>2</v>
      </c>
      <c r="E67" s="3" t="s">
        <v>16</v>
      </c>
      <c r="F67" s="3" t="s">
        <v>293</v>
      </c>
      <c r="G67" s="3" t="s">
        <v>29</v>
      </c>
      <c r="H67" s="3" t="s">
        <v>40</v>
      </c>
    </row>
    <row r="68" spans="1:8" x14ac:dyDescent="0.2">
      <c r="A68" s="3">
        <v>407030052</v>
      </c>
      <c r="B68" s="4" t="s">
        <v>81</v>
      </c>
      <c r="C68" s="4" t="s">
        <v>1241</v>
      </c>
      <c r="D68" s="3">
        <v>1</v>
      </c>
      <c r="E68" s="3" t="s">
        <v>16</v>
      </c>
      <c r="F68" s="3" t="s">
        <v>301</v>
      </c>
      <c r="G68" s="3" t="s">
        <v>32</v>
      </c>
      <c r="H68" s="3" t="s">
        <v>40</v>
      </c>
    </row>
    <row r="69" spans="1:8" x14ac:dyDescent="0.2">
      <c r="A69" s="3">
        <v>3099991005</v>
      </c>
      <c r="B69" s="4" t="s">
        <v>878</v>
      </c>
      <c r="C69" s="4" t="s">
        <v>1258</v>
      </c>
      <c r="D69" s="3">
        <v>1</v>
      </c>
      <c r="E69" s="3" t="s">
        <v>16</v>
      </c>
      <c r="F69" s="3" t="s">
        <v>317</v>
      </c>
      <c r="G69" s="3" t="s">
        <v>318</v>
      </c>
      <c r="H69" s="3" t="s">
        <v>103</v>
      </c>
    </row>
    <row r="70" spans="1:8" x14ac:dyDescent="0.2">
      <c r="A70" s="3">
        <v>3099990213</v>
      </c>
      <c r="B70" s="4" t="s">
        <v>1902</v>
      </c>
      <c r="C70" s="4" t="s">
        <v>1985</v>
      </c>
      <c r="D70" s="3">
        <v>1</v>
      </c>
      <c r="E70" s="3" t="s">
        <v>16</v>
      </c>
      <c r="F70" s="3" t="s">
        <v>299</v>
      </c>
      <c r="G70" s="3" t="s">
        <v>106</v>
      </c>
      <c r="H70" s="3" t="s">
        <v>103</v>
      </c>
    </row>
    <row r="71" spans="1:8" x14ac:dyDescent="0.2">
      <c r="A71" s="3">
        <v>402010065</v>
      </c>
      <c r="B71" s="4" t="s">
        <v>882</v>
      </c>
      <c r="C71" s="4" t="s">
        <v>1927</v>
      </c>
      <c r="D71" s="3">
        <v>1</v>
      </c>
      <c r="E71" s="3" t="s">
        <v>16</v>
      </c>
      <c r="F71" s="3" t="s">
        <v>291</v>
      </c>
      <c r="G71" s="3" t="s">
        <v>26</v>
      </c>
      <c r="H71" s="3" t="s">
        <v>109</v>
      </c>
    </row>
    <row r="72" spans="1:8" x14ac:dyDescent="0.2">
      <c r="A72" s="3">
        <v>402030016</v>
      </c>
      <c r="B72" s="4" t="s">
        <v>107</v>
      </c>
      <c r="C72" s="4" t="s">
        <v>1259</v>
      </c>
      <c r="D72" s="3">
        <v>1</v>
      </c>
      <c r="E72" s="3" t="s">
        <v>16</v>
      </c>
      <c r="F72" s="3" t="s">
        <v>317</v>
      </c>
      <c r="G72" s="3" t="s">
        <v>318</v>
      </c>
      <c r="H72" s="3" t="s">
        <v>109</v>
      </c>
    </row>
    <row r="73" spans="1:8" x14ac:dyDescent="0.2">
      <c r="A73" s="3">
        <v>402030026</v>
      </c>
      <c r="B73" s="4" t="s">
        <v>107</v>
      </c>
      <c r="C73" s="4" t="s">
        <v>1171</v>
      </c>
      <c r="D73" s="3">
        <v>1</v>
      </c>
      <c r="E73" s="3" t="s">
        <v>16</v>
      </c>
      <c r="F73" s="3" t="s">
        <v>289</v>
      </c>
      <c r="G73" s="3" t="s">
        <v>23</v>
      </c>
      <c r="H73" s="3" t="s">
        <v>109</v>
      </c>
    </row>
    <row r="74" spans="1:8" x14ac:dyDescent="0.2">
      <c r="A74" s="3">
        <v>402020002</v>
      </c>
      <c r="B74" s="4" t="s">
        <v>111</v>
      </c>
      <c r="C74" s="4" t="s">
        <v>452</v>
      </c>
      <c r="D74" s="3">
        <v>2</v>
      </c>
      <c r="E74" s="3" t="s">
        <v>16</v>
      </c>
      <c r="F74" s="3" t="s">
        <v>293</v>
      </c>
      <c r="G74" s="3" t="s">
        <v>29</v>
      </c>
      <c r="H74" s="3" t="s">
        <v>109</v>
      </c>
    </row>
    <row r="75" spans="1:8" x14ac:dyDescent="0.2">
      <c r="A75" s="3">
        <v>3060209002</v>
      </c>
      <c r="B75" s="4" t="s">
        <v>113</v>
      </c>
      <c r="C75" s="4" t="s">
        <v>114</v>
      </c>
      <c r="D75" s="3">
        <v>2</v>
      </c>
      <c r="E75" s="3" t="s">
        <v>16</v>
      </c>
      <c r="F75" s="3" t="s">
        <v>289</v>
      </c>
      <c r="G75" s="3" t="s">
        <v>23</v>
      </c>
      <c r="H75" s="3" t="s">
        <v>115</v>
      </c>
    </row>
    <row r="76" spans="1:8" x14ac:dyDescent="0.2">
      <c r="A76" s="3">
        <v>3040216001</v>
      </c>
      <c r="B76" s="4" t="s">
        <v>328</v>
      </c>
      <c r="C76" s="4" t="s">
        <v>329</v>
      </c>
      <c r="D76" s="3">
        <v>4</v>
      </c>
      <c r="E76" s="3" t="s">
        <v>16</v>
      </c>
      <c r="F76" s="3" t="s">
        <v>293</v>
      </c>
      <c r="G76" s="3" t="s">
        <v>29</v>
      </c>
      <c r="H76" s="3" t="s">
        <v>115</v>
      </c>
    </row>
    <row r="77" spans="1:8" x14ac:dyDescent="0.2">
      <c r="A77" s="3">
        <v>3030204017</v>
      </c>
      <c r="B77" s="4" t="s">
        <v>453</v>
      </c>
      <c r="C77" s="4" t="s">
        <v>454</v>
      </c>
      <c r="D77" s="3">
        <v>1</v>
      </c>
      <c r="E77" s="3" t="s">
        <v>16</v>
      </c>
      <c r="F77" s="3" t="s">
        <v>295</v>
      </c>
      <c r="G77" s="3" t="s">
        <v>17</v>
      </c>
      <c r="H77" s="3" t="s">
        <v>115</v>
      </c>
    </row>
    <row r="78" spans="1:8" x14ac:dyDescent="0.2">
      <c r="A78" s="3">
        <v>3030204005</v>
      </c>
      <c r="B78" s="4" t="s">
        <v>455</v>
      </c>
      <c r="C78" s="4" t="s">
        <v>456</v>
      </c>
      <c r="D78" s="3">
        <v>1</v>
      </c>
      <c r="E78" s="3" t="s">
        <v>16</v>
      </c>
      <c r="F78" s="3" t="s">
        <v>295</v>
      </c>
      <c r="G78" s="3" t="s">
        <v>17</v>
      </c>
      <c r="H78" s="3" t="s">
        <v>115</v>
      </c>
    </row>
    <row r="79" spans="1:8" x14ac:dyDescent="0.2">
      <c r="A79" s="3">
        <v>3050203003</v>
      </c>
      <c r="B79" s="4" t="s">
        <v>120</v>
      </c>
      <c r="C79" s="4" t="s">
        <v>457</v>
      </c>
      <c r="D79" s="3">
        <v>2</v>
      </c>
      <c r="E79" s="3" t="s">
        <v>16</v>
      </c>
      <c r="F79" s="3" t="s">
        <v>291</v>
      </c>
      <c r="G79" s="3" t="s">
        <v>26</v>
      </c>
      <c r="H79" s="3" t="s">
        <v>115</v>
      </c>
    </row>
    <row r="80" spans="1:8" x14ac:dyDescent="0.2">
      <c r="A80" s="3">
        <v>3030204008</v>
      </c>
      <c r="B80" s="4" t="s">
        <v>122</v>
      </c>
      <c r="C80" s="4" t="s">
        <v>123</v>
      </c>
      <c r="D80" s="3">
        <v>1</v>
      </c>
      <c r="E80" s="3" t="s">
        <v>16</v>
      </c>
      <c r="F80" s="3" t="s">
        <v>291</v>
      </c>
      <c r="G80" s="3" t="s">
        <v>26</v>
      </c>
      <c r="H80" s="3" t="s">
        <v>115</v>
      </c>
    </row>
    <row r="81" spans="1:8" x14ac:dyDescent="0.2">
      <c r="A81" s="3">
        <v>3070104005</v>
      </c>
      <c r="B81" s="4" t="s">
        <v>128</v>
      </c>
      <c r="C81" s="4" t="s">
        <v>330</v>
      </c>
      <c r="D81" s="3">
        <v>1</v>
      </c>
      <c r="E81" s="3" t="s">
        <v>16</v>
      </c>
      <c r="F81" s="3" t="s">
        <v>317</v>
      </c>
      <c r="G81" s="3" t="s">
        <v>318</v>
      </c>
      <c r="H81" s="3" t="s">
        <v>115</v>
      </c>
    </row>
    <row r="82" spans="1:8" x14ac:dyDescent="0.2">
      <c r="A82" s="3">
        <v>3030206001</v>
      </c>
      <c r="B82" s="4" t="s">
        <v>458</v>
      </c>
      <c r="C82" s="4" t="s">
        <v>404</v>
      </c>
      <c r="D82" s="3">
        <v>1</v>
      </c>
      <c r="E82" s="3" t="s">
        <v>16</v>
      </c>
      <c r="F82" s="3" t="s">
        <v>295</v>
      </c>
      <c r="G82" s="3" t="s">
        <v>17</v>
      </c>
      <c r="H82" s="3" t="s">
        <v>132</v>
      </c>
    </row>
    <row r="83" spans="1:8" x14ac:dyDescent="0.2">
      <c r="A83" s="3">
        <v>404020082</v>
      </c>
      <c r="B83" s="4" t="s">
        <v>30</v>
      </c>
      <c r="C83" s="4" t="s">
        <v>1260</v>
      </c>
      <c r="D83" s="3">
        <v>1</v>
      </c>
      <c r="E83" s="3" t="s">
        <v>16</v>
      </c>
      <c r="F83" s="3" t="s">
        <v>301</v>
      </c>
      <c r="G83" s="3" t="s">
        <v>32</v>
      </c>
      <c r="H83" s="3" t="s">
        <v>134</v>
      </c>
    </row>
    <row r="84" spans="1:8" x14ac:dyDescent="0.2">
      <c r="A84" s="3">
        <v>401020109</v>
      </c>
      <c r="B84" s="4" t="s">
        <v>35</v>
      </c>
      <c r="C84" s="4" t="s">
        <v>1172</v>
      </c>
      <c r="D84" s="3">
        <v>1</v>
      </c>
      <c r="E84" s="3" t="s">
        <v>16</v>
      </c>
      <c r="F84" s="3" t="s">
        <v>291</v>
      </c>
      <c r="G84" s="3" t="s">
        <v>26</v>
      </c>
      <c r="H84" s="3" t="s">
        <v>134</v>
      </c>
    </row>
    <row r="85" spans="1:8" x14ac:dyDescent="0.2">
      <c r="A85" s="3">
        <v>3040502053</v>
      </c>
      <c r="B85" s="4" t="s">
        <v>136</v>
      </c>
      <c r="C85" s="4" t="s">
        <v>1117</v>
      </c>
      <c r="D85" s="3">
        <v>1</v>
      </c>
      <c r="E85" s="3" t="s">
        <v>16</v>
      </c>
      <c r="F85" s="3" t="s">
        <v>293</v>
      </c>
      <c r="G85" s="3" t="s">
        <v>29</v>
      </c>
      <c r="H85" s="3" t="s">
        <v>138</v>
      </c>
    </row>
    <row r="86" spans="1:8" x14ac:dyDescent="0.2">
      <c r="A86" s="3">
        <v>3040502052</v>
      </c>
      <c r="B86" s="4" t="s">
        <v>136</v>
      </c>
      <c r="C86" s="4" t="s">
        <v>1118</v>
      </c>
      <c r="D86" s="3">
        <v>1</v>
      </c>
      <c r="E86" s="3" t="s">
        <v>16</v>
      </c>
      <c r="F86" s="3" t="s">
        <v>293</v>
      </c>
      <c r="G86" s="3" t="s">
        <v>29</v>
      </c>
      <c r="H86" s="3" t="s">
        <v>138</v>
      </c>
    </row>
    <row r="87" spans="1:8" x14ac:dyDescent="0.2">
      <c r="A87" s="3">
        <v>3110207001</v>
      </c>
      <c r="B87" s="4" t="s">
        <v>140</v>
      </c>
      <c r="C87" s="4" t="s">
        <v>1173</v>
      </c>
      <c r="D87" s="3">
        <v>1</v>
      </c>
      <c r="E87" s="3" t="s">
        <v>16</v>
      </c>
      <c r="F87" s="3" t="s">
        <v>285</v>
      </c>
      <c r="G87" s="3" t="s">
        <v>142</v>
      </c>
      <c r="H87" s="3" t="s">
        <v>143</v>
      </c>
    </row>
    <row r="88" spans="1:8" x14ac:dyDescent="0.2">
      <c r="A88" s="3">
        <v>3030301005</v>
      </c>
      <c r="B88" s="4" t="s">
        <v>144</v>
      </c>
      <c r="C88" s="4" t="s">
        <v>145</v>
      </c>
      <c r="D88" s="3">
        <v>2</v>
      </c>
      <c r="E88" s="3" t="s">
        <v>16</v>
      </c>
      <c r="F88" s="3" t="s">
        <v>291</v>
      </c>
      <c r="G88" s="3" t="s">
        <v>26</v>
      </c>
      <c r="H88" s="3" t="s">
        <v>143</v>
      </c>
    </row>
    <row r="89" spans="1:8" x14ac:dyDescent="0.2">
      <c r="A89" s="3">
        <v>3110204002</v>
      </c>
      <c r="B89" s="4" t="s">
        <v>333</v>
      </c>
      <c r="C89" s="4" t="s">
        <v>1261</v>
      </c>
      <c r="D89" s="3">
        <v>1</v>
      </c>
      <c r="E89" s="3" t="s">
        <v>16</v>
      </c>
      <c r="F89" s="3" t="s">
        <v>335</v>
      </c>
      <c r="G89" s="3" t="s">
        <v>336</v>
      </c>
      <c r="H89" s="3" t="s">
        <v>143</v>
      </c>
    </row>
    <row r="90" spans="1:8" x14ac:dyDescent="0.2">
      <c r="A90" s="3">
        <v>3110206001</v>
      </c>
      <c r="B90" s="4" t="s">
        <v>715</v>
      </c>
      <c r="C90" s="4" t="s">
        <v>1175</v>
      </c>
      <c r="D90" s="3">
        <v>1</v>
      </c>
      <c r="E90" s="3" t="s">
        <v>16</v>
      </c>
      <c r="F90" s="3" t="s">
        <v>285</v>
      </c>
      <c r="G90" s="3" t="s">
        <v>142</v>
      </c>
      <c r="H90" s="3" t="s">
        <v>143</v>
      </c>
    </row>
    <row r="91" spans="1:8" x14ac:dyDescent="0.2">
      <c r="A91" s="3">
        <v>408090008</v>
      </c>
      <c r="B91" s="4" t="s">
        <v>461</v>
      </c>
      <c r="C91" s="4" t="s">
        <v>462</v>
      </c>
      <c r="D91" s="3">
        <v>1</v>
      </c>
      <c r="E91" s="3" t="s">
        <v>16</v>
      </c>
      <c r="F91" s="3" t="s">
        <v>293</v>
      </c>
      <c r="G91" s="3" t="s">
        <v>29</v>
      </c>
      <c r="H91" s="3" t="s">
        <v>151</v>
      </c>
    </row>
    <row r="92" spans="1:8" x14ac:dyDescent="0.2">
      <c r="A92" s="3">
        <v>408090007</v>
      </c>
      <c r="B92" s="4" t="s">
        <v>463</v>
      </c>
      <c r="C92" s="4" t="s">
        <v>464</v>
      </c>
      <c r="D92" s="3">
        <v>1</v>
      </c>
      <c r="E92" s="3" t="s">
        <v>16</v>
      </c>
      <c r="F92" s="3" t="s">
        <v>293</v>
      </c>
      <c r="G92" s="3" t="s">
        <v>29</v>
      </c>
      <c r="H92" s="3" t="s">
        <v>151</v>
      </c>
    </row>
    <row r="93" spans="1:8" x14ac:dyDescent="0.2">
      <c r="A93" s="3">
        <v>3060204002</v>
      </c>
      <c r="B93" s="4" t="s">
        <v>1176</v>
      </c>
      <c r="C93" s="4" t="s">
        <v>1177</v>
      </c>
      <c r="D93" s="3">
        <v>1</v>
      </c>
      <c r="E93" s="3" t="s">
        <v>16</v>
      </c>
      <c r="F93" s="3" t="s">
        <v>289</v>
      </c>
      <c r="G93" s="3" t="s">
        <v>23</v>
      </c>
      <c r="H93" s="3" t="s">
        <v>154</v>
      </c>
    </row>
    <row r="94" spans="1:8" x14ac:dyDescent="0.2">
      <c r="A94" s="3">
        <v>3060206002</v>
      </c>
      <c r="B94" s="4" t="s">
        <v>1178</v>
      </c>
      <c r="C94" s="4" t="s">
        <v>1179</v>
      </c>
      <c r="D94" s="3">
        <v>1</v>
      </c>
      <c r="E94" s="3" t="s">
        <v>16</v>
      </c>
      <c r="F94" s="3" t="s">
        <v>289</v>
      </c>
      <c r="G94" s="3" t="s">
        <v>23</v>
      </c>
      <c r="H94" s="3" t="s">
        <v>154</v>
      </c>
    </row>
    <row r="95" spans="1:8" x14ac:dyDescent="0.2">
      <c r="A95" s="3">
        <v>3060211003</v>
      </c>
      <c r="B95" s="4" t="s">
        <v>1180</v>
      </c>
      <c r="C95" s="4" t="s">
        <v>1181</v>
      </c>
      <c r="D95" s="3">
        <v>1</v>
      </c>
      <c r="E95" s="3" t="s">
        <v>16</v>
      </c>
      <c r="F95" s="3" t="s">
        <v>289</v>
      </c>
      <c r="G95" s="3" t="s">
        <v>23</v>
      </c>
      <c r="H95" s="3" t="s">
        <v>154</v>
      </c>
    </row>
    <row r="96" spans="1:8" x14ac:dyDescent="0.2">
      <c r="A96" s="3">
        <v>3060328001</v>
      </c>
      <c r="B96" s="4" t="s">
        <v>1182</v>
      </c>
      <c r="C96" s="4" t="s">
        <v>1183</v>
      </c>
      <c r="D96" s="3">
        <v>1</v>
      </c>
      <c r="E96" s="3" t="s">
        <v>16</v>
      </c>
      <c r="F96" s="3" t="s">
        <v>289</v>
      </c>
      <c r="G96" s="3" t="s">
        <v>23</v>
      </c>
      <c r="H96" s="3" t="s">
        <v>165</v>
      </c>
    </row>
    <row r="97" spans="1:8" x14ac:dyDescent="0.2">
      <c r="A97" s="3">
        <v>3060328002</v>
      </c>
      <c r="B97" s="4" t="s">
        <v>1182</v>
      </c>
      <c r="C97" s="4" t="s">
        <v>1184</v>
      </c>
      <c r="D97" s="3">
        <v>1</v>
      </c>
      <c r="E97" s="3" t="s">
        <v>16</v>
      </c>
      <c r="F97" s="3" t="s">
        <v>289</v>
      </c>
      <c r="G97" s="3" t="s">
        <v>23</v>
      </c>
      <c r="H97" s="3" t="s">
        <v>165</v>
      </c>
    </row>
    <row r="98" spans="1:8" x14ac:dyDescent="0.2">
      <c r="A98" s="3">
        <v>3030301010</v>
      </c>
      <c r="B98" s="4" t="s">
        <v>468</v>
      </c>
      <c r="C98" s="4" t="s">
        <v>469</v>
      </c>
      <c r="D98" s="3">
        <v>4</v>
      </c>
      <c r="E98" s="3" t="s">
        <v>16</v>
      </c>
      <c r="F98" s="3" t="s">
        <v>295</v>
      </c>
      <c r="G98" s="3" t="s">
        <v>17</v>
      </c>
      <c r="H98" s="3" t="s">
        <v>165</v>
      </c>
    </row>
    <row r="99" spans="1:8" x14ac:dyDescent="0.2">
      <c r="A99" s="3">
        <v>3060347005</v>
      </c>
      <c r="B99" s="4" t="s">
        <v>470</v>
      </c>
      <c r="C99" s="4" t="s">
        <v>471</v>
      </c>
      <c r="D99" s="3">
        <v>1</v>
      </c>
      <c r="E99" s="3" t="s">
        <v>16</v>
      </c>
      <c r="F99" s="3" t="s">
        <v>291</v>
      </c>
      <c r="G99" s="3" t="s">
        <v>26</v>
      </c>
      <c r="H99" s="3" t="s">
        <v>165</v>
      </c>
    </row>
    <row r="100" spans="1:8" x14ac:dyDescent="0.2">
      <c r="A100" s="3">
        <v>3060347006</v>
      </c>
      <c r="B100" s="4" t="s">
        <v>470</v>
      </c>
      <c r="C100" s="4" t="s">
        <v>472</v>
      </c>
      <c r="D100" s="3">
        <v>1</v>
      </c>
      <c r="E100" s="3" t="s">
        <v>16</v>
      </c>
      <c r="F100" s="3" t="s">
        <v>291</v>
      </c>
      <c r="G100" s="3" t="s">
        <v>26</v>
      </c>
      <c r="H100" s="3" t="s">
        <v>165</v>
      </c>
    </row>
    <row r="101" spans="1:8" x14ac:dyDescent="0.2">
      <c r="A101" s="3">
        <v>3110103002</v>
      </c>
      <c r="B101" s="4" t="s">
        <v>473</v>
      </c>
      <c r="C101" s="4" t="s">
        <v>474</v>
      </c>
      <c r="D101" s="3">
        <v>1</v>
      </c>
      <c r="E101" s="3" t="s">
        <v>16</v>
      </c>
      <c r="F101" s="3" t="s">
        <v>291</v>
      </c>
      <c r="G101" s="3" t="s">
        <v>26</v>
      </c>
      <c r="H101" s="3" t="s">
        <v>165</v>
      </c>
    </row>
    <row r="102" spans="1:8" x14ac:dyDescent="0.2">
      <c r="A102" s="3">
        <v>3030316006</v>
      </c>
      <c r="B102" s="4" t="s">
        <v>475</v>
      </c>
      <c r="C102" s="4" t="s">
        <v>476</v>
      </c>
      <c r="D102" s="3">
        <v>1</v>
      </c>
      <c r="E102" s="3" t="s">
        <v>16</v>
      </c>
      <c r="F102" s="3" t="s">
        <v>295</v>
      </c>
      <c r="G102" s="3" t="s">
        <v>17</v>
      </c>
      <c r="H102" s="3" t="s">
        <v>165</v>
      </c>
    </row>
    <row r="103" spans="1:8" x14ac:dyDescent="0.2">
      <c r="A103" s="3">
        <v>3040326008</v>
      </c>
      <c r="B103" s="4" t="s">
        <v>546</v>
      </c>
      <c r="C103" s="4" t="s">
        <v>1121</v>
      </c>
      <c r="D103" s="3">
        <v>1</v>
      </c>
      <c r="E103" s="3" t="s">
        <v>16</v>
      </c>
      <c r="F103" s="3" t="s">
        <v>293</v>
      </c>
      <c r="G103" s="3" t="s">
        <v>29</v>
      </c>
      <c r="H103" s="3" t="s">
        <v>165</v>
      </c>
    </row>
    <row r="104" spans="1:8" x14ac:dyDescent="0.2">
      <c r="A104" s="3">
        <v>3040326007</v>
      </c>
      <c r="B104" s="4" t="s">
        <v>546</v>
      </c>
      <c r="C104" s="4" t="s">
        <v>1122</v>
      </c>
      <c r="D104" s="3">
        <v>1</v>
      </c>
      <c r="E104" s="3" t="s">
        <v>16</v>
      </c>
      <c r="F104" s="3" t="s">
        <v>293</v>
      </c>
      <c r="G104" s="3" t="s">
        <v>29</v>
      </c>
      <c r="H104" s="3" t="s">
        <v>165</v>
      </c>
    </row>
    <row r="105" spans="1:8" x14ac:dyDescent="0.2">
      <c r="A105" s="3">
        <v>3030314007</v>
      </c>
      <c r="B105" s="4" t="s">
        <v>477</v>
      </c>
      <c r="C105" s="4" t="s">
        <v>478</v>
      </c>
      <c r="D105" s="3">
        <v>1</v>
      </c>
      <c r="E105" s="3" t="s">
        <v>16</v>
      </c>
      <c r="F105" s="3" t="s">
        <v>291</v>
      </c>
      <c r="G105" s="3" t="s">
        <v>26</v>
      </c>
      <c r="H105" s="3" t="s">
        <v>165</v>
      </c>
    </row>
    <row r="106" spans="1:8" x14ac:dyDescent="0.2">
      <c r="A106" s="3">
        <v>3030308013</v>
      </c>
      <c r="B106" s="4" t="s">
        <v>479</v>
      </c>
      <c r="C106" s="4" t="s">
        <v>478</v>
      </c>
      <c r="D106" s="3">
        <v>1</v>
      </c>
      <c r="E106" s="3" t="s">
        <v>16</v>
      </c>
      <c r="F106" s="3" t="s">
        <v>291</v>
      </c>
      <c r="G106" s="3" t="s">
        <v>26</v>
      </c>
      <c r="H106" s="3" t="s">
        <v>165</v>
      </c>
    </row>
    <row r="107" spans="1:8" x14ac:dyDescent="0.2">
      <c r="A107" s="3">
        <v>3050310030</v>
      </c>
      <c r="B107" s="4" t="s">
        <v>480</v>
      </c>
      <c r="C107" s="4" t="s">
        <v>469</v>
      </c>
      <c r="D107" s="3">
        <v>2</v>
      </c>
      <c r="E107" s="3" t="s">
        <v>16</v>
      </c>
      <c r="F107" s="3" t="s">
        <v>291</v>
      </c>
      <c r="G107" s="3" t="s">
        <v>26</v>
      </c>
      <c r="H107" s="3" t="s">
        <v>165</v>
      </c>
    </row>
    <row r="108" spans="1:8" x14ac:dyDescent="0.2">
      <c r="A108" s="3">
        <v>3010106010</v>
      </c>
      <c r="B108" s="4" t="s">
        <v>481</v>
      </c>
      <c r="C108" s="4" t="s">
        <v>482</v>
      </c>
      <c r="D108" s="3">
        <v>0.4</v>
      </c>
      <c r="E108" s="3" t="s">
        <v>10</v>
      </c>
      <c r="F108" s="3" t="s">
        <v>284</v>
      </c>
      <c r="G108" s="3" t="s">
        <v>11</v>
      </c>
      <c r="H108" s="3" t="s">
        <v>483</v>
      </c>
    </row>
    <row r="109" spans="1:8" x14ac:dyDescent="0.2">
      <c r="A109" s="3">
        <v>3060304005</v>
      </c>
      <c r="B109" s="4" t="s">
        <v>1194</v>
      </c>
      <c r="C109" s="4" t="s">
        <v>1196</v>
      </c>
      <c r="D109" s="3">
        <v>3</v>
      </c>
      <c r="E109" s="3" t="s">
        <v>16</v>
      </c>
      <c r="F109" s="3" t="s">
        <v>289</v>
      </c>
      <c r="G109" s="3" t="s">
        <v>23</v>
      </c>
      <c r="H109" s="3" t="s">
        <v>173</v>
      </c>
    </row>
    <row r="110" spans="1:8" x14ac:dyDescent="0.2">
      <c r="A110" s="3">
        <v>3050305013</v>
      </c>
      <c r="B110" s="4" t="s">
        <v>484</v>
      </c>
      <c r="C110" s="4" t="s">
        <v>485</v>
      </c>
      <c r="D110" s="3">
        <v>1</v>
      </c>
      <c r="E110" s="3" t="s">
        <v>16</v>
      </c>
      <c r="F110" s="3" t="s">
        <v>291</v>
      </c>
      <c r="G110" s="3" t="s">
        <v>26</v>
      </c>
      <c r="H110" s="3" t="s">
        <v>173</v>
      </c>
    </row>
    <row r="111" spans="1:8" x14ac:dyDescent="0.2">
      <c r="A111" s="3">
        <v>3040305002</v>
      </c>
      <c r="B111" s="4" t="s">
        <v>486</v>
      </c>
      <c r="C111" s="4" t="s">
        <v>487</v>
      </c>
      <c r="D111" s="3">
        <v>2</v>
      </c>
      <c r="E111" s="3" t="s">
        <v>16</v>
      </c>
      <c r="F111" s="3" t="s">
        <v>293</v>
      </c>
      <c r="G111" s="3" t="s">
        <v>29</v>
      </c>
      <c r="H111" s="3" t="s">
        <v>173</v>
      </c>
    </row>
    <row r="112" spans="1:8" x14ac:dyDescent="0.2">
      <c r="A112" s="3">
        <v>3040313002</v>
      </c>
      <c r="B112" s="4" t="s">
        <v>488</v>
      </c>
      <c r="C112" s="4" t="s">
        <v>489</v>
      </c>
      <c r="D112" s="3">
        <v>8</v>
      </c>
      <c r="E112" s="3" t="s">
        <v>16</v>
      </c>
      <c r="F112" s="3" t="s">
        <v>293</v>
      </c>
      <c r="G112" s="3" t="s">
        <v>29</v>
      </c>
      <c r="H112" s="3" t="s">
        <v>173</v>
      </c>
    </row>
    <row r="113" spans="1:8" x14ac:dyDescent="0.2">
      <c r="A113" s="3">
        <v>3040321001</v>
      </c>
      <c r="B113" s="4" t="s">
        <v>490</v>
      </c>
      <c r="C113" s="4" t="s">
        <v>347</v>
      </c>
      <c r="D113" s="3">
        <v>8</v>
      </c>
      <c r="E113" s="3" t="s">
        <v>16</v>
      </c>
      <c r="F113" s="3" t="s">
        <v>293</v>
      </c>
      <c r="G113" s="3" t="s">
        <v>29</v>
      </c>
      <c r="H113" s="3" t="s">
        <v>173</v>
      </c>
    </row>
    <row r="114" spans="1:8" x14ac:dyDescent="0.2">
      <c r="A114" s="3">
        <v>3040309001</v>
      </c>
      <c r="B114" s="4" t="s">
        <v>346</v>
      </c>
      <c r="C114" s="4" t="s">
        <v>347</v>
      </c>
      <c r="D114" s="3">
        <v>4</v>
      </c>
      <c r="E114" s="3" t="s">
        <v>16</v>
      </c>
      <c r="F114" s="3" t="s">
        <v>293</v>
      </c>
      <c r="G114" s="3" t="s">
        <v>29</v>
      </c>
      <c r="H114" s="3" t="s">
        <v>173</v>
      </c>
    </row>
    <row r="115" spans="1:8" x14ac:dyDescent="0.2">
      <c r="A115" s="3">
        <v>3020501004</v>
      </c>
      <c r="B115" s="4" t="s">
        <v>183</v>
      </c>
      <c r="C115" s="4" t="s">
        <v>761</v>
      </c>
      <c r="D115" s="3">
        <v>1</v>
      </c>
      <c r="E115" s="3" t="s">
        <v>16</v>
      </c>
      <c r="F115" s="3" t="s">
        <v>291</v>
      </c>
      <c r="G115" s="3" t="s">
        <v>26</v>
      </c>
      <c r="H115" s="3" t="s">
        <v>185</v>
      </c>
    </row>
    <row r="116" spans="1:8" x14ac:dyDescent="0.2">
      <c r="A116" s="3">
        <v>3030204003</v>
      </c>
      <c r="B116" s="4" t="s">
        <v>492</v>
      </c>
      <c r="C116" s="4" t="s">
        <v>493</v>
      </c>
      <c r="D116" s="3">
        <v>2</v>
      </c>
      <c r="E116" s="3" t="s">
        <v>16</v>
      </c>
      <c r="F116" s="3" t="s">
        <v>295</v>
      </c>
      <c r="G116" s="3" t="s">
        <v>17</v>
      </c>
      <c r="H116" s="3" t="s">
        <v>494</v>
      </c>
    </row>
    <row r="117" spans="1:8" x14ac:dyDescent="0.2">
      <c r="A117" s="3">
        <v>3990201008</v>
      </c>
      <c r="B117" s="4" t="s">
        <v>186</v>
      </c>
      <c r="C117" s="4" t="s">
        <v>495</v>
      </c>
      <c r="D117" s="3">
        <v>1</v>
      </c>
      <c r="E117" s="3" t="s">
        <v>16</v>
      </c>
      <c r="F117" s="3" t="s">
        <v>295</v>
      </c>
      <c r="G117" s="3" t="s">
        <v>17</v>
      </c>
      <c r="H117" s="3" t="s">
        <v>187</v>
      </c>
    </row>
    <row r="118" spans="1:8" x14ac:dyDescent="0.2">
      <c r="A118" s="3">
        <v>3990202007</v>
      </c>
      <c r="B118" s="4" t="s">
        <v>188</v>
      </c>
      <c r="C118" s="4" t="s">
        <v>495</v>
      </c>
      <c r="D118" s="3">
        <v>1</v>
      </c>
      <c r="E118" s="3" t="s">
        <v>16</v>
      </c>
      <c r="F118" s="3" t="s">
        <v>295</v>
      </c>
      <c r="G118" s="3" t="s">
        <v>17</v>
      </c>
      <c r="H118" s="3" t="s">
        <v>187</v>
      </c>
    </row>
    <row r="119" spans="1:8" x14ac:dyDescent="0.2">
      <c r="A119" s="3">
        <v>3990203002</v>
      </c>
      <c r="B119" s="4" t="s">
        <v>189</v>
      </c>
      <c r="C119" s="4" t="s">
        <v>495</v>
      </c>
      <c r="D119" s="3">
        <v>1</v>
      </c>
      <c r="E119" s="3" t="s">
        <v>16</v>
      </c>
      <c r="F119" s="3" t="s">
        <v>295</v>
      </c>
      <c r="G119" s="3" t="s">
        <v>17</v>
      </c>
      <c r="H119" s="3" t="s">
        <v>187</v>
      </c>
    </row>
    <row r="120" spans="1:8" x14ac:dyDescent="0.2">
      <c r="A120" s="3">
        <v>3060403047</v>
      </c>
      <c r="B120" s="4" t="s">
        <v>190</v>
      </c>
      <c r="C120" s="4" t="s">
        <v>1242</v>
      </c>
      <c r="D120" s="3">
        <v>1</v>
      </c>
      <c r="E120" s="3" t="s">
        <v>16</v>
      </c>
      <c r="F120" s="3" t="s">
        <v>295</v>
      </c>
      <c r="G120" s="3" t="s">
        <v>17</v>
      </c>
      <c r="H120" s="3" t="s">
        <v>192</v>
      </c>
    </row>
    <row r="121" spans="1:8" x14ac:dyDescent="0.2">
      <c r="A121" s="3">
        <v>3050405005</v>
      </c>
      <c r="B121" s="4" t="s">
        <v>496</v>
      </c>
      <c r="C121" s="4" t="s">
        <v>1296</v>
      </c>
      <c r="D121" s="3">
        <v>1</v>
      </c>
      <c r="E121" s="3" t="s">
        <v>16</v>
      </c>
      <c r="F121" s="3" t="s">
        <v>291</v>
      </c>
      <c r="G121" s="3" t="s">
        <v>26</v>
      </c>
      <c r="H121" s="3" t="s">
        <v>192</v>
      </c>
    </row>
    <row r="122" spans="1:8" x14ac:dyDescent="0.2">
      <c r="A122" s="3">
        <v>3030402001</v>
      </c>
      <c r="B122" s="4" t="s">
        <v>498</v>
      </c>
      <c r="C122" s="4" t="s">
        <v>499</v>
      </c>
      <c r="D122" s="3">
        <v>1</v>
      </c>
      <c r="E122" s="3" t="s">
        <v>16</v>
      </c>
      <c r="F122" s="3" t="s">
        <v>295</v>
      </c>
      <c r="G122" s="3" t="s">
        <v>17</v>
      </c>
      <c r="H122" s="3" t="s">
        <v>192</v>
      </c>
    </row>
    <row r="123" spans="1:8" x14ac:dyDescent="0.2">
      <c r="A123" s="3">
        <v>3040402009</v>
      </c>
      <c r="B123" s="4" t="s">
        <v>500</v>
      </c>
      <c r="C123" s="4" t="s">
        <v>1244</v>
      </c>
      <c r="D123" s="3">
        <v>1</v>
      </c>
      <c r="E123" s="3" t="s">
        <v>16</v>
      </c>
      <c r="F123" s="3" t="s">
        <v>293</v>
      </c>
      <c r="G123" s="3" t="s">
        <v>29</v>
      </c>
      <c r="H123" s="3" t="s">
        <v>192</v>
      </c>
    </row>
    <row r="124" spans="1:8" x14ac:dyDescent="0.2">
      <c r="A124" s="3">
        <v>3040402010</v>
      </c>
      <c r="B124" s="4" t="s">
        <v>500</v>
      </c>
      <c r="C124" s="4" t="s">
        <v>1245</v>
      </c>
      <c r="D124" s="3">
        <v>1</v>
      </c>
      <c r="E124" s="3" t="s">
        <v>16</v>
      </c>
      <c r="F124" s="3" t="s">
        <v>293</v>
      </c>
      <c r="G124" s="3" t="s">
        <v>29</v>
      </c>
      <c r="H124" s="3" t="s">
        <v>192</v>
      </c>
    </row>
    <row r="125" spans="1:8" x14ac:dyDescent="0.2">
      <c r="A125" s="3">
        <v>404100037</v>
      </c>
      <c r="B125" s="4" t="s">
        <v>1201</v>
      </c>
      <c r="C125" s="4" t="s">
        <v>1202</v>
      </c>
      <c r="D125" s="3">
        <v>1</v>
      </c>
      <c r="E125" s="3" t="s">
        <v>16</v>
      </c>
      <c r="F125" s="3" t="s">
        <v>301</v>
      </c>
      <c r="G125" s="3" t="s">
        <v>32</v>
      </c>
      <c r="H125" s="3" t="s">
        <v>198</v>
      </c>
    </row>
    <row r="126" spans="1:8" x14ac:dyDescent="0.2">
      <c r="A126" s="3">
        <v>404100039</v>
      </c>
      <c r="B126" s="4" t="s">
        <v>196</v>
      </c>
      <c r="C126" s="4" t="s">
        <v>1203</v>
      </c>
      <c r="D126" s="3">
        <v>1</v>
      </c>
      <c r="E126" s="3" t="s">
        <v>16</v>
      </c>
      <c r="F126" s="3" t="s">
        <v>301</v>
      </c>
      <c r="G126" s="3" t="s">
        <v>32</v>
      </c>
      <c r="H126" s="3" t="s">
        <v>198</v>
      </c>
    </row>
    <row r="127" spans="1:8" x14ac:dyDescent="0.2">
      <c r="A127" s="3">
        <v>404110008</v>
      </c>
      <c r="B127" s="4" t="s">
        <v>504</v>
      </c>
      <c r="C127" s="4" t="s">
        <v>505</v>
      </c>
      <c r="D127" s="3">
        <v>2</v>
      </c>
      <c r="E127" s="3" t="s">
        <v>16</v>
      </c>
      <c r="F127" s="3" t="s">
        <v>291</v>
      </c>
      <c r="G127" s="3" t="s">
        <v>26</v>
      </c>
      <c r="H127" s="3" t="s">
        <v>198</v>
      </c>
    </row>
    <row r="128" spans="1:8" x14ac:dyDescent="0.2">
      <c r="A128" s="3">
        <v>404110002</v>
      </c>
      <c r="B128" s="4" t="s">
        <v>504</v>
      </c>
      <c r="C128" s="4" t="s">
        <v>1204</v>
      </c>
      <c r="D128" s="3">
        <v>1</v>
      </c>
      <c r="E128" s="3" t="s">
        <v>16</v>
      </c>
      <c r="F128" s="3" t="s">
        <v>291</v>
      </c>
      <c r="G128" s="3" t="s">
        <v>26</v>
      </c>
      <c r="H128" s="3" t="s">
        <v>198</v>
      </c>
    </row>
    <row r="129" spans="1:8" x14ac:dyDescent="0.2">
      <c r="A129" s="3">
        <v>404100025</v>
      </c>
      <c r="B129" s="4" t="s">
        <v>1093</v>
      </c>
      <c r="C129" s="4" t="s">
        <v>1094</v>
      </c>
      <c r="D129" s="3">
        <v>1</v>
      </c>
      <c r="E129" s="3" t="s">
        <v>16</v>
      </c>
      <c r="F129" s="3" t="s">
        <v>301</v>
      </c>
      <c r="G129" s="3" t="s">
        <v>32</v>
      </c>
      <c r="H129" s="3" t="s">
        <v>198</v>
      </c>
    </row>
    <row r="130" spans="1:8" x14ac:dyDescent="0.2">
      <c r="A130" s="3">
        <v>403030054</v>
      </c>
      <c r="B130" s="4" t="s">
        <v>801</v>
      </c>
      <c r="C130" s="4" t="s">
        <v>1205</v>
      </c>
      <c r="D130" s="3">
        <v>1</v>
      </c>
      <c r="E130" s="3" t="s">
        <v>16</v>
      </c>
      <c r="F130" s="3" t="s">
        <v>301</v>
      </c>
      <c r="G130" s="3" t="s">
        <v>32</v>
      </c>
      <c r="H130" s="3" t="s">
        <v>198</v>
      </c>
    </row>
    <row r="131" spans="1:8" x14ac:dyDescent="0.2">
      <c r="A131" s="3">
        <v>403030012</v>
      </c>
      <c r="B131" s="4" t="s">
        <v>366</v>
      </c>
      <c r="C131" s="4" t="s">
        <v>507</v>
      </c>
      <c r="D131" s="3">
        <v>2</v>
      </c>
      <c r="E131" s="3" t="s">
        <v>16</v>
      </c>
      <c r="F131" s="3" t="s">
        <v>291</v>
      </c>
      <c r="G131" s="3" t="s">
        <v>26</v>
      </c>
      <c r="H131" s="3" t="s">
        <v>198</v>
      </c>
    </row>
    <row r="132" spans="1:8" x14ac:dyDescent="0.2">
      <c r="A132" s="3">
        <v>401070018</v>
      </c>
      <c r="B132" s="4" t="s">
        <v>35</v>
      </c>
      <c r="C132" s="4" t="s">
        <v>202</v>
      </c>
      <c r="D132" s="3">
        <v>1</v>
      </c>
      <c r="E132" s="3" t="s">
        <v>16</v>
      </c>
      <c r="F132" s="3" t="s">
        <v>291</v>
      </c>
      <c r="G132" s="3" t="s">
        <v>26</v>
      </c>
      <c r="H132" s="3" t="s">
        <v>198</v>
      </c>
    </row>
    <row r="133" spans="1:8" x14ac:dyDescent="0.2">
      <c r="A133" s="3">
        <v>401070022</v>
      </c>
      <c r="B133" s="4" t="s">
        <v>35</v>
      </c>
      <c r="C133" s="4" t="s">
        <v>203</v>
      </c>
      <c r="D133" s="3">
        <v>1</v>
      </c>
      <c r="E133" s="3" t="s">
        <v>16</v>
      </c>
      <c r="F133" s="3" t="s">
        <v>301</v>
      </c>
      <c r="G133" s="3" t="s">
        <v>32</v>
      </c>
      <c r="H133" s="3" t="s">
        <v>198</v>
      </c>
    </row>
    <row r="134" spans="1:8" x14ac:dyDescent="0.2">
      <c r="A134" s="3">
        <v>404100041</v>
      </c>
      <c r="B134" s="4" t="s">
        <v>205</v>
      </c>
      <c r="C134" s="4" t="s">
        <v>1206</v>
      </c>
      <c r="D134" s="3">
        <v>1</v>
      </c>
      <c r="E134" s="3" t="s">
        <v>16</v>
      </c>
      <c r="F134" s="3" t="s">
        <v>291</v>
      </c>
      <c r="G134" s="3" t="s">
        <v>26</v>
      </c>
      <c r="H134" s="3" t="s">
        <v>198</v>
      </c>
    </row>
    <row r="135" spans="1:8" x14ac:dyDescent="0.2">
      <c r="A135" s="3">
        <v>404100040</v>
      </c>
      <c r="B135" s="4" t="s">
        <v>207</v>
      </c>
      <c r="C135" s="4" t="s">
        <v>1207</v>
      </c>
      <c r="D135" s="3">
        <v>1</v>
      </c>
      <c r="E135" s="3" t="s">
        <v>16</v>
      </c>
      <c r="F135" s="3" t="s">
        <v>291</v>
      </c>
      <c r="G135" s="3" t="s">
        <v>26</v>
      </c>
      <c r="H135" s="3" t="s">
        <v>198</v>
      </c>
    </row>
    <row r="136" spans="1:8" x14ac:dyDescent="0.2">
      <c r="A136" s="3">
        <v>3030305007</v>
      </c>
      <c r="B136" s="4" t="s">
        <v>511</v>
      </c>
      <c r="C136" s="4" t="s">
        <v>512</v>
      </c>
      <c r="D136" s="3">
        <v>1</v>
      </c>
      <c r="E136" s="3" t="s">
        <v>16</v>
      </c>
      <c r="F136" s="3" t="s">
        <v>295</v>
      </c>
      <c r="G136" s="3" t="s">
        <v>17</v>
      </c>
      <c r="H136" s="3" t="s">
        <v>211</v>
      </c>
    </row>
    <row r="137" spans="1:8" x14ac:dyDescent="0.2">
      <c r="A137" s="3">
        <v>3030305006</v>
      </c>
      <c r="B137" s="4" t="s">
        <v>513</v>
      </c>
      <c r="C137" s="4" t="s">
        <v>512</v>
      </c>
      <c r="D137" s="3">
        <v>1</v>
      </c>
      <c r="E137" s="3" t="s">
        <v>16</v>
      </c>
      <c r="F137" s="3" t="s">
        <v>295</v>
      </c>
      <c r="G137" s="3" t="s">
        <v>17</v>
      </c>
      <c r="H137" s="3" t="s">
        <v>211</v>
      </c>
    </row>
    <row r="138" spans="1:8" x14ac:dyDescent="0.2">
      <c r="A138" s="3">
        <v>3069904001</v>
      </c>
      <c r="B138" s="4" t="s">
        <v>514</v>
      </c>
      <c r="C138" s="4" t="s">
        <v>355</v>
      </c>
      <c r="D138" s="3">
        <v>4</v>
      </c>
      <c r="E138" s="3" t="s">
        <v>16</v>
      </c>
      <c r="F138" s="3" t="s">
        <v>295</v>
      </c>
      <c r="G138" s="3" t="s">
        <v>17</v>
      </c>
      <c r="H138" s="3" t="s">
        <v>214</v>
      </c>
    </row>
    <row r="139" spans="1:8" x14ac:dyDescent="0.2">
      <c r="A139" s="3">
        <v>3030201003</v>
      </c>
      <c r="B139" s="4" t="s">
        <v>515</v>
      </c>
      <c r="C139" s="4" t="s">
        <v>516</v>
      </c>
      <c r="D139" s="3">
        <v>1</v>
      </c>
      <c r="E139" s="3" t="s">
        <v>16</v>
      </c>
      <c r="F139" s="3" t="s">
        <v>295</v>
      </c>
      <c r="G139" s="3" t="s">
        <v>17</v>
      </c>
      <c r="H139" s="3" t="s">
        <v>214</v>
      </c>
    </row>
    <row r="140" spans="1:8" x14ac:dyDescent="0.2">
      <c r="A140" s="3">
        <v>3049903001</v>
      </c>
      <c r="B140" s="4" t="s">
        <v>517</v>
      </c>
      <c r="C140" s="4" t="s">
        <v>355</v>
      </c>
      <c r="D140" s="3">
        <v>2</v>
      </c>
      <c r="E140" s="3" t="s">
        <v>16</v>
      </c>
      <c r="F140" s="3" t="s">
        <v>293</v>
      </c>
      <c r="G140" s="3" t="s">
        <v>29</v>
      </c>
      <c r="H140" s="3" t="s">
        <v>214</v>
      </c>
    </row>
    <row r="141" spans="1:8" x14ac:dyDescent="0.2">
      <c r="A141" s="3">
        <v>3049904001</v>
      </c>
      <c r="B141" s="4" t="s">
        <v>354</v>
      </c>
      <c r="C141" s="4" t="s">
        <v>355</v>
      </c>
      <c r="D141" s="3">
        <v>4</v>
      </c>
      <c r="E141" s="3" t="s">
        <v>16</v>
      </c>
      <c r="F141" s="3" t="s">
        <v>293</v>
      </c>
      <c r="G141" s="3" t="s">
        <v>29</v>
      </c>
      <c r="H141" s="3" t="s">
        <v>214</v>
      </c>
    </row>
    <row r="142" spans="1:8" x14ac:dyDescent="0.2">
      <c r="A142" s="3">
        <v>3049902001</v>
      </c>
      <c r="B142" s="4" t="s">
        <v>518</v>
      </c>
      <c r="C142" s="4" t="s">
        <v>355</v>
      </c>
      <c r="D142" s="3">
        <v>2</v>
      </c>
      <c r="E142" s="3" t="s">
        <v>16</v>
      </c>
      <c r="F142" s="3" t="s">
        <v>293</v>
      </c>
      <c r="G142" s="3" t="s">
        <v>29</v>
      </c>
      <c r="H142" s="3" t="s">
        <v>214</v>
      </c>
    </row>
    <row r="143" spans="1:8" x14ac:dyDescent="0.2">
      <c r="A143" s="3">
        <v>3050204001</v>
      </c>
      <c r="B143" s="4" t="s">
        <v>519</v>
      </c>
      <c r="C143" s="4" t="s">
        <v>355</v>
      </c>
      <c r="D143" s="3">
        <v>2</v>
      </c>
      <c r="E143" s="3" t="s">
        <v>16</v>
      </c>
      <c r="F143" s="3" t="s">
        <v>291</v>
      </c>
      <c r="G143" s="3" t="s">
        <v>26</v>
      </c>
      <c r="H143" s="3" t="s">
        <v>214</v>
      </c>
    </row>
    <row r="144" spans="1:8" x14ac:dyDescent="0.2">
      <c r="A144" s="3">
        <v>3050204002</v>
      </c>
      <c r="B144" s="4" t="s">
        <v>520</v>
      </c>
      <c r="C144" s="4" t="s">
        <v>355</v>
      </c>
      <c r="D144" s="3">
        <v>2</v>
      </c>
      <c r="E144" s="3" t="s">
        <v>16</v>
      </c>
      <c r="F144" s="3" t="s">
        <v>291</v>
      </c>
      <c r="G144" s="3" t="s">
        <v>26</v>
      </c>
      <c r="H144" s="3" t="s">
        <v>214</v>
      </c>
    </row>
    <row r="145" spans="1:8" x14ac:dyDescent="0.2">
      <c r="A145" s="3">
        <v>403030051</v>
      </c>
      <c r="B145" s="4" t="s">
        <v>366</v>
      </c>
      <c r="C145" s="4" t="s">
        <v>367</v>
      </c>
      <c r="D145" s="3">
        <v>3</v>
      </c>
      <c r="E145" s="3" t="s">
        <v>16</v>
      </c>
      <c r="F145" s="3" t="s">
        <v>301</v>
      </c>
      <c r="G145" s="3" t="s">
        <v>32</v>
      </c>
      <c r="H145" s="3" t="s">
        <v>221</v>
      </c>
    </row>
    <row r="146" spans="1:8" x14ac:dyDescent="0.2">
      <c r="A146" s="3">
        <v>403030005</v>
      </c>
      <c r="B146" s="4" t="s">
        <v>366</v>
      </c>
      <c r="C146" s="4" t="s">
        <v>368</v>
      </c>
      <c r="D146" s="3">
        <v>2</v>
      </c>
      <c r="E146" s="3" t="s">
        <v>16</v>
      </c>
      <c r="F146" s="3" t="s">
        <v>301</v>
      </c>
      <c r="G146" s="3" t="s">
        <v>32</v>
      </c>
      <c r="H146" s="3" t="s">
        <v>221</v>
      </c>
    </row>
    <row r="147" spans="1:8" x14ac:dyDescent="0.2">
      <c r="A147" s="3">
        <v>402050003</v>
      </c>
      <c r="B147" s="4" t="s">
        <v>1325</v>
      </c>
      <c r="C147" s="4" t="s">
        <v>1326</v>
      </c>
      <c r="D147" s="3">
        <v>1</v>
      </c>
      <c r="E147" s="3" t="s">
        <v>16</v>
      </c>
      <c r="F147" s="3" t="s">
        <v>289</v>
      </c>
      <c r="G147" s="3" t="s">
        <v>23</v>
      </c>
      <c r="H147" s="3" t="s">
        <v>524</v>
      </c>
    </row>
    <row r="148" spans="1:8" x14ac:dyDescent="0.2">
      <c r="A148" s="3">
        <v>408120036</v>
      </c>
      <c r="B148" s="4" t="s">
        <v>525</v>
      </c>
      <c r="C148" s="4" t="s">
        <v>526</v>
      </c>
      <c r="D148" s="3">
        <v>2</v>
      </c>
      <c r="E148" s="3" t="s">
        <v>16</v>
      </c>
      <c r="F148" s="3" t="s">
        <v>291</v>
      </c>
      <c r="G148" s="3" t="s">
        <v>26</v>
      </c>
      <c r="H148" s="3" t="s">
        <v>524</v>
      </c>
    </row>
    <row r="149" spans="1:8" x14ac:dyDescent="0.2">
      <c r="A149" s="3">
        <v>4081200011</v>
      </c>
      <c r="B149" s="4" t="s">
        <v>525</v>
      </c>
      <c r="C149" s="4" t="s">
        <v>1246</v>
      </c>
      <c r="D149" s="3">
        <v>2</v>
      </c>
      <c r="E149" s="3" t="s">
        <v>16</v>
      </c>
      <c r="F149" s="3" t="s">
        <v>289</v>
      </c>
      <c r="G149" s="3" t="s">
        <v>23</v>
      </c>
      <c r="H149" s="3" t="s">
        <v>524</v>
      </c>
    </row>
    <row r="150" spans="1:8" x14ac:dyDescent="0.2">
      <c r="A150" s="3">
        <v>408120032</v>
      </c>
      <c r="B150" s="4" t="s">
        <v>525</v>
      </c>
      <c r="C150" s="4" t="s">
        <v>1210</v>
      </c>
      <c r="D150" s="3">
        <v>23</v>
      </c>
      <c r="E150" s="3" t="s">
        <v>16</v>
      </c>
      <c r="F150" s="3" t="s">
        <v>289</v>
      </c>
      <c r="G150" s="3" t="s">
        <v>23</v>
      </c>
      <c r="H150" s="3" t="s">
        <v>524</v>
      </c>
    </row>
    <row r="151" spans="1:8" x14ac:dyDescent="0.2">
      <c r="A151" s="3">
        <v>408120038</v>
      </c>
      <c r="B151" s="4" t="s">
        <v>525</v>
      </c>
      <c r="C151" s="4" t="s">
        <v>1247</v>
      </c>
      <c r="D151" s="3">
        <v>1</v>
      </c>
      <c r="E151" s="3" t="s">
        <v>16</v>
      </c>
      <c r="F151" s="3" t="s">
        <v>289</v>
      </c>
      <c r="G151" s="3" t="s">
        <v>23</v>
      </c>
      <c r="H151" s="3" t="s">
        <v>524</v>
      </c>
    </row>
    <row r="152" spans="1:8" x14ac:dyDescent="0.2">
      <c r="A152" s="3">
        <v>408120032</v>
      </c>
      <c r="B152" s="4" t="s">
        <v>525</v>
      </c>
      <c r="C152" s="4" t="s">
        <v>1210</v>
      </c>
      <c r="D152" s="3">
        <v>6</v>
      </c>
      <c r="E152" s="3" t="s">
        <v>16</v>
      </c>
      <c r="F152" s="3" t="s">
        <v>317</v>
      </c>
      <c r="G152" s="3" t="s">
        <v>318</v>
      </c>
      <c r="H152" s="3" t="s">
        <v>524</v>
      </c>
    </row>
    <row r="153" spans="1:8" x14ac:dyDescent="0.2">
      <c r="A153" s="3">
        <v>3060501009</v>
      </c>
      <c r="B153" s="4" t="s">
        <v>1213</v>
      </c>
      <c r="C153" s="4" t="s">
        <v>1248</v>
      </c>
      <c r="D153" s="3">
        <v>1</v>
      </c>
      <c r="E153" s="3" t="s">
        <v>16</v>
      </c>
      <c r="F153" s="3" t="s">
        <v>289</v>
      </c>
      <c r="G153" s="3" t="s">
        <v>23</v>
      </c>
      <c r="H153" s="3" t="s">
        <v>226</v>
      </c>
    </row>
    <row r="154" spans="1:8" x14ac:dyDescent="0.2">
      <c r="A154" s="3">
        <v>3060350003</v>
      </c>
      <c r="B154" s="4" t="s">
        <v>1215</v>
      </c>
      <c r="C154" s="4" t="s">
        <v>1216</v>
      </c>
      <c r="D154" s="3">
        <v>1</v>
      </c>
      <c r="E154" s="3" t="s">
        <v>16</v>
      </c>
      <c r="F154" s="3" t="s">
        <v>289</v>
      </c>
      <c r="G154" s="3" t="s">
        <v>23</v>
      </c>
      <c r="H154" s="3" t="s">
        <v>226</v>
      </c>
    </row>
    <row r="155" spans="1:8" x14ac:dyDescent="0.2">
      <c r="A155" s="3">
        <v>3060353006</v>
      </c>
      <c r="B155" s="4" t="s">
        <v>1217</v>
      </c>
      <c r="C155" s="4" t="s">
        <v>1232</v>
      </c>
      <c r="D155" s="3">
        <v>1</v>
      </c>
      <c r="E155" s="3" t="s">
        <v>16</v>
      </c>
      <c r="F155" s="3" t="s">
        <v>289</v>
      </c>
      <c r="G155" s="3" t="s">
        <v>23</v>
      </c>
      <c r="H155" s="3" t="s">
        <v>226</v>
      </c>
    </row>
    <row r="156" spans="1:8" x14ac:dyDescent="0.2">
      <c r="A156" s="3">
        <v>3060324003</v>
      </c>
      <c r="B156" s="4" t="s">
        <v>1185</v>
      </c>
      <c r="C156" s="4" t="s">
        <v>1249</v>
      </c>
      <c r="D156" s="3">
        <v>1</v>
      </c>
      <c r="E156" s="3" t="s">
        <v>16</v>
      </c>
      <c r="F156" s="3" t="s">
        <v>289</v>
      </c>
      <c r="G156" s="3" t="s">
        <v>23</v>
      </c>
      <c r="H156" s="3" t="s">
        <v>226</v>
      </c>
    </row>
    <row r="157" spans="1:8" x14ac:dyDescent="0.2">
      <c r="A157" s="3">
        <v>3060404053</v>
      </c>
      <c r="B157" s="4" t="s">
        <v>729</v>
      </c>
      <c r="C157" s="4" t="s">
        <v>1250</v>
      </c>
      <c r="D157" s="3">
        <v>1</v>
      </c>
      <c r="E157" s="3" t="s">
        <v>16</v>
      </c>
      <c r="F157" s="3" t="s">
        <v>289</v>
      </c>
      <c r="G157" s="3" t="s">
        <v>23</v>
      </c>
      <c r="H157" s="3" t="s">
        <v>226</v>
      </c>
    </row>
    <row r="158" spans="1:8" x14ac:dyDescent="0.2">
      <c r="A158" s="3">
        <v>3060316002</v>
      </c>
      <c r="B158" s="4" t="s">
        <v>1219</v>
      </c>
      <c r="C158" s="4" t="s">
        <v>1251</v>
      </c>
      <c r="D158" s="3">
        <v>1</v>
      </c>
      <c r="E158" s="3" t="s">
        <v>16</v>
      </c>
      <c r="F158" s="3" t="s">
        <v>289</v>
      </c>
      <c r="G158" s="3" t="s">
        <v>23</v>
      </c>
      <c r="H158" s="3" t="s">
        <v>226</v>
      </c>
    </row>
    <row r="159" spans="1:8" x14ac:dyDescent="0.2">
      <c r="A159" s="3">
        <v>3050305016</v>
      </c>
      <c r="B159" s="4" t="s">
        <v>527</v>
      </c>
      <c r="C159" s="4" t="s">
        <v>528</v>
      </c>
      <c r="D159" s="3">
        <v>1</v>
      </c>
      <c r="E159" s="3" t="s">
        <v>16</v>
      </c>
      <c r="F159" s="3" t="s">
        <v>291</v>
      </c>
      <c r="G159" s="3" t="s">
        <v>26</v>
      </c>
      <c r="H159" s="3" t="s">
        <v>226</v>
      </c>
    </row>
    <row r="160" spans="1:8" x14ac:dyDescent="0.2">
      <c r="A160" s="3">
        <v>3050305015</v>
      </c>
      <c r="B160" s="4" t="s">
        <v>529</v>
      </c>
      <c r="C160" s="4" t="s">
        <v>530</v>
      </c>
      <c r="D160" s="3">
        <v>1</v>
      </c>
      <c r="E160" s="3" t="s">
        <v>16</v>
      </c>
      <c r="F160" s="3" t="s">
        <v>291</v>
      </c>
      <c r="G160" s="3" t="s">
        <v>26</v>
      </c>
      <c r="H160" s="3" t="s">
        <v>226</v>
      </c>
    </row>
    <row r="161" spans="1:8" x14ac:dyDescent="0.2">
      <c r="A161" s="3">
        <v>3030309020</v>
      </c>
      <c r="B161" s="4" t="s">
        <v>531</v>
      </c>
      <c r="C161" s="4" t="s">
        <v>532</v>
      </c>
      <c r="D161" s="3">
        <v>1</v>
      </c>
      <c r="E161" s="3" t="s">
        <v>16</v>
      </c>
      <c r="F161" s="3" t="s">
        <v>291</v>
      </c>
      <c r="G161" s="3" t="s">
        <v>26</v>
      </c>
      <c r="H161" s="3" t="s">
        <v>226</v>
      </c>
    </row>
    <row r="162" spans="1:8" x14ac:dyDescent="0.2">
      <c r="A162" s="3">
        <v>3030302002</v>
      </c>
      <c r="B162" s="4" t="s">
        <v>533</v>
      </c>
      <c r="C162" s="4" t="s">
        <v>534</v>
      </c>
      <c r="D162" s="3">
        <v>1</v>
      </c>
      <c r="E162" s="3" t="s">
        <v>16</v>
      </c>
      <c r="F162" s="3" t="s">
        <v>295</v>
      </c>
      <c r="G162" s="3" t="s">
        <v>17</v>
      </c>
      <c r="H162" s="3" t="s">
        <v>226</v>
      </c>
    </row>
    <row r="163" spans="1:8" x14ac:dyDescent="0.2">
      <c r="A163" s="3">
        <v>3030306012</v>
      </c>
      <c r="B163" s="4" t="s">
        <v>535</v>
      </c>
      <c r="C163" s="4" t="s">
        <v>536</v>
      </c>
      <c r="D163" s="3">
        <v>1</v>
      </c>
      <c r="E163" s="3" t="s">
        <v>16</v>
      </c>
      <c r="F163" s="3" t="s">
        <v>295</v>
      </c>
      <c r="G163" s="3" t="s">
        <v>17</v>
      </c>
      <c r="H163" s="3" t="s">
        <v>226</v>
      </c>
    </row>
    <row r="164" spans="1:8" x14ac:dyDescent="0.2">
      <c r="A164" s="3">
        <v>3030306011</v>
      </c>
      <c r="B164" s="4" t="s">
        <v>537</v>
      </c>
      <c r="C164" s="4" t="s">
        <v>536</v>
      </c>
      <c r="D164" s="3">
        <v>1</v>
      </c>
      <c r="E164" s="3" t="s">
        <v>16</v>
      </c>
      <c r="F164" s="3" t="s">
        <v>295</v>
      </c>
      <c r="G164" s="3" t="s">
        <v>17</v>
      </c>
      <c r="H164" s="3" t="s">
        <v>226</v>
      </c>
    </row>
    <row r="165" spans="1:8" x14ac:dyDescent="0.2">
      <c r="A165" s="3">
        <v>3030303002</v>
      </c>
      <c r="B165" s="4" t="s">
        <v>175</v>
      </c>
      <c r="C165" s="4" t="s">
        <v>538</v>
      </c>
      <c r="D165" s="3">
        <v>1</v>
      </c>
      <c r="E165" s="3" t="s">
        <v>16</v>
      </c>
      <c r="F165" s="3" t="s">
        <v>295</v>
      </c>
      <c r="G165" s="3" t="s">
        <v>17</v>
      </c>
      <c r="H165" s="3" t="s">
        <v>226</v>
      </c>
    </row>
    <row r="166" spans="1:8" x14ac:dyDescent="0.2">
      <c r="A166" s="3">
        <v>3030303017</v>
      </c>
      <c r="B166" s="4" t="s">
        <v>539</v>
      </c>
      <c r="C166" s="4" t="s">
        <v>540</v>
      </c>
      <c r="D166" s="3">
        <v>1</v>
      </c>
      <c r="E166" s="3" t="s">
        <v>16</v>
      </c>
      <c r="F166" s="3" t="s">
        <v>295</v>
      </c>
      <c r="G166" s="3" t="s">
        <v>17</v>
      </c>
      <c r="H166" s="3" t="s">
        <v>226</v>
      </c>
    </row>
    <row r="167" spans="1:8" x14ac:dyDescent="0.2">
      <c r="A167" s="3">
        <v>3040312012</v>
      </c>
      <c r="B167" s="4" t="s">
        <v>263</v>
      </c>
      <c r="C167" s="4" t="s">
        <v>541</v>
      </c>
      <c r="D167" s="3">
        <v>2</v>
      </c>
      <c r="E167" s="3" t="s">
        <v>16</v>
      </c>
      <c r="F167" s="3" t="s">
        <v>293</v>
      </c>
      <c r="G167" s="3" t="s">
        <v>29</v>
      </c>
      <c r="H167" s="3" t="s">
        <v>226</v>
      </c>
    </row>
    <row r="168" spans="1:8" x14ac:dyDescent="0.2">
      <c r="A168" s="3">
        <v>3040320010</v>
      </c>
      <c r="B168" s="4" t="s">
        <v>269</v>
      </c>
      <c r="C168" s="4" t="s">
        <v>542</v>
      </c>
      <c r="D168" s="3">
        <v>1</v>
      </c>
      <c r="E168" s="3" t="s">
        <v>16</v>
      </c>
      <c r="F168" s="3" t="s">
        <v>293</v>
      </c>
      <c r="G168" s="3" t="s">
        <v>29</v>
      </c>
      <c r="H168" s="3" t="s">
        <v>226</v>
      </c>
    </row>
    <row r="169" spans="1:8" x14ac:dyDescent="0.2">
      <c r="A169" s="3">
        <v>3040320011</v>
      </c>
      <c r="B169" s="4" t="s">
        <v>269</v>
      </c>
      <c r="C169" s="4" t="s">
        <v>543</v>
      </c>
      <c r="D169" s="3">
        <v>1</v>
      </c>
      <c r="E169" s="3" t="s">
        <v>16</v>
      </c>
      <c r="F169" s="3" t="s">
        <v>293</v>
      </c>
      <c r="G169" s="3" t="s">
        <v>29</v>
      </c>
      <c r="H169" s="3" t="s">
        <v>226</v>
      </c>
    </row>
    <row r="170" spans="1:8" x14ac:dyDescent="0.2">
      <c r="A170" s="3">
        <v>3030313003</v>
      </c>
      <c r="B170" s="4" t="s">
        <v>217</v>
      </c>
      <c r="C170" s="4" t="s">
        <v>544</v>
      </c>
      <c r="D170" s="3">
        <v>8</v>
      </c>
      <c r="E170" s="3" t="s">
        <v>16</v>
      </c>
      <c r="F170" s="3" t="s">
        <v>291</v>
      </c>
      <c r="G170" s="3" t="s">
        <v>26</v>
      </c>
      <c r="H170" s="3" t="s">
        <v>226</v>
      </c>
    </row>
    <row r="171" spans="1:8" x14ac:dyDescent="0.2">
      <c r="A171" s="3">
        <v>3020199010</v>
      </c>
      <c r="B171" s="4" t="s">
        <v>239</v>
      </c>
      <c r="C171" s="4" t="s">
        <v>545</v>
      </c>
      <c r="D171" s="3">
        <v>5</v>
      </c>
      <c r="E171" s="3" t="s">
        <v>16</v>
      </c>
      <c r="F171" s="3" t="s">
        <v>301</v>
      </c>
      <c r="G171" s="3" t="s">
        <v>32</v>
      </c>
      <c r="H171" s="3" t="s">
        <v>226</v>
      </c>
    </row>
    <row r="172" spans="1:8" x14ac:dyDescent="0.2">
      <c r="A172" s="3">
        <v>3070212001</v>
      </c>
      <c r="B172" s="4" t="s">
        <v>377</v>
      </c>
      <c r="C172" s="4" t="s">
        <v>378</v>
      </c>
      <c r="D172" s="3">
        <v>1</v>
      </c>
      <c r="E172" s="3" t="s">
        <v>16</v>
      </c>
      <c r="F172" s="3" t="s">
        <v>317</v>
      </c>
      <c r="G172" s="3" t="s">
        <v>318</v>
      </c>
      <c r="H172" s="3" t="s">
        <v>226</v>
      </c>
    </row>
    <row r="173" spans="1:8" x14ac:dyDescent="0.2">
      <c r="A173" s="3">
        <v>3070210001</v>
      </c>
      <c r="B173" s="4" t="s">
        <v>379</v>
      </c>
      <c r="C173" s="4" t="s">
        <v>280</v>
      </c>
      <c r="D173" s="3">
        <v>1</v>
      </c>
      <c r="E173" s="3" t="s">
        <v>16</v>
      </c>
      <c r="F173" s="3" t="s">
        <v>317</v>
      </c>
      <c r="G173" s="3" t="s">
        <v>318</v>
      </c>
      <c r="H173" s="3" t="s">
        <v>226</v>
      </c>
    </row>
    <row r="174" spans="1:8" x14ac:dyDescent="0.2">
      <c r="A174" s="3">
        <v>3991601007</v>
      </c>
      <c r="B174" s="4" t="s">
        <v>585</v>
      </c>
      <c r="C174" s="4" t="s">
        <v>1229</v>
      </c>
      <c r="D174" s="3">
        <v>4</v>
      </c>
      <c r="E174" s="3" t="s">
        <v>16</v>
      </c>
      <c r="F174" s="3" t="s">
        <v>289</v>
      </c>
      <c r="G174" s="3" t="s">
        <v>23</v>
      </c>
      <c r="H174" s="3" t="s">
        <v>226</v>
      </c>
    </row>
    <row r="175" spans="1:8" x14ac:dyDescent="0.2">
      <c r="A175" s="3">
        <v>3991601009</v>
      </c>
      <c r="B175" s="4" t="s">
        <v>585</v>
      </c>
      <c r="C175" s="4" t="s">
        <v>1230</v>
      </c>
      <c r="D175" s="3">
        <v>2</v>
      </c>
      <c r="E175" s="3" t="s">
        <v>16</v>
      </c>
      <c r="F175" s="3" t="s">
        <v>289</v>
      </c>
      <c r="G175" s="3" t="s">
        <v>23</v>
      </c>
      <c r="H175" s="3" t="s">
        <v>226</v>
      </c>
    </row>
    <row r="176" spans="1:8" x14ac:dyDescent="0.2">
      <c r="A176" s="3">
        <v>3050302008</v>
      </c>
      <c r="B176" s="4" t="s">
        <v>1921</v>
      </c>
      <c r="C176" s="4" t="s">
        <v>1986</v>
      </c>
      <c r="D176" s="3">
        <v>1</v>
      </c>
      <c r="E176" s="3" t="s">
        <v>16</v>
      </c>
      <c r="F176" s="3" t="s">
        <v>291</v>
      </c>
      <c r="G176" s="3" t="s">
        <v>26</v>
      </c>
      <c r="H176" s="3" t="s">
        <v>226</v>
      </c>
    </row>
    <row r="177" spans="1:8" x14ac:dyDescent="0.2">
      <c r="A177" s="3">
        <v>3050305019</v>
      </c>
      <c r="B177" s="4" t="s">
        <v>549</v>
      </c>
      <c r="C177" s="4" t="s">
        <v>530</v>
      </c>
      <c r="D177" s="3">
        <v>1</v>
      </c>
      <c r="E177" s="3" t="s">
        <v>16</v>
      </c>
      <c r="F177" s="3" t="s">
        <v>291</v>
      </c>
      <c r="G177" s="3" t="s">
        <v>26</v>
      </c>
      <c r="H177" s="3" t="s">
        <v>226</v>
      </c>
    </row>
    <row r="178" spans="1:8" x14ac:dyDescent="0.2">
      <c r="A178" s="3">
        <v>3050401014</v>
      </c>
      <c r="B178" s="4" t="s">
        <v>222</v>
      </c>
      <c r="C178" s="4" t="s">
        <v>550</v>
      </c>
      <c r="D178" s="3">
        <v>1</v>
      </c>
      <c r="E178" s="3" t="s">
        <v>16</v>
      </c>
      <c r="F178" s="3" t="s">
        <v>291</v>
      </c>
      <c r="G178" s="3" t="s">
        <v>26</v>
      </c>
      <c r="H178" s="3" t="s">
        <v>226</v>
      </c>
    </row>
    <row r="179" spans="1:8" x14ac:dyDescent="0.2">
      <c r="A179" s="3">
        <v>3080401031</v>
      </c>
      <c r="B179" s="4" t="s">
        <v>41</v>
      </c>
      <c r="C179" s="4" t="s">
        <v>551</v>
      </c>
      <c r="D179" s="3">
        <v>1</v>
      </c>
      <c r="E179" s="3" t="s">
        <v>16</v>
      </c>
      <c r="F179" s="3" t="s">
        <v>291</v>
      </c>
      <c r="G179" s="3" t="s">
        <v>26</v>
      </c>
      <c r="H179" s="3" t="s">
        <v>249</v>
      </c>
    </row>
    <row r="180" spans="1:8" x14ac:dyDescent="0.2">
      <c r="A180" s="3">
        <v>3030211001</v>
      </c>
      <c r="B180" s="4" t="s">
        <v>552</v>
      </c>
      <c r="C180" s="4" t="s">
        <v>553</v>
      </c>
      <c r="D180" s="3">
        <v>1</v>
      </c>
      <c r="E180" s="3" t="s">
        <v>16</v>
      </c>
      <c r="F180" s="3" t="s">
        <v>295</v>
      </c>
      <c r="G180" s="3" t="s">
        <v>17</v>
      </c>
      <c r="H180" s="3" t="s">
        <v>249</v>
      </c>
    </row>
    <row r="181" spans="1:8" x14ac:dyDescent="0.2">
      <c r="A181" s="3">
        <v>3080309001</v>
      </c>
      <c r="B181" s="4" t="s">
        <v>554</v>
      </c>
      <c r="C181" s="4" t="s">
        <v>555</v>
      </c>
      <c r="D181" s="3">
        <v>1</v>
      </c>
      <c r="E181" s="3" t="s">
        <v>16</v>
      </c>
      <c r="F181" s="3" t="s">
        <v>295</v>
      </c>
      <c r="G181" s="3" t="s">
        <v>17</v>
      </c>
      <c r="H181" s="3" t="s">
        <v>249</v>
      </c>
    </row>
    <row r="182" spans="1:8" x14ac:dyDescent="0.2">
      <c r="A182" s="3">
        <v>3080107268</v>
      </c>
      <c r="B182" s="4" t="s">
        <v>69</v>
      </c>
      <c r="C182" s="4" t="s">
        <v>556</v>
      </c>
      <c r="D182" s="3">
        <v>2</v>
      </c>
      <c r="E182" s="3" t="s">
        <v>16</v>
      </c>
      <c r="F182" s="3" t="s">
        <v>291</v>
      </c>
      <c r="G182" s="3" t="s">
        <v>26</v>
      </c>
      <c r="H182" s="3" t="s">
        <v>249</v>
      </c>
    </row>
    <row r="183" spans="1:8" x14ac:dyDescent="0.2">
      <c r="A183" s="3">
        <v>3080107269</v>
      </c>
      <c r="B183" s="4" t="s">
        <v>69</v>
      </c>
      <c r="C183" s="4" t="s">
        <v>557</v>
      </c>
      <c r="D183" s="3">
        <v>2</v>
      </c>
      <c r="E183" s="3" t="s">
        <v>16</v>
      </c>
      <c r="F183" s="3" t="s">
        <v>291</v>
      </c>
      <c r="G183" s="3" t="s">
        <v>26</v>
      </c>
      <c r="H183" s="3" t="s">
        <v>249</v>
      </c>
    </row>
    <row r="184" spans="1:8" x14ac:dyDescent="0.2">
      <c r="A184" s="3">
        <v>3060333011</v>
      </c>
      <c r="B184" s="4" t="s">
        <v>227</v>
      </c>
      <c r="C184" s="4" t="s">
        <v>1231</v>
      </c>
      <c r="D184" s="3">
        <v>1</v>
      </c>
      <c r="E184" s="3" t="s">
        <v>16</v>
      </c>
      <c r="F184" s="3" t="s">
        <v>289</v>
      </c>
      <c r="G184" s="3" t="s">
        <v>23</v>
      </c>
      <c r="H184" s="3" t="s">
        <v>254</v>
      </c>
    </row>
    <row r="185" spans="1:8" x14ac:dyDescent="0.2">
      <c r="A185" s="3">
        <v>3060401003</v>
      </c>
      <c r="B185" s="4" t="s">
        <v>727</v>
      </c>
      <c r="C185" s="4" t="s">
        <v>1232</v>
      </c>
      <c r="D185" s="3">
        <v>1</v>
      </c>
      <c r="E185" s="3" t="s">
        <v>16</v>
      </c>
      <c r="F185" s="3" t="s">
        <v>289</v>
      </c>
      <c r="G185" s="3" t="s">
        <v>23</v>
      </c>
      <c r="H185" s="3" t="s">
        <v>254</v>
      </c>
    </row>
    <row r="186" spans="1:8" x14ac:dyDescent="0.2">
      <c r="A186" s="3">
        <v>3060335013</v>
      </c>
      <c r="B186" s="4" t="s">
        <v>233</v>
      </c>
      <c r="C186" s="4" t="s">
        <v>1253</v>
      </c>
      <c r="D186" s="3">
        <v>1</v>
      </c>
      <c r="E186" s="3" t="s">
        <v>16</v>
      </c>
      <c r="F186" s="3" t="s">
        <v>289</v>
      </c>
      <c r="G186" s="3" t="s">
        <v>23</v>
      </c>
      <c r="H186" s="3" t="s">
        <v>254</v>
      </c>
    </row>
    <row r="187" spans="1:8" x14ac:dyDescent="0.2">
      <c r="A187" s="3">
        <v>3030302001</v>
      </c>
      <c r="B187" s="4" t="s">
        <v>558</v>
      </c>
      <c r="C187" s="4" t="s">
        <v>534</v>
      </c>
      <c r="D187" s="3">
        <v>1</v>
      </c>
      <c r="E187" s="3" t="s">
        <v>16</v>
      </c>
      <c r="F187" s="3" t="s">
        <v>295</v>
      </c>
      <c r="G187" s="3" t="s">
        <v>17</v>
      </c>
      <c r="H187" s="3" t="s">
        <v>254</v>
      </c>
    </row>
    <row r="188" spans="1:8" x14ac:dyDescent="0.2">
      <c r="A188" s="3">
        <v>3030306031</v>
      </c>
      <c r="B188" s="4" t="s">
        <v>559</v>
      </c>
      <c r="C188" s="4" t="s">
        <v>560</v>
      </c>
      <c r="D188" s="3">
        <v>1</v>
      </c>
      <c r="E188" s="3" t="s">
        <v>16</v>
      </c>
      <c r="F188" s="3" t="s">
        <v>295</v>
      </c>
      <c r="G188" s="3" t="s">
        <v>17</v>
      </c>
      <c r="H188" s="3" t="s">
        <v>254</v>
      </c>
    </row>
    <row r="189" spans="1:8" x14ac:dyDescent="0.2">
      <c r="A189" s="3">
        <v>3080311002</v>
      </c>
      <c r="B189" s="4" t="s">
        <v>561</v>
      </c>
      <c r="C189" s="4" t="s">
        <v>536</v>
      </c>
      <c r="D189" s="3">
        <v>1</v>
      </c>
      <c r="E189" s="3" t="s">
        <v>16</v>
      </c>
      <c r="F189" s="3" t="s">
        <v>295</v>
      </c>
      <c r="G189" s="3" t="s">
        <v>17</v>
      </c>
      <c r="H189" s="3" t="s">
        <v>254</v>
      </c>
    </row>
    <row r="190" spans="1:8" x14ac:dyDescent="0.2">
      <c r="A190" s="3">
        <v>3030303016</v>
      </c>
      <c r="B190" s="4" t="s">
        <v>562</v>
      </c>
      <c r="C190" s="4" t="s">
        <v>563</v>
      </c>
      <c r="D190" s="3">
        <v>1</v>
      </c>
      <c r="E190" s="3" t="s">
        <v>16</v>
      </c>
      <c r="F190" s="3" t="s">
        <v>295</v>
      </c>
      <c r="G190" s="3" t="s">
        <v>17</v>
      </c>
      <c r="H190" s="3" t="s">
        <v>254</v>
      </c>
    </row>
    <row r="191" spans="1:8" x14ac:dyDescent="0.2">
      <c r="A191" s="3">
        <v>3030303015</v>
      </c>
      <c r="B191" s="4" t="s">
        <v>564</v>
      </c>
      <c r="C191" s="4" t="s">
        <v>563</v>
      </c>
      <c r="D191" s="3">
        <v>1</v>
      </c>
      <c r="E191" s="3" t="s">
        <v>16</v>
      </c>
      <c r="F191" s="3" t="s">
        <v>295</v>
      </c>
      <c r="G191" s="3" t="s">
        <v>17</v>
      </c>
      <c r="H191" s="3" t="s">
        <v>254</v>
      </c>
    </row>
    <row r="192" spans="1:8" x14ac:dyDescent="0.2">
      <c r="A192" s="3">
        <v>3040323001</v>
      </c>
      <c r="B192" s="4" t="s">
        <v>565</v>
      </c>
      <c r="C192" s="4" t="s">
        <v>566</v>
      </c>
      <c r="D192" s="3">
        <v>2</v>
      </c>
      <c r="E192" s="3" t="s">
        <v>16</v>
      </c>
      <c r="F192" s="3" t="s">
        <v>293</v>
      </c>
      <c r="G192" s="3" t="s">
        <v>29</v>
      </c>
      <c r="H192" s="3" t="s">
        <v>254</v>
      </c>
    </row>
    <row r="193" spans="1:8" x14ac:dyDescent="0.2">
      <c r="A193" s="3">
        <v>3040302001</v>
      </c>
      <c r="B193" s="4" t="s">
        <v>567</v>
      </c>
      <c r="C193" s="4" t="s">
        <v>568</v>
      </c>
      <c r="D193" s="3">
        <v>1</v>
      </c>
      <c r="E193" s="3" t="s">
        <v>16</v>
      </c>
      <c r="F193" s="3" t="s">
        <v>293</v>
      </c>
      <c r="G193" s="3" t="s">
        <v>29</v>
      </c>
      <c r="H193" s="3" t="s">
        <v>254</v>
      </c>
    </row>
    <row r="194" spans="1:8" x14ac:dyDescent="0.2">
      <c r="A194" s="3">
        <v>3040302002</v>
      </c>
      <c r="B194" s="4" t="s">
        <v>567</v>
      </c>
      <c r="C194" s="4" t="s">
        <v>569</v>
      </c>
      <c r="D194" s="3">
        <v>1</v>
      </c>
      <c r="E194" s="3" t="s">
        <v>16</v>
      </c>
      <c r="F194" s="3" t="s">
        <v>293</v>
      </c>
      <c r="G194" s="3" t="s">
        <v>29</v>
      </c>
      <c r="H194" s="3" t="s">
        <v>254</v>
      </c>
    </row>
    <row r="195" spans="1:8" x14ac:dyDescent="0.2">
      <c r="A195" s="3">
        <v>3040324004</v>
      </c>
      <c r="B195" s="4" t="s">
        <v>570</v>
      </c>
      <c r="C195" s="4" t="s">
        <v>536</v>
      </c>
      <c r="D195" s="3">
        <v>2</v>
      </c>
      <c r="E195" s="3" t="s">
        <v>16</v>
      </c>
      <c r="F195" s="3" t="s">
        <v>293</v>
      </c>
      <c r="G195" s="3" t="s">
        <v>29</v>
      </c>
      <c r="H195" s="3" t="s">
        <v>254</v>
      </c>
    </row>
    <row r="196" spans="1:8" x14ac:dyDescent="0.2">
      <c r="A196" s="3">
        <v>3030302008</v>
      </c>
      <c r="B196" s="4" t="s">
        <v>571</v>
      </c>
      <c r="C196" s="4" t="s">
        <v>572</v>
      </c>
      <c r="D196" s="3">
        <v>1</v>
      </c>
      <c r="E196" s="3" t="s">
        <v>16</v>
      </c>
      <c r="F196" s="3" t="s">
        <v>295</v>
      </c>
      <c r="G196" s="3" t="s">
        <v>17</v>
      </c>
      <c r="H196" s="3" t="s">
        <v>254</v>
      </c>
    </row>
    <row r="197" spans="1:8" x14ac:dyDescent="0.2">
      <c r="A197" s="3">
        <v>3030302009</v>
      </c>
      <c r="B197" s="4" t="s">
        <v>571</v>
      </c>
      <c r="C197" s="4" t="s">
        <v>573</v>
      </c>
      <c r="D197" s="3">
        <v>1</v>
      </c>
      <c r="E197" s="3" t="s">
        <v>16</v>
      </c>
      <c r="F197" s="3" t="s">
        <v>295</v>
      </c>
      <c r="G197" s="3" t="s">
        <v>17</v>
      </c>
      <c r="H197" s="3" t="s">
        <v>254</v>
      </c>
    </row>
    <row r="198" spans="1:8" x14ac:dyDescent="0.2">
      <c r="A198" s="3">
        <v>3030302004</v>
      </c>
      <c r="B198" s="4" t="s">
        <v>574</v>
      </c>
      <c r="C198" s="4" t="s">
        <v>575</v>
      </c>
      <c r="D198" s="3">
        <v>1</v>
      </c>
      <c r="E198" s="3" t="s">
        <v>16</v>
      </c>
      <c r="F198" s="3" t="s">
        <v>295</v>
      </c>
      <c r="G198" s="3" t="s">
        <v>17</v>
      </c>
      <c r="H198" s="3" t="s">
        <v>254</v>
      </c>
    </row>
    <row r="199" spans="1:8" x14ac:dyDescent="0.2">
      <c r="A199" s="3">
        <v>3030302006</v>
      </c>
      <c r="B199" s="4" t="s">
        <v>576</v>
      </c>
      <c r="C199" s="4" t="s">
        <v>575</v>
      </c>
      <c r="D199" s="3">
        <v>1</v>
      </c>
      <c r="E199" s="3" t="s">
        <v>16</v>
      </c>
      <c r="F199" s="3" t="s">
        <v>295</v>
      </c>
      <c r="G199" s="3" t="s">
        <v>17</v>
      </c>
      <c r="H199" s="3" t="s">
        <v>254</v>
      </c>
    </row>
    <row r="200" spans="1:8" x14ac:dyDescent="0.2">
      <c r="A200" s="3">
        <v>3030314004</v>
      </c>
      <c r="B200" s="4" t="s">
        <v>577</v>
      </c>
      <c r="C200" s="4" t="s">
        <v>575</v>
      </c>
      <c r="D200" s="3">
        <v>1</v>
      </c>
      <c r="E200" s="3" t="s">
        <v>16</v>
      </c>
      <c r="F200" s="3" t="s">
        <v>295</v>
      </c>
      <c r="G200" s="3" t="s">
        <v>17</v>
      </c>
      <c r="H200" s="3" t="s">
        <v>254</v>
      </c>
    </row>
    <row r="201" spans="1:8" x14ac:dyDescent="0.2">
      <c r="A201" s="3">
        <v>3030308001</v>
      </c>
      <c r="B201" s="4" t="s">
        <v>578</v>
      </c>
      <c r="C201" s="4" t="s">
        <v>575</v>
      </c>
      <c r="D201" s="3">
        <v>1</v>
      </c>
      <c r="E201" s="3" t="s">
        <v>16</v>
      </c>
      <c r="F201" s="3" t="s">
        <v>295</v>
      </c>
      <c r="G201" s="3" t="s">
        <v>17</v>
      </c>
      <c r="H201" s="3" t="s">
        <v>254</v>
      </c>
    </row>
    <row r="202" spans="1:8" x14ac:dyDescent="0.2">
      <c r="A202" s="3">
        <v>3030314003</v>
      </c>
      <c r="B202" s="4" t="s">
        <v>579</v>
      </c>
      <c r="C202" s="4" t="s">
        <v>575</v>
      </c>
      <c r="D202" s="3">
        <v>1</v>
      </c>
      <c r="E202" s="3" t="s">
        <v>16</v>
      </c>
      <c r="F202" s="3" t="s">
        <v>295</v>
      </c>
      <c r="G202" s="3" t="s">
        <v>17</v>
      </c>
      <c r="H202" s="3" t="s">
        <v>254</v>
      </c>
    </row>
    <row r="203" spans="1:8" x14ac:dyDescent="0.2">
      <c r="A203" s="3">
        <v>3030308003</v>
      </c>
      <c r="B203" s="4" t="s">
        <v>580</v>
      </c>
      <c r="C203" s="4" t="s">
        <v>581</v>
      </c>
      <c r="D203" s="3">
        <v>1</v>
      </c>
      <c r="E203" s="3" t="s">
        <v>16</v>
      </c>
      <c r="F203" s="3" t="s">
        <v>295</v>
      </c>
      <c r="G203" s="3" t="s">
        <v>17</v>
      </c>
      <c r="H203" s="3" t="s">
        <v>254</v>
      </c>
    </row>
    <row r="204" spans="1:8" x14ac:dyDescent="0.2">
      <c r="A204" s="3">
        <v>3040325007</v>
      </c>
      <c r="B204" s="4" t="s">
        <v>582</v>
      </c>
      <c r="C204" s="4" t="s">
        <v>543</v>
      </c>
      <c r="D204" s="3">
        <v>1</v>
      </c>
      <c r="E204" s="3" t="s">
        <v>16</v>
      </c>
      <c r="F204" s="3" t="s">
        <v>293</v>
      </c>
      <c r="G204" s="3" t="s">
        <v>29</v>
      </c>
      <c r="H204" s="3" t="s">
        <v>254</v>
      </c>
    </row>
    <row r="205" spans="1:8" x14ac:dyDescent="0.2">
      <c r="A205" s="3">
        <v>3040325008</v>
      </c>
      <c r="B205" s="4" t="s">
        <v>582</v>
      </c>
      <c r="C205" s="4" t="s">
        <v>542</v>
      </c>
      <c r="D205" s="3">
        <v>1</v>
      </c>
      <c r="E205" s="3" t="s">
        <v>16</v>
      </c>
      <c r="F205" s="3" t="s">
        <v>293</v>
      </c>
      <c r="G205" s="3" t="s">
        <v>29</v>
      </c>
      <c r="H205" s="3" t="s">
        <v>254</v>
      </c>
    </row>
    <row r="206" spans="1:8" x14ac:dyDescent="0.2">
      <c r="A206" s="3">
        <v>3040308003</v>
      </c>
      <c r="B206" s="4" t="s">
        <v>583</v>
      </c>
      <c r="C206" s="4" t="s">
        <v>536</v>
      </c>
      <c r="D206" s="3">
        <v>2</v>
      </c>
      <c r="E206" s="3" t="s">
        <v>16</v>
      </c>
      <c r="F206" s="3" t="s">
        <v>293</v>
      </c>
      <c r="G206" s="3" t="s">
        <v>29</v>
      </c>
      <c r="H206" s="3" t="s">
        <v>254</v>
      </c>
    </row>
    <row r="207" spans="1:8" x14ac:dyDescent="0.2">
      <c r="A207" s="3">
        <v>3030302007</v>
      </c>
      <c r="B207" s="4" t="s">
        <v>584</v>
      </c>
      <c r="C207" s="4" t="s">
        <v>575</v>
      </c>
      <c r="D207" s="3">
        <v>1</v>
      </c>
      <c r="E207" s="3" t="s">
        <v>16</v>
      </c>
      <c r="F207" s="3" t="s">
        <v>295</v>
      </c>
      <c r="G207" s="3" t="s">
        <v>17</v>
      </c>
      <c r="H207" s="3" t="s">
        <v>254</v>
      </c>
    </row>
    <row r="208" spans="1:8" x14ac:dyDescent="0.2">
      <c r="A208" s="3">
        <v>3070201008</v>
      </c>
      <c r="B208" s="4" t="s">
        <v>348</v>
      </c>
      <c r="C208" s="4" t="s">
        <v>1263</v>
      </c>
      <c r="D208" s="3">
        <v>1</v>
      </c>
      <c r="E208" s="3" t="s">
        <v>16</v>
      </c>
      <c r="F208" s="3" t="s">
        <v>317</v>
      </c>
      <c r="G208" s="3" t="s">
        <v>318</v>
      </c>
      <c r="H208" s="3" t="s">
        <v>254</v>
      </c>
    </row>
    <row r="209" spans="1:8" x14ac:dyDescent="0.2">
      <c r="A209" s="3">
        <v>3070216005</v>
      </c>
      <c r="B209" s="4" t="s">
        <v>1264</v>
      </c>
      <c r="C209" s="4" t="s">
        <v>1301</v>
      </c>
      <c r="D209" s="3">
        <v>1</v>
      </c>
      <c r="E209" s="3" t="s">
        <v>16</v>
      </c>
      <c r="F209" s="3" t="s">
        <v>317</v>
      </c>
      <c r="G209" s="3" t="s">
        <v>318</v>
      </c>
      <c r="H209" s="3" t="s">
        <v>254</v>
      </c>
    </row>
    <row r="210" spans="1:8" x14ac:dyDescent="0.2">
      <c r="A210" s="3">
        <v>3070214004</v>
      </c>
      <c r="B210" s="4" t="s">
        <v>1266</v>
      </c>
      <c r="C210" s="4" t="s">
        <v>1301</v>
      </c>
      <c r="D210" s="3">
        <v>1</v>
      </c>
      <c r="E210" s="3" t="s">
        <v>16</v>
      </c>
      <c r="F210" s="3" t="s">
        <v>317</v>
      </c>
      <c r="G210" s="3" t="s">
        <v>318</v>
      </c>
      <c r="H210" s="3" t="s">
        <v>254</v>
      </c>
    </row>
    <row r="211" spans="1:8" x14ac:dyDescent="0.2">
      <c r="A211" s="3">
        <v>3070202017</v>
      </c>
      <c r="B211" s="4" t="s">
        <v>1267</v>
      </c>
      <c r="C211" s="4" t="s">
        <v>1302</v>
      </c>
      <c r="D211" s="3">
        <v>1</v>
      </c>
      <c r="E211" s="3" t="s">
        <v>16</v>
      </c>
      <c r="F211" s="3" t="s">
        <v>317</v>
      </c>
      <c r="G211" s="3" t="s">
        <v>318</v>
      </c>
      <c r="H211" s="3" t="s">
        <v>254</v>
      </c>
    </row>
    <row r="212" spans="1:8" x14ac:dyDescent="0.2">
      <c r="A212" s="3">
        <v>3111601004</v>
      </c>
      <c r="B212" s="4" t="s">
        <v>585</v>
      </c>
      <c r="C212" s="4" t="s">
        <v>1235</v>
      </c>
      <c r="D212" s="3">
        <v>4</v>
      </c>
      <c r="E212" s="3" t="s">
        <v>16</v>
      </c>
      <c r="F212" s="3" t="s">
        <v>289</v>
      </c>
      <c r="G212" s="3" t="s">
        <v>23</v>
      </c>
      <c r="H212" s="3" t="s">
        <v>254</v>
      </c>
    </row>
    <row r="213" spans="1:8" x14ac:dyDescent="0.2">
      <c r="A213" s="3">
        <v>3111601003</v>
      </c>
      <c r="B213" s="4" t="s">
        <v>585</v>
      </c>
      <c r="C213" s="4" t="s">
        <v>586</v>
      </c>
      <c r="D213" s="3">
        <v>2</v>
      </c>
      <c r="E213" s="3" t="s">
        <v>16</v>
      </c>
      <c r="F213" s="3" t="s">
        <v>291</v>
      </c>
      <c r="G213" s="3" t="s">
        <v>26</v>
      </c>
      <c r="H213" s="3" t="s">
        <v>254</v>
      </c>
    </row>
    <row r="214" spans="1:8" x14ac:dyDescent="0.2">
      <c r="A214" s="3">
        <v>3111601003</v>
      </c>
      <c r="B214" s="4" t="s">
        <v>585</v>
      </c>
      <c r="C214" s="4" t="s">
        <v>586</v>
      </c>
      <c r="D214" s="3">
        <v>13</v>
      </c>
      <c r="E214" s="3" t="s">
        <v>16</v>
      </c>
      <c r="F214" s="3" t="s">
        <v>289</v>
      </c>
      <c r="G214" s="3" t="s">
        <v>23</v>
      </c>
      <c r="H214" s="3" t="s">
        <v>254</v>
      </c>
    </row>
    <row r="215" spans="1:8" x14ac:dyDescent="0.2">
      <c r="A215" s="3">
        <v>3111601001</v>
      </c>
      <c r="B215" s="4" t="s">
        <v>585</v>
      </c>
      <c r="C215" s="4" t="s">
        <v>1269</v>
      </c>
      <c r="D215" s="3">
        <v>8</v>
      </c>
      <c r="E215" s="3" t="s">
        <v>16</v>
      </c>
      <c r="F215" s="3" t="s">
        <v>317</v>
      </c>
      <c r="G215" s="3" t="s">
        <v>318</v>
      </c>
      <c r="H215" s="3" t="s">
        <v>254</v>
      </c>
    </row>
    <row r="216" spans="1:8" x14ac:dyDescent="0.2">
      <c r="A216" s="3">
        <v>3060340003</v>
      </c>
      <c r="B216" s="4" t="s">
        <v>725</v>
      </c>
      <c r="C216" s="4" t="s">
        <v>1236</v>
      </c>
      <c r="D216" s="3">
        <v>1</v>
      </c>
      <c r="E216" s="3" t="s">
        <v>16</v>
      </c>
      <c r="F216" s="3" t="s">
        <v>289</v>
      </c>
      <c r="G216" s="3" t="s">
        <v>23</v>
      </c>
      <c r="H216" s="3" t="s">
        <v>254</v>
      </c>
    </row>
    <row r="217" spans="1:8" x14ac:dyDescent="0.2">
      <c r="A217" s="3">
        <v>3060339004</v>
      </c>
      <c r="B217" s="4" t="s">
        <v>737</v>
      </c>
      <c r="C217" s="4" t="s">
        <v>1253</v>
      </c>
      <c r="D217" s="3">
        <v>1</v>
      </c>
      <c r="E217" s="3" t="s">
        <v>16</v>
      </c>
      <c r="F217" s="3" t="s">
        <v>289</v>
      </c>
      <c r="G217" s="3" t="s">
        <v>23</v>
      </c>
      <c r="H217" s="3" t="s">
        <v>254</v>
      </c>
    </row>
    <row r="218" spans="1:8" x14ac:dyDescent="0.2">
      <c r="A218" s="3">
        <v>3050303009</v>
      </c>
      <c r="B218" s="4" t="s">
        <v>245</v>
      </c>
      <c r="C218" s="4" t="s">
        <v>1253</v>
      </c>
      <c r="D218" s="3">
        <v>1</v>
      </c>
      <c r="E218" s="3" t="s">
        <v>16</v>
      </c>
      <c r="F218" s="3" t="s">
        <v>291</v>
      </c>
      <c r="G218" s="3" t="s">
        <v>26</v>
      </c>
      <c r="H218" s="3" t="s">
        <v>254</v>
      </c>
    </row>
    <row r="219" spans="1:8" x14ac:dyDescent="0.2">
      <c r="A219" s="3">
        <v>3080310002</v>
      </c>
      <c r="B219" s="4" t="s">
        <v>588</v>
      </c>
      <c r="C219" s="4" t="s">
        <v>589</v>
      </c>
      <c r="D219" s="3">
        <v>1</v>
      </c>
      <c r="E219" s="3" t="s">
        <v>16</v>
      </c>
      <c r="F219" s="3" t="s">
        <v>295</v>
      </c>
      <c r="G219" s="3" t="s">
        <v>17</v>
      </c>
      <c r="H219" s="3" t="s">
        <v>590</v>
      </c>
    </row>
    <row r="220" spans="1:8" x14ac:dyDescent="0.2">
      <c r="A220" s="3">
        <v>3020301012</v>
      </c>
      <c r="B220" s="4" t="s">
        <v>209</v>
      </c>
      <c r="C220" s="4" t="s">
        <v>1993</v>
      </c>
      <c r="D220" s="3">
        <v>1</v>
      </c>
      <c r="E220" s="3" t="s">
        <v>16</v>
      </c>
      <c r="F220" s="3" t="s">
        <v>301</v>
      </c>
      <c r="G220" s="3" t="s">
        <v>32</v>
      </c>
      <c r="H220" s="3" t="s">
        <v>769</v>
      </c>
    </row>
  </sheetData>
  <phoneticPr fontId="2" type="noConversion"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040C9-FCA6-44AB-A6E6-BC87E10D24EF}">
  <dimension ref="A1:H172"/>
  <sheetViews>
    <sheetView workbookViewId="0">
      <selection activeCell="M17" sqref="M17"/>
    </sheetView>
  </sheetViews>
  <sheetFormatPr defaultRowHeight="14.25" x14ac:dyDescent="0.2"/>
  <cols>
    <col min="1" max="1" width="11.25" customWidth="1"/>
    <col min="2" max="3" width="13.25" customWidth="1"/>
  </cols>
  <sheetData>
    <row r="1" spans="1:8" x14ac:dyDescent="0.2">
      <c r="A1" s="3" t="s">
        <v>2000</v>
      </c>
      <c r="B1" s="4"/>
      <c r="C1" s="4"/>
      <c r="D1" s="3"/>
      <c r="E1" s="3"/>
      <c r="F1" s="3"/>
      <c r="G1" s="3"/>
      <c r="H1" s="3"/>
    </row>
    <row r="2" spans="1:8" ht="28.5" x14ac:dyDescent="0.2">
      <c r="A2" s="1" t="s">
        <v>0</v>
      </c>
      <c r="B2" s="2" t="s">
        <v>1</v>
      </c>
      <c r="C2" s="2" t="s">
        <v>2</v>
      </c>
      <c r="D2" s="1" t="s">
        <v>4</v>
      </c>
      <c r="E2" s="1" t="s">
        <v>3</v>
      </c>
      <c r="F2" s="1" t="s">
        <v>5</v>
      </c>
      <c r="G2" s="1" t="s">
        <v>6</v>
      </c>
      <c r="H2" s="1" t="s">
        <v>7</v>
      </c>
    </row>
    <row r="3" spans="1:8" s="10" customFormat="1" x14ac:dyDescent="0.2">
      <c r="A3" s="8" t="s">
        <v>390</v>
      </c>
      <c r="B3" s="9" t="s">
        <v>8</v>
      </c>
      <c r="C3" s="9" t="s">
        <v>9</v>
      </c>
      <c r="D3" s="13">
        <f>0.1399/0.94</f>
        <v>0.14882978723404255</v>
      </c>
      <c r="E3" s="8" t="s">
        <v>596</v>
      </c>
      <c r="F3" s="8" t="s">
        <v>283</v>
      </c>
      <c r="G3" s="8" t="s">
        <v>13</v>
      </c>
      <c r="H3" s="8" t="s">
        <v>12</v>
      </c>
    </row>
    <row r="4" spans="1:8" x14ac:dyDescent="0.2">
      <c r="A4" s="3">
        <v>3010105002</v>
      </c>
      <c r="B4" s="4" t="s">
        <v>1827</v>
      </c>
      <c r="C4" s="4" t="s">
        <v>1828</v>
      </c>
      <c r="D4" s="3">
        <v>7.0000000000000007E-2</v>
      </c>
      <c r="E4" s="3" t="s">
        <v>10</v>
      </c>
      <c r="F4" s="3" t="s">
        <v>284</v>
      </c>
      <c r="G4" s="3" t="s">
        <v>11</v>
      </c>
      <c r="H4" s="3" t="s">
        <v>306</v>
      </c>
    </row>
    <row r="5" spans="1:8" x14ac:dyDescent="0.2">
      <c r="A5" s="3">
        <v>3098980102</v>
      </c>
      <c r="B5" s="4" t="s">
        <v>1897</v>
      </c>
      <c r="C5" s="4" t="s">
        <v>1898</v>
      </c>
      <c r="D5" s="3">
        <v>1</v>
      </c>
      <c r="E5" s="3" t="s">
        <v>16</v>
      </c>
      <c r="F5" s="3" t="s">
        <v>291</v>
      </c>
      <c r="G5" s="3" t="s">
        <v>26</v>
      </c>
      <c r="H5" s="3" t="s">
        <v>393</v>
      </c>
    </row>
    <row r="6" spans="1:8" x14ac:dyDescent="0.2">
      <c r="A6" s="3">
        <v>3080503020</v>
      </c>
      <c r="B6" s="4" t="s">
        <v>14</v>
      </c>
      <c r="C6" s="4" t="s">
        <v>15</v>
      </c>
      <c r="D6" s="3">
        <v>2</v>
      </c>
      <c r="E6" s="3" t="s">
        <v>16</v>
      </c>
      <c r="F6" s="3" t="s">
        <v>295</v>
      </c>
      <c r="G6" s="3" t="s">
        <v>17</v>
      </c>
      <c r="H6" s="3" t="s">
        <v>18</v>
      </c>
    </row>
    <row r="7" spans="1:8" x14ac:dyDescent="0.2">
      <c r="A7" s="3">
        <v>3080503019</v>
      </c>
      <c r="B7" s="4" t="s">
        <v>14</v>
      </c>
      <c r="C7" s="4" t="s">
        <v>19</v>
      </c>
      <c r="D7" s="3">
        <v>4</v>
      </c>
      <c r="E7" s="3" t="s">
        <v>16</v>
      </c>
      <c r="F7" s="3" t="s">
        <v>295</v>
      </c>
      <c r="G7" s="3" t="s">
        <v>17</v>
      </c>
      <c r="H7" s="3" t="s">
        <v>18</v>
      </c>
    </row>
    <row r="8" spans="1:8" x14ac:dyDescent="0.2">
      <c r="A8" s="3">
        <v>3080503001</v>
      </c>
      <c r="B8" s="4" t="s">
        <v>14</v>
      </c>
      <c r="C8" s="4" t="s">
        <v>20</v>
      </c>
      <c r="D8" s="3">
        <v>4</v>
      </c>
      <c r="E8" s="3" t="s">
        <v>16</v>
      </c>
      <c r="F8" s="3" t="s">
        <v>295</v>
      </c>
      <c r="G8" s="3" t="s">
        <v>17</v>
      </c>
      <c r="H8" s="3" t="s">
        <v>18</v>
      </c>
    </row>
    <row r="9" spans="1:8" x14ac:dyDescent="0.2">
      <c r="A9" s="3">
        <v>3030314005</v>
      </c>
      <c r="B9" s="4" t="s">
        <v>394</v>
      </c>
      <c r="C9" s="4" t="s">
        <v>395</v>
      </c>
      <c r="D9" s="3">
        <v>1</v>
      </c>
      <c r="E9" s="3" t="s">
        <v>16</v>
      </c>
      <c r="F9" s="3" t="s">
        <v>291</v>
      </c>
      <c r="G9" s="3" t="s">
        <v>26</v>
      </c>
      <c r="H9" s="3" t="s">
        <v>18</v>
      </c>
    </row>
    <row r="10" spans="1:8" x14ac:dyDescent="0.2">
      <c r="A10" s="3">
        <v>3040211003</v>
      </c>
      <c r="B10" s="4" t="s">
        <v>157</v>
      </c>
      <c r="C10" s="4" t="s">
        <v>307</v>
      </c>
      <c r="D10" s="3">
        <v>2</v>
      </c>
      <c r="E10" s="3" t="s">
        <v>16</v>
      </c>
      <c r="F10" s="3" t="s">
        <v>293</v>
      </c>
      <c r="G10" s="3" t="s">
        <v>29</v>
      </c>
      <c r="H10" s="3" t="s">
        <v>18</v>
      </c>
    </row>
    <row r="11" spans="1:8" x14ac:dyDescent="0.2">
      <c r="A11" s="3">
        <v>404110003</v>
      </c>
      <c r="B11" s="4" t="s">
        <v>504</v>
      </c>
      <c r="C11" s="4" t="s">
        <v>1961</v>
      </c>
      <c r="D11" s="3">
        <v>1</v>
      </c>
      <c r="E11" s="3" t="s">
        <v>16</v>
      </c>
      <c r="F11" s="3" t="s">
        <v>301</v>
      </c>
      <c r="G11" s="3" t="s">
        <v>32</v>
      </c>
      <c r="H11" s="3" t="s">
        <v>33</v>
      </c>
    </row>
    <row r="12" spans="1:8" x14ac:dyDescent="0.2">
      <c r="A12" s="3">
        <v>404090271</v>
      </c>
      <c r="B12" s="4" t="s">
        <v>30</v>
      </c>
      <c r="C12" s="4" t="s">
        <v>1962</v>
      </c>
      <c r="D12" s="3">
        <v>1</v>
      </c>
      <c r="E12" s="3" t="s">
        <v>16</v>
      </c>
      <c r="F12" s="3" t="s">
        <v>301</v>
      </c>
      <c r="G12" s="3" t="s">
        <v>32</v>
      </c>
      <c r="H12" s="3" t="s">
        <v>33</v>
      </c>
    </row>
    <row r="13" spans="1:8" x14ac:dyDescent="0.2">
      <c r="A13" s="3">
        <v>401020258</v>
      </c>
      <c r="B13" s="4" t="s">
        <v>35</v>
      </c>
      <c r="C13" s="4" t="s">
        <v>1963</v>
      </c>
      <c r="D13" s="3">
        <v>1</v>
      </c>
      <c r="E13" s="3" t="s">
        <v>16</v>
      </c>
      <c r="F13" s="3" t="s">
        <v>301</v>
      </c>
      <c r="G13" s="3" t="s">
        <v>32</v>
      </c>
      <c r="H13" s="3" t="s">
        <v>33</v>
      </c>
    </row>
    <row r="14" spans="1:8" x14ac:dyDescent="0.2">
      <c r="A14" s="3">
        <v>401040463</v>
      </c>
      <c r="B14" s="4" t="s">
        <v>35</v>
      </c>
      <c r="C14" s="4" t="s">
        <v>1926</v>
      </c>
      <c r="D14" s="3">
        <v>1</v>
      </c>
      <c r="E14" s="3" t="s">
        <v>16</v>
      </c>
      <c r="F14" s="3" t="s">
        <v>291</v>
      </c>
      <c r="G14" s="3" t="s">
        <v>26</v>
      </c>
      <c r="H14" s="3" t="s">
        <v>33</v>
      </c>
    </row>
    <row r="15" spans="1:8" x14ac:dyDescent="0.2">
      <c r="A15" s="3">
        <v>401040097</v>
      </c>
      <c r="B15" s="4" t="s">
        <v>35</v>
      </c>
      <c r="C15" s="4" t="s">
        <v>598</v>
      </c>
      <c r="D15" s="3">
        <v>1</v>
      </c>
      <c r="E15" s="3" t="s">
        <v>16</v>
      </c>
      <c r="F15" s="3" t="s">
        <v>301</v>
      </c>
      <c r="G15" s="3" t="s">
        <v>32</v>
      </c>
      <c r="H15" s="3" t="s">
        <v>33</v>
      </c>
    </row>
    <row r="16" spans="1:8" x14ac:dyDescent="0.2">
      <c r="A16" s="3">
        <v>3080401023</v>
      </c>
      <c r="B16" s="4" t="s">
        <v>41</v>
      </c>
      <c r="C16" s="4" t="s">
        <v>699</v>
      </c>
      <c r="D16" s="3">
        <v>2</v>
      </c>
      <c r="E16" s="3" t="s">
        <v>16</v>
      </c>
      <c r="F16" s="3" t="s">
        <v>289</v>
      </c>
      <c r="G16" s="3" t="s">
        <v>23</v>
      </c>
      <c r="H16" s="3" t="s">
        <v>40</v>
      </c>
    </row>
    <row r="17" spans="1:8" x14ac:dyDescent="0.2">
      <c r="A17" s="3">
        <v>3080401008</v>
      </c>
      <c r="B17" s="4" t="s">
        <v>41</v>
      </c>
      <c r="C17" s="4" t="s">
        <v>700</v>
      </c>
      <c r="D17" s="3">
        <v>2</v>
      </c>
      <c r="E17" s="3" t="s">
        <v>16</v>
      </c>
      <c r="F17" s="3" t="s">
        <v>289</v>
      </c>
      <c r="G17" s="3" t="s">
        <v>23</v>
      </c>
      <c r="H17" s="3" t="s">
        <v>40</v>
      </c>
    </row>
    <row r="18" spans="1:8" x14ac:dyDescent="0.2">
      <c r="A18" s="3">
        <v>3080401005</v>
      </c>
      <c r="B18" s="4" t="s">
        <v>41</v>
      </c>
      <c r="C18" s="4" t="s">
        <v>43</v>
      </c>
      <c r="D18" s="3">
        <v>12</v>
      </c>
      <c r="E18" s="3" t="s">
        <v>16</v>
      </c>
      <c r="F18" s="3" t="s">
        <v>291</v>
      </c>
      <c r="G18" s="3" t="s">
        <v>26</v>
      </c>
      <c r="H18" s="3" t="s">
        <v>40</v>
      </c>
    </row>
    <row r="19" spans="1:8" x14ac:dyDescent="0.2">
      <c r="A19" s="3">
        <v>3080401006</v>
      </c>
      <c r="B19" s="4" t="s">
        <v>41</v>
      </c>
      <c r="C19" s="4" t="s">
        <v>44</v>
      </c>
      <c r="D19" s="3">
        <v>1</v>
      </c>
      <c r="E19" s="3" t="s">
        <v>16</v>
      </c>
      <c r="F19" s="3" t="s">
        <v>295</v>
      </c>
      <c r="G19" s="3" t="s">
        <v>17</v>
      </c>
      <c r="H19" s="3" t="s">
        <v>40</v>
      </c>
    </row>
    <row r="20" spans="1:8" x14ac:dyDescent="0.2">
      <c r="A20" s="3">
        <v>3080104014</v>
      </c>
      <c r="B20" s="4" t="s">
        <v>45</v>
      </c>
      <c r="C20" s="4" t="s">
        <v>312</v>
      </c>
      <c r="D20" s="3">
        <v>2</v>
      </c>
      <c r="E20" s="3" t="s">
        <v>16</v>
      </c>
      <c r="F20" s="3" t="s">
        <v>293</v>
      </c>
      <c r="G20" s="3" t="s">
        <v>29</v>
      </c>
      <c r="H20" s="3" t="s">
        <v>40</v>
      </c>
    </row>
    <row r="21" spans="1:8" x14ac:dyDescent="0.2">
      <c r="A21" s="3">
        <v>3080104081</v>
      </c>
      <c r="B21" s="4" t="s">
        <v>45</v>
      </c>
      <c r="C21" s="4" t="s">
        <v>701</v>
      </c>
      <c r="D21" s="3">
        <v>2</v>
      </c>
      <c r="E21" s="3" t="s">
        <v>16</v>
      </c>
      <c r="F21" s="3" t="s">
        <v>289</v>
      </c>
      <c r="G21" s="3" t="s">
        <v>23</v>
      </c>
      <c r="H21" s="3" t="s">
        <v>40</v>
      </c>
    </row>
    <row r="22" spans="1:8" x14ac:dyDescent="0.2">
      <c r="A22" s="3">
        <v>3080104081</v>
      </c>
      <c r="B22" s="4" t="s">
        <v>45</v>
      </c>
      <c r="C22" s="4" t="s">
        <v>701</v>
      </c>
      <c r="D22" s="3">
        <v>2</v>
      </c>
      <c r="E22" s="3" t="s">
        <v>16</v>
      </c>
      <c r="F22" s="3" t="s">
        <v>702</v>
      </c>
      <c r="G22" s="3" t="s">
        <v>703</v>
      </c>
      <c r="H22" s="3" t="s">
        <v>40</v>
      </c>
    </row>
    <row r="23" spans="1:8" x14ac:dyDescent="0.2">
      <c r="A23" s="3">
        <v>3080104099</v>
      </c>
      <c r="B23" s="4" t="s">
        <v>45</v>
      </c>
      <c r="C23" s="4" t="s">
        <v>419</v>
      </c>
      <c r="D23" s="3">
        <v>2</v>
      </c>
      <c r="E23" s="3" t="s">
        <v>16</v>
      </c>
      <c r="F23" s="3" t="s">
        <v>291</v>
      </c>
      <c r="G23" s="3" t="s">
        <v>26</v>
      </c>
      <c r="H23" s="3" t="s">
        <v>40</v>
      </c>
    </row>
    <row r="24" spans="1:8" x14ac:dyDescent="0.2">
      <c r="A24" s="3">
        <v>3080104076</v>
      </c>
      <c r="B24" s="4" t="s">
        <v>45</v>
      </c>
      <c r="C24" s="4" t="s">
        <v>313</v>
      </c>
      <c r="D24" s="3">
        <v>8</v>
      </c>
      <c r="E24" s="3" t="s">
        <v>16</v>
      </c>
      <c r="F24" s="3" t="s">
        <v>293</v>
      </c>
      <c r="G24" s="3" t="s">
        <v>29</v>
      </c>
      <c r="H24" s="3" t="s">
        <v>40</v>
      </c>
    </row>
    <row r="25" spans="1:8" x14ac:dyDescent="0.2">
      <c r="A25" s="3">
        <v>3080104020</v>
      </c>
      <c r="B25" s="4" t="s">
        <v>45</v>
      </c>
      <c r="C25" s="4" t="s">
        <v>46</v>
      </c>
      <c r="D25" s="3">
        <v>4</v>
      </c>
      <c r="E25" s="3" t="s">
        <v>16</v>
      </c>
      <c r="F25" s="3" t="s">
        <v>291</v>
      </c>
      <c r="G25" s="3" t="s">
        <v>26</v>
      </c>
      <c r="H25" s="3" t="s">
        <v>40</v>
      </c>
    </row>
    <row r="26" spans="1:8" x14ac:dyDescent="0.2">
      <c r="A26" s="3">
        <v>3080104019</v>
      </c>
      <c r="B26" s="4" t="s">
        <v>45</v>
      </c>
      <c r="C26" s="4" t="s">
        <v>47</v>
      </c>
      <c r="D26" s="3">
        <v>2</v>
      </c>
      <c r="E26" s="3" t="s">
        <v>16</v>
      </c>
      <c r="F26" s="3" t="s">
        <v>291</v>
      </c>
      <c r="G26" s="3" t="s">
        <v>26</v>
      </c>
      <c r="H26" s="3" t="s">
        <v>40</v>
      </c>
    </row>
    <row r="27" spans="1:8" x14ac:dyDescent="0.2">
      <c r="A27" s="3">
        <v>3080104050</v>
      </c>
      <c r="B27" s="4" t="s">
        <v>45</v>
      </c>
      <c r="C27" s="4" t="s">
        <v>49</v>
      </c>
      <c r="D27" s="3">
        <v>4</v>
      </c>
      <c r="E27" s="3" t="s">
        <v>16</v>
      </c>
      <c r="F27" s="3" t="s">
        <v>295</v>
      </c>
      <c r="G27" s="3" t="s">
        <v>17</v>
      </c>
      <c r="H27" s="3" t="s">
        <v>40</v>
      </c>
    </row>
    <row r="28" spans="1:8" x14ac:dyDescent="0.2">
      <c r="A28" s="3">
        <v>3080105013</v>
      </c>
      <c r="B28" s="4" t="s">
        <v>50</v>
      </c>
      <c r="C28" s="4" t="s">
        <v>51</v>
      </c>
      <c r="D28" s="3">
        <v>4</v>
      </c>
      <c r="E28" s="3" t="s">
        <v>16</v>
      </c>
      <c r="F28" s="3" t="s">
        <v>293</v>
      </c>
      <c r="G28" s="3" t="s">
        <v>29</v>
      </c>
      <c r="H28" s="3" t="s">
        <v>40</v>
      </c>
    </row>
    <row r="29" spans="1:8" x14ac:dyDescent="0.2">
      <c r="A29" s="3">
        <v>3080105004</v>
      </c>
      <c r="B29" s="4" t="s">
        <v>50</v>
      </c>
      <c r="C29" s="4" t="s">
        <v>54</v>
      </c>
      <c r="D29" s="3">
        <v>4</v>
      </c>
      <c r="E29" s="3" t="s">
        <v>16</v>
      </c>
      <c r="F29" s="3" t="s">
        <v>293</v>
      </c>
      <c r="G29" s="3" t="s">
        <v>29</v>
      </c>
      <c r="H29" s="3" t="s">
        <v>40</v>
      </c>
    </row>
    <row r="30" spans="1:8" x14ac:dyDescent="0.2">
      <c r="A30" s="3">
        <v>3080105111</v>
      </c>
      <c r="B30" s="4" t="s">
        <v>50</v>
      </c>
      <c r="C30" s="4" t="s">
        <v>599</v>
      </c>
      <c r="D30" s="3">
        <v>4</v>
      </c>
      <c r="E30" s="3" t="s">
        <v>16</v>
      </c>
      <c r="F30" s="3" t="s">
        <v>291</v>
      </c>
      <c r="G30" s="3" t="s">
        <v>26</v>
      </c>
      <c r="H30" s="3" t="s">
        <v>40</v>
      </c>
    </row>
    <row r="31" spans="1:8" x14ac:dyDescent="0.2">
      <c r="A31" s="3">
        <v>3080105114</v>
      </c>
      <c r="B31" s="4" t="s">
        <v>50</v>
      </c>
      <c r="C31" s="4" t="s">
        <v>53</v>
      </c>
      <c r="D31" s="3">
        <v>5</v>
      </c>
      <c r="E31" s="3" t="s">
        <v>16</v>
      </c>
      <c r="F31" s="3" t="s">
        <v>289</v>
      </c>
      <c r="G31" s="3" t="s">
        <v>23</v>
      </c>
      <c r="H31" s="3" t="s">
        <v>40</v>
      </c>
    </row>
    <row r="32" spans="1:8" x14ac:dyDescent="0.2">
      <c r="A32" s="3">
        <v>3080105114</v>
      </c>
      <c r="B32" s="4" t="s">
        <v>50</v>
      </c>
      <c r="C32" s="4" t="s">
        <v>53</v>
      </c>
      <c r="D32" s="3">
        <v>6</v>
      </c>
      <c r="E32" s="3" t="s">
        <v>16</v>
      </c>
      <c r="F32" s="3" t="s">
        <v>702</v>
      </c>
      <c r="G32" s="3" t="s">
        <v>703</v>
      </c>
      <c r="H32" s="3" t="s">
        <v>40</v>
      </c>
    </row>
    <row r="33" spans="1:8" x14ac:dyDescent="0.2">
      <c r="A33" s="3">
        <v>3080105114</v>
      </c>
      <c r="B33" s="4" t="s">
        <v>50</v>
      </c>
      <c r="C33" s="4" t="s">
        <v>53</v>
      </c>
      <c r="D33" s="3">
        <v>4</v>
      </c>
      <c r="E33" s="3" t="s">
        <v>16</v>
      </c>
      <c r="F33" s="3" t="s">
        <v>289</v>
      </c>
      <c r="G33" s="3" t="s">
        <v>23</v>
      </c>
      <c r="H33" s="3" t="s">
        <v>40</v>
      </c>
    </row>
    <row r="34" spans="1:8" x14ac:dyDescent="0.2">
      <c r="A34" s="3">
        <v>3080105114</v>
      </c>
      <c r="B34" s="4" t="s">
        <v>50</v>
      </c>
      <c r="C34" s="4" t="s">
        <v>53</v>
      </c>
      <c r="D34" s="3">
        <v>3</v>
      </c>
      <c r="E34" s="3" t="s">
        <v>16</v>
      </c>
      <c r="F34" s="3" t="s">
        <v>702</v>
      </c>
      <c r="G34" s="3" t="s">
        <v>703</v>
      </c>
      <c r="H34" s="3" t="s">
        <v>40</v>
      </c>
    </row>
    <row r="35" spans="1:8" x14ac:dyDescent="0.2">
      <c r="A35" s="3">
        <v>3080105068</v>
      </c>
      <c r="B35" s="4" t="s">
        <v>50</v>
      </c>
      <c r="C35" s="4" t="s">
        <v>314</v>
      </c>
      <c r="D35" s="3">
        <v>10</v>
      </c>
      <c r="E35" s="3" t="s">
        <v>16</v>
      </c>
      <c r="F35" s="3" t="s">
        <v>293</v>
      </c>
      <c r="G35" s="3" t="s">
        <v>29</v>
      </c>
      <c r="H35" s="3" t="s">
        <v>40</v>
      </c>
    </row>
    <row r="36" spans="1:8" x14ac:dyDescent="0.2">
      <c r="A36" s="3">
        <v>3080105007</v>
      </c>
      <c r="B36" s="4" t="s">
        <v>50</v>
      </c>
      <c r="C36" s="4" t="s">
        <v>52</v>
      </c>
      <c r="D36" s="3">
        <v>2</v>
      </c>
      <c r="E36" s="3" t="s">
        <v>16</v>
      </c>
      <c r="F36" s="3" t="s">
        <v>293</v>
      </c>
      <c r="G36" s="3" t="s">
        <v>29</v>
      </c>
      <c r="H36" s="3" t="s">
        <v>40</v>
      </c>
    </row>
    <row r="37" spans="1:8" x14ac:dyDescent="0.2">
      <c r="A37" s="3">
        <v>3080105078</v>
      </c>
      <c r="B37" s="4" t="s">
        <v>50</v>
      </c>
      <c r="C37" s="4" t="s">
        <v>315</v>
      </c>
      <c r="D37" s="3">
        <v>2</v>
      </c>
      <c r="E37" s="3" t="s">
        <v>16</v>
      </c>
      <c r="F37" s="3" t="s">
        <v>293</v>
      </c>
      <c r="G37" s="3" t="s">
        <v>29</v>
      </c>
      <c r="H37" s="3" t="s">
        <v>40</v>
      </c>
    </row>
    <row r="38" spans="1:8" x14ac:dyDescent="0.2">
      <c r="A38" s="3">
        <v>3080105004</v>
      </c>
      <c r="B38" s="4" t="s">
        <v>50</v>
      </c>
      <c r="C38" s="4" t="s">
        <v>54</v>
      </c>
      <c r="D38" s="3">
        <v>6</v>
      </c>
      <c r="E38" s="3" t="s">
        <v>16</v>
      </c>
      <c r="F38" s="3" t="s">
        <v>289</v>
      </c>
      <c r="G38" s="3" t="s">
        <v>23</v>
      </c>
      <c r="H38" s="3" t="s">
        <v>40</v>
      </c>
    </row>
    <row r="39" spans="1:8" x14ac:dyDescent="0.2">
      <c r="A39" s="3">
        <v>3080502002</v>
      </c>
      <c r="B39" s="4" t="s">
        <v>55</v>
      </c>
      <c r="C39" s="4" t="s">
        <v>56</v>
      </c>
      <c r="D39" s="3">
        <v>4</v>
      </c>
      <c r="E39" s="3" t="s">
        <v>16</v>
      </c>
      <c r="F39" s="3" t="s">
        <v>293</v>
      </c>
      <c r="G39" s="3" t="s">
        <v>29</v>
      </c>
      <c r="H39" s="3" t="s">
        <v>40</v>
      </c>
    </row>
    <row r="40" spans="1:8" x14ac:dyDescent="0.2">
      <c r="A40" s="3">
        <v>3080201004</v>
      </c>
      <c r="B40" s="4" t="s">
        <v>60</v>
      </c>
      <c r="C40" s="4" t="s">
        <v>61</v>
      </c>
      <c r="D40" s="3">
        <v>4</v>
      </c>
      <c r="E40" s="3" t="s">
        <v>16</v>
      </c>
      <c r="F40" s="3" t="s">
        <v>295</v>
      </c>
      <c r="G40" s="3" t="s">
        <v>17</v>
      </c>
      <c r="H40" s="3" t="s">
        <v>40</v>
      </c>
    </row>
    <row r="41" spans="1:8" x14ac:dyDescent="0.2">
      <c r="A41" s="3">
        <v>3080201012</v>
      </c>
      <c r="B41" s="4" t="s">
        <v>60</v>
      </c>
      <c r="C41" s="4" t="s">
        <v>320</v>
      </c>
      <c r="D41" s="3">
        <v>1</v>
      </c>
      <c r="E41" s="3" t="s">
        <v>16</v>
      </c>
      <c r="F41" s="3" t="s">
        <v>289</v>
      </c>
      <c r="G41" s="3" t="s">
        <v>23</v>
      </c>
      <c r="H41" s="3" t="s">
        <v>40</v>
      </c>
    </row>
    <row r="42" spans="1:8" x14ac:dyDescent="0.2">
      <c r="A42" s="3">
        <v>3080201012</v>
      </c>
      <c r="B42" s="4" t="s">
        <v>60</v>
      </c>
      <c r="C42" s="4" t="s">
        <v>320</v>
      </c>
      <c r="D42" s="3">
        <v>1</v>
      </c>
      <c r="E42" s="3" t="s">
        <v>16</v>
      </c>
      <c r="F42" s="3" t="s">
        <v>702</v>
      </c>
      <c r="G42" s="3" t="s">
        <v>703</v>
      </c>
      <c r="H42" s="3" t="s">
        <v>40</v>
      </c>
    </row>
    <row r="43" spans="1:8" x14ac:dyDescent="0.2">
      <c r="A43" s="3">
        <v>3080201007</v>
      </c>
      <c r="B43" s="4" t="s">
        <v>60</v>
      </c>
      <c r="C43" s="4" t="s">
        <v>62</v>
      </c>
      <c r="D43" s="3">
        <v>1</v>
      </c>
      <c r="E43" s="3" t="s">
        <v>16</v>
      </c>
      <c r="F43" s="3" t="s">
        <v>295</v>
      </c>
      <c r="G43" s="3" t="s">
        <v>17</v>
      </c>
      <c r="H43" s="3" t="s">
        <v>40</v>
      </c>
    </row>
    <row r="44" spans="1:8" x14ac:dyDescent="0.2">
      <c r="A44" s="3">
        <v>3080201008</v>
      </c>
      <c r="B44" s="4" t="s">
        <v>60</v>
      </c>
      <c r="C44" s="4" t="s">
        <v>63</v>
      </c>
      <c r="D44" s="3">
        <v>1</v>
      </c>
      <c r="E44" s="3" t="s">
        <v>16</v>
      </c>
      <c r="F44" s="3" t="s">
        <v>295</v>
      </c>
      <c r="G44" s="3" t="s">
        <v>17</v>
      </c>
      <c r="H44" s="3" t="s">
        <v>40</v>
      </c>
    </row>
    <row r="45" spans="1:8" x14ac:dyDescent="0.2">
      <c r="A45" s="3">
        <v>3080201010</v>
      </c>
      <c r="B45" s="4" t="s">
        <v>60</v>
      </c>
      <c r="C45" s="4" t="s">
        <v>64</v>
      </c>
      <c r="D45" s="3">
        <v>1</v>
      </c>
      <c r="E45" s="3" t="s">
        <v>16</v>
      </c>
      <c r="F45" s="3" t="s">
        <v>295</v>
      </c>
      <c r="G45" s="3" t="s">
        <v>17</v>
      </c>
      <c r="H45" s="3" t="s">
        <v>40</v>
      </c>
    </row>
    <row r="46" spans="1:8" x14ac:dyDescent="0.2">
      <c r="A46" s="3">
        <v>3080201015</v>
      </c>
      <c r="B46" s="4" t="s">
        <v>60</v>
      </c>
      <c r="C46" s="4" t="s">
        <v>65</v>
      </c>
      <c r="D46" s="3">
        <v>2</v>
      </c>
      <c r="E46" s="3" t="s">
        <v>16</v>
      </c>
      <c r="F46" s="3" t="s">
        <v>295</v>
      </c>
      <c r="G46" s="3" t="s">
        <v>17</v>
      </c>
      <c r="H46" s="3" t="s">
        <v>40</v>
      </c>
    </row>
    <row r="47" spans="1:8" x14ac:dyDescent="0.2">
      <c r="A47" s="3">
        <v>3080106009</v>
      </c>
      <c r="B47" s="4" t="s">
        <v>66</v>
      </c>
      <c r="C47" s="4" t="s">
        <v>67</v>
      </c>
      <c r="D47" s="3">
        <v>1</v>
      </c>
      <c r="E47" s="3" t="s">
        <v>16</v>
      </c>
      <c r="F47" s="3" t="s">
        <v>295</v>
      </c>
      <c r="G47" s="3" t="s">
        <v>17</v>
      </c>
      <c r="H47" s="3" t="s">
        <v>40</v>
      </c>
    </row>
    <row r="48" spans="1:8" x14ac:dyDescent="0.2">
      <c r="A48" s="3">
        <v>3080106007</v>
      </c>
      <c r="B48" s="4" t="s">
        <v>66</v>
      </c>
      <c r="C48" s="4" t="s">
        <v>68</v>
      </c>
      <c r="D48" s="3">
        <v>1</v>
      </c>
      <c r="E48" s="3" t="s">
        <v>16</v>
      </c>
      <c r="F48" s="3" t="s">
        <v>295</v>
      </c>
      <c r="G48" s="3" t="s">
        <v>17</v>
      </c>
      <c r="H48" s="3" t="s">
        <v>40</v>
      </c>
    </row>
    <row r="49" spans="1:8" x14ac:dyDescent="0.2">
      <c r="A49" s="3">
        <v>3080107130</v>
      </c>
      <c r="B49" s="4" t="s">
        <v>69</v>
      </c>
      <c r="C49" s="4" t="s">
        <v>70</v>
      </c>
      <c r="D49" s="3">
        <v>4</v>
      </c>
      <c r="E49" s="3" t="s">
        <v>16</v>
      </c>
      <c r="F49" s="3" t="s">
        <v>293</v>
      </c>
      <c r="G49" s="3" t="s">
        <v>29</v>
      </c>
      <c r="H49" s="3" t="s">
        <v>40</v>
      </c>
    </row>
    <row r="50" spans="1:8" x14ac:dyDescent="0.2">
      <c r="A50" s="3">
        <v>3080107031</v>
      </c>
      <c r="B50" s="4" t="s">
        <v>69</v>
      </c>
      <c r="C50" s="4" t="s">
        <v>71</v>
      </c>
      <c r="D50" s="3">
        <v>2</v>
      </c>
      <c r="E50" s="3" t="s">
        <v>16</v>
      </c>
      <c r="F50" s="3" t="s">
        <v>295</v>
      </c>
      <c r="G50" s="3" t="s">
        <v>17</v>
      </c>
      <c r="H50" s="3" t="s">
        <v>40</v>
      </c>
    </row>
    <row r="51" spans="1:8" x14ac:dyDescent="0.2">
      <c r="A51" s="3">
        <v>3080107284</v>
      </c>
      <c r="B51" s="4" t="s">
        <v>69</v>
      </c>
      <c r="C51" s="4" t="s">
        <v>706</v>
      </c>
      <c r="D51" s="3">
        <v>1</v>
      </c>
      <c r="E51" s="3" t="s">
        <v>16</v>
      </c>
      <c r="F51" s="3" t="s">
        <v>702</v>
      </c>
      <c r="G51" s="3" t="s">
        <v>703</v>
      </c>
      <c r="H51" s="3" t="s">
        <v>40</v>
      </c>
    </row>
    <row r="52" spans="1:8" x14ac:dyDescent="0.2">
      <c r="A52" s="3">
        <v>3080107089</v>
      </c>
      <c r="B52" s="4" t="s">
        <v>69</v>
      </c>
      <c r="C52" s="4" t="s">
        <v>704</v>
      </c>
      <c r="D52" s="3">
        <v>1</v>
      </c>
      <c r="E52" s="3" t="s">
        <v>16</v>
      </c>
      <c r="F52" s="3" t="s">
        <v>289</v>
      </c>
      <c r="G52" s="3" t="s">
        <v>23</v>
      </c>
      <c r="H52" s="3" t="s">
        <v>40</v>
      </c>
    </row>
    <row r="53" spans="1:8" x14ac:dyDescent="0.2">
      <c r="A53" s="3">
        <v>3080107112</v>
      </c>
      <c r="B53" s="4" t="s">
        <v>69</v>
      </c>
      <c r="C53" s="4" t="s">
        <v>705</v>
      </c>
      <c r="D53" s="3">
        <v>2</v>
      </c>
      <c r="E53" s="3" t="s">
        <v>16</v>
      </c>
      <c r="F53" s="3" t="s">
        <v>289</v>
      </c>
      <c r="G53" s="3" t="s">
        <v>23</v>
      </c>
      <c r="H53" s="3" t="s">
        <v>40</v>
      </c>
    </row>
    <row r="54" spans="1:8" x14ac:dyDescent="0.2">
      <c r="A54" s="3">
        <v>3080107015</v>
      </c>
      <c r="B54" s="4" t="s">
        <v>69</v>
      </c>
      <c r="C54" s="4" t="s">
        <v>73</v>
      </c>
      <c r="D54" s="3">
        <v>6</v>
      </c>
      <c r="E54" s="3" t="s">
        <v>16</v>
      </c>
      <c r="F54" s="3" t="s">
        <v>291</v>
      </c>
      <c r="G54" s="3" t="s">
        <v>26</v>
      </c>
      <c r="H54" s="3" t="s">
        <v>40</v>
      </c>
    </row>
    <row r="55" spans="1:8" x14ac:dyDescent="0.2">
      <c r="A55" s="3">
        <v>3080107120</v>
      </c>
      <c r="B55" s="4" t="s">
        <v>69</v>
      </c>
      <c r="C55" s="4" t="s">
        <v>74</v>
      </c>
      <c r="D55" s="3">
        <v>1</v>
      </c>
      <c r="E55" s="3" t="s">
        <v>16</v>
      </c>
      <c r="F55" s="3" t="s">
        <v>295</v>
      </c>
      <c r="G55" s="3" t="s">
        <v>17</v>
      </c>
      <c r="H55" s="3" t="s">
        <v>40</v>
      </c>
    </row>
    <row r="56" spans="1:8" x14ac:dyDescent="0.2">
      <c r="A56" s="3">
        <v>3080107121</v>
      </c>
      <c r="B56" s="4" t="s">
        <v>69</v>
      </c>
      <c r="C56" s="4" t="s">
        <v>75</v>
      </c>
      <c r="D56" s="3">
        <v>1</v>
      </c>
      <c r="E56" s="3" t="s">
        <v>16</v>
      </c>
      <c r="F56" s="3" t="s">
        <v>295</v>
      </c>
      <c r="G56" s="3" t="s">
        <v>17</v>
      </c>
      <c r="H56" s="3" t="s">
        <v>40</v>
      </c>
    </row>
    <row r="57" spans="1:8" x14ac:dyDescent="0.2">
      <c r="A57" s="3">
        <v>3080107031</v>
      </c>
      <c r="B57" s="4" t="s">
        <v>69</v>
      </c>
      <c r="C57" s="4" t="s">
        <v>71</v>
      </c>
      <c r="D57" s="3">
        <v>4</v>
      </c>
      <c r="E57" s="3" t="s">
        <v>16</v>
      </c>
      <c r="F57" s="3" t="s">
        <v>295</v>
      </c>
      <c r="G57" s="3" t="s">
        <v>17</v>
      </c>
      <c r="H57" s="3" t="s">
        <v>40</v>
      </c>
    </row>
    <row r="58" spans="1:8" x14ac:dyDescent="0.2">
      <c r="A58" s="3">
        <v>3080108011</v>
      </c>
      <c r="B58" s="4" t="s">
        <v>77</v>
      </c>
      <c r="C58" s="4" t="s">
        <v>323</v>
      </c>
      <c r="D58" s="3">
        <v>2</v>
      </c>
      <c r="E58" s="3" t="s">
        <v>16</v>
      </c>
      <c r="F58" s="3" t="s">
        <v>293</v>
      </c>
      <c r="G58" s="3" t="s">
        <v>29</v>
      </c>
      <c r="H58" s="3" t="s">
        <v>40</v>
      </c>
    </row>
    <row r="59" spans="1:8" x14ac:dyDescent="0.2">
      <c r="A59" s="3">
        <v>3080108009</v>
      </c>
      <c r="B59" s="4" t="s">
        <v>77</v>
      </c>
      <c r="C59" s="4" t="s">
        <v>324</v>
      </c>
      <c r="D59" s="3">
        <v>2</v>
      </c>
      <c r="E59" s="3" t="s">
        <v>16</v>
      </c>
      <c r="F59" s="3" t="s">
        <v>293</v>
      </c>
      <c r="G59" s="3" t="s">
        <v>29</v>
      </c>
      <c r="H59" s="3" t="s">
        <v>40</v>
      </c>
    </row>
    <row r="60" spans="1:8" x14ac:dyDescent="0.2">
      <c r="A60" s="3">
        <v>3080108003</v>
      </c>
      <c r="B60" s="4" t="s">
        <v>77</v>
      </c>
      <c r="C60" s="4" t="s">
        <v>78</v>
      </c>
      <c r="D60" s="3">
        <v>1</v>
      </c>
      <c r="E60" s="3" t="s">
        <v>16</v>
      </c>
      <c r="F60" s="3" t="s">
        <v>295</v>
      </c>
      <c r="G60" s="3" t="s">
        <v>17</v>
      </c>
      <c r="H60" s="3" t="s">
        <v>40</v>
      </c>
    </row>
    <row r="61" spans="1:8" x14ac:dyDescent="0.2">
      <c r="A61" s="3">
        <v>3080111087</v>
      </c>
      <c r="B61" s="4" t="s">
        <v>79</v>
      </c>
      <c r="C61" s="4" t="s">
        <v>80</v>
      </c>
      <c r="D61" s="3">
        <v>18</v>
      </c>
      <c r="E61" s="3" t="s">
        <v>16</v>
      </c>
      <c r="F61" s="3" t="s">
        <v>291</v>
      </c>
      <c r="G61" s="3" t="s">
        <v>26</v>
      </c>
      <c r="H61" s="3" t="s">
        <v>40</v>
      </c>
    </row>
    <row r="62" spans="1:8" x14ac:dyDescent="0.2">
      <c r="A62" s="3">
        <v>407030047</v>
      </c>
      <c r="B62" s="4" t="s">
        <v>81</v>
      </c>
      <c r="C62" s="4" t="s">
        <v>707</v>
      </c>
      <c r="D62" s="3">
        <v>1</v>
      </c>
      <c r="E62" s="3" t="s">
        <v>16</v>
      </c>
      <c r="F62" s="3" t="s">
        <v>301</v>
      </c>
      <c r="G62" s="3" t="s">
        <v>32</v>
      </c>
      <c r="H62" s="3" t="s">
        <v>40</v>
      </c>
    </row>
    <row r="63" spans="1:8" x14ac:dyDescent="0.2">
      <c r="A63" s="3">
        <v>3080112015</v>
      </c>
      <c r="B63" s="4" t="s">
        <v>83</v>
      </c>
      <c r="C63" s="4" t="s">
        <v>84</v>
      </c>
      <c r="D63" s="3">
        <v>6</v>
      </c>
      <c r="E63" s="3" t="s">
        <v>16</v>
      </c>
      <c r="F63" s="3" t="s">
        <v>291</v>
      </c>
      <c r="G63" s="3" t="s">
        <v>26</v>
      </c>
      <c r="H63" s="3" t="s">
        <v>40</v>
      </c>
    </row>
    <row r="64" spans="1:8" x14ac:dyDescent="0.2">
      <c r="A64" s="3">
        <v>3080112003</v>
      </c>
      <c r="B64" s="4" t="s">
        <v>83</v>
      </c>
      <c r="C64" s="4" t="s">
        <v>85</v>
      </c>
      <c r="D64" s="3">
        <v>1</v>
      </c>
      <c r="E64" s="3" t="s">
        <v>16</v>
      </c>
      <c r="F64" s="3" t="s">
        <v>295</v>
      </c>
      <c r="G64" s="3" t="s">
        <v>17</v>
      </c>
      <c r="H64" s="3" t="s">
        <v>40</v>
      </c>
    </row>
    <row r="65" spans="1:8" x14ac:dyDescent="0.2">
      <c r="A65" s="3">
        <v>3080307001</v>
      </c>
      <c r="B65" s="4" t="s">
        <v>86</v>
      </c>
      <c r="C65" s="4" t="s">
        <v>87</v>
      </c>
      <c r="D65" s="3">
        <v>1</v>
      </c>
      <c r="E65" s="3" t="s">
        <v>16</v>
      </c>
      <c r="F65" s="3" t="s">
        <v>295</v>
      </c>
      <c r="G65" s="3" t="s">
        <v>17</v>
      </c>
      <c r="H65" s="3" t="s">
        <v>88</v>
      </c>
    </row>
    <row r="66" spans="1:8" x14ac:dyDescent="0.2">
      <c r="A66" s="3">
        <v>3080506001</v>
      </c>
      <c r="B66" s="4" t="s">
        <v>89</v>
      </c>
      <c r="C66" s="4" t="s">
        <v>90</v>
      </c>
      <c r="D66" s="3">
        <v>1</v>
      </c>
      <c r="E66" s="3" t="s">
        <v>16</v>
      </c>
      <c r="F66" s="3" t="s">
        <v>295</v>
      </c>
      <c r="G66" s="3" t="s">
        <v>17</v>
      </c>
      <c r="H66" s="3" t="s">
        <v>88</v>
      </c>
    </row>
    <row r="67" spans="1:8" x14ac:dyDescent="0.2">
      <c r="A67" s="3">
        <v>3030204002</v>
      </c>
      <c r="B67" s="4" t="s">
        <v>91</v>
      </c>
      <c r="C67" s="4" t="s">
        <v>92</v>
      </c>
      <c r="D67" s="3">
        <v>1</v>
      </c>
      <c r="E67" s="3" t="s">
        <v>16</v>
      </c>
      <c r="F67" s="3" t="s">
        <v>295</v>
      </c>
      <c r="G67" s="3" t="s">
        <v>17</v>
      </c>
      <c r="H67" s="3" t="s">
        <v>88</v>
      </c>
    </row>
    <row r="68" spans="1:8" x14ac:dyDescent="0.2">
      <c r="A68" s="3">
        <v>3030205002</v>
      </c>
      <c r="B68" s="4" t="s">
        <v>93</v>
      </c>
      <c r="C68" s="4" t="s">
        <v>94</v>
      </c>
      <c r="D68" s="3">
        <v>1</v>
      </c>
      <c r="E68" s="3" t="s">
        <v>16</v>
      </c>
      <c r="F68" s="3" t="s">
        <v>295</v>
      </c>
      <c r="G68" s="3" t="s">
        <v>17</v>
      </c>
      <c r="H68" s="3" t="s">
        <v>88</v>
      </c>
    </row>
    <row r="69" spans="1:8" x14ac:dyDescent="0.2">
      <c r="A69" s="3">
        <v>3030208001</v>
      </c>
      <c r="B69" s="4" t="s">
        <v>95</v>
      </c>
      <c r="C69" s="4" t="s">
        <v>96</v>
      </c>
      <c r="D69" s="3">
        <v>1</v>
      </c>
      <c r="E69" s="3" t="s">
        <v>16</v>
      </c>
      <c r="F69" s="3" t="s">
        <v>295</v>
      </c>
      <c r="G69" s="3" t="s">
        <v>17</v>
      </c>
      <c r="H69" s="3" t="s">
        <v>88</v>
      </c>
    </row>
    <row r="70" spans="1:8" x14ac:dyDescent="0.2">
      <c r="A70" s="3">
        <v>3030202005</v>
      </c>
      <c r="B70" s="4" t="s">
        <v>97</v>
      </c>
      <c r="C70" s="4" t="s">
        <v>94</v>
      </c>
      <c r="D70" s="3">
        <v>1</v>
      </c>
      <c r="E70" s="3" t="s">
        <v>16</v>
      </c>
      <c r="F70" s="3" t="s">
        <v>295</v>
      </c>
      <c r="G70" s="3" t="s">
        <v>17</v>
      </c>
      <c r="H70" s="3" t="s">
        <v>88</v>
      </c>
    </row>
    <row r="71" spans="1:8" x14ac:dyDescent="0.2">
      <c r="A71" s="3">
        <v>3080201009</v>
      </c>
      <c r="B71" s="4" t="s">
        <v>60</v>
      </c>
      <c r="C71" s="4" t="s">
        <v>98</v>
      </c>
      <c r="D71" s="3">
        <v>1</v>
      </c>
      <c r="E71" s="3" t="s">
        <v>16</v>
      </c>
      <c r="F71" s="3" t="s">
        <v>295</v>
      </c>
      <c r="G71" s="3" t="s">
        <v>17</v>
      </c>
      <c r="H71" s="3" t="s">
        <v>88</v>
      </c>
    </row>
    <row r="72" spans="1:8" x14ac:dyDescent="0.2">
      <c r="A72" s="3">
        <v>3050205001</v>
      </c>
      <c r="B72" s="4" t="s">
        <v>99</v>
      </c>
      <c r="C72" s="4" t="s">
        <v>100</v>
      </c>
      <c r="D72" s="3">
        <v>2</v>
      </c>
      <c r="E72" s="3" t="s">
        <v>16</v>
      </c>
      <c r="F72" s="3" t="s">
        <v>291</v>
      </c>
      <c r="G72" s="3" t="s">
        <v>26</v>
      </c>
      <c r="H72" s="3" t="s">
        <v>88</v>
      </c>
    </row>
    <row r="73" spans="1:8" x14ac:dyDescent="0.2">
      <c r="A73" s="3">
        <v>3099990501</v>
      </c>
      <c r="B73" s="4" t="s">
        <v>708</v>
      </c>
      <c r="C73" s="4" t="s">
        <v>105</v>
      </c>
      <c r="D73" s="3">
        <v>1</v>
      </c>
      <c r="E73" s="3" t="s">
        <v>16</v>
      </c>
      <c r="F73" s="3" t="s">
        <v>709</v>
      </c>
      <c r="G73" s="3" t="s">
        <v>710</v>
      </c>
      <c r="H73" s="3" t="s">
        <v>103</v>
      </c>
    </row>
    <row r="74" spans="1:8" x14ac:dyDescent="0.2">
      <c r="A74" s="3">
        <v>3099990225</v>
      </c>
      <c r="B74" s="4" t="s">
        <v>1902</v>
      </c>
      <c r="C74" s="4" t="s">
        <v>1903</v>
      </c>
      <c r="D74" s="3">
        <v>1</v>
      </c>
      <c r="E74" s="3" t="s">
        <v>16</v>
      </c>
      <c r="F74" s="3" t="s">
        <v>299</v>
      </c>
      <c r="G74" s="3" t="s">
        <v>106</v>
      </c>
      <c r="H74" s="3" t="s">
        <v>103</v>
      </c>
    </row>
    <row r="75" spans="1:8" x14ac:dyDescent="0.2">
      <c r="A75" s="3">
        <v>402010065</v>
      </c>
      <c r="B75" s="4" t="s">
        <v>882</v>
      </c>
      <c r="C75" s="4" t="s">
        <v>1927</v>
      </c>
      <c r="D75" s="3">
        <v>1</v>
      </c>
      <c r="E75" s="3" t="s">
        <v>16</v>
      </c>
      <c r="F75" s="3" t="s">
        <v>291</v>
      </c>
      <c r="G75" s="3" t="s">
        <v>26</v>
      </c>
      <c r="H75" s="3" t="s">
        <v>109</v>
      </c>
    </row>
    <row r="76" spans="1:8" x14ac:dyDescent="0.2">
      <c r="A76" s="3">
        <v>402030027</v>
      </c>
      <c r="B76" s="4" t="s">
        <v>107</v>
      </c>
      <c r="C76" s="4" t="s">
        <v>110</v>
      </c>
      <c r="D76" s="3">
        <v>1</v>
      </c>
      <c r="E76" s="3" t="s">
        <v>16</v>
      </c>
      <c r="F76" s="3" t="s">
        <v>289</v>
      </c>
      <c r="G76" s="3" t="s">
        <v>23</v>
      </c>
      <c r="H76" s="3" t="s">
        <v>109</v>
      </c>
    </row>
    <row r="77" spans="1:8" x14ac:dyDescent="0.2">
      <c r="A77" s="3">
        <v>402020006</v>
      </c>
      <c r="B77" s="4" t="s">
        <v>111</v>
      </c>
      <c r="C77" s="4" t="s">
        <v>112</v>
      </c>
      <c r="D77" s="3">
        <v>2</v>
      </c>
      <c r="E77" s="3" t="s">
        <v>16</v>
      </c>
      <c r="F77" s="3" t="s">
        <v>293</v>
      </c>
      <c r="G77" s="3" t="s">
        <v>29</v>
      </c>
      <c r="H77" s="3" t="s">
        <v>109</v>
      </c>
    </row>
    <row r="78" spans="1:8" x14ac:dyDescent="0.2">
      <c r="A78" s="3" t="s">
        <v>1995</v>
      </c>
      <c r="B78" s="4" t="s">
        <v>1996</v>
      </c>
      <c r="C78" s="4" t="s">
        <v>1997</v>
      </c>
      <c r="D78" s="3">
        <v>7</v>
      </c>
      <c r="E78" s="3" t="s">
        <v>1998</v>
      </c>
      <c r="F78" s="3" t="s">
        <v>284</v>
      </c>
      <c r="G78" s="3" t="s">
        <v>11</v>
      </c>
      <c r="H78" s="3" t="s">
        <v>1999</v>
      </c>
    </row>
    <row r="79" spans="1:8" x14ac:dyDescent="0.2">
      <c r="A79" s="3">
        <v>3060210001</v>
      </c>
      <c r="B79" s="4" t="s">
        <v>711</v>
      </c>
      <c r="C79" s="4" t="s">
        <v>712</v>
      </c>
      <c r="D79" s="3">
        <v>4</v>
      </c>
      <c r="E79" s="3" t="s">
        <v>16</v>
      </c>
      <c r="F79" s="3" t="s">
        <v>289</v>
      </c>
      <c r="G79" s="3" t="s">
        <v>23</v>
      </c>
      <c r="H79" s="3" t="s">
        <v>115</v>
      </c>
    </row>
    <row r="80" spans="1:8" x14ac:dyDescent="0.2">
      <c r="A80" s="3">
        <v>3060209002</v>
      </c>
      <c r="B80" s="4" t="s">
        <v>113</v>
      </c>
      <c r="C80" s="4" t="s">
        <v>114</v>
      </c>
      <c r="D80" s="3">
        <v>2</v>
      </c>
      <c r="E80" s="3" t="s">
        <v>16</v>
      </c>
      <c r="F80" s="3" t="s">
        <v>293</v>
      </c>
      <c r="G80" s="3" t="s">
        <v>29</v>
      </c>
      <c r="H80" s="3" t="s">
        <v>115</v>
      </c>
    </row>
    <row r="81" spans="1:8" x14ac:dyDescent="0.2">
      <c r="A81" s="3">
        <v>3030204032</v>
      </c>
      <c r="B81" s="4" t="s">
        <v>116</v>
      </c>
      <c r="C81" s="4" t="s">
        <v>117</v>
      </c>
      <c r="D81" s="3">
        <v>1</v>
      </c>
      <c r="E81" s="3" t="s">
        <v>16</v>
      </c>
      <c r="F81" s="3" t="s">
        <v>295</v>
      </c>
      <c r="G81" s="3" t="s">
        <v>17</v>
      </c>
      <c r="H81" s="3" t="s">
        <v>115</v>
      </c>
    </row>
    <row r="82" spans="1:8" x14ac:dyDescent="0.2">
      <c r="A82" s="3">
        <v>3040216001</v>
      </c>
      <c r="B82" s="4" t="s">
        <v>328</v>
      </c>
      <c r="C82" s="4" t="s">
        <v>329</v>
      </c>
      <c r="D82" s="3">
        <v>4</v>
      </c>
      <c r="E82" s="3" t="s">
        <v>16</v>
      </c>
      <c r="F82" s="3" t="s">
        <v>293</v>
      </c>
      <c r="G82" s="3" t="s">
        <v>29</v>
      </c>
      <c r="H82" s="3" t="s">
        <v>115</v>
      </c>
    </row>
    <row r="83" spans="1:8" x14ac:dyDescent="0.2">
      <c r="A83" s="3">
        <v>3030204006</v>
      </c>
      <c r="B83" s="4" t="s">
        <v>120</v>
      </c>
      <c r="C83" s="4" t="s">
        <v>121</v>
      </c>
      <c r="D83" s="3">
        <v>2</v>
      </c>
      <c r="E83" s="3" t="s">
        <v>16</v>
      </c>
      <c r="F83" s="3" t="s">
        <v>295</v>
      </c>
      <c r="G83" s="3" t="s">
        <v>17</v>
      </c>
      <c r="H83" s="3" t="s">
        <v>115</v>
      </c>
    </row>
    <row r="84" spans="1:8" x14ac:dyDescent="0.2">
      <c r="A84" s="3">
        <v>3030204008</v>
      </c>
      <c r="B84" s="4" t="s">
        <v>122</v>
      </c>
      <c r="C84" s="4" t="s">
        <v>123</v>
      </c>
      <c r="D84" s="3">
        <v>1</v>
      </c>
      <c r="E84" s="3" t="s">
        <v>16</v>
      </c>
      <c r="F84" s="3" t="s">
        <v>291</v>
      </c>
      <c r="G84" s="3" t="s">
        <v>26</v>
      </c>
      <c r="H84" s="3" t="s">
        <v>115</v>
      </c>
    </row>
    <row r="85" spans="1:8" x14ac:dyDescent="0.2">
      <c r="A85" s="3">
        <v>3030204010</v>
      </c>
      <c r="B85" s="4" t="s">
        <v>124</v>
      </c>
      <c r="C85" s="4" t="s">
        <v>125</v>
      </c>
      <c r="D85" s="3">
        <v>1</v>
      </c>
      <c r="E85" s="3" t="s">
        <v>16</v>
      </c>
      <c r="F85" s="3" t="s">
        <v>295</v>
      </c>
      <c r="G85" s="3" t="s">
        <v>17</v>
      </c>
      <c r="H85" s="3" t="s">
        <v>115</v>
      </c>
    </row>
    <row r="86" spans="1:8" x14ac:dyDescent="0.2">
      <c r="A86" s="3">
        <v>3030204012</v>
      </c>
      <c r="B86" s="4" t="s">
        <v>126</v>
      </c>
      <c r="C86" s="4" t="s">
        <v>127</v>
      </c>
      <c r="D86" s="3">
        <v>1</v>
      </c>
      <c r="E86" s="3" t="s">
        <v>16</v>
      </c>
      <c r="F86" s="3" t="s">
        <v>295</v>
      </c>
      <c r="G86" s="3" t="s">
        <v>17</v>
      </c>
      <c r="H86" s="3" t="s">
        <v>115</v>
      </c>
    </row>
    <row r="87" spans="1:8" x14ac:dyDescent="0.2">
      <c r="A87" s="3">
        <v>3030404003</v>
      </c>
      <c r="B87" s="4" t="s">
        <v>130</v>
      </c>
      <c r="C87" s="4" t="s">
        <v>131</v>
      </c>
      <c r="D87" s="3">
        <v>2</v>
      </c>
      <c r="E87" s="3" t="s">
        <v>16</v>
      </c>
      <c r="F87" s="3" t="s">
        <v>291</v>
      </c>
      <c r="G87" s="3" t="s">
        <v>26</v>
      </c>
      <c r="H87" s="3" t="s">
        <v>132</v>
      </c>
    </row>
    <row r="88" spans="1:8" x14ac:dyDescent="0.2">
      <c r="A88" s="3">
        <v>404040025</v>
      </c>
      <c r="B88" s="4" t="s">
        <v>30</v>
      </c>
      <c r="C88" s="4" t="s">
        <v>133</v>
      </c>
      <c r="D88" s="3">
        <v>2</v>
      </c>
      <c r="E88" s="3" t="s">
        <v>16</v>
      </c>
      <c r="F88" s="3" t="s">
        <v>291</v>
      </c>
      <c r="G88" s="3" t="s">
        <v>26</v>
      </c>
      <c r="H88" s="3" t="s">
        <v>134</v>
      </c>
    </row>
    <row r="89" spans="1:8" x14ac:dyDescent="0.2">
      <c r="A89" s="3">
        <v>3990207002</v>
      </c>
      <c r="B89" s="4" t="s">
        <v>140</v>
      </c>
      <c r="C89" s="4" t="s">
        <v>714</v>
      </c>
      <c r="D89" s="3">
        <v>1</v>
      </c>
      <c r="E89" s="3" t="s">
        <v>16</v>
      </c>
      <c r="F89" s="3" t="s">
        <v>285</v>
      </c>
      <c r="G89" s="3" t="s">
        <v>142</v>
      </c>
      <c r="H89" s="3" t="s">
        <v>143</v>
      </c>
    </row>
    <row r="90" spans="1:8" x14ac:dyDescent="0.2">
      <c r="A90" s="3">
        <v>3030301005</v>
      </c>
      <c r="B90" s="4" t="s">
        <v>144</v>
      </c>
      <c r="C90" s="4" t="s">
        <v>145</v>
      </c>
      <c r="D90" s="3">
        <v>2</v>
      </c>
      <c r="E90" s="3" t="s">
        <v>16</v>
      </c>
      <c r="F90" s="3" t="s">
        <v>291</v>
      </c>
      <c r="G90" s="3" t="s">
        <v>26</v>
      </c>
      <c r="H90" s="3" t="s">
        <v>143</v>
      </c>
    </row>
    <row r="91" spans="1:8" x14ac:dyDescent="0.2">
      <c r="A91" s="3">
        <v>3990206001</v>
      </c>
      <c r="B91" s="4" t="s">
        <v>715</v>
      </c>
      <c r="C91" s="4" t="s">
        <v>716</v>
      </c>
      <c r="D91" s="3">
        <v>1</v>
      </c>
      <c r="E91" s="3" t="s">
        <v>16</v>
      </c>
      <c r="F91" s="3" t="s">
        <v>717</v>
      </c>
      <c r="G91" s="3" t="s">
        <v>718</v>
      </c>
      <c r="H91" s="3" t="s">
        <v>143</v>
      </c>
    </row>
    <row r="92" spans="1:8" x14ac:dyDescent="0.2">
      <c r="A92" s="3">
        <v>407010092</v>
      </c>
      <c r="B92" s="4" t="s">
        <v>149</v>
      </c>
      <c r="C92" s="4" t="s">
        <v>719</v>
      </c>
      <c r="D92" s="3">
        <v>1</v>
      </c>
      <c r="E92" s="3" t="s">
        <v>16</v>
      </c>
      <c r="F92" s="3" t="s">
        <v>289</v>
      </c>
      <c r="G92" s="3" t="s">
        <v>23</v>
      </c>
      <c r="H92" s="3" t="s">
        <v>151</v>
      </c>
    </row>
    <row r="93" spans="1:8" x14ac:dyDescent="0.2">
      <c r="A93" s="3">
        <v>3060318001</v>
      </c>
      <c r="B93" s="4" t="s">
        <v>720</v>
      </c>
      <c r="C93" s="4" t="s">
        <v>721</v>
      </c>
      <c r="D93" s="3">
        <v>1</v>
      </c>
      <c r="E93" s="3" t="s">
        <v>16</v>
      </c>
      <c r="F93" s="3" t="s">
        <v>289</v>
      </c>
      <c r="G93" s="3" t="s">
        <v>23</v>
      </c>
      <c r="H93" s="3" t="s">
        <v>154</v>
      </c>
    </row>
    <row r="94" spans="1:8" x14ac:dyDescent="0.2">
      <c r="A94" s="3">
        <v>3060327003</v>
      </c>
      <c r="B94" s="4" t="s">
        <v>722</v>
      </c>
      <c r="C94" s="4" t="s">
        <v>723</v>
      </c>
      <c r="D94" s="3">
        <v>1</v>
      </c>
      <c r="E94" s="3" t="s">
        <v>16</v>
      </c>
      <c r="F94" s="3" t="s">
        <v>289</v>
      </c>
      <c r="G94" s="3" t="s">
        <v>23</v>
      </c>
      <c r="H94" s="3" t="s">
        <v>154</v>
      </c>
    </row>
    <row r="95" spans="1:8" x14ac:dyDescent="0.2">
      <c r="A95" s="3">
        <v>3030203004</v>
      </c>
      <c r="B95" s="4" t="s">
        <v>155</v>
      </c>
      <c r="C95" s="4" t="s">
        <v>156</v>
      </c>
      <c r="D95" s="3">
        <v>1</v>
      </c>
      <c r="E95" s="3" t="s">
        <v>16</v>
      </c>
      <c r="F95" s="3" t="s">
        <v>295</v>
      </c>
      <c r="G95" s="3" t="s">
        <v>17</v>
      </c>
      <c r="H95" s="3" t="s">
        <v>154</v>
      </c>
    </row>
    <row r="96" spans="1:8" x14ac:dyDescent="0.2">
      <c r="A96" s="3">
        <v>3040205005</v>
      </c>
      <c r="B96" s="4" t="s">
        <v>337</v>
      </c>
      <c r="C96" s="4" t="s">
        <v>338</v>
      </c>
      <c r="D96" s="3">
        <v>2</v>
      </c>
      <c r="E96" s="3" t="s">
        <v>16</v>
      </c>
      <c r="F96" s="3" t="s">
        <v>293</v>
      </c>
      <c r="G96" s="3" t="s">
        <v>29</v>
      </c>
      <c r="H96" s="3" t="s">
        <v>154</v>
      </c>
    </row>
    <row r="97" spans="1:8" x14ac:dyDescent="0.2">
      <c r="A97" s="3">
        <v>3030310010</v>
      </c>
      <c r="B97" s="4" t="s">
        <v>161</v>
      </c>
      <c r="C97" s="4" t="s">
        <v>162</v>
      </c>
      <c r="D97" s="3">
        <v>1</v>
      </c>
      <c r="E97" s="3" t="s">
        <v>16</v>
      </c>
      <c r="F97" s="3" t="s">
        <v>295</v>
      </c>
      <c r="G97" s="3" t="s">
        <v>17</v>
      </c>
      <c r="H97" s="3" t="s">
        <v>154</v>
      </c>
    </row>
    <row r="98" spans="1:8" x14ac:dyDescent="0.2">
      <c r="A98" s="3">
        <v>3110103002</v>
      </c>
      <c r="B98" s="4" t="s">
        <v>473</v>
      </c>
      <c r="C98" s="4" t="s">
        <v>474</v>
      </c>
      <c r="D98" s="3">
        <v>1</v>
      </c>
      <c r="E98" s="3" t="s">
        <v>16</v>
      </c>
      <c r="F98" s="3" t="s">
        <v>291</v>
      </c>
      <c r="G98" s="3" t="s">
        <v>26</v>
      </c>
      <c r="H98" s="3" t="s">
        <v>165</v>
      </c>
    </row>
    <row r="99" spans="1:8" x14ac:dyDescent="0.2">
      <c r="A99" s="3">
        <v>3040310003</v>
      </c>
      <c r="B99" s="4" t="s">
        <v>339</v>
      </c>
      <c r="C99" s="4" t="s">
        <v>340</v>
      </c>
      <c r="D99" s="3">
        <v>2</v>
      </c>
      <c r="E99" s="3" t="s">
        <v>16</v>
      </c>
      <c r="F99" s="3" t="s">
        <v>293</v>
      </c>
      <c r="G99" s="3" t="s">
        <v>29</v>
      </c>
      <c r="H99" s="3" t="s">
        <v>165</v>
      </c>
    </row>
    <row r="100" spans="1:8" x14ac:dyDescent="0.2">
      <c r="A100" s="3">
        <v>3030303067</v>
      </c>
      <c r="B100" s="4" t="s">
        <v>166</v>
      </c>
      <c r="C100" s="4" t="s">
        <v>167</v>
      </c>
      <c r="D100" s="3">
        <v>1</v>
      </c>
      <c r="E100" s="3" t="s">
        <v>16</v>
      </c>
      <c r="F100" s="3" t="s">
        <v>295</v>
      </c>
      <c r="G100" s="3" t="s">
        <v>17</v>
      </c>
      <c r="H100" s="3" t="s">
        <v>165</v>
      </c>
    </row>
    <row r="101" spans="1:8" x14ac:dyDescent="0.2">
      <c r="A101" s="3">
        <v>3040321002</v>
      </c>
      <c r="B101" s="4" t="s">
        <v>341</v>
      </c>
      <c r="C101" s="4" t="s">
        <v>340</v>
      </c>
      <c r="D101" s="3">
        <v>2</v>
      </c>
      <c r="E101" s="3" t="s">
        <v>16</v>
      </c>
      <c r="F101" s="3" t="s">
        <v>293</v>
      </c>
      <c r="G101" s="3" t="s">
        <v>29</v>
      </c>
      <c r="H101" s="3" t="s">
        <v>165</v>
      </c>
    </row>
    <row r="102" spans="1:8" x14ac:dyDescent="0.2">
      <c r="A102" s="3">
        <v>3040302003</v>
      </c>
      <c r="B102" s="4" t="s">
        <v>342</v>
      </c>
      <c r="C102" s="4" t="s">
        <v>343</v>
      </c>
      <c r="D102" s="3">
        <v>2</v>
      </c>
      <c r="E102" s="3" t="s">
        <v>16</v>
      </c>
      <c r="F102" s="3" t="s">
        <v>293</v>
      </c>
      <c r="G102" s="3" t="s">
        <v>29</v>
      </c>
      <c r="H102" s="3" t="s">
        <v>165</v>
      </c>
    </row>
    <row r="103" spans="1:8" x14ac:dyDescent="0.2">
      <c r="A103" s="3">
        <v>3040315002</v>
      </c>
      <c r="B103" s="4" t="s">
        <v>344</v>
      </c>
      <c r="C103" s="4" t="s">
        <v>340</v>
      </c>
      <c r="D103" s="3">
        <v>2</v>
      </c>
      <c r="E103" s="3" t="s">
        <v>16</v>
      </c>
      <c r="F103" s="3" t="s">
        <v>293</v>
      </c>
      <c r="G103" s="3" t="s">
        <v>29</v>
      </c>
      <c r="H103" s="3" t="s">
        <v>165</v>
      </c>
    </row>
    <row r="104" spans="1:8" x14ac:dyDescent="0.2">
      <c r="A104" s="3">
        <v>3060333003</v>
      </c>
      <c r="B104" s="4" t="s">
        <v>227</v>
      </c>
      <c r="C104" s="4" t="s">
        <v>724</v>
      </c>
      <c r="D104" s="3">
        <v>1</v>
      </c>
      <c r="E104" s="3" t="s">
        <v>16</v>
      </c>
      <c r="F104" s="3" t="s">
        <v>289</v>
      </c>
      <c r="G104" s="3" t="s">
        <v>23</v>
      </c>
      <c r="H104" s="3" t="s">
        <v>173</v>
      </c>
    </row>
    <row r="105" spans="1:8" x14ac:dyDescent="0.2">
      <c r="A105" s="3">
        <v>3030303003</v>
      </c>
      <c r="B105" s="4" t="s">
        <v>175</v>
      </c>
      <c r="C105" s="4" t="s">
        <v>176</v>
      </c>
      <c r="D105" s="3">
        <v>1</v>
      </c>
      <c r="E105" s="3" t="s">
        <v>16</v>
      </c>
      <c r="F105" s="3" t="s">
        <v>295</v>
      </c>
      <c r="G105" s="3" t="s">
        <v>17</v>
      </c>
      <c r="H105" s="3" t="s">
        <v>173</v>
      </c>
    </row>
    <row r="106" spans="1:8" x14ac:dyDescent="0.2">
      <c r="A106" s="3">
        <v>3030303005</v>
      </c>
      <c r="B106" s="4" t="s">
        <v>177</v>
      </c>
      <c r="C106" s="4" t="s">
        <v>176</v>
      </c>
      <c r="D106" s="3">
        <v>1</v>
      </c>
      <c r="E106" s="3" t="s">
        <v>16</v>
      </c>
      <c r="F106" s="3" t="s">
        <v>291</v>
      </c>
      <c r="G106" s="3" t="s">
        <v>26</v>
      </c>
      <c r="H106" s="3" t="s">
        <v>173</v>
      </c>
    </row>
    <row r="107" spans="1:8" x14ac:dyDescent="0.2">
      <c r="A107" s="3">
        <v>3040328005</v>
      </c>
      <c r="B107" s="4" t="s">
        <v>267</v>
      </c>
      <c r="C107" s="4" t="s">
        <v>345</v>
      </c>
      <c r="D107" s="3">
        <v>2</v>
      </c>
      <c r="E107" s="3" t="s">
        <v>16</v>
      </c>
      <c r="F107" s="3" t="s">
        <v>293</v>
      </c>
      <c r="G107" s="3" t="s">
        <v>29</v>
      </c>
      <c r="H107" s="3" t="s">
        <v>173</v>
      </c>
    </row>
    <row r="108" spans="1:8" x14ac:dyDescent="0.2">
      <c r="A108" s="3">
        <v>3040309001</v>
      </c>
      <c r="B108" s="4" t="s">
        <v>346</v>
      </c>
      <c r="C108" s="4" t="s">
        <v>347</v>
      </c>
      <c r="D108" s="3">
        <v>8</v>
      </c>
      <c r="E108" s="3" t="s">
        <v>16</v>
      </c>
      <c r="F108" s="3" t="s">
        <v>293</v>
      </c>
      <c r="G108" s="3" t="s">
        <v>29</v>
      </c>
      <c r="H108" s="3" t="s">
        <v>173</v>
      </c>
    </row>
    <row r="109" spans="1:8" x14ac:dyDescent="0.2">
      <c r="A109" s="3">
        <v>3060340001</v>
      </c>
      <c r="B109" s="4" t="s">
        <v>725</v>
      </c>
      <c r="C109" s="4" t="s">
        <v>726</v>
      </c>
      <c r="D109" s="3">
        <v>1</v>
      </c>
      <c r="E109" s="3" t="s">
        <v>16</v>
      </c>
      <c r="F109" s="3" t="s">
        <v>702</v>
      </c>
      <c r="G109" s="3" t="s">
        <v>703</v>
      </c>
      <c r="H109" s="3" t="s">
        <v>173</v>
      </c>
    </row>
    <row r="110" spans="1:8" x14ac:dyDescent="0.2">
      <c r="A110" s="3">
        <v>3030310007</v>
      </c>
      <c r="B110" s="4" t="s">
        <v>178</v>
      </c>
      <c r="C110" s="4" t="s">
        <v>179</v>
      </c>
      <c r="D110" s="3">
        <v>1</v>
      </c>
      <c r="E110" s="3" t="s">
        <v>16</v>
      </c>
      <c r="F110" s="3" t="s">
        <v>295</v>
      </c>
      <c r="G110" s="3" t="s">
        <v>17</v>
      </c>
      <c r="H110" s="3" t="s">
        <v>173</v>
      </c>
    </row>
    <row r="111" spans="1:8" x14ac:dyDescent="0.2">
      <c r="A111" s="3">
        <v>3030310009</v>
      </c>
      <c r="B111" s="4" t="s">
        <v>180</v>
      </c>
      <c r="C111" s="4" t="s">
        <v>179</v>
      </c>
      <c r="D111" s="3">
        <v>1</v>
      </c>
      <c r="E111" s="3" t="s">
        <v>16</v>
      </c>
      <c r="F111" s="3" t="s">
        <v>295</v>
      </c>
      <c r="G111" s="3" t="s">
        <v>17</v>
      </c>
      <c r="H111" s="3" t="s">
        <v>173</v>
      </c>
    </row>
    <row r="112" spans="1:8" x14ac:dyDescent="0.2">
      <c r="A112" s="3">
        <v>3020501014</v>
      </c>
      <c r="B112" s="4" t="s">
        <v>183</v>
      </c>
      <c r="C112" s="4" t="s">
        <v>350</v>
      </c>
      <c r="D112" s="3">
        <v>1</v>
      </c>
      <c r="E112" s="3" t="s">
        <v>16</v>
      </c>
      <c r="F112" s="3" t="s">
        <v>291</v>
      </c>
      <c r="G112" s="3" t="s">
        <v>26</v>
      </c>
      <c r="H112" s="3" t="s">
        <v>185</v>
      </c>
    </row>
    <row r="113" spans="1:8" x14ac:dyDescent="0.2">
      <c r="A113" s="3">
        <v>3990201009</v>
      </c>
      <c r="B113" s="4" t="s">
        <v>186</v>
      </c>
      <c r="C113" s="4" t="s">
        <v>606</v>
      </c>
      <c r="D113" s="3">
        <v>1</v>
      </c>
      <c r="E113" s="3" t="s">
        <v>16</v>
      </c>
      <c r="F113" s="3" t="s">
        <v>295</v>
      </c>
      <c r="G113" s="3" t="s">
        <v>17</v>
      </c>
      <c r="H113" s="3" t="s">
        <v>187</v>
      </c>
    </row>
    <row r="114" spans="1:8" x14ac:dyDescent="0.2">
      <c r="A114" s="3">
        <v>3990202008</v>
      </c>
      <c r="B114" s="4" t="s">
        <v>188</v>
      </c>
      <c r="C114" s="4" t="s">
        <v>606</v>
      </c>
      <c r="D114" s="3">
        <v>1</v>
      </c>
      <c r="E114" s="3" t="s">
        <v>16</v>
      </c>
      <c r="F114" s="3" t="s">
        <v>295</v>
      </c>
      <c r="G114" s="3" t="s">
        <v>17</v>
      </c>
      <c r="H114" s="3" t="s">
        <v>187</v>
      </c>
    </row>
    <row r="115" spans="1:8" x14ac:dyDescent="0.2">
      <c r="A115" s="3">
        <v>3990203004</v>
      </c>
      <c r="B115" s="4" t="s">
        <v>189</v>
      </c>
      <c r="C115" s="4" t="s">
        <v>606</v>
      </c>
      <c r="D115" s="3">
        <v>1</v>
      </c>
      <c r="E115" s="3" t="s">
        <v>16</v>
      </c>
      <c r="F115" s="3" t="s">
        <v>291</v>
      </c>
      <c r="G115" s="3" t="s">
        <v>26</v>
      </c>
      <c r="H115" s="3" t="s">
        <v>187</v>
      </c>
    </row>
    <row r="116" spans="1:8" x14ac:dyDescent="0.2">
      <c r="A116" s="3">
        <v>3030401002</v>
      </c>
      <c r="B116" s="4" t="s">
        <v>190</v>
      </c>
      <c r="C116" s="4" t="s">
        <v>191</v>
      </c>
      <c r="D116" s="3">
        <v>1</v>
      </c>
      <c r="E116" s="3" t="s">
        <v>16</v>
      </c>
      <c r="F116" s="3" t="s">
        <v>295</v>
      </c>
      <c r="G116" s="3" t="s">
        <v>17</v>
      </c>
      <c r="H116" s="3" t="s">
        <v>192</v>
      </c>
    </row>
    <row r="117" spans="1:8" x14ac:dyDescent="0.2">
      <c r="A117" s="3">
        <v>3060401001</v>
      </c>
      <c r="B117" s="4" t="s">
        <v>727</v>
      </c>
      <c r="C117" s="4" t="s">
        <v>728</v>
      </c>
      <c r="D117" s="3">
        <v>2</v>
      </c>
      <c r="E117" s="3" t="s">
        <v>16</v>
      </c>
      <c r="F117" s="3" t="s">
        <v>289</v>
      </c>
      <c r="G117" s="3" t="s">
        <v>23</v>
      </c>
      <c r="H117" s="3" t="s">
        <v>192</v>
      </c>
    </row>
    <row r="118" spans="1:8" x14ac:dyDescent="0.2">
      <c r="A118" s="3">
        <v>404060019</v>
      </c>
      <c r="B118" s="4" t="s">
        <v>30</v>
      </c>
      <c r="C118" s="4" t="s">
        <v>352</v>
      </c>
      <c r="D118" s="3">
        <v>1</v>
      </c>
      <c r="E118" s="3" t="s">
        <v>16</v>
      </c>
      <c r="F118" s="3" t="s">
        <v>291</v>
      </c>
      <c r="G118" s="3" t="s">
        <v>26</v>
      </c>
      <c r="H118" s="3" t="s">
        <v>198</v>
      </c>
    </row>
    <row r="119" spans="1:8" x14ac:dyDescent="0.2">
      <c r="A119" s="3">
        <v>404020035</v>
      </c>
      <c r="B119" s="4" t="s">
        <v>30</v>
      </c>
      <c r="C119" s="4" t="s">
        <v>199</v>
      </c>
      <c r="D119" s="3">
        <v>1</v>
      </c>
      <c r="E119" s="3" t="s">
        <v>16</v>
      </c>
      <c r="F119" s="3" t="s">
        <v>291</v>
      </c>
      <c r="G119" s="3" t="s">
        <v>26</v>
      </c>
      <c r="H119" s="3" t="s">
        <v>198</v>
      </c>
    </row>
    <row r="120" spans="1:8" x14ac:dyDescent="0.2">
      <c r="A120" s="3">
        <v>403030038</v>
      </c>
      <c r="B120" s="4" t="s">
        <v>801</v>
      </c>
      <c r="C120" s="4" t="s">
        <v>1928</v>
      </c>
      <c r="D120" s="3">
        <v>1</v>
      </c>
      <c r="E120" s="3" t="s">
        <v>16</v>
      </c>
      <c r="F120" s="3" t="s">
        <v>291</v>
      </c>
      <c r="G120" s="3" t="s">
        <v>26</v>
      </c>
      <c r="H120" s="3" t="s">
        <v>198</v>
      </c>
    </row>
    <row r="121" spans="1:8" x14ac:dyDescent="0.2">
      <c r="A121" s="3">
        <v>403030019</v>
      </c>
      <c r="B121" s="4" t="s">
        <v>801</v>
      </c>
      <c r="C121" s="4" t="s">
        <v>1151</v>
      </c>
      <c r="D121" s="3">
        <v>1</v>
      </c>
      <c r="E121" s="3" t="s">
        <v>16</v>
      </c>
      <c r="F121" s="3" t="s">
        <v>291</v>
      </c>
      <c r="G121" s="3" t="s">
        <v>26</v>
      </c>
      <c r="H121" s="3" t="s">
        <v>198</v>
      </c>
    </row>
    <row r="122" spans="1:8" x14ac:dyDescent="0.2">
      <c r="A122" s="3">
        <v>40901001</v>
      </c>
      <c r="B122" s="4" t="s">
        <v>801</v>
      </c>
      <c r="C122" s="4" t="s">
        <v>1916</v>
      </c>
      <c r="D122" s="3">
        <v>1</v>
      </c>
      <c r="E122" s="3" t="s">
        <v>16</v>
      </c>
      <c r="F122" s="3" t="s">
        <v>291</v>
      </c>
      <c r="G122" s="3" t="s">
        <v>26</v>
      </c>
      <c r="H122" s="3" t="s">
        <v>198</v>
      </c>
    </row>
    <row r="123" spans="1:8" x14ac:dyDescent="0.2">
      <c r="A123" s="3">
        <v>401070018</v>
      </c>
      <c r="B123" s="4" t="s">
        <v>35</v>
      </c>
      <c r="C123" s="4" t="s">
        <v>202</v>
      </c>
      <c r="D123" s="3">
        <v>1</v>
      </c>
      <c r="E123" s="3" t="s">
        <v>16</v>
      </c>
      <c r="F123" s="3" t="s">
        <v>291</v>
      </c>
      <c r="G123" s="3" t="s">
        <v>26</v>
      </c>
      <c r="H123" s="3" t="s">
        <v>198</v>
      </c>
    </row>
    <row r="124" spans="1:8" x14ac:dyDescent="0.2">
      <c r="A124" s="3">
        <v>401070022</v>
      </c>
      <c r="B124" s="4" t="s">
        <v>35</v>
      </c>
      <c r="C124" s="4" t="s">
        <v>203</v>
      </c>
      <c r="D124" s="3">
        <v>1</v>
      </c>
      <c r="E124" s="3" t="s">
        <v>16</v>
      </c>
      <c r="F124" s="3" t="s">
        <v>297</v>
      </c>
      <c r="G124" s="3" t="s">
        <v>204</v>
      </c>
      <c r="H124" s="3" t="s">
        <v>198</v>
      </c>
    </row>
    <row r="125" spans="1:8" x14ac:dyDescent="0.2">
      <c r="A125" s="3">
        <v>3992002001</v>
      </c>
      <c r="B125" s="4" t="s">
        <v>212</v>
      </c>
      <c r="C125" s="4" t="s">
        <v>213</v>
      </c>
      <c r="D125" s="3">
        <v>2</v>
      </c>
      <c r="E125" s="3" t="s">
        <v>16</v>
      </c>
      <c r="F125" s="3" t="s">
        <v>295</v>
      </c>
      <c r="G125" s="3" t="s">
        <v>17</v>
      </c>
      <c r="H125" s="3" t="s">
        <v>214</v>
      </c>
    </row>
    <row r="126" spans="1:8" x14ac:dyDescent="0.2">
      <c r="A126" s="3">
        <v>3992001001</v>
      </c>
      <c r="B126" s="4" t="s">
        <v>215</v>
      </c>
      <c r="C126" s="4" t="s">
        <v>213</v>
      </c>
      <c r="D126" s="3">
        <v>2</v>
      </c>
      <c r="E126" s="3" t="s">
        <v>16</v>
      </c>
      <c r="F126" s="3" t="s">
        <v>295</v>
      </c>
      <c r="G126" s="3" t="s">
        <v>17</v>
      </c>
      <c r="H126" s="3" t="s">
        <v>214</v>
      </c>
    </row>
    <row r="127" spans="1:8" x14ac:dyDescent="0.2">
      <c r="A127" s="3">
        <v>3030201004</v>
      </c>
      <c r="B127" s="4" t="s">
        <v>216</v>
      </c>
      <c r="C127" s="4" t="s">
        <v>213</v>
      </c>
      <c r="D127" s="3">
        <v>2</v>
      </c>
      <c r="E127" s="3" t="s">
        <v>16</v>
      </c>
      <c r="F127" s="3" t="s">
        <v>295</v>
      </c>
      <c r="G127" s="3" t="s">
        <v>17</v>
      </c>
      <c r="H127" s="3" t="s">
        <v>214</v>
      </c>
    </row>
    <row r="128" spans="1:8" x14ac:dyDescent="0.2">
      <c r="A128" s="3">
        <v>3049904001</v>
      </c>
      <c r="B128" s="4" t="s">
        <v>354</v>
      </c>
      <c r="C128" s="4" t="s">
        <v>355</v>
      </c>
      <c r="D128" s="3">
        <v>4</v>
      </c>
      <c r="E128" s="3" t="s">
        <v>16</v>
      </c>
      <c r="F128" s="3" t="s">
        <v>293</v>
      </c>
      <c r="G128" s="3" t="s">
        <v>29</v>
      </c>
      <c r="H128" s="3" t="s">
        <v>214</v>
      </c>
    </row>
    <row r="129" spans="1:8" x14ac:dyDescent="0.2">
      <c r="A129" s="3">
        <v>3049902005</v>
      </c>
      <c r="B129" s="4" t="s">
        <v>356</v>
      </c>
      <c r="C129" s="4" t="s">
        <v>357</v>
      </c>
      <c r="D129" s="3">
        <v>2</v>
      </c>
      <c r="E129" s="3" t="s">
        <v>16</v>
      </c>
      <c r="F129" s="3" t="s">
        <v>293</v>
      </c>
      <c r="G129" s="3" t="s">
        <v>29</v>
      </c>
      <c r="H129" s="3" t="s">
        <v>214</v>
      </c>
    </row>
    <row r="130" spans="1:8" x14ac:dyDescent="0.2">
      <c r="A130" s="3">
        <v>3049902010</v>
      </c>
      <c r="B130" s="4" t="s">
        <v>358</v>
      </c>
      <c r="C130" s="4" t="s">
        <v>359</v>
      </c>
      <c r="D130" s="3">
        <v>2</v>
      </c>
      <c r="E130" s="3" t="s">
        <v>16</v>
      </c>
      <c r="F130" s="3" t="s">
        <v>293</v>
      </c>
      <c r="G130" s="3" t="s">
        <v>29</v>
      </c>
      <c r="H130" s="3" t="s">
        <v>214</v>
      </c>
    </row>
    <row r="131" spans="1:8" x14ac:dyDescent="0.2">
      <c r="A131" s="3">
        <v>3030201005</v>
      </c>
      <c r="B131" s="4" t="s">
        <v>217</v>
      </c>
      <c r="C131" s="4" t="s">
        <v>218</v>
      </c>
      <c r="D131" s="3">
        <v>12</v>
      </c>
      <c r="E131" s="3" t="s">
        <v>16</v>
      </c>
      <c r="F131" s="3" t="s">
        <v>295</v>
      </c>
      <c r="G131" s="3" t="s">
        <v>17</v>
      </c>
      <c r="H131" s="3" t="s">
        <v>214</v>
      </c>
    </row>
    <row r="132" spans="1:8" x14ac:dyDescent="0.2">
      <c r="A132" s="3">
        <v>3060404003</v>
      </c>
      <c r="B132" s="4" t="s">
        <v>729</v>
      </c>
      <c r="C132" s="4" t="s">
        <v>730</v>
      </c>
      <c r="D132" s="3">
        <v>1</v>
      </c>
      <c r="E132" s="3" t="s">
        <v>16</v>
      </c>
      <c r="F132" s="3" t="s">
        <v>289</v>
      </c>
      <c r="G132" s="3" t="s">
        <v>23</v>
      </c>
      <c r="H132" s="3" t="s">
        <v>221</v>
      </c>
    </row>
    <row r="133" spans="1:8" x14ac:dyDescent="0.2">
      <c r="A133" s="3">
        <v>3030403001</v>
      </c>
      <c r="B133" s="4" t="s">
        <v>219</v>
      </c>
      <c r="C133" s="4" t="s">
        <v>220</v>
      </c>
      <c r="D133" s="3">
        <v>1</v>
      </c>
      <c r="E133" s="3" t="s">
        <v>16</v>
      </c>
      <c r="F133" s="3" t="s">
        <v>295</v>
      </c>
      <c r="G133" s="3" t="s">
        <v>17</v>
      </c>
      <c r="H133" s="3" t="s">
        <v>221</v>
      </c>
    </row>
    <row r="134" spans="1:8" x14ac:dyDescent="0.2">
      <c r="A134" s="3">
        <v>3040402013</v>
      </c>
      <c r="B134" s="4" t="s">
        <v>193</v>
      </c>
      <c r="C134" s="4" t="s">
        <v>363</v>
      </c>
      <c r="D134" s="3">
        <v>1</v>
      </c>
      <c r="E134" s="3" t="s">
        <v>16</v>
      </c>
      <c r="F134" s="3" t="s">
        <v>293</v>
      </c>
      <c r="G134" s="3" t="s">
        <v>29</v>
      </c>
      <c r="H134" s="3" t="s">
        <v>221</v>
      </c>
    </row>
    <row r="135" spans="1:8" x14ac:dyDescent="0.2">
      <c r="A135" s="3">
        <v>3040402014</v>
      </c>
      <c r="B135" s="4" t="s">
        <v>193</v>
      </c>
      <c r="C135" s="4" t="s">
        <v>364</v>
      </c>
      <c r="D135" s="3">
        <v>1</v>
      </c>
      <c r="E135" s="3" t="s">
        <v>16</v>
      </c>
      <c r="F135" s="3" t="s">
        <v>293</v>
      </c>
      <c r="G135" s="3" t="s">
        <v>29</v>
      </c>
      <c r="H135" s="3" t="s">
        <v>221</v>
      </c>
    </row>
    <row r="136" spans="1:8" x14ac:dyDescent="0.2">
      <c r="A136" s="3">
        <v>3020301001</v>
      </c>
      <c r="B136" s="4" t="s">
        <v>209</v>
      </c>
      <c r="C136" s="4" t="s">
        <v>365</v>
      </c>
      <c r="D136" s="3">
        <v>1</v>
      </c>
      <c r="E136" s="3" t="s">
        <v>16</v>
      </c>
      <c r="F136" s="3" t="s">
        <v>291</v>
      </c>
      <c r="G136" s="3" t="s">
        <v>26</v>
      </c>
      <c r="H136" s="3" t="s">
        <v>221</v>
      </c>
    </row>
    <row r="137" spans="1:8" x14ac:dyDescent="0.2">
      <c r="A137" s="3">
        <v>403030051</v>
      </c>
      <c r="B137" s="4" t="s">
        <v>366</v>
      </c>
      <c r="C137" s="4" t="s">
        <v>367</v>
      </c>
      <c r="D137" s="3">
        <v>3</v>
      </c>
      <c r="E137" s="3" t="s">
        <v>16</v>
      </c>
      <c r="F137" s="3" t="s">
        <v>301</v>
      </c>
      <c r="G137" s="3" t="s">
        <v>32</v>
      </c>
      <c r="H137" s="3" t="s">
        <v>221</v>
      </c>
    </row>
    <row r="138" spans="1:8" x14ac:dyDescent="0.2">
      <c r="A138" s="3">
        <v>403030005</v>
      </c>
      <c r="B138" s="4" t="s">
        <v>366</v>
      </c>
      <c r="C138" s="4" t="s">
        <v>368</v>
      </c>
      <c r="D138" s="3">
        <v>2</v>
      </c>
      <c r="E138" s="3" t="s">
        <v>16</v>
      </c>
      <c r="F138" s="3" t="s">
        <v>301</v>
      </c>
      <c r="G138" s="3" t="s">
        <v>32</v>
      </c>
      <c r="H138" s="3" t="s">
        <v>221</v>
      </c>
    </row>
    <row r="139" spans="1:8" x14ac:dyDescent="0.2">
      <c r="A139" s="3">
        <v>3050401001</v>
      </c>
      <c r="B139" s="4" t="s">
        <v>222</v>
      </c>
      <c r="C139" s="4" t="s">
        <v>223</v>
      </c>
      <c r="D139" s="3">
        <v>1</v>
      </c>
      <c r="E139" s="3" t="s">
        <v>16</v>
      </c>
      <c r="F139" s="3" t="s">
        <v>291</v>
      </c>
      <c r="G139" s="3" t="s">
        <v>26</v>
      </c>
      <c r="H139" s="3" t="s">
        <v>221</v>
      </c>
    </row>
    <row r="140" spans="1:8" x14ac:dyDescent="0.2">
      <c r="A140" s="3">
        <v>402050001</v>
      </c>
      <c r="B140" s="4" t="s">
        <v>522</v>
      </c>
      <c r="C140" s="4" t="s">
        <v>523</v>
      </c>
      <c r="D140" s="3">
        <v>1</v>
      </c>
      <c r="E140" s="3" t="s">
        <v>16</v>
      </c>
      <c r="F140" s="3" t="s">
        <v>289</v>
      </c>
      <c r="G140" s="3" t="s">
        <v>23</v>
      </c>
      <c r="H140" s="3" t="s">
        <v>524</v>
      </c>
    </row>
    <row r="141" spans="1:8" x14ac:dyDescent="0.2">
      <c r="A141" s="3">
        <v>3040502057</v>
      </c>
      <c r="B141" s="4" t="s">
        <v>136</v>
      </c>
      <c r="C141" s="4" t="s">
        <v>369</v>
      </c>
      <c r="D141" s="3">
        <v>1</v>
      </c>
      <c r="E141" s="3" t="s">
        <v>16</v>
      </c>
      <c r="F141" s="3" t="s">
        <v>293</v>
      </c>
      <c r="G141" s="3" t="s">
        <v>29</v>
      </c>
      <c r="H141" s="3" t="s">
        <v>370</v>
      </c>
    </row>
    <row r="142" spans="1:8" x14ac:dyDescent="0.2">
      <c r="A142" s="3">
        <v>3040502056</v>
      </c>
      <c r="B142" s="4" t="s">
        <v>136</v>
      </c>
      <c r="C142" s="4" t="s">
        <v>371</v>
      </c>
      <c r="D142" s="3">
        <v>1</v>
      </c>
      <c r="E142" s="3" t="s">
        <v>16</v>
      </c>
      <c r="F142" s="3" t="s">
        <v>293</v>
      </c>
      <c r="G142" s="3" t="s">
        <v>29</v>
      </c>
      <c r="H142" s="3" t="s">
        <v>370</v>
      </c>
    </row>
    <row r="143" spans="1:8" x14ac:dyDescent="0.2">
      <c r="A143" s="3">
        <v>3060301001</v>
      </c>
      <c r="B143" s="4" t="s">
        <v>731</v>
      </c>
      <c r="C143" s="4" t="s">
        <v>732</v>
      </c>
      <c r="D143" s="3">
        <v>1</v>
      </c>
      <c r="E143" s="3" t="s">
        <v>16</v>
      </c>
      <c r="F143" s="3" t="s">
        <v>289</v>
      </c>
      <c r="G143" s="3" t="s">
        <v>23</v>
      </c>
      <c r="H143" s="3" t="s">
        <v>226</v>
      </c>
    </row>
    <row r="144" spans="1:8" x14ac:dyDescent="0.2">
      <c r="A144" s="3">
        <v>3050305016</v>
      </c>
      <c r="B144" s="4" t="s">
        <v>527</v>
      </c>
      <c r="C144" s="4" t="s">
        <v>528</v>
      </c>
      <c r="D144" s="3">
        <v>1</v>
      </c>
      <c r="E144" s="3" t="s">
        <v>16</v>
      </c>
      <c r="F144" s="3" t="s">
        <v>291</v>
      </c>
      <c r="G144" s="3" t="s">
        <v>26</v>
      </c>
      <c r="H144" s="3" t="s">
        <v>226</v>
      </c>
    </row>
    <row r="145" spans="1:8" x14ac:dyDescent="0.2">
      <c r="A145" s="3">
        <v>3050305015</v>
      </c>
      <c r="B145" s="4" t="s">
        <v>529</v>
      </c>
      <c r="C145" s="4" t="s">
        <v>530</v>
      </c>
      <c r="D145" s="3">
        <v>1</v>
      </c>
      <c r="E145" s="3" t="s">
        <v>16</v>
      </c>
      <c r="F145" s="3" t="s">
        <v>291</v>
      </c>
      <c r="G145" s="3" t="s">
        <v>26</v>
      </c>
      <c r="H145" s="3" t="s">
        <v>226</v>
      </c>
    </row>
    <row r="146" spans="1:8" x14ac:dyDescent="0.2">
      <c r="A146" s="3">
        <v>3050306011</v>
      </c>
      <c r="B146" s="4" t="s">
        <v>531</v>
      </c>
      <c r="C146" s="4" t="s">
        <v>609</v>
      </c>
      <c r="D146" s="3">
        <v>1</v>
      </c>
      <c r="E146" s="3" t="s">
        <v>16</v>
      </c>
      <c r="F146" s="3" t="s">
        <v>291</v>
      </c>
      <c r="G146" s="3" t="s">
        <v>26</v>
      </c>
      <c r="H146" s="3" t="s">
        <v>226</v>
      </c>
    </row>
    <row r="147" spans="1:8" x14ac:dyDescent="0.2">
      <c r="A147" s="3">
        <v>3030306008</v>
      </c>
      <c r="B147" s="4" t="s">
        <v>235</v>
      </c>
      <c r="C147" s="4" t="s">
        <v>236</v>
      </c>
      <c r="D147" s="3">
        <v>1</v>
      </c>
      <c r="E147" s="3" t="s">
        <v>16</v>
      </c>
      <c r="F147" s="3" t="s">
        <v>295</v>
      </c>
      <c r="G147" s="3" t="s">
        <v>17</v>
      </c>
      <c r="H147" s="3" t="s">
        <v>226</v>
      </c>
    </row>
    <row r="148" spans="1:8" x14ac:dyDescent="0.2">
      <c r="A148" s="3">
        <v>3030314001</v>
      </c>
      <c r="B148" s="4" t="s">
        <v>237</v>
      </c>
      <c r="C148" s="4" t="s">
        <v>238</v>
      </c>
      <c r="D148" s="3">
        <v>1</v>
      </c>
      <c r="E148" s="3" t="s">
        <v>16</v>
      </c>
      <c r="F148" s="3" t="s">
        <v>291</v>
      </c>
      <c r="G148" s="3" t="s">
        <v>26</v>
      </c>
      <c r="H148" s="3" t="s">
        <v>226</v>
      </c>
    </row>
    <row r="149" spans="1:8" x14ac:dyDescent="0.2">
      <c r="A149" s="3">
        <v>3020101003</v>
      </c>
      <c r="B149" s="4" t="s">
        <v>239</v>
      </c>
      <c r="C149" s="4" t="s">
        <v>733</v>
      </c>
      <c r="D149" s="3">
        <v>5</v>
      </c>
      <c r="E149" s="3" t="s">
        <v>16</v>
      </c>
      <c r="F149" s="3" t="s">
        <v>297</v>
      </c>
      <c r="G149" s="3" t="s">
        <v>204</v>
      </c>
      <c r="H149" s="3" t="s">
        <v>226</v>
      </c>
    </row>
    <row r="150" spans="1:8" x14ac:dyDescent="0.2">
      <c r="A150" s="3">
        <v>3030303011</v>
      </c>
      <c r="B150" s="4" t="s">
        <v>611</v>
      </c>
      <c r="C150" s="4" t="s">
        <v>612</v>
      </c>
      <c r="D150" s="3">
        <v>2</v>
      </c>
      <c r="E150" s="3" t="s">
        <v>16</v>
      </c>
      <c r="F150" s="3" t="s">
        <v>291</v>
      </c>
      <c r="G150" s="3" t="s">
        <v>26</v>
      </c>
      <c r="H150" s="3" t="s">
        <v>226</v>
      </c>
    </row>
    <row r="151" spans="1:8" x14ac:dyDescent="0.2">
      <c r="A151" s="3">
        <v>3050302012</v>
      </c>
      <c r="B151" s="4" t="s">
        <v>1921</v>
      </c>
      <c r="C151" s="4" t="s">
        <v>1922</v>
      </c>
      <c r="D151" s="3">
        <v>1</v>
      </c>
      <c r="E151" s="3" t="s">
        <v>16</v>
      </c>
      <c r="F151" s="3" t="s">
        <v>291</v>
      </c>
      <c r="G151" s="3" t="s">
        <v>26</v>
      </c>
      <c r="H151" s="3" t="s">
        <v>226</v>
      </c>
    </row>
    <row r="152" spans="1:8" x14ac:dyDescent="0.2">
      <c r="A152" s="3">
        <v>3080401031</v>
      </c>
      <c r="B152" s="4" t="s">
        <v>41</v>
      </c>
      <c r="C152" s="4" t="s">
        <v>551</v>
      </c>
      <c r="D152" s="3">
        <v>1</v>
      </c>
      <c r="E152" s="3" t="s">
        <v>16</v>
      </c>
      <c r="F152" s="3" t="s">
        <v>291</v>
      </c>
      <c r="G152" s="3" t="s">
        <v>26</v>
      </c>
      <c r="H152" s="3" t="s">
        <v>249</v>
      </c>
    </row>
    <row r="153" spans="1:8" x14ac:dyDescent="0.2">
      <c r="A153" s="3">
        <v>3080301002</v>
      </c>
      <c r="B153" s="4" t="s">
        <v>247</v>
      </c>
      <c r="C153" s="4" t="s">
        <v>248</v>
      </c>
      <c r="D153" s="3">
        <v>1</v>
      </c>
      <c r="E153" s="3" t="s">
        <v>16</v>
      </c>
      <c r="F153" s="3" t="s">
        <v>295</v>
      </c>
      <c r="G153" s="3" t="s">
        <v>17</v>
      </c>
      <c r="H153" s="3" t="s">
        <v>249</v>
      </c>
    </row>
    <row r="154" spans="1:8" x14ac:dyDescent="0.2">
      <c r="A154" s="3">
        <v>3080107017</v>
      </c>
      <c r="B154" s="4" t="s">
        <v>69</v>
      </c>
      <c r="C154" s="4" t="s">
        <v>251</v>
      </c>
      <c r="D154" s="3">
        <v>4</v>
      </c>
      <c r="E154" s="3" t="s">
        <v>16</v>
      </c>
      <c r="F154" s="3" t="s">
        <v>295</v>
      </c>
      <c r="G154" s="3" t="s">
        <v>17</v>
      </c>
      <c r="H154" s="3" t="s">
        <v>249</v>
      </c>
    </row>
    <row r="155" spans="1:8" x14ac:dyDescent="0.2">
      <c r="A155" s="3">
        <v>3060335005</v>
      </c>
      <c r="B155" s="4" t="s">
        <v>233</v>
      </c>
      <c r="C155" s="4" t="s">
        <v>734</v>
      </c>
      <c r="D155" s="3">
        <v>1</v>
      </c>
      <c r="E155" s="3" t="s">
        <v>16</v>
      </c>
      <c r="F155" s="3" t="s">
        <v>289</v>
      </c>
      <c r="G155" s="3" t="s">
        <v>23</v>
      </c>
      <c r="H155" s="3" t="s">
        <v>254</v>
      </c>
    </row>
    <row r="156" spans="1:8" x14ac:dyDescent="0.2">
      <c r="A156" s="3">
        <v>3060324001</v>
      </c>
      <c r="B156" s="4" t="s">
        <v>735</v>
      </c>
      <c r="C156" s="4" t="s">
        <v>736</v>
      </c>
      <c r="D156" s="3">
        <v>1</v>
      </c>
      <c r="E156" s="3" t="s">
        <v>16</v>
      </c>
      <c r="F156" s="3" t="s">
        <v>289</v>
      </c>
      <c r="G156" s="3" t="s">
        <v>23</v>
      </c>
      <c r="H156" s="3" t="s">
        <v>254</v>
      </c>
    </row>
    <row r="157" spans="1:8" x14ac:dyDescent="0.2">
      <c r="A157" s="3">
        <v>3030315001</v>
      </c>
      <c r="B157" s="4" t="s">
        <v>257</v>
      </c>
      <c r="C157" s="4" t="s">
        <v>258</v>
      </c>
      <c r="D157" s="3">
        <v>2</v>
      </c>
      <c r="E157" s="3" t="s">
        <v>16</v>
      </c>
      <c r="F157" s="3" t="s">
        <v>295</v>
      </c>
      <c r="G157" s="3" t="s">
        <v>17</v>
      </c>
      <c r="H157" s="3" t="s">
        <v>254</v>
      </c>
    </row>
    <row r="158" spans="1:8" x14ac:dyDescent="0.2">
      <c r="A158" s="3">
        <v>3030304002</v>
      </c>
      <c r="B158" s="4" t="s">
        <v>259</v>
      </c>
      <c r="C158" s="4" t="s">
        <v>258</v>
      </c>
      <c r="D158" s="3">
        <v>1</v>
      </c>
      <c r="E158" s="3" t="s">
        <v>16</v>
      </c>
      <c r="F158" s="3" t="s">
        <v>295</v>
      </c>
      <c r="G158" s="3" t="s">
        <v>17</v>
      </c>
      <c r="H158" s="3" t="s">
        <v>254</v>
      </c>
    </row>
    <row r="159" spans="1:8" x14ac:dyDescent="0.2">
      <c r="A159" s="3">
        <v>3030304004</v>
      </c>
      <c r="B159" s="4" t="s">
        <v>260</v>
      </c>
      <c r="C159" s="4" t="s">
        <v>258</v>
      </c>
      <c r="D159" s="3">
        <v>1</v>
      </c>
      <c r="E159" s="3" t="s">
        <v>16</v>
      </c>
      <c r="F159" s="3" t="s">
        <v>295</v>
      </c>
      <c r="G159" s="3" t="s">
        <v>17</v>
      </c>
      <c r="H159" s="3" t="s">
        <v>254</v>
      </c>
    </row>
    <row r="160" spans="1:8" x14ac:dyDescent="0.2">
      <c r="A160" s="3">
        <v>3030316001</v>
      </c>
      <c r="B160" s="4" t="s">
        <v>261</v>
      </c>
      <c r="C160" s="4" t="s">
        <v>262</v>
      </c>
      <c r="D160" s="3">
        <v>3</v>
      </c>
      <c r="E160" s="3" t="s">
        <v>16</v>
      </c>
      <c r="F160" s="3" t="s">
        <v>295</v>
      </c>
      <c r="G160" s="3" t="s">
        <v>17</v>
      </c>
      <c r="H160" s="3" t="s">
        <v>254</v>
      </c>
    </row>
    <row r="161" spans="1:8" x14ac:dyDescent="0.2">
      <c r="A161" s="3">
        <v>3040304005</v>
      </c>
      <c r="B161" s="4" t="s">
        <v>380</v>
      </c>
      <c r="C161" s="4" t="s">
        <v>381</v>
      </c>
      <c r="D161" s="3">
        <v>2</v>
      </c>
      <c r="E161" s="3" t="s">
        <v>16</v>
      </c>
      <c r="F161" s="3" t="s">
        <v>293</v>
      </c>
      <c r="G161" s="3" t="s">
        <v>29</v>
      </c>
      <c r="H161" s="3" t="s">
        <v>254</v>
      </c>
    </row>
    <row r="162" spans="1:8" x14ac:dyDescent="0.2">
      <c r="A162" s="3">
        <v>3040304006</v>
      </c>
      <c r="B162" s="4" t="s">
        <v>380</v>
      </c>
      <c r="C162" s="4" t="s">
        <v>382</v>
      </c>
      <c r="D162" s="3">
        <v>2</v>
      </c>
      <c r="E162" s="3" t="s">
        <v>16</v>
      </c>
      <c r="F162" s="3" t="s">
        <v>293</v>
      </c>
      <c r="G162" s="3" t="s">
        <v>29</v>
      </c>
      <c r="H162" s="3" t="s">
        <v>254</v>
      </c>
    </row>
    <row r="163" spans="1:8" x14ac:dyDescent="0.2">
      <c r="A163" s="3">
        <v>3049902004</v>
      </c>
      <c r="B163" s="4" t="s">
        <v>383</v>
      </c>
      <c r="C163" s="4" t="s">
        <v>384</v>
      </c>
      <c r="D163" s="3">
        <v>2</v>
      </c>
      <c r="E163" s="3" t="s">
        <v>16</v>
      </c>
      <c r="F163" s="3" t="s">
        <v>293</v>
      </c>
      <c r="G163" s="3" t="s">
        <v>29</v>
      </c>
      <c r="H163" s="3" t="s">
        <v>254</v>
      </c>
    </row>
    <row r="164" spans="1:8" x14ac:dyDescent="0.2">
      <c r="A164" s="3">
        <v>3040326018</v>
      </c>
      <c r="B164" s="4" t="s">
        <v>385</v>
      </c>
      <c r="C164" s="4" t="s">
        <v>384</v>
      </c>
      <c r="D164" s="3">
        <v>2</v>
      </c>
      <c r="E164" s="3" t="s">
        <v>16</v>
      </c>
      <c r="F164" s="3" t="s">
        <v>293</v>
      </c>
      <c r="G164" s="3" t="s">
        <v>29</v>
      </c>
      <c r="H164" s="3" t="s">
        <v>254</v>
      </c>
    </row>
    <row r="165" spans="1:8" x14ac:dyDescent="0.2">
      <c r="A165" s="3">
        <v>3040320015</v>
      </c>
      <c r="B165" s="4" t="s">
        <v>269</v>
      </c>
      <c r="C165" s="4" t="s">
        <v>386</v>
      </c>
      <c r="D165" s="3">
        <v>1</v>
      </c>
      <c r="E165" s="3" t="s">
        <v>16</v>
      </c>
      <c r="F165" s="3" t="s">
        <v>293</v>
      </c>
      <c r="G165" s="3" t="s">
        <v>29</v>
      </c>
      <c r="H165" s="3" t="s">
        <v>254</v>
      </c>
    </row>
    <row r="166" spans="1:8" x14ac:dyDescent="0.2">
      <c r="A166" s="3">
        <v>3040320014</v>
      </c>
      <c r="B166" s="4" t="s">
        <v>269</v>
      </c>
      <c r="C166" s="4" t="s">
        <v>387</v>
      </c>
      <c r="D166" s="3">
        <v>1</v>
      </c>
      <c r="E166" s="3" t="s">
        <v>16</v>
      </c>
      <c r="F166" s="3" t="s">
        <v>293</v>
      </c>
      <c r="G166" s="3" t="s">
        <v>29</v>
      </c>
      <c r="H166" s="3" t="s">
        <v>254</v>
      </c>
    </row>
    <row r="167" spans="1:8" x14ac:dyDescent="0.2">
      <c r="A167" s="3">
        <v>3030310004</v>
      </c>
      <c r="B167" s="4" t="s">
        <v>273</v>
      </c>
      <c r="C167" s="4" t="s">
        <v>274</v>
      </c>
      <c r="D167" s="3">
        <v>1</v>
      </c>
      <c r="E167" s="3" t="s">
        <v>16</v>
      </c>
      <c r="F167" s="3" t="s">
        <v>295</v>
      </c>
      <c r="G167" s="3" t="s">
        <v>17</v>
      </c>
      <c r="H167" s="3" t="s">
        <v>254</v>
      </c>
    </row>
    <row r="168" spans="1:8" x14ac:dyDescent="0.2">
      <c r="A168" s="3">
        <v>3030313004</v>
      </c>
      <c r="B168" s="4" t="s">
        <v>275</v>
      </c>
      <c r="C168" s="4" t="s">
        <v>258</v>
      </c>
      <c r="D168" s="3">
        <v>1</v>
      </c>
      <c r="E168" s="3" t="s">
        <v>16</v>
      </c>
      <c r="F168" s="3" t="s">
        <v>295</v>
      </c>
      <c r="G168" s="3" t="s">
        <v>17</v>
      </c>
      <c r="H168" s="3" t="s">
        <v>254</v>
      </c>
    </row>
    <row r="169" spans="1:8" x14ac:dyDescent="0.2">
      <c r="A169" s="3">
        <v>3080308001</v>
      </c>
      <c r="B169" s="4" t="s">
        <v>276</v>
      </c>
      <c r="C169" s="4" t="s">
        <v>258</v>
      </c>
      <c r="D169" s="3">
        <v>1</v>
      </c>
      <c r="E169" s="3" t="s">
        <v>16</v>
      </c>
      <c r="F169" s="3" t="s">
        <v>295</v>
      </c>
      <c r="G169" s="3" t="s">
        <v>17</v>
      </c>
      <c r="H169" s="3" t="s">
        <v>254</v>
      </c>
    </row>
    <row r="170" spans="1:8" x14ac:dyDescent="0.2">
      <c r="A170" s="3">
        <v>3060339002</v>
      </c>
      <c r="B170" s="4" t="s">
        <v>737</v>
      </c>
      <c r="C170" s="4" t="s">
        <v>738</v>
      </c>
      <c r="D170" s="3">
        <v>1</v>
      </c>
      <c r="E170" s="3" t="s">
        <v>16</v>
      </c>
      <c r="F170" s="3" t="s">
        <v>702</v>
      </c>
      <c r="G170" s="3" t="s">
        <v>703</v>
      </c>
      <c r="H170" s="3" t="s">
        <v>254</v>
      </c>
    </row>
    <row r="171" spans="1:8" x14ac:dyDescent="0.2">
      <c r="A171" s="3">
        <v>3060325001</v>
      </c>
      <c r="B171" s="4" t="s">
        <v>739</v>
      </c>
      <c r="C171" s="4" t="s">
        <v>740</v>
      </c>
      <c r="D171" s="3">
        <v>1</v>
      </c>
      <c r="E171" s="3" t="s">
        <v>16</v>
      </c>
      <c r="F171" s="3" t="s">
        <v>702</v>
      </c>
      <c r="G171" s="3" t="s">
        <v>703</v>
      </c>
      <c r="H171" s="3" t="s">
        <v>254</v>
      </c>
    </row>
    <row r="172" spans="1:8" x14ac:dyDescent="0.2">
      <c r="A172" s="3">
        <v>3050303018</v>
      </c>
      <c r="B172" s="4" t="s">
        <v>245</v>
      </c>
      <c r="C172" s="4" t="s">
        <v>613</v>
      </c>
      <c r="D172" s="3">
        <v>1</v>
      </c>
      <c r="E172" s="3" t="s">
        <v>16</v>
      </c>
      <c r="F172" s="3" t="s">
        <v>291</v>
      </c>
      <c r="G172" s="3" t="s">
        <v>26</v>
      </c>
      <c r="H172" s="3" t="s">
        <v>254</v>
      </c>
    </row>
  </sheetData>
  <phoneticPr fontId="2" type="noConversion"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F095E-6133-4487-B122-0C2207F54C62}">
  <dimension ref="A1:H188"/>
  <sheetViews>
    <sheetView workbookViewId="0">
      <selection activeCell="M21" sqref="M21"/>
    </sheetView>
  </sheetViews>
  <sheetFormatPr defaultRowHeight="14.25" x14ac:dyDescent="0.2"/>
  <cols>
    <col min="1" max="1" width="12.625" customWidth="1"/>
    <col min="2" max="3" width="13.375" customWidth="1"/>
  </cols>
  <sheetData>
    <row r="1" spans="1:8" x14ac:dyDescent="0.2">
      <c r="A1" s="3" t="s">
        <v>2001</v>
      </c>
      <c r="B1" s="4"/>
      <c r="C1" s="4"/>
      <c r="D1" s="3"/>
      <c r="E1" s="3"/>
      <c r="F1" s="3"/>
      <c r="G1" s="3"/>
      <c r="H1" s="3"/>
    </row>
    <row r="2" spans="1:8" ht="28.5" x14ac:dyDescent="0.2">
      <c r="A2" s="1" t="s">
        <v>0</v>
      </c>
      <c r="B2" s="2" t="s">
        <v>1</v>
      </c>
      <c r="C2" s="2" t="s">
        <v>2</v>
      </c>
      <c r="D2" s="1" t="s">
        <v>4</v>
      </c>
      <c r="E2" s="1" t="s">
        <v>3</v>
      </c>
      <c r="F2" s="1" t="s">
        <v>5</v>
      </c>
      <c r="G2" s="1" t="s">
        <v>6</v>
      </c>
      <c r="H2" s="1" t="s">
        <v>7</v>
      </c>
    </row>
    <row r="3" spans="1:8" s="10" customFormat="1" x14ac:dyDescent="0.2">
      <c r="A3" s="8" t="s">
        <v>390</v>
      </c>
      <c r="B3" s="9" t="s">
        <v>8</v>
      </c>
      <c r="C3" s="9" t="s">
        <v>9</v>
      </c>
      <c r="D3" s="13">
        <f>0.1748/0.94</f>
        <v>0.18595744680851067</v>
      </c>
      <c r="E3" s="8" t="s">
        <v>596</v>
      </c>
      <c r="F3" s="8" t="s">
        <v>283</v>
      </c>
      <c r="G3" s="8" t="s">
        <v>13</v>
      </c>
      <c r="H3" s="8" t="s">
        <v>12</v>
      </c>
    </row>
    <row r="4" spans="1:8" x14ac:dyDescent="0.2">
      <c r="A4" s="3">
        <v>402030028</v>
      </c>
      <c r="B4" s="4" t="s">
        <v>107</v>
      </c>
      <c r="C4" s="4" t="s">
        <v>305</v>
      </c>
      <c r="D4" s="3">
        <v>1</v>
      </c>
      <c r="E4" s="3" t="s">
        <v>16</v>
      </c>
      <c r="F4" s="3" t="s">
        <v>289</v>
      </c>
      <c r="G4" s="3" t="s">
        <v>23</v>
      </c>
      <c r="H4" s="3" t="s">
        <v>306</v>
      </c>
    </row>
    <row r="5" spans="1:8" x14ac:dyDescent="0.2">
      <c r="A5" s="3">
        <v>3010105002</v>
      </c>
      <c r="B5" s="4" t="s">
        <v>1827</v>
      </c>
      <c r="C5" s="4" t="s">
        <v>1828</v>
      </c>
      <c r="D5" s="3">
        <v>7.0000000000000007E-2</v>
      </c>
      <c r="E5" s="3" t="s">
        <v>10</v>
      </c>
      <c r="F5" s="3" t="s">
        <v>284</v>
      </c>
      <c r="G5" s="3" t="s">
        <v>11</v>
      </c>
      <c r="H5" s="3" t="s">
        <v>306</v>
      </c>
    </row>
    <row r="6" spans="1:8" x14ac:dyDescent="0.2">
      <c r="A6" s="3">
        <v>3098980102</v>
      </c>
      <c r="B6" s="4" t="s">
        <v>1897</v>
      </c>
      <c r="C6" s="4" t="s">
        <v>1898</v>
      </c>
      <c r="D6" s="3">
        <v>1</v>
      </c>
      <c r="E6" s="3" t="s">
        <v>16</v>
      </c>
      <c r="F6" s="3" t="s">
        <v>291</v>
      </c>
      <c r="G6" s="3" t="s">
        <v>26</v>
      </c>
      <c r="H6" s="3" t="s">
        <v>393</v>
      </c>
    </row>
    <row r="7" spans="1:8" x14ac:dyDescent="0.2">
      <c r="A7" s="3">
        <v>3080503020</v>
      </c>
      <c r="B7" s="4" t="s">
        <v>14</v>
      </c>
      <c r="C7" s="4" t="s">
        <v>15</v>
      </c>
      <c r="D7" s="3">
        <v>2</v>
      </c>
      <c r="E7" s="3" t="s">
        <v>16</v>
      </c>
      <c r="F7" s="3" t="s">
        <v>295</v>
      </c>
      <c r="G7" s="3" t="s">
        <v>17</v>
      </c>
      <c r="H7" s="3" t="s">
        <v>18</v>
      </c>
    </row>
    <row r="8" spans="1:8" x14ac:dyDescent="0.2">
      <c r="A8" s="3">
        <v>3080503019</v>
      </c>
      <c r="B8" s="4" t="s">
        <v>14</v>
      </c>
      <c r="C8" s="4" t="s">
        <v>19</v>
      </c>
      <c r="D8" s="3">
        <v>4</v>
      </c>
      <c r="E8" s="3" t="s">
        <v>16</v>
      </c>
      <c r="F8" s="3" t="s">
        <v>295</v>
      </c>
      <c r="G8" s="3" t="s">
        <v>17</v>
      </c>
      <c r="H8" s="3" t="s">
        <v>18</v>
      </c>
    </row>
    <row r="9" spans="1:8" x14ac:dyDescent="0.2">
      <c r="A9" s="3">
        <v>3080503001</v>
      </c>
      <c r="B9" s="4" t="s">
        <v>14</v>
      </c>
      <c r="C9" s="4" t="s">
        <v>20</v>
      </c>
      <c r="D9" s="3">
        <v>4</v>
      </c>
      <c r="E9" s="3" t="s">
        <v>16</v>
      </c>
      <c r="F9" s="3" t="s">
        <v>295</v>
      </c>
      <c r="G9" s="3" t="s">
        <v>17</v>
      </c>
      <c r="H9" s="3" t="s">
        <v>18</v>
      </c>
    </row>
    <row r="10" spans="1:8" x14ac:dyDescent="0.2">
      <c r="A10" s="3">
        <v>3030314005</v>
      </c>
      <c r="B10" s="4" t="s">
        <v>394</v>
      </c>
      <c r="C10" s="4" t="s">
        <v>395</v>
      </c>
      <c r="D10" s="3">
        <v>1</v>
      </c>
      <c r="E10" s="3" t="s">
        <v>16</v>
      </c>
      <c r="F10" s="3" t="s">
        <v>291</v>
      </c>
      <c r="G10" s="3" t="s">
        <v>26</v>
      </c>
      <c r="H10" s="3" t="s">
        <v>18</v>
      </c>
    </row>
    <row r="11" spans="1:8" x14ac:dyDescent="0.2">
      <c r="A11" s="3">
        <v>3040211003</v>
      </c>
      <c r="B11" s="4" t="s">
        <v>157</v>
      </c>
      <c r="C11" s="4" t="s">
        <v>307</v>
      </c>
      <c r="D11" s="3">
        <v>2</v>
      </c>
      <c r="E11" s="3" t="s">
        <v>16</v>
      </c>
      <c r="F11" s="3" t="s">
        <v>293</v>
      </c>
      <c r="G11" s="3" t="s">
        <v>29</v>
      </c>
      <c r="H11" s="3" t="s">
        <v>18</v>
      </c>
    </row>
    <row r="12" spans="1:8" x14ac:dyDescent="0.2">
      <c r="A12" s="3">
        <v>404090271</v>
      </c>
      <c r="B12" s="4" t="s">
        <v>30</v>
      </c>
      <c r="C12" s="4" t="s">
        <v>1962</v>
      </c>
      <c r="D12" s="3">
        <v>1</v>
      </c>
      <c r="E12" s="3" t="s">
        <v>16</v>
      </c>
      <c r="F12" s="3" t="s">
        <v>301</v>
      </c>
      <c r="G12" s="3" t="s">
        <v>32</v>
      </c>
      <c r="H12" s="3" t="s">
        <v>33</v>
      </c>
    </row>
    <row r="13" spans="1:8" x14ac:dyDescent="0.2">
      <c r="A13" s="3">
        <v>404090272</v>
      </c>
      <c r="B13" s="4" t="s">
        <v>30</v>
      </c>
      <c r="C13" s="4" t="s">
        <v>1965</v>
      </c>
      <c r="D13" s="3">
        <v>1</v>
      </c>
      <c r="E13" s="3" t="s">
        <v>16</v>
      </c>
      <c r="F13" s="3" t="s">
        <v>301</v>
      </c>
      <c r="G13" s="3" t="s">
        <v>32</v>
      </c>
      <c r="H13" s="3" t="s">
        <v>33</v>
      </c>
    </row>
    <row r="14" spans="1:8" x14ac:dyDescent="0.2">
      <c r="A14" s="3">
        <v>401020259</v>
      </c>
      <c r="B14" s="4" t="s">
        <v>35</v>
      </c>
      <c r="C14" s="4" t="s">
        <v>1966</v>
      </c>
      <c r="D14" s="3">
        <v>1</v>
      </c>
      <c r="E14" s="3" t="s">
        <v>16</v>
      </c>
      <c r="F14" s="3" t="s">
        <v>301</v>
      </c>
      <c r="G14" s="3" t="s">
        <v>32</v>
      </c>
      <c r="H14" s="3" t="s">
        <v>33</v>
      </c>
    </row>
    <row r="15" spans="1:8" x14ac:dyDescent="0.2">
      <c r="A15" s="3">
        <v>401040463</v>
      </c>
      <c r="B15" s="4" t="s">
        <v>35</v>
      </c>
      <c r="C15" s="4" t="s">
        <v>1926</v>
      </c>
      <c r="D15" s="3">
        <v>1</v>
      </c>
      <c r="E15" s="3" t="s">
        <v>16</v>
      </c>
      <c r="F15" s="3" t="s">
        <v>291</v>
      </c>
      <c r="G15" s="3" t="s">
        <v>26</v>
      </c>
      <c r="H15" s="3" t="s">
        <v>33</v>
      </c>
    </row>
    <row r="16" spans="1:8" x14ac:dyDescent="0.2">
      <c r="A16" s="3">
        <v>401040096</v>
      </c>
      <c r="B16" s="4" t="s">
        <v>35</v>
      </c>
      <c r="C16" s="4" t="s">
        <v>742</v>
      </c>
      <c r="D16" s="3">
        <v>1</v>
      </c>
      <c r="E16" s="3" t="s">
        <v>16</v>
      </c>
      <c r="F16" s="3" t="s">
        <v>301</v>
      </c>
      <c r="G16" s="3" t="s">
        <v>32</v>
      </c>
      <c r="H16" s="3" t="s">
        <v>33</v>
      </c>
    </row>
    <row r="17" spans="1:8" x14ac:dyDescent="0.2">
      <c r="A17" s="3">
        <v>3080401023</v>
      </c>
      <c r="B17" s="4" t="s">
        <v>41</v>
      </c>
      <c r="C17" s="4" t="s">
        <v>699</v>
      </c>
      <c r="D17" s="3">
        <v>2</v>
      </c>
      <c r="E17" s="3" t="s">
        <v>16</v>
      </c>
      <c r="F17" s="3" t="s">
        <v>289</v>
      </c>
      <c r="G17" s="3" t="s">
        <v>23</v>
      </c>
      <c r="H17" s="3" t="s">
        <v>40</v>
      </c>
    </row>
    <row r="18" spans="1:8" x14ac:dyDescent="0.2">
      <c r="A18" s="3">
        <v>3080401005</v>
      </c>
      <c r="B18" s="4" t="s">
        <v>41</v>
      </c>
      <c r="C18" s="4" t="s">
        <v>43</v>
      </c>
      <c r="D18" s="3">
        <v>12</v>
      </c>
      <c r="E18" s="3" t="s">
        <v>16</v>
      </c>
      <c r="F18" s="3" t="s">
        <v>291</v>
      </c>
      <c r="G18" s="3" t="s">
        <v>26</v>
      </c>
      <c r="H18" s="3" t="s">
        <v>40</v>
      </c>
    </row>
    <row r="19" spans="1:8" x14ac:dyDescent="0.2">
      <c r="A19" s="3">
        <v>3080401008</v>
      </c>
      <c r="B19" s="4" t="s">
        <v>41</v>
      </c>
      <c r="C19" s="4" t="s">
        <v>700</v>
      </c>
      <c r="D19" s="3">
        <v>2</v>
      </c>
      <c r="E19" s="3" t="s">
        <v>16</v>
      </c>
      <c r="F19" s="3" t="s">
        <v>317</v>
      </c>
      <c r="G19" s="3" t="s">
        <v>318</v>
      </c>
      <c r="H19" s="3" t="s">
        <v>40</v>
      </c>
    </row>
    <row r="20" spans="1:8" x14ac:dyDescent="0.2">
      <c r="A20" s="3">
        <v>3080401006</v>
      </c>
      <c r="B20" s="4" t="s">
        <v>41</v>
      </c>
      <c r="C20" s="4" t="s">
        <v>44</v>
      </c>
      <c r="D20" s="3">
        <v>1</v>
      </c>
      <c r="E20" s="3" t="s">
        <v>16</v>
      </c>
      <c r="F20" s="3" t="s">
        <v>295</v>
      </c>
      <c r="G20" s="3" t="s">
        <v>17</v>
      </c>
      <c r="H20" s="3" t="s">
        <v>40</v>
      </c>
    </row>
    <row r="21" spans="1:8" x14ac:dyDescent="0.2">
      <c r="A21" s="3">
        <v>3080104014</v>
      </c>
      <c r="B21" s="4" t="s">
        <v>45</v>
      </c>
      <c r="C21" s="4" t="s">
        <v>312</v>
      </c>
      <c r="D21" s="3">
        <v>2</v>
      </c>
      <c r="E21" s="3" t="s">
        <v>16</v>
      </c>
      <c r="F21" s="3" t="s">
        <v>293</v>
      </c>
      <c r="G21" s="3" t="s">
        <v>29</v>
      </c>
      <c r="H21" s="3" t="s">
        <v>40</v>
      </c>
    </row>
    <row r="22" spans="1:8" x14ac:dyDescent="0.2">
      <c r="A22" s="3">
        <v>3080104081</v>
      </c>
      <c r="B22" s="4" t="s">
        <v>45</v>
      </c>
      <c r="C22" s="4" t="s">
        <v>701</v>
      </c>
      <c r="D22" s="3">
        <v>2</v>
      </c>
      <c r="E22" s="3" t="s">
        <v>16</v>
      </c>
      <c r="F22" s="3" t="s">
        <v>289</v>
      </c>
      <c r="G22" s="3" t="s">
        <v>23</v>
      </c>
      <c r="H22" s="3" t="s">
        <v>40</v>
      </c>
    </row>
    <row r="23" spans="1:8" x14ac:dyDescent="0.2">
      <c r="A23" s="3">
        <v>3080104081</v>
      </c>
      <c r="B23" s="4" t="s">
        <v>45</v>
      </c>
      <c r="C23" s="4" t="s">
        <v>701</v>
      </c>
      <c r="D23" s="3">
        <v>2</v>
      </c>
      <c r="E23" s="3" t="s">
        <v>16</v>
      </c>
      <c r="F23" s="3" t="s">
        <v>702</v>
      </c>
      <c r="G23" s="3" t="s">
        <v>703</v>
      </c>
      <c r="H23" s="3" t="s">
        <v>40</v>
      </c>
    </row>
    <row r="24" spans="1:8" x14ac:dyDescent="0.2">
      <c r="A24" s="3">
        <v>3080104099</v>
      </c>
      <c r="B24" s="4" t="s">
        <v>45</v>
      </c>
      <c r="C24" s="4" t="s">
        <v>419</v>
      </c>
      <c r="D24" s="3">
        <v>2</v>
      </c>
      <c r="E24" s="3" t="s">
        <v>16</v>
      </c>
      <c r="F24" s="3" t="s">
        <v>291</v>
      </c>
      <c r="G24" s="3" t="s">
        <v>26</v>
      </c>
      <c r="H24" s="3" t="s">
        <v>40</v>
      </c>
    </row>
    <row r="25" spans="1:8" x14ac:dyDescent="0.2">
      <c r="A25" s="3">
        <v>3080104076</v>
      </c>
      <c r="B25" s="4" t="s">
        <v>45</v>
      </c>
      <c r="C25" s="4" t="s">
        <v>313</v>
      </c>
      <c r="D25" s="3">
        <v>8</v>
      </c>
      <c r="E25" s="3" t="s">
        <v>16</v>
      </c>
      <c r="F25" s="3" t="s">
        <v>293</v>
      </c>
      <c r="G25" s="3" t="s">
        <v>29</v>
      </c>
      <c r="H25" s="3" t="s">
        <v>40</v>
      </c>
    </row>
    <row r="26" spans="1:8" x14ac:dyDescent="0.2">
      <c r="A26" s="3">
        <v>3080104020</v>
      </c>
      <c r="B26" s="4" t="s">
        <v>45</v>
      </c>
      <c r="C26" s="4" t="s">
        <v>46</v>
      </c>
      <c r="D26" s="3">
        <v>4</v>
      </c>
      <c r="E26" s="3" t="s">
        <v>16</v>
      </c>
      <c r="F26" s="3" t="s">
        <v>291</v>
      </c>
      <c r="G26" s="3" t="s">
        <v>26</v>
      </c>
      <c r="H26" s="3" t="s">
        <v>40</v>
      </c>
    </row>
    <row r="27" spans="1:8" x14ac:dyDescent="0.2">
      <c r="A27" s="3">
        <v>3080104019</v>
      </c>
      <c r="B27" s="4" t="s">
        <v>45</v>
      </c>
      <c r="C27" s="4" t="s">
        <v>47</v>
      </c>
      <c r="D27" s="3">
        <v>2</v>
      </c>
      <c r="E27" s="3" t="s">
        <v>16</v>
      </c>
      <c r="F27" s="3" t="s">
        <v>291</v>
      </c>
      <c r="G27" s="3" t="s">
        <v>26</v>
      </c>
      <c r="H27" s="3" t="s">
        <v>40</v>
      </c>
    </row>
    <row r="28" spans="1:8" x14ac:dyDescent="0.2">
      <c r="A28" s="3">
        <v>3080104050</v>
      </c>
      <c r="B28" s="4" t="s">
        <v>45</v>
      </c>
      <c r="C28" s="4" t="s">
        <v>49</v>
      </c>
      <c r="D28" s="3">
        <v>4</v>
      </c>
      <c r="E28" s="3" t="s">
        <v>16</v>
      </c>
      <c r="F28" s="3" t="s">
        <v>295</v>
      </c>
      <c r="G28" s="3" t="s">
        <v>17</v>
      </c>
      <c r="H28" s="3" t="s">
        <v>40</v>
      </c>
    </row>
    <row r="29" spans="1:8" x14ac:dyDescent="0.2">
      <c r="A29" s="3">
        <v>3080105121</v>
      </c>
      <c r="B29" s="4" t="s">
        <v>50</v>
      </c>
      <c r="C29" s="4" t="s">
        <v>316</v>
      </c>
      <c r="D29" s="3">
        <v>2</v>
      </c>
      <c r="E29" s="3" t="s">
        <v>16</v>
      </c>
      <c r="F29" s="3" t="s">
        <v>317</v>
      </c>
      <c r="G29" s="3" t="s">
        <v>318</v>
      </c>
      <c r="H29" s="3" t="s">
        <v>40</v>
      </c>
    </row>
    <row r="30" spans="1:8" x14ac:dyDescent="0.2">
      <c r="A30" s="3">
        <v>3080105013</v>
      </c>
      <c r="B30" s="4" t="s">
        <v>50</v>
      </c>
      <c r="C30" s="4" t="s">
        <v>51</v>
      </c>
      <c r="D30" s="3">
        <v>4</v>
      </c>
      <c r="E30" s="3" t="s">
        <v>16</v>
      </c>
      <c r="F30" s="3" t="s">
        <v>293</v>
      </c>
      <c r="G30" s="3" t="s">
        <v>29</v>
      </c>
      <c r="H30" s="3" t="s">
        <v>40</v>
      </c>
    </row>
    <row r="31" spans="1:8" x14ac:dyDescent="0.2">
      <c r="A31" s="3">
        <v>3080105004</v>
      </c>
      <c r="B31" s="4" t="s">
        <v>50</v>
      </c>
      <c r="C31" s="4" t="s">
        <v>54</v>
      </c>
      <c r="D31" s="3">
        <v>4</v>
      </c>
      <c r="E31" s="3" t="s">
        <v>16</v>
      </c>
      <c r="F31" s="3" t="s">
        <v>293</v>
      </c>
      <c r="G31" s="3" t="s">
        <v>29</v>
      </c>
      <c r="H31" s="3" t="s">
        <v>40</v>
      </c>
    </row>
    <row r="32" spans="1:8" x14ac:dyDescent="0.2">
      <c r="A32" s="3">
        <v>3080105111</v>
      </c>
      <c r="B32" s="4" t="s">
        <v>50</v>
      </c>
      <c r="C32" s="4" t="s">
        <v>599</v>
      </c>
      <c r="D32" s="3">
        <v>4</v>
      </c>
      <c r="E32" s="3" t="s">
        <v>16</v>
      </c>
      <c r="F32" s="3" t="s">
        <v>291</v>
      </c>
      <c r="G32" s="3" t="s">
        <v>26</v>
      </c>
      <c r="H32" s="3" t="s">
        <v>40</v>
      </c>
    </row>
    <row r="33" spans="1:8" x14ac:dyDescent="0.2">
      <c r="A33" s="3">
        <v>3080105114</v>
      </c>
      <c r="B33" s="4" t="s">
        <v>50</v>
      </c>
      <c r="C33" s="4" t="s">
        <v>53</v>
      </c>
      <c r="D33" s="3">
        <v>5</v>
      </c>
      <c r="E33" s="3" t="s">
        <v>16</v>
      </c>
      <c r="F33" s="3" t="s">
        <v>289</v>
      </c>
      <c r="G33" s="3" t="s">
        <v>23</v>
      </c>
      <c r="H33" s="3" t="s">
        <v>40</v>
      </c>
    </row>
    <row r="34" spans="1:8" x14ac:dyDescent="0.2">
      <c r="A34" s="3">
        <v>3080105114</v>
      </c>
      <c r="B34" s="4" t="s">
        <v>50</v>
      </c>
      <c r="C34" s="4" t="s">
        <v>53</v>
      </c>
      <c r="D34" s="3">
        <v>6</v>
      </c>
      <c r="E34" s="3" t="s">
        <v>16</v>
      </c>
      <c r="F34" s="3" t="s">
        <v>702</v>
      </c>
      <c r="G34" s="3" t="s">
        <v>703</v>
      </c>
      <c r="H34" s="3" t="s">
        <v>40</v>
      </c>
    </row>
    <row r="35" spans="1:8" x14ac:dyDescent="0.2">
      <c r="A35" s="3">
        <v>3080105114</v>
      </c>
      <c r="B35" s="4" t="s">
        <v>50</v>
      </c>
      <c r="C35" s="4" t="s">
        <v>53</v>
      </c>
      <c r="D35" s="3">
        <v>4</v>
      </c>
      <c r="E35" s="3" t="s">
        <v>16</v>
      </c>
      <c r="F35" s="3" t="s">
        <v>289</v>
      </c>
      <c r="G35" s="3" t="s">
        <v>23</v>
      </c>
      <c r="H35" s="3" t="s">
        <v>40</v>
      </c>
    </row>
    <row r="36" spans="1:8" x14ac:dyDescent="0.2">
      <c r="A36" s="3">
        <v>3080105114</v>
      </c>
      <c r="B36" s="4" t="s">
        <v>50</v>
      </c>
      <c r="C36" s="4" t="s">
        <v>53</v>
      </c>
      <c r="D36" s="3">
        <v>3</v>
      </c>
      <c r="E36" s="3" t="s">
        <v>16</v>
      </c>
      <c r="F36" s="3" t="s">
        <v>702</v>
      </c>
      <c r="G36" s="3" t="s">
        <v>703</v>
      </c>
      <c r="H36" s="3" t="s">
        <v>40</v>
      </c>
    </row>
    <row r="37" spans="1:8" x14ac:dyDescent="0.2">
      <c r="A37" s="3">
        <v>3080105068</v>
      </c>
      <c r="B37" s="4" t="s">
        <v>50</v>
      </c>
      <c r="C37" s="4" t="s">
        <v>314</v>
      </c>
      <c r="D37" s="3">
        <v>10</v>
      </c>
      <c r="E37" s="3" t="s">
        <v>16</v>
      </c>
      <c r="F37" s="3" t="s">
        <v>293</v>
      </c>
      <c r="G37" s="3" t="s">
        <v>29</v>
      </c>
      <c r="H37" s="3" t="s">
        <v>40</v>
      </c>
    </row>
    <row r="38" spans="1:8" x14ac:dyDescent="0.2">
      <c r="A38" s="3">
        <v>3080105007</v>
      </c>
      <c r="B38" s="4" t="s">
        <v>50</v>
      </c>
      <c r="C38" s="4" t="s">
        <v>52</v>
      </c>
      <c r="D38" s="3">
        <v>2</v>
      </c>
      <c r="E38" s="3" t="s">
        <v>16</v>
      </c>
      <c r="F38" s="3" t="s">
        <v>293</v>
      </c>
      <c r="G38" s="3" t="s">
        <v>29</v>
      </c>
      <c r="H38" s="3" t="s">
        <v>40</v>
      </c>
    </row>
    <row r="39" spans="1:8" x14ac:dyDescent="0.2">
      <c r="A39" s="3">
        <v>3080105078</v>
      </c>
      <c r="B39" s="4" t="s">
        <v>50</v>
      </c>
      <c r="C39" s="4" t="s">
        <v>315</v>
      </c>
      <c r="D39" s="3">
        <v>2</v>
      </c>
      <c r="E39" s="3" t="s">
        <v>16</v>
      </c>
      <c r="F39" s="3" t="s">
        <v>293</v>
      </c>
      <c r="G39" s="3" t="s">
        <v>29</v>
      </c>
      <c r="H39" s="3" t="s">
        <v>40</v>
      </c>
    </row>
    <row r="40" spans="1:8" x14ac:dyDescent="0.2">
      <c r="A40" s="3">
        <v>3080105004</v>
      </c>
      <c r="B40" s="4" t="s">
        <v>50</v>
      </c>
      <c r="C40" s="4" t="s">
        <v>54</v>
      </c>
      <c r="D40" s="3">
        <v>6</v>
      </c>
      <c r="E40" s="3" t="s">
        <v>16</v>
      </c>
      <c r="F40" s="3" t="s">
        <v>289</v>
      </c>
      <c r="G40" s="3" t="s">
        <v>23</v>
      </c>
      <c r="H40" s="3" t="s">
        <v>40</v>
      </c>
    </row>
    <row r="41" spans="1:8" x14ac:dyDescent="0.2">
      <c r="A41" s="3">
        <v>3080105021</v>
      </c>
      <c r="B41" s="4" t="s">
        <v>50</v>
      </c>
      <c r="C41" s="4" t="s">
        <v>319</v>
      </c>
      <c r="D41" s="3">
        <v>8</v>
      </c>
      <c r="E41" s="3" t="s">
        <v>16</v>
      </c>
      <c r="F41" s="3" t="s">
        <v>317</v>
      </c>
      <c r="G41" s="3" t="s">
        <v>318</v>
      </c>
      <c r="H41" s="3" t="s">
        <v>40</v>
      </c>
    </row>
    <row r="42" spans="1:8" x14ac:dyDescent="0.2">
      <c r="A42" s="3">
        <v>3080502002</v>
      </c>
      <c r="B42" s="4" t="s">
        <v>55</v>
      </c>
      <c r="C42" s="4" t="s">
        <v>56</v>
      </c>
      <c r="D42" s="3">
        <v>4</v>
      </c>
      <c r="E42" s="3" t="s">
        <v>16</v>
      </c>
      <c r="F42" s="3" t="s">
        <v>293</v>
      </c>
      <c r="G42" s="3" t="s">
        <v>29</v>
      </c>
      <c r="H42" s="3" t="s">
        <v>40</v>
      </c>
    </row>
    <row r="43" spans="1:8" x14ac:dyDescent="0.2">
      <c r="A43" s="3">
        <v>3080502002</v>
      </c>
      <c r="B43" s="4" t="s">
        <v>55</v>
      </c>
      <c r="C43" s="4" t="s">
        <v>56</v>
      </c>
      <c r="D43" s="3">
        <v>1</v>
      </c>
      <c r="E43" s="3" t="s">
        <v>16</v>
      </c>
      <c r="F43" s="3" t="s">
        <v>317</v>
      </c>
      <c r="G43" s="3" t="s">
        <v>318</v>
      </c>
      <c r="H43" s="3" t="s">
        <v>40</v>
      </c>
    </row>
    <row r="44" spans="1:8" x14ac:dyDescent="0.2">
      <c r="A44" s="3">
        <v>3080201004</v>
      </c>
      <c r="B44" s="4" t="s">
        <v>60</v>
      </c>
      <c r="C44" s="4" t="s">
        <v>61</v>
      </c>
      <c r="D44" s="3">
        <v>4</v>
      </c>
      <c r="E44" s="3" t="s">
        <v>16</v>
      </c>
      <c r="F44" s="3" t="s">
        <v>295</v>
      </c>
      <c r="G44" s="3" t="s">
        <v>17</v>
      </c>
      <c r="H44" s="3" t="s">
        <v>40</v>
      </c>
    </row>
    <row r="45" spans="1:8" x14ac:dyDescent="0.2">
      <c r="A45" s="3">
        <v>3080201012</v>
      </c>
      <c r="B45" s="4" t="s">
        <v>60</v>
      </c>
      <c r="C45" s="4" t="s">
        <v>320</v>
      </c>
      <c r="D45" s="3">
        <v>1</v>
      </c>
      <c r="E45" s="3" t="s">
        <v>16</v>
      </c>
      <c r="F45" s="3" t="s">
        <v>289</v>
      </c>
      <c r="G45" s="3" t="s">
        <v>23</v>
      </c>
      <c r="H45" s="3" t="s">
        <v>40</v>
      </c>
    </row>
    <row r="46" spans="1:8" x14ac:dyDescent="0.2">
      <c r="A46" s="3">
        <v>3080201012</v>
      </c>
      <c r="B46" s="4" t="s">
        <v>60</v>
      </c>
      <c r="C46" s="4" t="s">
        <v>320</v>
      </c>
      <c r="D46" s="3">
        <v>1</v>
      </c>
      <c r="E46" s="3" t="s">
        <v>16</v>
      </c>
      <c r="F46" s="3" t="s">
        <v>317</v>
      </c>
      <c r="G46" s="3" t="s">
        <v>318</v>
      </c>
      <c r="H46" s="3" t="s">
        <v>40</v>
      </c>
    </row>
    <row r="47" spans="1:8" x14ac:dyDescent="0.2">
      <c r="A47" s="3">
        <v>3080201012</v>
      </c>
      <c r="B47" s="4" t="s">
        <v>60</v>
      </c>
      <c r="C47" s="4" t="s">
        <v>320</v>
      </c>
      <c r="D47" s="3">
        <v>1</v>
      </c>
      <c r="E47" s="3" t="s">
        <v>16</v>
      </c>
      <c r="F47" s="3" t="s">
        <v>702</v>
      </c>
      <c r="G47" s="3" t="s">
        <v>703</v>
      </c>
      <c r="H47" s="3" t="s">
        <v>40</v>
      </c>
    </row>
    <row r="48" spans="1:8" x14ac:dyDescent="0.2">
      <c r="A48" s="3">
        <v>3080201007</v>
      </c>
      <c r="B48" s="4" t="s">
        <v>60</v>
      </c>
      <c r="C48" s="4" t="s">
        <v>62</v>
      </c>
      <c r="D48" s="3">
        <v>1</v>
      </c>
      <c r="E48" s="3" t="s">
        <v>16</v>
      </c>
      <c r="F48" s="3" t="s">
        <v>295</v>
      </c>
      <c r="G48" s="3" t="s">
        <v>17</v>
      </c>
      <c r="H48" s="3" t="s">
        <v>40</v>
      </c>
    </row>
    <row r="49" spans="1:8" x14ac:dyDescent="0.2">
      <c r="A49" s="3">
        <v>3080201008</v>
      </c>
      <c r="B49" s="4" t="s">
        <v>60</v>
      </c>
      <c r="C49" s="4" t="s">
        <v>63</v>
      </c>
      <c r="D49" s="3">
        <v>1</v>
      </c>
      <c r="E49" s="3" t="s">
        <v>16</v>
      </c>
      <c r="F49" s="3" t="s">
        <v>295</v>
      </c>
      <c r="G49" s="3" t="s">
        <v>17</v>
      </c>
      <c r="H49" s="3" t="s">
        <v>40</v>
      </c>
    </row>
    <row r="50" spans="1:8" x14ac:dyDescent="0.2">
      <c r="A50" s="3">
        <v>3080201010</v>
      </c>
      <c r="B50" s="4" t="s">
        <v>60</v>
      </c>
      <c r="C50" s="4" t="s">
        <v>64</v>
      </c>
      <c r="D50" s="3">
        <v>1</v>
      </c>
      <c r="E50" s="3" t="s">
        <v>16</v>
      </c>
      <c r="F50" s="3" t="s">
        <v>295</v>
      </c>
      <c r="G50" s="3" t="s">
        <v>17</v>
      </c>
      <c r="H50" s="3" t="s">
        <v>40</v>
      </c>
    </row>
    <row r="51" spans="1:8" x14ac:dyDescent="0.2">
      <c r="A51" s="3">
        <v>3080201015</v>
      </c>
      <c r="B51" s="4" t="s">
        <v>60</v>
      </c>
      <c r="C51" s="4" t="s">
        <v>65</v>
      </c>
      <c r="D51" s="3">
        <v>2</v>
      </c>
      <c r="E51" s="3" t="s">
        <v>16</v>
      </c>
      <c r="F51" s="3" t="s">
        <v>295</v>
      </c>
      <c r="G51" s="3" t="s">
        <v>17</v>
      </c>
      <c r="H51" s="3" t="s">
        <v>40</v>
      </c>
    </row>
    <row r="52" spans="1:8" x14ac:dyDescent="0.2">
      <c r="A52" s="3">
        <v>3080106009</v>
      </c>
      <c r="B52" s="4" t="s">
        <v>66</v>
      </c>
      <c r="C52" s="4" t="s">
        <v>67</v>
      </c>
      <c r="D52" s="3">
        <v>1</v>
      </c>
      <c r="E52" s="3" t="s">
        <v>16</v>
      </c>
      <c r="F52" s="3" t="s">
        <v>295</v>
      </c>
      <c r="G52" s="3" t="s">
        <v>17</v>
      </c>
      <c r="H52" s="3" t="s">
        <v>40</v>
      </c>
    </row>
    <row r="53" spans="1:8" x14ac:dyDescent="0.2">
      <c r="A53" s="3">
        <v>3080106007</v>
      </c>
      <c r="B53" s="4" t="s">
        <v>66</v>
      </c>
      <c r="C53" s="4" t="s">
        <v>68</v>
      </c>
      <c r="D53" s="3">
        <v>1</v>
      </c>
      <c r="E53" s="3" t="s">
        <v>16</v>
      </c>
      <c r="F53" s="3" t="s">
        <v>295</v>
      </c>
      <c r="G53" s="3" t="s">
        <v>17</v>
      </c>
      <c r="H53" s="3" t="s">
        <v>40</v>
      </c>
    </row>
    <row r="54" spans="1:8" x14ac:dyDescent="0.2">
      <c r="A54" s="3">
        <v>3080107284</v>
      </c>
      <c r="B54" s="4" t="s">
        <v>69</v>
      </c>
      <c r="C54" s="4" t="s">
        <v>706</v>
      </c>
      <c r="D54" s="3">
        <v>1</v>
      </c>
      <c r="E54" s="3" t="s">
        <v>16</v>
      </c>
      <c r="F54" s="3" t="s">
        <v>317</v>
      </c>
      <c r="G54" s="3" t="s">
        <v>318</v>
      </c>
      <c r="H54" s="3" t="s">
        <v>40</v>
      </c>
    </row>
    <row r="55" spans="1:8" x14ac:dyDescent="0.2">
      <c r="A55" s="3">
        <v>3080107130</v>
      </c>
      <c r="B55" s="4" t="s">
        <v>69</v>
      </c>
      <c r="C55" s="4" t="s">
        <v>70</v>
      </c>
      <c r="D55" s="3">
        <v>4</v>
      </c>
      <c r="E55" s="3" t="s">
        <v>16</v>
      </c>
      <c r="F55" s="3" t="s">
        <v>293</v>
      </c>
      <c r="G55" s="3" t="s">
        <v>29</v>
      </c>
      <c r="H55" s="3" t="s">
        <v>40</v>
      </c>
    </row>
    <row r="56" spans="1:8" x14ac:dyDescent="0.2">
      <c r="A56" s="3">
        <v>3080107031</v>
      </c>
      <c r="B56" s="4" t="s">
        <v>69</v>
      </c>
      <c r="C56" s="4" t="s">
        <v>71</v>
      </c>
      <c r="D56" s="3">
        <v>2</v>
      </c>
      <c r="E56" s="3" t="s">
        <v>16</v>
      </c>
      <c r="F56" s="3" t="s">
        <v>295</v>
      </c>
      <c r="G56" s="3" t="s">
        <v>17</v>
      </c>
      <c r="H56" s="3" t="s">
        <v>40</v>
      </c>
    </row>
    <row r="57" spans="1:8" x14ac:dyDescent="0.2">
      <c r="A57" s="3">
        <v>3080107284</v>
      </c>
      <c r="B57" s="4" t="s">
        <v>69</v>
      </c>
      <c r="C57" s="4" t="s">
        <v>706</v>
      </c>
      <c r="D57" s="3">
        <v>1</v>
      </c>
      <c r="E57" s="3" t="s">
        <v>16</v>
      </c>
      <c r="F57" s="3" t="s">
        <v>702</v>
      </c>
      <c r="G57" s="3" t="s">
        <v>703</v>
      </c>
      <c r="H57" s="3" t="s">
        <v>40</v>
      </c>
    </row>
    <row r="58" spans="1:8" x14ac:dyDescent="0.2">
      <c r="A58" s="3">
        <v>3080107015</v>
      </c>
      <c r="B58" s="4" t="s">
        <v>69</v>
      </c>
      <c r="C58" s="4" t="s">
        <v>73</v>
      </c>
      <c r="D58" s="3">
        <v>6</v>
      </c>
      <c r="E58" s="3" t="s">
        <v>16</v>
      </c>
      <c r="F58" s="3" t="s">
        <v>291</v>
      </c>
      <c r="G58" s="3" t="s">
        <v>26</v>
      </c>
      <c r="H58" s="3" t="s">
        <v>40</v>
      </c>
    </row>
    <row r="59" spans="1:8" x14ac:dyDescent="0.2">
      <c r="A59" s="3">
        <v>3080107089</v>
      </c>
      <c r="B59" s="4" t="s">
        <v>69</v>
      </c>
      <c r="C59" s="4" t="s">
        <v>704</v>
      </c>
      <c r="D59" s="3">
        <v>1</v>
      </c>
      <c r="E59" s="3" t="s">
        <v>16</v>
      </c>
      <c r="F59" s="3" t="s">
        <v>289</v>
      </c>
      <c r="G59" s="3" t="s">
        <v>23</v>
      </c>
      <c r="H59" s="3" t="s">
        <v>40</v>
      </c>
    </row>
    <row r="60" spans="1:8" x14ac:dyDescent="0.2">
      <c r="A60" s="3">
        <v>3080107112</v>
      </c>
      <c r="B60" s="4" t="s">
        <v>69</v>
      </c>
      <c r="C60" s="4" t="s">
        <v>705</v>
      </c>
      <c r="D60" s="3">
        <v>2</v>
      </c>
      <c r="E60" s="3" t="s">
        <v>16</v>
      </c>
      <c r="F60" s="3" t="s">
        <v>289</v>
      </c>
      <c r="G60" s="3" t="s">
        <v>23</v>
      </c>
      <c r="H60" s="3" t="s">
        <v>40</v>
      </c>
    </row>
    <row r="61" spans="1:8" x14ac:dyDescent="0.2">
      <c r="A61" s="3">
        <v>3080107120</v>
      </c>
      <c r="B61" s="4" t="s">
        <v>69</v>
      </c>
      <c r="C61" s="4" t="s">
        <v>74</v>
      </c>
      <c r="D61" s="3">
        <v>1</v>
      </c>
      <c r="E61" s="3" t="s">
        <v>16</v>
      </c>
      <c r="F61" s="3" t="s">
        <v>295</v>
      </c>
      <c r="G61" s="3" t="s">
        <v>17</v>
      </c>
      <c r="H61" s="3" t="s">
        <v>40</v>
      </c>
    </row>
    <row r="62" spans="1:8" x14ac:dyDescent="0.2">
      <c r="A62" s="3">
        <v>3080107121</v>
      </c>
      <c r="B62" s="4" t="s">
        <v>69</v>
      </c>
      <c r="C62" s="4" t="s">
        <v>75</v>
      </c>
      <c r="D62" s="3">
        <v>1</v>
      </c>
      <c r="E62" s="3" t="s">
        <v>16</v>
      </c>
      <c r="F62" s="3" t="s">
        <v>295</v>
      </c>
      <c r="G62" s="3" t="s">
        <v>17</v>
      </c>
      <c r="H62" s="3" t="s">
        <v>40</v>
      </c>
    </row>
    <row r="63" spans="1:8" x14ac:dyDescent="0.2">
      <c r="A63" s="3">
        <v>3080107031</v>
      </c>
      <c r="B63" s="4" t="s">
        <v>69</v>
      </c>
      <c r="C63" s="4" t="s">
        <v>71</v>
      </c>
      <c r="D63" s="3">
        <v>4</v>
      </c>
      <c r="E63" s="3" t="s">
        <v>16</v>
      </c>
      <c r="F63" s="3" t="s">
        <v>295</v>
      </c>
      <c r="G63" s="3" t="s">
        <v>17</v>
      </c>
      <c r="H63" s="3" t="s">
        <v>40</v>
      </c>
    </row>
    <row r="64" spans="1:8" x14ac:dyDescent="0.2">
      <c r="A64" s="3">
        <v>3080108011</v>
      </c>
      <c r="B64" s="4" t="s">
        <v>77</v>
      </c>
      <c r="C64" s="4" t="s">
        <v>323</v>
      </c>
      <c r="D64" s="3">
        <v>2</v>
      </c>
      <c r="E64" s="3" t="s">
        <v>16</v>
      </c>
      <c r="F64" s="3" t="s">
        <v>293</v>
      </c>
      <c r="G64" s="3" t="s">
        <v>29</v>
      </c>
      <c r="H64" s="3" t="s">
        <v>40</v>
      </c>
    </row>
    <row r="65" spans="1:8" x14ac:dyDescent="0.2">
      <c r="A65" s="3">
        <v>3080108009</v>
      </c>
      <c r="B65" s="4" t="s">
        <v>77</v>
      </c>
      <c r="C65" s="4" t="s">
        <v>324</v>
      </c>
      <c r="D65" s="3">
        <v>2</v>
      </c>
      <c r="E65" s="3" t="s">
        <v>16</v>
      </c>
      <c r="F65" s="3" t="s">
        <v>293</v>
      </c>
      <c r="G65" s="3" t="s">
        <v>29</v>
      </c>
      <c r="H65" s="3" t="s">
        <v>40</v>
      </c>
    </row>
    <row r="66" spans="1:8" x14ac:dyDescent="0.2">
      <c r="A66" s="3">
        <v>3080108003</v>
      </c>
      <c r="B66" s="4" t="s">
        <v>77</v>
      </c>
      <c r="C66" s="4" t="s">
        <v>78</v>
      </c>
      <c r="D66" s="3">
        <v>1</v>
      </c>
      <c r="E66" s="3" t="s">
        <v>16</v>
      </c>
      <c r="F66" s="3" t="s">
        <v>295</v>
      </c>
      <c r="G66" s="3" t="s">
        <v>17</v>
      </c>
      <c r="H66" s="3" t="s">
        <v>40</v>
      </c>
    </row>
    <row r="67" spans="1:8" x14ac:dyDescent="0.2">
      <c r="A67" s="3">
        <v>3080111087</v>
      </c>
      <c r="B67" s="4" t="s">
        <v>79</v>
      </c>
      <c r="C67" s="4" t="s">
        <v>80</v>
      </c>
      <c r="D67" s="3">
        <v>18</v>
      </c>
      <c r="E67" s="3" t="s">
        <v>16</v>
      </c>
      <c r="F67" s="3" t="s">
        <v>291</v>
      </c>
      <c r="G67" s="3" t="s">
        <v>26</v>
      </c>
      <c r="H67" s="3" t="s">
        <v>40</v>
      </c>
    </row>
    <row r="68" spans="1:8" x14ac:dyDescent="0.2">
      <c r="A68" s="3">
        <v>407030047</v>
      </c>
      <c r="B68" s="4" t="s">
        <v>81</v>
      </c>
      <c r="C68" s="4" t="s">
        <v>707</v>
      </c>
      <c r="D68" s="3">
        <v>1</v>
      </c>
      <c r="E68" s="3" t="s">
        <v>16</v>
      </c>
      <c r="F68" s="3" t="s">
        <v>301</v>
      </c>
      <c r="G68" s="3" t="s">
        <v>32</v>
      </c>
      <c r="H68" s="3" t="s">
        <v>40</v>
      </c>
    </row>
    <row r="69" spans="1:8" x14ac:dyDescent="0.2">
      <c r="A69" s="3">
        <v>3080112015</v>
      </c>
      <c r="B69" s="4" t="s">
        <v>83</v>
      </c>
      <c r="C69" s="4" t="s">
        <v>84</v>
      </c>
      <c r="D69" s="3">
        <v>6</v>
      </c>
      <c r="E69" s="3" t="s">
        <v>16</v>
      </c>
      <c r="F69" s="3" t="s">
        <v>291</v>
      </c>
      <c r="G69" s="3" t="s">
        <v>26</v>
      </c>
      <c r="H69" s="3" t="s">
        <v>40</v>
      </c>
    </row>
    <row r="70" spans="1:8" x14ac:dyDescent="0.2">
      <c r="A70" s="3">
        <v>3080112003</v>
      </c>
      <c r="B70" s="4" t="s">
        <v>83</v>
      </c>
      <c r="C70" s="4" t="s">
        <v>85</v>
      </c>
      <c r="D70" s="3">
        <v>1</v>
      </c>
      <c r="E70" s="3" t="s">
        <v>16</v>
      </c>
      <c r="F70" s="3" t="s">
        <v>295</v>
      </c>
      <c r="G70" s="3" t="s">
        <v>17</v>
      </c>
      <c r="H70" s="3" t="s">
        <v>40</v>
      </c>
    </row>
    <row r="71" spans="1:8" x14ac:dyDescent="0.2">
      <c r="A71" s="3">
        <v>3080307001</v>
      </c>
      <c r="B71" s="4" t="s">
        <v>86</v>
      </c>
      <c r="C71" s="4" t="s">
        <v>87</v>
      </c>
      <c r="D71" s="3">
        <v>1</v>
      </c>
      <c r="E71" s="3" t="s">
        <v>16</v>
      </c>
      <c r="F71" s="3" t="s">
        <v>295</v>
      </c>
      <c r="G71" s="3" t="s">
        <v>17</v>
      </c>
      <c r="H71" s="3" t="s">
        <v>88</v>
      </c>
    </row>
    <row r="72" spans="1:8" x14ac:dyDescent="0.2">
      <c r="A72" s="3">
        <v>3080506001</v>
      </c>
      <c r="B72" s="4" t="s">
        <v>89</v>
      </c>
      <c r="C72" s="4" t="s">
        <v>90</v>
      </c>
      <c r="D72" s="3">
        <v>1</v>
      </c>
      <c r="E72" s="3" t="s">
        <v>16</v>
      </c>
      <c r="F72" s="3" t="s">
        <v>295</v>
      </c>
      <c r="G72" s="3" t="s">
        <v>17</v>
      </c>
      <c r="H72" s="3" t="s">
        <v>88</v>
      </c>
    </row>
    <row r="73" spans="1:8" x14ac:dyDescent="0.2">
      <c r="A73" s="3">
        <v>3030204002</v>
      </c>
      <c r="B73" s="4" t="s">
        <v>91</v>
      </c>
      <c r="C73" s="4" t="s">
        <v>92</v>
      </c>
      <c r="D73" s="3">
        <v>1</v>
      </c>
      <c r="E73" s="3" t="s">
        <v>16</v>
      </c>
      <c r="F73" s="3" t="s">
        <v>295</v>
      </c>
      <c r="G73" s="3" t="s">
        <v>17</v>
      </c>
      <c r="H73" s="3" t="s">
        <v>88</v>
      </c>
    </row>
    <row r="74" spans="1:8" x14ac:dyDescent="0.2">
      <c r="A74" s="3">
        <v>3030205002</v>
      </c>
      <c r="B74" s="4" t="s">
        <v>93</v>
      </c>
      <c r="C74" s="4" t="s">
        <v>94</v>
      </c>
      <c r="D74" s="3">
        <v>1</v>
      </c>
      <c r="E74" s="3" t="s">
        <v>16</v>
      </c>
      <c r="F74" s="3" t="s">
        <v>295</v>
      </c>
      <c r="G74" s="3" t="s">
        <v>17</v>
      </c>
      <c r="H74" s="3" t="s">
        <v>88</v>
      </c>
    </row>
    <row r="75" spans="1:8" x14ac:dyDescent="0.2">
      <c r="A75" s="3">
        <v>3030208001</v>
      </c>
      <c r="B75" s="4" t="s">
        <v>95</v>
      </c>
      <c r="C75" s="4" t="s">
        <v>96</v>
      </c>
      <c r="D75" s="3">
        <v>1</v>
      </c>
      <c r="E75" s="3" t="s">
        <v>16</v>
      </c>
      <c r="F75" s="3" t="s">
        <v>295</v>
      </c>
      <c r="G75" s="3" t="s">
        <v>17</v>
      </c>
      <c r="H75" s="3" t="s">
        <v>88</v>
      </c>
    </row>
    <row r="76" spans="1:8" x14ac:dyDescent="0.2">
      <c r="A76" s="3">
        <v>3030202005</v>
      </c>
      <c r="B76" s="4" t="s">
        <v>97</v>
      </c>
      <c r="C76" s="4" t="s">
        <v>94</v>
      </c>
      <c r="D76" s="3">
        <v>1</v>
      </c>
      <c r="E76" s="3" t="s">
        <v>16</v>
      </c>
      <c r="F76" s="3" t="s">
        <v>295</v>
      </c>
      <c r="G76" s="3" t="s">
        <v>17</v>
      </c>
      <c r="H76" s="3" t="s">
        <v>88</v>
      </c>
    </row>
    <row r="77" spans="1:8" x14ac:dyDescent="0.2">
      <c r="A77" s="3">
        <v>3080201009</v>
      </c>
      <c r="B77" s="4" t="s">
        <v>60</v>
      </c>
      <c r="C77" s="4" t="s">
        <v>98</v>
      </c>
      <c r="D77" s="3">
        <v>1</v>
      </c>
      <c r="E77" s="3" t="s">
        <v>16</v>
      </c>
      <c r="F77" s="3" t="s">
        <v>295</v>
      </c>
      <c r="G77" s="3" t="s">
        <v>17</v>
      </c>
      <c r="H77" s="3" t="s">
        <v>88</v>
      </c>
    </row>
    <row r="78" spans="1:8" x14ac:dyDescent="0.2">
      <c r="A78" s="3">
        <v>3050205001</v>
      </c>
      <c r="B78" s="4" t="s">
        <v>99</v>
      </c>
      <c r="C78" s="4" t="s">
        <v>100</v>
      </c>
      <c r="D78" s="3">
        <v>2</v>
      </c>
      <c r="E78" s="3" t="s">
        <v>16</v>
      </c>
      <c r="F78" s="3" t="s">
        <v>291</v>
      </c>
      <c r="G78" s="3" t="s">
        <v>26</v>
      </c>
      <c r="H78" s="3" t="s">
        <v>88</v>
      </c>
    </row>
    <row r="79" spans="1:8" x14ac:dyDescent="0.2">
      <c r="A79" s="3">
        <v>3099990501</v>
      </c>
      <c r="B79" s="4" t="s">
        <v>708</v>
      </c>
      <c r="C79" s="4" t="s">
        <v>105</v>
      </c>
      <c r="D79" s="3">
        <v>1</v>
      </c>
      <c r="E79" s="3" t="s">
        <v>16</v>
      </c>
      <c r="F79" s="3" t="s">
        <v>709</v>
      </c>
      <c r="G79" s="3" t="s">
        <v>710</v>
      </c>
      <c r="H79" s="3" t="s">
        <v>103</v>
      </c>
    </row>
    <row r="80" spans="1:8" x14ac:dyDescent="0.2">
      <c r="A80" s="3">
        <v>3099990225</v>
      </c>
      <c r="B80" s="4" t="s">
        <v>1902</v>
      </c>
      <c r="C80" s="4" t="s">
        <v>1903</v>
      </c>
      <c r="D80" s="3">
        <v>1</v>
      </c>
      <c r="E80" s="3" t="s">
        <v>16</v>
      </c>
      <c r="F80" s="3" t="s">
        <v>299</v>
      </c>
      <c r="G80" s="3" t="s">
        <v>106</v>
      </c>
      <c r="H80" s="3" t="s">
        <v>103</v>
      </c>
    </row>
    <row r="81" spans="1:8" x14ac:dyDescent="0.2">
      <c r="A81" s="3">
        <v>402010065</v>
      </c>
      <c r="B81" s="4" t="s">
        <v>882</v>
      </c>
      <c r="C81" s="4" t="s">
        <v>1927</v>
      </c>
      <c r="D81" s="3">
        <v>1</v>
      </c>
      <c r="E81" s="3" t="s">
        <v>16</v>
      </c>
      <c r="F81" s="3" t="s">
        <v>291</v>
      </c>
      <c r="G81" s="3" t="s">
        <v>26</v>
      </c>
      <c r="H81" s="3" t="s">
        <v>109</v>
      </c>
    </row>
    <row r="82" spans="1:8" x14ac:dyDescent="0.2">
      <c r="A82" s="3">
        <v>402020006</v>
      </c>
      <c r="B82" s="4" t="s">
        <v>111</v>
      </c>
      <c r="C82" s="4" t="s">
        <v>112</v>
      </c>
      <c r="D82" s="3">
        <v>2</v>
      </c>
      <c r="E82" s="3" t="s">
        <v>16</v>
      </c>
      <c r="F82" s="3" t="s">
        <v>293</v>
      </c>
      <c r="G82" s="3" t="s">
        <v>29</v>
      </c>
      <c r="H82" s="3" t="s">
        <v>109</v>
      </c>
    </row>
    <row r="83" spans="1:8" x14ac:dyDescent="0.2">
      <c r="A83" s="3" t="s">
        <v>1995</v>
      </c>
      <c r="B83" s="4" t="s">
        <v>1996</v>
      </c>
      <c r="C83" s="4" t="s">
        <v>1997</v>
      </c>
      <c r="D83" s="3">
        <v>7</v>
      </c>
      <c r="E83" s="3" t="s">
        <v>1998</v>
      </c>
      <c r="F83" s="3" t="s">
        <v>284</v>
      </c>
      <c r="G83" s="3" t="s">
        <v>11</v>
      </c>
      <c r="H83" s="3" t="s">
        <v>1999</v>
      </c>
    </row>
    <row r="84" spans="1:8" x14ac:dyDescent="0.2">
      <c r="A84" s="3">
        <v>3060210001</v>
      </c>
      <c r="B84" s="4" t="s">
        <v>711</v>
      </c>
      <c r="C84" s="4" t="s">
        <v>712</v>
      </c>
      <c r="D84" s="3">
        <v>4</v>
      </c>
      <c r="E84" s="3" t="s">
        <v>16</v>
      </c>
      <c r="F84" s="3" t="s">
        <v>289</v>
      </c>
      <c r="G84" s="3" t="s">
        <v>23</v>
      </c>
      <c r="H84" s="3" t="s">
        <v>115</v>
      </c>
    </row>
    <row r="85" spans="1:8" x14ac:dyDescent="0.2">
      <c r="A85" s="3">
        <v>3060209002</v>
      </c>
      <c r="B85" s="4" t="s">
        <v>113</v>
      </c>
      <c r="C85" s="4" t="s">
        <v>114</v>
      </c>
      <c r="D85" s="3">
        <v>2</v>
      </c>
      <c r="E85" s="3" t="s">
        <v>16</v>
      </c>
      <c r="F85" s="3" t="s">
        <v>293</v>
      </c>
      <c r="G85" s="3" t="s">
        <v>29</v>
      </c>
      <c r="H85" s="3" t="s">
        <v>115</v>
      </c>
    </row>
    <row r="86" spans="1:8" x14ac:dyDescent="0.2">
      <c r="A86" s="3">
        <v>3030204032</v>
      </c>
      <c r="B86" s="4" t="s">
        <v>116</v>
      </c>
      <c r="C86" s="4" t="s">
        <v>117</v>
      </c>
      <c r="D86" s="3">
        <v>1</v>
      </c>
      <c r="E86" s="3" t="s">
        <v>16</v>
      </c>
      <c r="F86" s="3" t="s">
        <v>295</v>
      </c>
      <c r="G86" s="3" t="s">
        <v>17</v>
      </c>
      <c r="H86" s="3" t="s">
        <v>115</v>
      </c>
    </row>
    <row r="87" spans="1:8" x14ac:dyDescent="0.2">
      <c r="A87" s="3">
        <v>3040216001</v>
      </c>
      <c r="B87" s="4" t="s">
        <v>328</v>
      </c>
      <c r="C87" s="4" t="s">
        <v>329</v>
      </c>
      <c r="D87" s="3">
        <v>4</v>
      </c>
      <c r="E87" s="3" t="s">
        <v>16</v>
      </c>
      <c r="F87" s="3" t="s">
        <v>293</v>
      </c>
      <c r="G87" s="3" t="s">
        <v>29</v>
      </c>
      <c r="H87" s="3" t="s">
        <v>115</v>
      </c>
    </row>
    <row r="88" spans="1:8" x14ac:dyDescent="0.2">
      <c r="A88" s="3">
        <v>3030204006</v>
      </c>
      <c r="B88" s="4" t="s">
        <v>120</v>
      </c>
      <c r="C88" s="4" t="s">
        <v>121</v>
      </c>
      <c r="D88" s="3">
        <v>2</v>
      </c>
      <c r="E88" s="3" t="s">
        <v>16</v>
      </c>
      <c r="F88" s="3" t="s">
        <v>295</v>
      </c>
      <c r="G88" s="3" t="s">
        <v>17</v>
      </c>
      <c r="H88" s="3" t="s">
        <v>115</v>
      </c>
    </row>
    <row r="89" spans="1:8" x14ac:dyDescent="0.2">
      <c r="A89" s="3">
        <v>3030204008</v>
      </c>
      <c r="B89" s="4" t="s">
        <v>122</v>
      </c>
      <c r="C89" s="4" t="s">
        <v>123</v>
      </c>
      <c r="D89" s="3">
        <v>1</v>
      </c>
      <c r="E89" s="3" t="s">
        <v>16</v>
      </c>
      <c r="F89" s="3" t="s">
        <v>291</v>
      </c>
      <c r="G89" s="3" t="s">
        <v>26</v>
      </c>
      <c r="H89" s="3" t="s">
        <v>115</v>
      </c>
    </row>
    <row r="90" spans="1:8" x14ac:dyDescent="0.2">
      <c r="A90" s="3">
        <v>3030204010</v>
      </c>
      <c r="B90" s="4" t="s">
        <v>124</v>
      </c>
      <c r="C90" s="4" t="s">
        <v>125</v>
      </c>
      <c r="D90" s="3">
        <v>1</v>
      </c>
      <c r="E90" s="3" t="s">
        <v>16</v>
      </c>
      <c r="F90" s="3" t="s">
        <v>295</v>
      </c>
      <c r="G90" s="3" t="s">
        <v>17</v>
      </c>
      <c r="H90" s="3" t="s">
        <v>115</v>
      </c>
    </row>
    <row r="91" spans="1:8" x14ac:dyDescent="0.2">
      <c r="A91" s="3">
        <v>3030204012</v>
      </c>
      <c r="B91" s="4" t="s">
        <v>126</v>
      </c>
      <c r="C91" s="4" t="s">
        <v>127</v>
      </c>
      <c r="D91" s="3">
        <v>1</v>
      </c>
      <c r="E91" s="3" t="s">
        <v>16</v>
      </c>
      <c r="F91" s="3" t="s">
        <v>295</v>
      </c>
      <c r="G91" s="3" t="s">
        <v>17</v>
      </c>
      <c r="H91" s="3" t="s">
        <v>115</v>
      </c>
    </row>
    <row r="92" spans="1:8" x14ac:dyDescent="0.2">
      <c r="A92" s="3">
        <v>3070104002</v>
      </c>
      <c r="B92" s="4" t="s">
        <v>128</v>
      </c>
      <c r="C92" s="4" t="s">
        <v>129</v>
      </c>
      <c r="D92" s="3">
        <v>1</v>
      </c>
      <c r="E92" s="3" t="s">
        <v>16</v>
      </c>
      <c r="F92" s="3" t="s">
        <v>317</v>
      </c>
      <c r="G92" s="3" t="s">
        <v>318</v>
      </c>
      <c r="H92" s="3" t="s">
        <v>115</v>
      </c>
    </row>
    <row r="93" spans="1:8" x14ac:dyDescent="0.2">
      <c r="A93" s="3">
        <v>3070104001</v>
      </c>
      <c r="B93" s="4" t="s">
        <v>331</v>
      </c>
      <c r="C93" s="4" t="s">
        <v>332</v>
      </c>
      <c r="D93" s="3">
        <v>1</v>
      </c>
      <c r="E93" s="3" t="s">
        <v>16</v>
      </c>
      <c r="F93" s="3" t="s">
        <v>317</v>
      </c>
      <c r="G93" s="3" t="s">
        <v>318</v>
      </c>
      <c r="H93" s="3" t="s">
        <v>115</v>
      </c>
    </row>
    <row r="94" spans="1:8" x14ac:dyDescent="0.2">
      <c r="A94" s="3">
        <v>3030404003</v>
      </c>
      <c r="B94" s="4" t="s">
        <v>130</v>
      </c>
      <c r="C94" s="4" t="s">
        <v>131</v>
      </c>
      <c r="D94" s="3">
        <v>2</v>
      </c>
      <c r="E94" s="3" t="s">
        <v>16</v>
      </c>
      <c r="F94" s="3" t="s">
        <v>291</v>
      </c>
      <c r="G94" s="3" t="s">
        <v>26</v>
      </c>
      <c r="H94" s="3" t="s">
        <v>132</v>
      </c>
    </row>
    <row r="95" spans="1:8" x14ac:dyDescent="0.2">
      <c r="A95" s="3">
        <v>404040025</v>
      </c>
      <c r="B95" s="4" t="s">
        <v>30</v>
      </c>
      <c r="C95" s="4" t="s">
        <v>133</v>
      </c>
      <c r="D95" s="3">
        <v>2</v>
      </c>
      <c r="E95" s="3" t="s">
        <v>16</v>
      </c>
      <c r="F95" s="3" t="s">
        <v>291</v>
      </c>
      <c r="G95" s="3" t="s">
        <v>26</v>
      </c>
      <c r="H95" s="3" t="s">
        <v>134</v>
      </c>
    </row>
    <row r="96" spans="1:8" x14ac:dyDescent="0.2">
      <c r="A96" s="3">
        <v>3990207002</v>
      </c>
      <c r="B96" s="4" t="s">
        <v>140</v>
      </c>
      <c r="C96" s="4" t="s">
        <v>714</v>
      </c>
      <c r="D96" s="3">
        <v>1</v>
      </c>
      <c r="E96" s="3" t="s">
        <v>16</v>
      </c>
      <c r="F96" s="3" t="s">
        <v>285</v>
      </c>
      <c r="G96" s="3" t="s">
        <v>142</v>
      </c>
      <c r="H96" s="3" t="s">
        <v>143</v>
      </c>
    </row>
    <row r="97" spans="1:8" x14ac:dyDescent="0.2">
      <c r="A97" s="3">
        <v>3030301005</v>
      </c>
      <c r="B97" s="4" t="s">
        <v>144</v>
      </c>
      <c r="C97" s="4" t="s">
        <v>145</v>
      </c>
      <c r="D97" s="3">
        <v>2</v>
      </c>
      <c r="E97" s="3" t="s">
        <v>16</v>
      </c>
      <c r="F97" s="3" t="s">
        <v>291</v>
      </c>
      <c r="G97" s="3" t="s">
        <v>26</v>
      </c>
      <c r="H97" s="3" t="s">
        <v>143</v>
      </c>
    </row>
    <row r="98" spans="1:8" x14ac:dyDescent="0.2">
      <c r="A98" s="3">
        <v>3990204002</v>
      </c>
      <c r="B98" s="4" t="s">
        <v>333</v>
      </c>
      <c r="C98" s="4" t="s">
        <v>334</v>
      </c>
      <c r="D98" s="3">
        <v>1</v>
      </c>
      <c r="E98" s="3" t="s">
        <v>16</v>
      </c>
      <c r="F98" s="3" t="s">
        <v>335</v>
      </c>
      <c r="G98" s="3" t="s">
        <v>336</v>
      </c>
      <c r="H98" s="3" t="s">
        <v>143</v>
      </c>
    </row>
    <row r="99" spans="1:8" x14ac:dyDescent="0.2">
      <c r="A99" s="3">
        <v>3990206001</v>
      </c>
      <c r="B99" s="4" t="s">
        <v>715</v>
      </c>
      <c r="C99" s="4" t="s">
        <v>716</v>
      </c>
      <c r="D99" s="3">
        <v>1</v>
      </c>
      <c r="E99" s="3" t="s">
        <v>16</v>
      </c>
      <c r="F99" s="3" t="s">
        <v>717</v>
      </c>
      <c r="G99" s="3" t="s">
        <v>718</v>
      </c>
      <c r="H99" s="3" t="s">
        <v>143</v>
      </c>
    </row>
    <row r="100" spans="1:8" x14ac:dyDescent="0.2">
      <c r="A100" s="3">
        <v>407010090</v>
      </c>
      <c r="B100" s="4" t="s">
        <v>149</v>
      </c>
      <c r="C100" s="4" t="s">
        <v>744</v>
      </c>
      <c r="D100" s="3">
        <v>1</v>
      </c>
      <c r="E100" s="3" t="s">
        <v>16</v>
      </c>
      <c r="F100" s="3" t="s">
        <v>289</v>
      </c>
      <c r="G100" s="3" t="s">
        <v>23</v>
      </c>
      <c r="H100" s="3" t="s">
        <v>151</v>
      </c>
    </row>
    <row r="101" spans="1:8" x14ac:dyDescent="0.2">
      <c r="A101" s="3">
        <v>3060318001</v>
      </c>
      <c r="B101" s="4" t="s">
        <v>720</v>
      </c>
      <c r="C101" s="4" t="s">
        <v>721</v>
      </c>
      <c r="D101" s="3">
        <v>1</v>
      </c>
      <c r="E101" s="3" t="s">
        <v>16</v>
      </c>
      <c r="F101" s="3" t="s">
        <v>289</v>
      </c>
      <c r="G101" s="3" t="s">
        <v>23</v>
      </c>
      <c r="H101" s="3" t="s">
        <v>154</v>
      </c>
    </row>
    <row r="102" spans="1:8" x14ac:dyDescent="0.2">
      <c r="A102" s="3">
        <v>3060327003</v>
      </c>
      <c r="B102" s="4" t="s">
        <v>722</v>
      </c>
      <c r="C102" s="4" t="s">
        <v>723</v>
      </c>
      <c r="D102" s="3">
        <v>1</v>
      </c>
      <c r="E102" s="3" t="s">
        <v>16</v>
      </c>
      <c r="F102" s="3" t="s">
        <v>289</v>
      </c>
      <c r="G102" s="3" t="s">
        <v>23</v>
      </c>
      <c r="H102" s="3" t="s">
        <v>154</v>
      </c>
    </row>
    <row r="103" spans="1:8" x14ac:dyDescent="0.2">
      <c r="A103" s="3">
        <v>3030203004</v>
      </c>
      <c r="B103" s="4" t="s">
        <v>155</v>
      </c>
      <c r="C103" s="4" t="s">
        <v>156</v>
      </c>
      <c r="D103" s="3">
        <v>1</v>
      </c>
      <c r="E103" s="3" t="s">
        <v>16</v>
      </c>
      <c r="F103" s="3" t="s">
        <v>295</v>
      </c>
      <c r="G103" s="3" t="s">
        <v>17</v>
      </c>
      <c r="H103" s="3" t="s">
        <v>154</v>
      </c>
    </row>
    <row r="104" spans="1:8" x14ac:dyDescent="0.2">
      <c r="A104" s="3">
        <v>3040205005</v>
      </c>
      <c r="B104" s="4" t="s">
        <v>337</v>
      </c>
      <c r="C104" s="4" t="s">
        <v>338</v>
      </c>
      <c r="D104" s="3">
        <v>2</v>
      </c>
      <c r="E104" s="3" t="s">
        <v>16</v>
      </c>
      <c r="F104" s="3" t="s">
        <v>293</v>
      </c>
      <c r="G104" s="3" t="s">
        <v>29</v>
      </c>
      <c r="H104" s="3" t="s">
        <v>154</v>
      </c>
    </row>
    <row r="105" spans="1:8" x14ac:dyDescent="0.2">
      <c r="A105" s="3">
        <v>3030310010</v>
      </c>
      <c r="B105" s="4" t="s">
        <v>161</v>
      </c>
      <c r="C105" s="4" t="s">
        <v>162</v>
      </c>
      <c r="D105" s="3">
        <v>1</v>
      </c>
      <c r="E105" s="3" t="s">
        <v>16</v>
      </c>
      <c r="F105" s="3" t="s">
        <v>295</v>
      </c>
      <c r="G105" s="3" t="s">
        <v>17</v>
      </c>
      <c r="H105" s="3" t="s">
        <v>154</v>
      </c>
    </row>
    <row r="106" spans="1:8" x14ac:dyDescent="0.2">
      <c r="A106" s="3">
        <v>3110103002</v>
      </c>
      <c r="B106" s="4" t="s">
        <v>473</v>
      </c>
      <c r="C106" s="4" t="s">
        <v>474</v>
      </c>
      <c r="D106" s="3">
        <v>1</v>
      </c>
      <c r="E106" s="3" t="s">
        <v>16</v>
      </c>
      <c r="F106" s="3" t="s">
        <v>291</v>
      </c>
      <c r="G106" s="3" t="s">
        <v>26</v>
      </c>
      <c r="H106" s="3" t="s">
        <v>165</v>
      </c>
    </row>
    <row r="107" spans="1:8" x14ac:dyDescent="0.2">
      <c r="A107" s="3">
        <v>3040310003</v>
      </c>
      <c r="B107" s="4" t="s">
        <v>339</v>
      </c>
      <c r="C107" s="4" t="s">
        <v>340</v>
      </c>
      <c r="D107" s="3">
        <v>2</v>
      </c>
      <c r="E107" s="3" t="s">
        <v>16</v>
      </c>
      <c r="F107" s="3" t="s">
        <v>293</v>
      </c>
      <c r="G107" s="3" t="s">
        <v>29</v>
      </c>
      <c r="H107" s="3" t="s">
        <v>165</v>
      </c>
    </row>
    <row r="108" spans="1:8" x14ac:dyDescent="0.2">
      <c r="A108" s="3">
        <v>3030303067</v>
      </c>
      <c r="B108" s="4" t="s">
        <v>166</v>
      </c>
      <c r="C108" s="4" t="s">
        <v>167</v>
      </c>
      <c r="D108" s="3">
        <v>1</v>
      </c>
      <c r="E108" s="3" t="s">
        <v>16</v>
      </c>
      <c r="F108" s="3" t="s">
        <v>295</v>
      </c>
      <c r="G108" s="3" t="s">
        <v>17</v>
      </c>
      <c r="H108" s="3" t="s">
        <v>165</v>
      </c>
    </row>
    <row r="109" spans="1:8" x14ac:dyDescent="0.2">
      <c r="A109" s="3">
        <v>3040321002</v>
      </c>
      <c r="B109" s="4" t="s">
        <v>341</v>
      </c>
      <c r="C109" s="4" t="s">
        <v>340</v>
      </c>
      <c r="D109" s="3">
        <v>2</v>
      </c>
      <c r="E109" s="3" t="s">
        <v>16</v>
      </c>
      <c r="F109" s="3" t="s">
        <v>293</v>
      </c>
      <c r="G109" s="3" t="s">
        <v>29</v>
      </c>
      <c r="H109" s="3" t="s">
        <v>165</v>
      </c>
    </row>
    <row r="110" spans="1:8" x14ac:dyDescent="0.2">
      <c r="A110" s="3">
        <v>3040302003</v>
      </c>
      <c r="B110" s="4" t="s">
        <v>342</v>
      </c>
      <c r="C110" s="4" t="s">
        <v>343</v>
      </c>
      <c r="D110" s="3">
        <v>2</v>
      </c>
      <c r="E110" s="3" t="s">
        <v>16</v>
      </c>
      <c r="F110" s="3" t="s">
        <v>293</v>
      </c>
      <c r="G110" s="3" t="s">
        <v>29</v>
      </c>
      <c r="H110" s="3" t="s">
        <v>165</v>
      </c>
    </row>
    <row r="111" spans="1:8" x14ac:dyDescent="0.2">
      <c r="A111" s="3">
        <v>3040315002</v>
      </c>
      <c r="B111" s="4" t="s">
        <v>344</v>
      </c>
      <c r="C111" s="4" t="s">
        <v>340</v>
      </c>
      <c r="D111" s="3">
        <v>2</v>
      </c>
      <c r="E111" s="3" t="s">
        <v>16</v>
      </c>
      <c r="F111" s="3" t="s">
        <v>293</v>
      </c>
      <c r="G111" s="3" t="s">
        <v>29</v>
      </c>
      <c r="H111" s="3" t="s">
        <v>165</v>
      </c>
    </row>
    <row r="112" spans="1:8" x14ac:dyDescent="0.2">
      <c r="A112" s="3">
        <v>3060333003</v>
      </c>
      <c r="B112" s="4" t="s">
        <v>227</v>
      </c>
      <c r="C112" s="4" t="s">
        <v>724</v>
      </c>
      <c r="D112" s="3">
        <v>1</v>
      </c>
      <c r="E112" s="3" t="s">
        <v>16</v>
      </c>
      <c r="F112" s="3" t="s">
        <v>289</v>
      </c>
      <c r="G112" s="3" t="s">
        <v>23</v>
      </c>
      <c r="H112" s="3" t="s">
        <v>173</v>
      </c>
    </row>
    <row r="113" spans="1:8" x14ac:dyDescent="0.2">
      <c r="A113" s="3">
        <v>3030303003</v>
      </c>
      <c r="B113" s="4" t="s">
        <v>175</v>
      </c>
      <c r="C113" s="4" t="s">
        <v>176</v>
      </c>
      <c r="D113" s="3">
        <v>1</v>
      </c>
      <c r="E113" s="3" t="s">
        <v>16</v>
      </c>
      <c r="F113" s="3" t="s">
        <v>295</v>
      </c>
      <c r="G113" s="3" t="s">
        <v>17</v>
      </c>
      <c r="H113" s="3" t="s">
        <v>173</v>
      </c>
    </row>
    <row r="114" spans="1:8" x14ac:dyDescent="0.2">
      <c r="A114" s="3">
        <v>3030303005</v>
      </c>
      <c r="B114" s="4" t="s">
        <v>177</v>
      </c>
      <c r="C114" s="4" t="s">
        <v>176</v>
      </c>
      <c r="D114" s="3">
        <v>1</v>
      </c>
      <c r="E114" s="3" t="s">
        <v>16</v>
      </c>
      <c r="F114" s="3" t="s">
        <v>291</v>
      </c>
      <c r="G114" s="3" t="s">
        <v>26</v>
      </c>
      <c r="H114" s="3" t="s">
        <v>173</v>
      </c>
    </row>
    <row r="115" spans="1:8" x14ac:dyDescent="0.2">
      <c r="A115" s="3">
        <v>3040328005</v>
      </c>
      <c r="B115" s="4" t="s">
        <v>267</v>
      </c>
      <c r="C115" s="4" t="s">
        <v>345</v>
      </c>
      <c r="D115" s="3">
        <v>2</v>
      </c>
      <c r="E115" s="3" t="s">
        <v>16</v>
      </c>
      <c r="F115" s="3" t="s">
        <v>293</v>
      </c>
      <c r="G115" s="3" t="s">
        <v>29</v>
      </c>
      <c r="H115" s="3" t="s">
        <v>173</v>
      </c>
    </row>
    <row r="116" spans="1:8" x14ac:dyDescent="0.2">
      <c r="A116" s="3">
        <v>3040309001</v>
      </c>
      <c r="B116" s="4" t="s">
        <v>346</v>
      </c>
      <c r="C116" s="4" t="s">
        <v>347</v>
      </c>
      <c r="D116" s="3">
        <v>8</v>
      </c>
      <c r="E116" s="3" t="s">
        <v>16</v>
      </c>
      <c r="F116" s="3" t="s">
        <v>293</v>
      </c>
      <c r="G116" s="3" t="s">
        <v>29</v>
      </c>
      <c r="H116" s="3" t="s">
        <v>173</v>
      </c>
    </row>
    <row r="117" spans="1:8" x14ac:dyDescent="0.2">
      <c r="A117" s="3">
        <v>3070201002</v>
      </c>
      <c r="B117" s="4" t="s">
        <v>348</v>
      </c>
      <c r="C117" s="4" t="s">
        <v>349</v>
      </c>
      <c r="D117" s="3">
        <v>1</v>
      </c>
      <c r="E117" s="3" t="s">
        <v>16</v>
      </c>
      <c r="F117" s="3" t="s">
        <v>317</v>
      </c>
      <c r="G117" s="3" t="s">
        <v>318</v>
      </c>
      <c r="H117" s="3" t="s">
        <v>173</v>
      </c>
    </row>
    <row r="118" spans="1:8" x14ac:dyDescent="0.2">
      <c r="A118" s="3">
        <v>3060340001</v>
      </c>
      <c r="B118" s="4" t="s">
        <v>725</v>
      </c>
      <c r="C118" s="4" t="s">
        <v>726</v>
      </c>
      <c r="D118" s="3">
        <v>1</v>
      </c>
      <c r="E118" s="3" t="s">
        <v>16</v>
      </c>
      <c r="F118" s="3" t="s">
        <v>702</v>
      </c>
      <c r="G118" s="3" t="s">
        <v>703</v>
      </c>
      <c r="H118" s="3" t="s">
        <v>173</v>
      </c>
    </row>
    <row r="119" spans="1:8" x14ac:dyDescent="0.2">
      <c r="A119" s="3">
        <v>3030310007</v>
      </c>
      <c r="B119" s="4" t="s">
        <v>178</v>
      </c>
      <c r="C119" s="4" t="s">
        <v>179</v>
      </c>
      <c r="D119" s="3">
        <v>1</v>
      </c>
      <c r="E119" s="3" t="s">
        <v>16</v>
      </c>
      <c r="F119" s="3" t="s">
        <v>295</v>
      </c>
      <c r="G119" s="3" t="s">
        <v>17</v>
      </c>
      <c r="H119" s="3" t="s">
        <v>173</v>
      </c>
    </row>
    <row r="120" spans="1:8" x14ac:dyDescent="0.2">
      <c r="A120" s="3">
        <v>3030310009</v>
      </c>
      <c r="B120" s="4" t="s">
        <v>180</v>
      </c>
      <c r="C120" s="4" t="s">
        <v>179</v>
      </c>
      <c r="D120" s="3">
        <v>1</v>
      </c>
      <c r="E120" s="3" t="s">
        <v>16</v>
      </c>
      <c r="F120" s="3" t="s">
        <v>295</v>
      </c>
      <c r="G120" s="3" t="s">
        <v>17</v>
      </c>
      <c r="H120" s="3" t="s">
        <v>173</v>
      </c>
    </row>
    <row r="121" spans="1:8" x14ac:dyDescent="0.2">
      <c r="A121" s="3">
        <v>3020501014</v>
      </c>
      <c r="B121" s="4" t="s">
        <v>183</v>
      </c>
      <c r="C121" s="4" t="s">
        <v>350</v>
      </c>
      <c r="D121" s="3">
        <v>1</v>
      </c>
      <c r="E121" s="3" t="s">
        <v>16</v>
      </c>
      <c r="F121" s="3" t="s">
        <v>291</v>
      </c>
      <c r="G121" s="3" t="s">
        <v>26</v>
      </c>
      <c r="H121" s="3" t="s">
        <v>185</v>
      </c>
    </row>
    <row r="122" spans="1:8" x14ac:dyDescent="0.2">
      <c r="A122" s="3">
        <v>3990201009</v>
      </c>
      <c r="B122" s="4" t="s">
        <v>186</v>
      </c>
      <c r="C122" s="4" t="s">
        <v>606</v>
      </c>
      <c r="D122" s="3">
        <v>1</v>
      </c>
      <c r="E122" s="3" t="s">
        <v>16</v>
      </c>
      <c r="F122" s="3" t="s">
        <v>295</v>
      </c>
      <c r="G122" s="3" t="s">
        <v>17</v>
      </c>
      <c r="H122" s="3" t="s">
        <v>187</v>
      </c>
    </row>
    <row r="123" spans="1:8" x14ac:dyDescent="0.2">
      <c r="A123" s="3">
        <v>3990202008</v>
      </c>
      <c r="B123" s="4" t="s">
        <v>188</v>
      </c>
      <c r="C123" s="4" t="s">
        <v>606</v>
      </c>
      <c r="D123" s="3">
        <v>1</v>
      </c>
      <c r="E123" s="3" t="s">
        <v>16</v>
      </c>
      <c r="F123" s="3" t="s">
        <v>295</v>
      </c>
      <c r="G123" s="3" t="s">
        <v>17</v>
      </c>
      <c r="H123" s="3" t="s">
        <v>187</v>
      </c>
    </row>
    <row r="124" spans="1:8" x14ac:dyDescent="0.2">
      <c r="A124" s="3">
        <v>3990203004</v>
      </c>
      <c r="B124" s="4" t="s">
        <v>189</v>
      </c>
      <c r="C124" s="4" t="s">
        <v>606</v>
      </c>
      <c r="D124" s="3">
        <v>1</v>
      </c>
      <c r="E124" s="3" t="s">
        <v>16</v>
      </c>
      <c r="F124" s="3" t="s">
        <v>291</v>
      </c>
      <c r="G124" s="3" t="s">
        <v>26</v>
      </c>
      <c r="H124" s="3" t="s">
        <v>187</v>
      </c>
    </row>
    <row r="125" spans="1:8" x14ac:dyDescent="0.2">
      <c r="A125" s="3">
        <v>3030401002</v>
      </c>
      <c r="B125" s="4" t="s">
        <v>190</v>
      </c>
      <c r="C125" s="4" t="s">
        <v>191</v>
      </c>
      <c r="D125" s="3">
        <v>1</v>
      </c>
      <c r="E125" s="3" t="s">
        <v>16</v>
      </c>
      <c r="F125" s="3" t="s">
        <v>295</v>
      </c>
      <c r="G125" s="3" t="s">
        <v>17</v>
      </c>
      <c r="H125" s="3" t="s">
        <v>192</v>
      </c>
    </row>
    <row r="126" spans="1:8" x14ac:dyDescent="0.2">
      <c r="A126" s="3">
        <v>3060401001</v>
      </c>
      <c r="B126" s="4" t="s">
        <v>727</v>
      </c>
      <c r="C126" s="4" t="s">
        <v>728</v>
      </c>
      <c r="D126" s="3">
        <v>2</v>
      </c>
      <c r="E126" s="3" t="s">
        <v>16</v>
      </c>
      <c r="F126" s="3" t="s">
        <v>289</v>
      </c>
      <c r="G126" s="3" t="s">
        <v>23</v>
      </c>
      <c r="H126" s="3" t="s">
        <v>192</v>
      </c>
    </row>
    <row r="127" spans="1:8" x14ac:dyDescent="0.2">
      <c r="A127" s="3">
        <v>404090194</v>
      </c>
      <c r="B127" s="4" t="s">
        <v>30</v>
      </c>
      <c r="C127" s="4" t="s">
        <v>745</v>
      </c>
      <c r="D127" s="3">
        <v>1</v>
      </c>
      <c r="E127" s="3" t="s">
        <v>16</v>
      </c>
      <c r="F127" s="3" t="s">
        <v>301</v>
      </c>
      <c r="G127" s="3" t="s">
        <v>32</v>
      </c>
      <c r="H127" s="3" t="s">
        <v>198</v>
      </c>
    </row>
    <row r="128" spans="1:8" x14ac:dyDescent="0.2">
      <c r="A128" s="3">
        <v>404060019</v>
      </c>
      <c r="B128" s="4" t="s">
        <v>30</v>
      </c>
      <c r="C128" s="4" t="s">
        <v>352</v>
      </c>
      <c r="D128" s="3">
        <v>1</v>
      </c>
      <c r="E128" s="3" t="s">
        <v>16</v>
      </c>
      <c r="F128" s="3" t="s">
        <v>291</v>
      </c>
      <c r="G128" s="3" t="s">
        <v>26</v>
      </c>
      <c r="H128" s="3" t="s">
        <v>198</v>
      </c>
    </row>
    <row r="129" spans="1:8" x14ac:dyDescent="0.2">
      <c r="A129" s="3">
        <v>404020035</v>
      </c>
      <c r="B129" s="4" t="s">
        <v>30</v>
      </c>
      <c r="C129" s="4" t="s">
        <v>199</v>
      </c>
      <c r="D129" s="3">
        <v>1</v>
      </c>
      <c r="E129" s="3" t="s">
        <v>16</v>
      </c>
      <c r="F129" s="3" t="s">
        <v>291</v>
      </c>
      <c r="G129" s="3" t="s">
        <v>26</v>
      </c>
      <c r="H129" s="3" t="s">
        <v>198</v>
      </c>
    </row>
    <row r="130" spans="1:8" x14ac:dyDescent="0.2">
      <c r="A130" s="3">
        <v>403030038</v>
      </c>
      <c r="B130" s="4" t="s">
        <v>801</v>
      </c>
      <c r="C130" s="4" t="s">
        <v>1928</v>
      </c>
      <c r="D130" s="3">
        <v>1</v>
      </c>
      <c r="E130" s="3" t="s">
        <v>16</v>
      </c>
      <c r="F130" s="3" t="s">
        <v>291</v>
      </c>
      <c r="G130" s="3" t="s">
        <v>26</v>
      </c>
      <c r="H130" s="3" t="s">
        <v>198</v>
      </c>
    </row>
    <row r="131" spans="1:8" x14ac:dyDescent="0.2">
      <c r="A131" s="3">
        <v>403030019</v>
      </c>
      <c r="B131" s="4" t="s">
        <v>801</v>
      </c>
      <c r="C131" s="4" t="s">
        <v>1151</v>
      </c>
      <c r="D131" s="3">
        <v>1</v>
      </c>
      <c r="E131" s="3" t="s">
        <v>16</v>
      </c>
      <c r="F131" s="3" t="s">
        <v>291</v>
      </c>
      <c r="G131" s="3" t="s">
        <v>26</v>
      </c>
      <c r="H131" s="3" t="s">
        <v>198</v>
      </c>
    </row>
    <row r="132" spans="1:8" x14ac:dyDescent="0.2">
      <c r="A132" s="3">
        <v>40901001</v>
      </c>
      <c r="B132" s="4" t="s">
        <v>801</v>
      </c>
      <c r="C132" s="4" t="s">
        <v>1916</v>
      </c>
      <c r="D132" s="3">
        <v>1</v>
      </c>
      <c r="E132" s="3" t="s">
        <v>16</v>
      </c>
      <c r="F132" s="3" t="s">
        <v>291</v>
      </c>
      <c r="G132" s="3" t="s">
        <v>26</v>
      </c>
      <c r="H132" s="3" t="s">
        <v>198</v>
      </c>
    </row>
    <row r="133" spans="1:8" x14ac:dyDescent="0.2">
      <c r="A133" s="3">
        <v>401070018</v>
      </c>
      <c r="B133" s="4" t="s">
        <v>35</v>
      </c>
      <c r="C133" s="4" t="s">
        <v>202</v>
      </c>
      <c r="D133" s="3">
        <v>1</v>
      </c>
      <c r="E133" s="3" t="s">
        <v>16</v>
      </c>
      <c r="F133" s="3" t="s">
        <v>291</v>
      </c>
      <c r="G133" s="3" t="s">
        <v>26</v>
      </c>
      <c r="H133" s="3" t="s">
        <v>198</v>
      </c>
    </row>
    <row r="134" spans="1:8" x14ac:dyDescent="0.2">
      <c r="A134" s="3">
        <v>401070022</v>
      </c>
      <c r="B134" s="4" t="s">
        <v>35</v>
      </c>
      <c r="C134" s="4" t="s">
        <v>203</v>
      </c>
      <c r="D134" s="3">
        <v>1</v>
      </c>
      <c r="E134" s="3" t="s">
        <v>16</v>
      </c>
      <c r="F134" s="3" t="s">
        <v>297</v>
      </c>
      <c r="G134" s="3" t="s">
        <v>204</v>
      </c>
      <c r="H134" s="3" t="s">
        <v>198</v>
      </c>
    </row>
    <row r="135" spans="1:8" x14ac:dyDescent="0.2">
      <c r="A135" s="3">
        <v>3992002001</v>
      </c>
      <c r="B135" s="4" t="s">
        <v>212</v>
      </c>
      <c r="C135" s="4" t="s">
        <v>213</v>
      </c>
      <c r="D135" s="3">
        <v>2</v>
      </c>
      <c r="E135" s="3" t="s">
        <v>16</v>
      </c>
      <c r="F135" s="3" t="s">
        <v>295</v>
      </c>
      <c r="G135" s="3" t="s">
        <v>17</v>
      </c>
      <c r="H135" s="3" t="s">
        <v>214</v>
      </c>
    </row>
    <row r="136" spans="1:8" x14ac:dyDescent="0.2">
      <c r="A136" s="3">
        <v>3992001001</v>
      </c>
      <c r="B136" s="4" t="s">
        <v>215</v>
      </c>
      <c r="C136" s="4" t="s">
        <v>213</v>
      </c>
      <c r="D136" s="3">
        <v>2</v>
      </c>
      <c r="E136" s="3" t="s">
        <v>16</v>
      </c>
      <c r="F136" s="3" t="s">
        <v>295</v>
      </c>
      <c r="G136" s="3" t="s">
        <v>17</v>
      </c>
      <c r="H136" s="3" t="s">
        <v>214</v>
      </c>
    </row>
    <row r="137" spans="1:8" x14ac:dyDescent="0.2">
      <c r="A137" s="3">
        <v>3030201004</v>
      </c>
      <c r="B137" s="4" t="s">
        <v>216</v>
      </c>
      <c r="C137" s="4" t="s">
        <v>213</v>
      </c>
      <c r="D137" s="3">
        <v>2</v>
      </c>
      <c r="E137" s="3" t="s">
        <v>16</v>
      </c>
      <c r="F137" s="3" t="s">
        <v>295</v>
      </c>
      <c r="G137" s="3" t="s">
        <v>17</v>
      </c>
      <c r="H137" s="3" t="s">
        <v>214</v>
      </c>
    </row>
    <row r="138" spans="1:8" x14ac:dyDescent="0.2">
      <c r="A138" s="3">
        <v>3049904001</v>
      </c>
      <c r="B138" s="4" t="s">
        <v>354</v>
      </c>
      <c r="C138" s="4" t="s">
        <v>355</v>
      </c>
      <c r="D138" s="3">
        <v>4</v>
      </c>
      <c r="E138" s="3" t="s">
        <v>16</v>
      </c>
      <c r="F138" s="3" t="s">
        <v>293</v>
      </c>
      <c r="G138" s="3" t="s">
        <v>29</v>
      </c>
      <c r="H138" s="3" t="s">
        <v>214</v>
      </c>
    </row>
    <row r="139" spans="1:8" x14ac:dyDescent="0.2">
      <c r="A139" s="3">
        <v>3049902005</v>
      </c>
      <c r="B139" s="4" t="s">
        <v>356</v>
      </c>
      <c r="C139" s="4" t="s">
        <v>357</v>
      </c>
      <c r="D139" s="3">
        <v>2</v>
      </c>
      <c r="E139" s="3" t="s">
        <v>16</v>
      </c>
      <c r="F139" s="3" t="s">
        <v>293</v>
      </c>
      <c r="G139" s="3" t="s">
        <v>29</v>
      </c>
      <c r="H139" s="3" t="s">
        <v>214</v>
      </c>
    </row>
    <row r="140" spans="1:8" x14ac:dyDescent="0.2">
      <c r="A140" s="3">
        <v>3049902010</v>
      </c>
      <c r="B140" s="4" t="s">
        <v>358</v>
      </c>
      <c r="C140" s="4" t="s">
        <v>359</v>
      </c>
      <c r="D140" s="3">
        <v>2</v>
      </c>
      <c r="E140" s="3" t="s">
        <v>16</v>
      </c>
      <c r="F140" s="3" t="s">
        <v>293</v>
      </c>
      <c r="G140" s="3" t="s">
        <v>29</v>
      </c>
      <c r="H140" s="3" t="s">
        <v>214</v>
      </c>
    </row>
    <row r="141" spans="1:8" x14ac:dyDescent="0.2">
      <c r="A141" s="3">
        <v>3030201005</v>
      </c>
      <c r="B141" s="4" t="s">
        <v>217</v>
      </c>
      <c r="C141" s="4" t="s">
        <v>218</v>
      </c>
      <c r="D141" s="3">
        <v>12</v>
      </c>
      <c r="E141" s="3" t="s">
        <v>16</v>
      </c>
      <c r="F141" s="3" t="s">
        <v>295</v>
      </c>
      <c r="G141" s="3" t="s">
        <v>17</v>
      </c>
      <c r="H141" s="3" t="s">
        <v>214</v>
      </c>
    </row>
    <row r="142" spans="1:8" x14ac:dyDescent="0.2">
      <c r="A142" s="3">
        <v>3070105007</v>
      </c>
      <c r="B142" s="4" t="s">
        <v>360</v>
      </c>
      <c r="C142" s="4" t="s">
        <v>361</v>
      </c>
      <c r="D142" s="3">
        <v>1</v>
      </c>
      <c r="E142" s="3" t="s">
        <v>16</v>
      </c>
      <c r="F142" s="3" t="s">
        <v>317</v>
      </c>
      <c r="G142" s="3" t="s">
        <v>318</v>
      </c>
      <c r="H142" s="3" t="s">
        <v>214</v>
      </c>
    </row>
    <row r="143" spans="1:8" x14ac:dyDescent="0.2">
      <c r="A143" s="3">
        <v>3070105008</v>
      </c>
      <c r="B143" s="4" t="s">
        <v>362</v>
      </c>
      <c r="C143" s="4" t="s">
        <v>361</v>
      </c>
      <c r="D143" s="3">
        <v>1</v>
      </c>
      <c r="E143" s="3" t="s">
        <v>16</v>
      </c>
      <c r="F143" s="3" t="s">
        <v>317</v>
      </c>
      <c r="G143" s="3" t="s">
        <v>318</v>
      </c>
      <c r="H143" s="3" t="s">
        <v>214</v>
      </c>
    </row>
    <row r="144" spans="1:8" x14ac:dyDescent="0.2">
      <c r="A144" s="3">
        <v>3060404003</v>
      </c>
      <c r="B144" s="4" t="s">
        <v>729</v>
      </c>
      <c r="C144" s="4" t="s">
        <v>730</v>
      </c>
      <c r="D144" s="3">
        <v>1</v>
      </c>
      <c r="E144" s="3" t="s">
        <v>16</v>
      </c>
      <c r="F144" s="3" t="s">
        <v>289</v>
      </c>
      <c r="G144" s="3" t="s">
        <v>23</v>
      </c>
      <c r="H144" s="3" t="s">
        <v>221</v>
      </c>
    </row>
    <row r="145" spans="1:8" x14ac:dyDescent="0.2">
      <c r="A145" s="3">
        <v>3030403001</v>
      </c>
      <c r="B145" s="4" t="s">
        <v>219</v>
      </c>
      <c r="C145" s="4" t="s">
        <v>220</v>
      </c>
      <c r="D145" s="3">
        <v>1</v>
      </c>
      <c r="E145" s="3" t="s">
        <v>16</v>
      </c>
      <c r="F145" s="3" t="s">
        <v>295</v>
      </c>
      <c r="G145" s="3" t="s">
        <v>17</v>
      </c>
      <c r="H145" s="3" t="s">
        <v>221</v>
      </c>
    </row>
    <row r="146" spans="1:8" x14ac:dyDescent="0.2">
      <c r="A146" s="3">
        <v>3040402013</v>
      </c>
      <c r="B146" s="4" t="s">
        <v>193</v>
      </c>
      <c r="C146" s="4" t="s">
        <v>363</v>
      </c>
      <c r="D146" s="3">
        <v>1</v>
      </c>
      <c r="E146" s="3" t="s">
        <v>16</v>
      </c>
      <c r="F146" s="3" t="s">
        <v>293</v>
      </c>
      <c r="G146" s="3" t="s">
        <v>29</v>
      </c>
      <c r="H146" s="3" t="s">
        <v>221</v>
      </c>
    </row>
    <row r="147" spans="1:8" x14ac:dyDescent="0.2">
      <c r="A147" s="3">
        <v>3040402014</v>
      </c>
      <c r="B147" s="4" t="s">
        <v>193</v>
      </c>
      <c r="C147" s="4" t="s">
        <v>364</v>
      </c>
      <c r="D147" s="3">
        <v>1</v>
      </c>
      <c r="E147" s="3" t="s">
        <v>16</v>
      </c>
      <c r="F147" s="3" t="s">
        <v>293</v>
      </c>
      <c r="G147" s="3" t="s">
        <v>29</v>
      </c>
      <c r="H147" s="3" t="s">
        <v>221</v>
      </c>
    </row>
    <row r="148" spans="1:8" x14ac:dyDescent="0.2">
      <c r="A148" s="3">
        <v>3020301001</v>
      </c>
      <c r="B148" s="4" t="s">
        <v>209</v>
      </c>
      <c r="C148" s="4" t="s">
        <v>365</v>
      </c>
      <c r="D148" s="3">
        <v>1</v>
      </c>
      <c r="E148" s="3" t="s">
        <v>16</v>
      </c>
      <c r="F148" s="3" t="s">
        <v>291</v>
      </c>
      <c r="G148" s="3" t="s">
        <v>26</v>
      </c>
      <c r="H148" s="3" t="s">
        <v>221</v>
      </c>
    </row>
    <row r="149" spans="1:8" x14ac:dyDescent="0.2">
      <c r="A149" s="3">
        <v>403030051</v>
      </c>
      <c r="B149" s="4" t="s">
        <v>366</v>
      </c>
      <c r="C149" s="4" t="s">
        <v>367</v>
      </c>
      <c r="D149" s="3">
        <v>3</v>
      </c>
      <c r="E149" s="3" t="s">
        <v>16</v>
      </c>
      <c r="F149" s="3" t="s">
        <v>301</v>
      </c>
      <c r="G149" s="3" t="s">
        <v>32</v>
      </c>
      <c r="H149" s="3" t="s">
        <v>221</v>
      </c>
    </row>
    <row r="150" spans="1:8" x14ac:dyDescent="0.2">
      <c r="A150" s="3">
        <v>403030005</v>
      </c>
      <c r="B150" s="4" t="s">
        <v>366</v>
      </c>
      <c r="C150" s="4" t="s">
        <v>368</v>
      </c>
      <c r="D150" s="3">
        <v>2</v>
      </c>
      <c r="E150" s="3" t="s">
        <v>16</v>
      </c>
      <c r="F150" s="3" t="s">
        <v>301</v>
      </c>
      <c r="G150" s="3" t="s">
        <v>32</v>
      </c>
      <c r="H150" s="3" t="s">
        <v>221</v>
      </c>
    </row>
    <row r="151" spans="1:8" x14ac:dyDescent="0.2">
      <c r="A151" s="3">
        <v>3050401001</v>
      </c>
      <c r="B151" s="4" t="s">
        <v>222</v>
      </c>
      <c r="C151" s="4" t="s">
        <v>223</v>
      </c>
      <c r="D151" s="3">
        <v>1</v>
      </c>
      <c r="E151" s="3" t="s">
        <v>16</v>
      </c>
      <c r="F151" s="3" t="s">
        <v>291</v>
      </c>
      <c r="G151" s="3" t="s">
        <v>26</v>
      </c>
      <c r="H151" s="3" t="s">
        <v>221</v>
      </c>
    </row>
    <row r="152" spans="1:8" x14ac:dyDescent="0.2">
      <c r="A152" s="3">
        <v>402050001</v>
      </c>
      <c r="B152" s="4" t="s">
        <v>522</v>
      </c>
      <c r="C152" s="4" t="s">
        <v>523</v>
      </c>
      <c r="D152" s="3">
        <v>1</v>
      </c>
      <c r="E152" s="3" t="s">
        <v>16</v>
      </c>
      <c r="F152" s="3" t="s">
        <v>289</v>
      </c>
      <c r="G152" s="3" t="s">
        <v>23</v>
      </c>
      <c r="H152" s="3" t="s">
        <v>524</v>
      </c>
    </row>
    <row r="153" spans="1:8" x14ac:dyDescent="0.2">
      <c r="A153" s="3">
        <v>3040502057</v>
      </c>
      <c r="B153" s="4" t="s">
        <v>136</v>
      </c>
      <c r="C153" s="4" t="s">
        <v>369</v>
      </c>
      <c r="D153" s="3">
        <v>1</v>
      </c>
      <c r="E153" s="3" t="s">
        <v>16</v>
      </c>
      <c r="F153" s="3" t="s">
        <v>293</v>
      </c>
      <c r="G153" s="3" t="s">
        <v>29</v>
      </c>
      <c r="H153" s="3" t="s">
        <v>370</v>
      </c>
    </row>
    <row r="154" spans="1:8" x14ac:dyDescent="0.2">
      <c r="A154" s="3">
        <v>3040502056</v>
      </c>
      <c r="B154" s="4" t="s">
        <v>136</v>
      </c>
      <c r="C154" s="4" t="s">
        <v>371</v>
      </c>
      <c r="D154" s="3">
        <v>1</v>
      </c>
      <c r="E154" s="3" t="s">
        <v>16</v>
      </c>
      <c r="F154" s="3" t="s">
        <v>293</v>
      </c>
      <c r="G154" s="3" t="s">
        <v>29</v>
      </c>
      <c r="H154" s="3" t="s">
        <v>370</v>
      </c>
    </row>
    <row r="155" spans="1:8" x14ac:dyDescent="0.2">
      <c r="A155" s="3">
        <v>3050305016</v>
      </c>
      <c r="B155" s="4" t="s">
        <v>527</v>
      </c>
      <c r="C155" s="4" t="s">
        <v>528</v>
      </c>
      <c r="D155" s="3">
        <v>1</v>
      </c>
      <c r="E155" s="3" t="s">
        <v>16</v>
      </c>
      <c r="F155" s="3" t="s">
        <v>291</v>
      </c>
      <c r="G155" s="3" t="s">
        <v>26</v>
      </c>
      <c r="H155" s="3" t="s">
        <v>226</v>
      </c>
    </row>
    <row r="156" spans="1:8" x14ac:dyDescent="0.2">
      <c r="A156" s="3">
        <v>3050305015</v>
      </c>
      <c r="B156" s="4" t="s">
        <v>529</v>
      </c>
      <c r="C156" s="4" t="s">
        <v>530</v>
      </c>
      <c r="D156" s="3">
        <v>1</v>
      </c>
      <c r="E156" s="3" t="s">
        <v>16</v>
      </c>
      <c r="F156" s="3" t="s">
        <v>291</v>
      </c>
      <c r="G156" s="3" t="s">
        <v>26</v>
      </c>
      <c r="H156" s="3" t="s">
        <v>226</v>
      </c>
    </row>
    <row r="157" spans="1:8" x14ac:dyDescent="0.2">
      <c r="A157" s="3">
        <v>3050306011</v>
      </c>
      <c r="B157" s="4" t="s">
        <v>531</v>
      </c>
      <c r="C157" s="4" t="s">
        <v>609</v>
      </c>
      <c r="D157" s="3">
        <v>1</v>
      </c>
      <c r="E157" s="3" t="s">
        <v>16</v>
      </c>
      <c r="F157" s="3" t="s">
        <v>291</v>
      </c>
      <c r="G157" s="3" t="s">
        <v>26</v>
      </c>
      <c r="H157" s="3" t="s">
        <v>226</v>
      </c>
    </row>
    <row r="158" spans="1:8" x14ac:dyDescent="0.2">
      <c r="A158" s="3">
        <v>3030306008</v>
      </c>
      <c r="B158" s="4" t="s">
        <v>235</v>
      </c>
      <c r="C158" s="4" t="s">
        <v>236</v>
      </c>
      <c r="D158" s="3">
        <v>1</v>
      </c>
      <c r="E158" s="3" t="s">
        <v>16</v>
      </c>
      <c r="F158" s="3" t="s">
        <v>295</v>
      </c>
      <c r="G158" s="3" t="s">
        <v>17</v>
      </c>
      <c r="H158" s="3" t="s">
        <v>226</v>
      </c>
    </row>
    <row r="159" spans="1:8" x14ac:dyDescent="0.2">
      <c r="A159" s="3">
        <v>3030314001</v>
      </c>
      <c r="B159" s="4" t="s">
        <v>237</v>
      </c>
      <c r="C159" s="4" t="s">
        <v>238</v>
      </c>
      <c r="D159" s="3">
        <v>1</v>
      </c>
      <c r="E159" s="3" t="s">
        <v>16</v>
      </c>
      <c r="F159" s="3" t="s">
        <v>291</v>
      </c>
      <c r="G159" s="3" t="s">
        <v>26</v>
      </c>
      <c r="H159" s="3" t="s">
        <v>226</v>
      </c>
    </row>
    <row r="160" spans="1:8" x14ac:dyDescent="0.2">
      <c r="A160" s="3">
        <v>3020101003</v>
      </c>
      <c r="B160" s="4" t="s">
        <v>239</v>
      </c>
      <c r="C160" s="4" t="s">
        <v>733</v>
      </c>
      <c r="D160" s="3">
        <v>5</v>
      </c>
      <c r="E160" s="3" t="s">
        <v>16</v>
      </c>
      <c r="F160" s="3" t="s">
        <v>297</v>
      </c>
      <c r="G160" s="3" t="s">
        <v>204</v>
      </c>
      <c r="H160" s="3" t="s">
        <v>226</v>
      </c>
    </row>
    <row r="161" spans="1:8" x14ac:dyDescent="0.2">
      <c r="A161" s="3">
        <v>3030303011</v>
      </c>
      <c r="B161" s="4" t="s">
        <v>611</v>
      </c>
      <c r="C161" s="4" t="s">
        <v>612</v>
      </c>
      <c r="D161" s="3">
        <v>2</v>
      </c>
      <c r="E161" s="3" t="s">
        <v>16</v>
      </c>
      <c r="F161" s="3" t="s">
        <v>291</v>
      </c>
      <c r="G161" s="3" t="s">
        <v>26</v>
      </c>
      <c r="H161" s="3" t="s">
        <v>226</v>
      </c>
    </row>
    <row r="162" spans="1:8" x14ac:dyDescent="0.2">
      <c r="A162" s="3">
        <v>3070212001</v>
      </c>
      <c r="B162" s="4" t="s">
        <v>377</v>
      </c>
      <c r="C162" s="4" t="s">
        <v>378</v>
      </c>
      <c r="D162" s="3">
        <v>1</v>
      </c>
      <c r="E162" s="3" t="s">
        <v>16</v>
      </c>
      <c r="F162" s="3" t="s">
        <v>317</v>
      </c>
      <c r="G162" s="3" t="s">
        <v>318</v>
      </c>
      <c r="H162" s="3" t="s">
        <v>226</v>
      </c>
    </row>
    <row r="163" spans="1:8" x14ac:dyDescent="0.2">
      <c r="A163" s="3">
        <v>3070210001</v>
      </c>
      <c r="B163" s="4" t="s">
        <v>379</v>
      </c>
      <c r="C163" s="4" t="s">
        <v>280</v>
      </c>
      <c r="D163" s="3">
        <v>1</v>
      </c>
      <c r="E163" s="3" t="s">
        <v>16</v>
      </c>
      <c r="F163" s="3" t="s">
        <v>317</v>
      </c>
      <c r="G163" s="3" t="s">
        <v>318</v>
      </c>
      <c r="H163" s="3" t="s">
        <v>226</v>
      </c>
    </row>
    <row r="164" spans="1:8" x14ac:dyDescent="0.2">
      <c r="A164" s="3">
        <v>3050302012</v>
      </c>
      <c r="B164" s="4" t="s">
        <v>1921</v>
      </c>
      <c r="C164" s="4" t="s">
        <v>1922</v>
      </c>
      <c r="D164" s="3">
        <v>1</v>
      </c>
      <c r="E164" s="3" t="s">
        <v>16</v>
      </c>
      <c r="F164" s="3" t="s">
        <v>291</v>
      </c>
      <c r="G164" s="3" t="s">
        <v>26</v>
      </c>
      <c r="H164" s="3" t="s">
        <v>226</v>
      </c>
    </row>
    <row r="165" spans="1:8" x14ac:dyDescent="0.2">
      <c r="A165" s="3">
        <v>3080401031</v>
      </c>
      <c r="B165" s="4" t="s">
        <v>41</v>
      </c>
      <c r="C165" s="4" t="s">
        <v>551</v>
      </c>
      <c r="D165" s="3">
        <v>1</v>
      </c>
      <c r="E165" s="3" t="s">
        <v>16</v>
      </c>
      <c r="F165" s="3" t="s">
        <v>291</v>
      </c>
      <c r="G165" s="3" t="s">
        <v>26</v>
      </c>
      <c r="H165" s="3" t="s">
        <v>249</v>
      </c>
    </row>
    <row r="166" spans="1:8" x14ac:dyDescent="0.2">
      <c r="A166" s="3">
        <v>3080301002</v>
      </c>
      <c r="B166" s="4" t="s">
        <v>247</v>
      </c>
      <c r="C166" s="4" t="s">
        <v>248</v>
      </c>
      <c r="D166" s="3">
        <v>1</v>
      </c>
      <c r="E166" s="3" t="s">
        <v>16</v>
      </c>
      <c r="F166" s="3" t="s">
        <v>295</v>
      </c>
      <c r="G166" s="3" t="s">
        <v>17</v>
      </c>
      <c r="H166" s="3" t="s">
        <v>249</v>
      </c>
    </row>
    <row r="167" spans="1:8" x14ac:dyDescent="0.2">
      <c r="A167" s="3">
        <v>3080107017</v>
      </c>
      <c r="B167" s="4" t="s">
        <v>69</v>
      </c>
      <c r="C167" s="4" t="s">
        <v>251</v>
      </c>
      <c r="D167" s="3">
        <v>4</v>
      </c>
      <c r="E167" s="3" t="s">
        <v>16</v>
      </c>
      <c r="F167" s="3" t="s">
        <v>295</v>
      </c>
      <c r="G167" s="3" t="s">
        <v>17</v>
      </c>
      <c r="H167" s="3" t="s">
        <v>249</v>
      </c>
    </row>
    <row r="168" spans="1:8" x14ac:dyDescent="0.2">
      <c r="A168" s="3">
        <v>3060335005</v>
      </c>
      <c r="B168" s="4" t="s">
        <v>233</v>
      </c>
      <c r="C168" s="4" t="s">
        <v>734</v>
      </c>
      <c r="D168" s="3">
        <v>1</v>
      </c>
      <c r="E168" s="3" t="s">
        <v>16</v>
      </c>
      <c r="F168" s="3" t="s">
        <v>289</v>
      </c>
      <c r="G168" s="3" t="s">
        <v>23</v>
      </c>
      <c r="H168" s="3" t="s">
        <v>254</v>
      </c>
    </row>
    <row r="169" spans="1:8" x14ac:dyDescent="0.2">
      <c r="A169" s="3">
        <v>3060324001</v>
      </c>
      <c r="B169" s="4" t="s">
        <v>735</v>
      </c>
      <c r="C169" s="4" t="s">
        <v>736</v>
      </c>
      <c r="D169" s="3">
        <v>1</v>
      </c>
      <c r="E169" s="3" t="s">
        <v>16</v>
      </c>
      <c r="F169" s="3" t="s">
        <v>289</v>
      </c>
      <c r="G169" s="3" t="s">
        <v>23</v>
      </c>
      <c r="H169" s="3" t="s">
        <v>254</v>
      </c>
    </row>
    <row r="170" spans="1:8" x14ac:dyDescent="0.2">
      <c r="A170" s="3">
        <v>3030315001</v>
      </c>
      <c r="B170" s="4" t="s">
        <v>257</v>
      </c>
      <c r="C170" s="4" t="s">
        <v>258</v>
      </c>
      <c r="D170" s="3">
        <v>2</v>
      </c>
      <c r="E170" s="3" t="s">
        <v>16</v>
      </c>
      <c r="F170" s="3" t="s">
        <v>295</v>
      </c>
      <c r="G170" s="3" t="s">
        <v>17</v>
      </c>
      <c r="H170" s="3" t="s">
        <v>254</v>
      </c>
    </row>
    <row r="171" spans="1:8" x14ac:dyDescent="0.2">
      <c r="A171" s="3">
        <v>3030304002</v>
      </c>
      <c r="B171" s="4" t="s">
        <v>259</v>
      </c>
      <c r="C171" s="4" t="s">
        <v>258</v>
      </c>
      <c r="D171" s="3">
        <v>1</v>
      </c>
      <c r="E171" s="3" t="s">
        <v>16</v>
      </c>
      <c r="F171" s="3" t="s">
        <v>295</v>
      </c>
      <c r="G171" s="3" t="s">
        <v>17</v>
      </c>
      <c r="H171" s="3" t="s">
        <v>254</v>
      </c>
    </row>
    <row r="172" spans="1:8" x14ac:dyDescent="0.2">
      <c r="A172" s="3">
        <v>3030304004</v>
      </c>
      <c r="B172" s="4" t="s">
        <v>260</v>
      </c>
      <c r="C172" s="4" t="s">
        <v>258</v>
      </c>
      <c r="D172" s="3">
        <v>1</v>
      </c>
      <c r="E172" s="3" t="s">
        <v>16</v>
      </c>
      <c r="F172" s="3" t="s">
        <v>295</v>
      </c>
      <c r="G172" s="3" t="s">
        <v>17</v>
      </c>
      <c r="H172" s="3" t="s">
        <v>254</v>
      </c>
    </row>
    <row r="173" spans="1:8" x14ac:dyDescent="0.2">
      <c r="A173" s="3">
        <v>3030316001</v>
      </c>
      <c r="B173" s="4" t="s">
        <v>261</v>
      </c>
      <c r="C173" s="4" t="s">
        <v>262</v>
      </c>
      <c r="D173" s="3">
        <v>3</v>
      </c>
      <c r="E173" s="3" t="s">
        <v>16</v>
      </c>
      <c r="F173" s="3" t="s">
        <v>295</v>
      </c>
      <c r="G173" s="3" t="s">
        <v>17</v>
      </c>
      <c r="H173" s="3" t="s">
        <v>254</v>
      </c>
    </row>
    <row r="174" spans="1:8" x14ac:dyDescent="0.2">
      <c r="A174" s="3">
        <v>3040304005</v>
      </c>
      <c r="B174" s="4" t="s">
        <v>380</v>
      </c>
      <c r="C174" s="4" t="s">
        <v>381</v>
      </c>
      <c r="D174" s="3">
        <v>2</v>
      </c>
      <c r="E174" s="3" t="s">
        <v>16</v>
      </c>
      <c r="F174" s="3" t="s">
        <v>293</v>
      </c>
      <c r="G174" s="3" t="s">
        <v>29</v>
      </c>
      <c r="H174" s="3" t="s">
        <v>254</v>
      </c>
    </row>
    <row r="175" spans="1:8" x14ac:dyDescent="0.2">
      <c r="A175" s="3">
        <v>3040304006</v>
      </c>
      <c r="B175" s="4" t="s">
        <v>380</v>
      </c>
      <c r="C175" s="4" t="s">
        <v>382</v>
      </c>
      <c r="D175" s="3">
        <v>2</v>
      </c>
      <c r="E175" s="3" t="s">
        <v>16</v>
      </c>
      <c r="F175" s="3" t="s">
        <v>293</v>
      </c>
      <c r="G175" s="3" t="s">
        <v>29</v>
      </c>
      <c r="H175" s="3" t="s">
        <v>254</v>
      </c>
    </row>
    <row r="176" spans="1:8" x14ac:dyDescent="0.2">
      <c r="A176" s="3">
        <v>3049902004</v>
      </c>
      <c r="B176" s="4" t="s">
        <v>383</v>
      </c>
      <c r="C176" s="4" t="s">
        <v>384</v>
      </c>
      <c r="D176" s="3">
        <v>2</v>
      </c>
      <c r="E176" s="3" t="s">
        <v>16</v>
      </c>
      <c r="F176" s="3" t="s">
        <v>293</v>
      </c>
      <c r="G176" s="3" t="s">
        <v>29</v>
      </c>
      <c r="H176" s="3" t="s">
        <v>254</v>
      </c>
    </row>
    <row r="177" spans="1:8" x14ac:dyDescent="0.2">
      <c r="A177" s="3">
        <v>3040326018</v>
      </c>
      <c r="B177" s="4" t="s">
        <v>385</v>
      </c>
      <c r="C177" s="4" t="s">
        <v>384</v>
      </c>
      <c r="D177" s="3">
        <v>2</v>
      </c>
      <c r="E177" s="3" t="s">
        <v>16</v>
      </c>
      <c r="F177" s="3" t="s">
        <v>293</v>
      </c>
      <c r="G177" s="3" t="s">
        <v>29</v>
      </c>
      <c r="H177" s="3" t="s">
        <v>254</v>
      </c>
    </row>
    <row r="178" spans="1:8" x14ac:dyDescent="0.2">
      <c r="A178" s="3">
        <v>3040320015</v>
      </c>
      <c r="B178" s="4" t="s">
        <v>269</v>
      </c>
      <c r="C178" s="4" t="s">
        <v>386</v>
      </c>
      <c r="D178" s="3">
        <v>1</v>
      </c>
      <c r="E178" s="3" t="s">
        <v>16</v>
      </c>
      <c r="F178" s="3" t="s">
        <v>293</v>
      </c>
      <c r="G178" s="3" t="s">
        <v>29</v>
      </c>
      <c r="H178" s="3" t="s">
        <v>254</v>
      </c>
    </row>
    <row r="179" spans="1:8" x14ac:dyDescent="0.2">
      <c r="A179" s="3">
        <v>3040320014</v>
      </c>
      <c r="B179" s="4" t="s">
        <v>269</v>
      </c>
      <c r="C179" s="4" t="s">
        <v>387</v>
      </c>
      <c r="D179" s="3">
        <v>1</v>
      </c>
      <c r="E179" s="3" t="s">
        <v>16</v>
      </c>
      <c r="F179" s="3" t="s">
        <v>293</v>
      </c>
      <c r="G179" s="3" t="s">
        <v>29</v>
      </c>
      <c r="H179" s="3" t="s">
        <v>254</v>
      </c>
    </row>
    <row r="180" spans="1:8" x14ac:dyDescent="0.2">
      <c r="A180" s="3">
        <v>3030310004</v>
      </c>
      <c r="B180" s="4" t="s">
        <v>273</v>
      </c>
      <c r="C180" s="4" t="s">
        <v>274</v>
      </c>
      <c r="D180" s="3">
        <v>1</v>
      </c>
      <c r="E180" s="3" t="s">
        <v>16</v>
      </c>
      <c r="F180" s="3" t="s">
        <v>295</v>
      </c>
      <c r="G180" s="3" t="s">
        <v>17</v>
      </c>
      <c r="H180" s="3" t="s">
        <v>254</v>
      </c>
    </row>
    <row r="181" spans="1:8" x14ac:dyDescent="0.2">
      <c r="A181" s="3">
        <v>3030313004</v>
      </c>
      <c r="B181" s="4" t="s">
        <v>275</v>
      </c>
      <c r="C181" s="4" t="s">
        <v>258</v>
      </c>
      <c r="D181" s="3">
        <v>1</v>
      </c>
      <c r="E181" s="3" t="s">
        <v>16</v>
      </c>
      <c r="F181" s="3" t="s">
        <v>295</v>
      </c>
      <c r="G181" s="3" t="s">
        <v>17</v>
      </c>
      <c r="H181" s="3" t="s">
        <v>254</v>
      </c>
    </row>
    <row r="182" spans="1:8" x14ac:dyDescent="0.2">
      <c r="A182" s="3">
        <v>3080308001</v>
      </c>
      <c r="B182" s="4" t="s">
        <v>276</v>
      </c>
      <c r="C182" s="4" t="s">
        <v>258</v>
      </c>
      <c r="D182" s="3">
        <v>1</v>
      </c>
      <c r="E182" s="3" t="s">
        <v>16</v>
      </c>
      <c r="F182" s="3" t="s">
        <v>295</v>
      </c>
      <c r="G182" s="3" t="s">
        <v>17</v>
      </c>
      <c r="H182" s="3" t="s">
        <v>254</v>
      </c>
    </row>
    <row r="183" spans="1:8" x14ac:dyDescent="0.2">
      <c r="A183" s="3">
        <v>3070205003</v>
      </c>
      <c r="B183" s="4" t="s">
        <v>372</v>
      </c>
      <c r="C183" s="4" t="s">
        <v>747</v>
      </c>
      <c r="D183" s="3">
        <v>1</v>
      </c>
      <c r="E183" s="3" t="s">
        <v>16</v>
      </c>
      <c r="F183" s="3" t="s">
        <v>317</v>
      </c>
      <c r="G183" s="3" t="s">
        <v>318</v>
      </c>
      <c r="H183" s="3" t="s">
        <v>254</v>
      </c>
    </row>
    <row r="184" spans="1:8" x14ac:dyDescent="0.2">
      <c r="A184" s="3">
        <v>3070202019</v>
      </c>
      <c r="B184" s="4" t="s">
        <v>388</v>
      </c>
      <c r="C184" s="4" t="s">
        <v>389</v>
      </c>
      <c r="D184" s="3">
        <v>1</v>
      </c>
      <c r="E184" s="3" t="s">
        <v>16</v>
      </c>
      <c r="F184" s="3" t="s">
        <v>317</v>
      </c>
      <c r="G184" s="3" t="s">
        <v>318</v>
      </c>
      <c r="H184" s="3" t="s">
        <v>254</v>
      </c>
    </row>
    <row r="185" spans="1:8" x14ac:dyDescent="0.2">
      <c r="A185" s="3">
        <v>3070209001</v>
      </c>
      <c r="B185" s="4" t="s">
        <v>748</v>
      </c>
      <c r="C185" s="4" t="s">
        <v>246</v>
      </c>
      <c r="D185" s="3">
        <v>1</v>
      </c>
      <c r="E185" s="3" t="s">
        <v>16</v>
      </c>
      <c r="F185" s="3" t="s">
        <v>317</v>
      </c>
      <c r="G185" s="3" t="s">
        <v>318</v>
      </c>
      <c r="H185" s="3" t="s">
        <v>254</v>
      </c>
    </row>
    <row r="186" spans="1:8" x14ac:dyDescent="0.2">
      <c r="A186" s="3">
        <v>3060339002</v>
      </c>
      <c r="B186" s="4" t="s">
        <v>737</v>
      </c>
      <c r="C186" s="4" t="s">
        <v>738</v>
      </c>
      <c r="D186" s="3">
        <v>1</v>
      </c>
      <c r="E186" s="3" t="s">
        <v>16</v>
      </c>
      <c r="F186" s="3" t="s">
        <v>702</v>
      </c>
      <c r="G186" s="3" t="s">
        <v>703</v>
      </c>
      <c r="H186" s="3" t="s">
        <v>254</v>
      </c>
    </row>
    <row r="187" spans="1:8" x14ac:dyDescent="0.2">
      <c r="A187" s="3">
        <v>3060325001</v>
      </c>
      <c r="B187" s="4" t="s">
        <v>739</v>
      </c>
      <c r="C187" s="4" t="s">
        <v>740</v>
      </c>
      <c r="D187" s="3">
        <v>1</v>
      </c>
      <c r="E187" s="3" t="s">
        <v>16</v>
      </c>
      <c r="F187" s="3" t="s">
        <v>702</v>
      </c>
      <c r="G187" s="3" t="s">
        <v>703</v>
      </c>
      <c r="H187" s="3" t="s">
        <v>254</v>
      </c>
    </row>
    <row r="188" spans="1:8" x14ac:dyDescent="0.2">
      <c r="A188" s="3">
        <v>3050303018</v>
      </c>
      <c r="B188" s="4" t="s">
        <v>245</v>
      </c>
      <c r="C188" s="4" t="s">
        <v>613</v>
      </c>
      <c r="D188" s="3">
        <v>1</v>
      </c>
      <c r="E188" s="3" t="s">
        <v>16</v>
      </c>
      <c r="F188" s="3" t="s">
        <v>291</v>
      </c>
      <c r="G188" s="3" t="s">
        <v>26</v>
      </c>
      <c r="H188" s="3" t="s">
        <v>254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64</vt:i4>
      </vt:variant>
    </vt:vector>
  </HeadingPairs>
  <TitlesOfParts>
    <vt:vector size="64" baseType="lpstr">
      <vt:lpstr>1.10170307c04</vt:lpstr>
      <vt:lpstr>2.10460314c04</vt:lpstr>
      <vt:lpstr>3.10610101c04</vt:lpstr>
      <vt:lpstr>4.10620101c04</vt:lpstr>
      <vt:lpstr>5.10710101c04</vt:lpstr>
      <vt:lpstr>6.10700101c04</vt:lpstr>
      <vt:lpstr>7.10780103c04</vt:lpstr>
      <vt:lpstr>8.10170331c04</vt:lpstr>
      <vt:lpstr>9.10170328c04</vt:lpstr>
      <vt:lpstr>10.10690101c04</vt:lpstr>
      <vt:lpstr>11.10680101c04</vt:lpstr>
      <vt:lpstr>12.10450321c04</vt:lpstr>
      <vt:lpstr>13.10880101c04</vt:lpstr>
      <vt:lpstr>14.10590101c04</vt:lpstr>
      <vt:lpstr>15.10600101c04</vt:lpstr>
      <vt:lpstr>16.10600104c04</vt:lpstr>
      <vt:lpstr>17.10910113c04</vt:lpstr>
      <vt:lpstr>18.10910103c04</vt:lpstr>
      <vt:lpstr>19.10730101c04</vt:lpstr>
      <vt:lpstr>20.10720101c04</vt:lpstr>
      <vt:lpstr>21.10720103c04</vt:lpstr>
      <vt:lpstr>22.10570328c04</vt:lpstr>
      <vt:lpstr>23.10570312c04</vt:lpstr>
      <vt:lpstr>24.10170302c04</vt:lpstr>
      <vt:lpstr>25.10460302c04</vt:lpstr>
      <vt:lpstr>26.10630109c04</vt:lpstr>
      <vt:lpstr>27.10630101c04</vt:lpstr>
      <vt:lpstr>28.10630105c04</vt:lpstr>
      <vt:lpstr>29.10650105c04</vt:lpstr>
      <vt:lpstr>30.10630113c04</vt:lpstr>
      <vt:lpstr>31.10630112c04</vt:lpstr>
      <vt:lpstr>32.10630103c04</vt:lpstr>
      <vt:lpstr>33.10760103c04</vt:lpstr>
      <vt:lpstr>34.10760106c04</vt:lpstr>
      <vt:lpstr>35.10540318c04</vt:lpstr>
      <vt:lpstr>36.10810174c04</vt:lpstr>
      <vt:lpstr>37.10560304c04</vt:lpstr>
      <vt:lpstr>38.10660108c04</vt:lpstr>
      <vt:lpstr>39.10670102c04</vt:lpstr>
      <vt:lpstr>40.10790104c04</vt:lpstr>
      <vt:lpstr>41.10660101c04</vt:lpstr>
      <vt:lpstr>42.10670101c04</vt:lpstr>
      <vt:lpstr>43.10630115c04</vt:lpstr>
      <vt:lpstr>44.10171004c04</vt:lpstr>
      <vt:lpstr>45.10670801c04</vt:lpstr>
      <vt:lpstr>46.10810134c04</vt:lpstr>
      <vt:lpstr>47.10670420c04</vt:lpstr>
      <vt:lpstr>48.10710402c04</vt:lpstr>
      <vt:lpstr>49.10700402c04</vt:lpstr>
      <vt:lpstr>50.10620401c04</vt:lpstr>
      <vt:lpstr>51.10170414c04</vt:lpstr>
      <vt:lpstr>52.10460406c04</vt:lpstr>
      <vt:lpstr>53.10690402c04</vt:lpstr>
      <vt:lpstr>54.10680402c04</vt:lpstr>
      <vt:lpstr>55.10880401c04</vt:lpstr>
      <vt:lpstr>56.10600401c04</vt:lpstr>
      <vt:lpstr>57.10720401c04</vt:lpstr>
      <vt:lpstr>58.10170402c04</vt:lpstr>
      <vt:lpstr>59.10630502c04</vt:lpstr>
      <vt:lpstr>60.10630501c04</vt:lpstr>
      <vt:lpstr>61.10760412c04</vt:lpstr>
      <vt:lpstr>62.10650531c04</vt:lpstr>
      <vt:lpstr>63.10690501c04</vt:lpstr>
      <vt:lpstr>64.10680501c04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陈莉</cp:lastModifiedBy>
  <dcterms:created xsi:type="dcterms:W3CDTF">2015-06-05T18:19:34Z</dcterms:created>
  <dcterms:modified xsi:type="dcterms:W3CDTF">2019-09-18T09:00:59Z</dcterms:modified>
</cp:coreProperties>
</file>